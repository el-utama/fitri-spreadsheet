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DAFTAR_SUMBER" sheetId="2" state="visible" r:id="rId2"/>
    <sheet name="MASTER" sheetId="3" state="visible" r:id="rId3"/>
    <sheet name="Kumpulan Video" sheetId="4" state="visible" r:id="rId4"/>
    <sheet name="KAMUS_KOLOM" sheetId="5" state="visible" r:id="rId5"/>
    <sheet name="RINGKASAN" sheetId="6" state="visible" r:id="rId6"/>
    <sheet name="VALIDASI_TEMPLATE" sheetId="7" state="visible" r:id="rId7"/>
    <sheet name="TEMUAN_STRUKTUR" sheetId="8" state="visible" r:id="rId8"/>
    <sheet name="TEMPLET_PC" sheetId="9" state="visible" r:id="rId9"/>
    <sheet name="RAW_PC01" sheetId="10" state="visible" r:id="rId10"/>
    <sheet name="RAW_PC02" sheetId="11" state="visible" r:id="rId11"/>
    <sheet name="RAW_PC03" sheetId="12" state="visible" r:id="rId12"/>
    <sheet name="RAW_PC04" sheetId="13" state="visible" r:id="rId13"/>
    <sheet name="RAW_PC05" sheetId="14" state="visible" r:id="rId14"/>
    <sheet name="RAW_PC06" sheetId="15" state="visible" r:id="rId15"/>
    <sheet name="RAW_PC07" sheetId="16" state="visible" r:id="rId16"/>
    <sheet name="RAW_PC08" sheetId="17" state="visible" r:id="rId17"/>
    <sheet name="RAW_PC09" sheetId="18" state="visible" r:id="rId18"/>
    <sheet name="RAW_PC10" sheetId="19" state="visible" r:id="rId19"/>
    <sheet name="RAW_PC11" sheetId="20" state="visible" r:id="rId20"/>
    <sheet name="RAW_PC12" sheetId="21" state="visible" r:id="rId21"/>
  </sheets>
  <definedNames>
    <definedName name="_xlnm._FilterDatabase" localSheetId="2" hidden="1">'MASTER'!$A$1:$S$1001</definedName>
    <definedName name="_xlnm._FilterDatabase" localSheetId="3" hidden="1">'Kumpulan Video'!$A$1:$I$1001</definedName>
    <definedName name="_xlnm._FilterDatabase" localSheetId="4" hidden="1">'KAMUS_KOLOM'!$A$1:$F$20</definedName>
    <definedName name="_xlnm._FilterDatabase" localSheetId="7" hidden="1">'TEMUAN_STRUKTUR'!$A$1:$E$21</definedName>
    <definedName name="_xlnm._FilterDatabase" localSheetId="8" hidden="1">'TEMPLET_PC'!$A$1:$M$1001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yyyy-mm-dd"/>
    <numFmt numFmtId="166" formatCode="yyyy-mm-dd h:mm:ss"/>
  </numFmts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</font>
    <font>
      <color rgb="001F77B4"/>
      <sz val="11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pivotButton="0" quotePrefix="0" xfId="0"/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/>
    </xf>
    <xf numFmtId="1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165" fontId="0" fillId="6" borderId="1" applyAlignment="1" pivotButton="0" quotePrefix="0" xfId="0">
      <alignment vertical="center"/>
    </xf>
    <xf numFmtId="1" fontId="0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master-builder</author>
  </authors>
  <commentList>
    <comment ref="A1" authorId="0" shapeId="0">
      <text>
        <t>Dropdown: PC 01..PC 12. Wajib. Bagian kunci utama (PC + Worker ID).</t>
      </text>
    </comment>
    <comment ref="C1" authorId="0" shapeId="0">
      <text>
        <t>Harus unik di dalam PC. Format disarankan 'PC07-0001'.</t>
      </text>
    </comment>
    <comment ref="D1" authorId="0" shapeId="0">
      <text>
        <t>Format: YYYY-MM-DD HH:MM. Harus bertipe tanggal, bukan teks.</t>
      </text>
    </comment>
    <comment ref="E1" authorId="0" shapeId="0">
      <text>
        <t>ID video YouTube (bukan URL).</t>
      </text>
    </comment>
    <comment ref="F1" authorId="0" shapeId="0">
      <text>
        <t>Judul; jangan pindah baris di dalam sel.</t>
      </text>
    </comment>
    <comment ref="G1" authorId="0" shapeId="0">
      <text>
        <t>Dropdown daftar baku: TuneCore, DistroKid, TooLost, SoundOn, Ditto, Believe, CD Baby, Amuse, Symphonic Distribution, ONErpm, RouteNote, LANDR, Horus Music, Indie.</t>
      </text>
    </comment>
    <comment ref="H1" authorId="0" shapeId="0">
      <text>
        <t>Pilih 1 atau 2 genre dari daftar baku; pisahkan dengan koma. Contoh: Pop, Jazz.</t>
      </text>
    </comment>
    <comment ref="I1" authorId="0" shapeId="0">
      <text>
        <t>Nama channel persis yang dipakai di baris ini.</t>
      </text>
    </comment>
    <comment ref="J1" authorId="0" shapeId="0">
      <text>
        <t>URL channel (bukan link video). Wajib. Boleh youtube.com atau youtu.be.</t>
      </text>
    </comment>
    <comment ref="K1" authorId="0" shapeId="0">
      <text>
        <t>URL video YouTube (bukan link channel). Wajib. Boleh youtube.com atau youtu.be.</t>
      </text>
    </comment>
    <comment ref="L1" authorId="0" shapeId="0">
      <text>
        <t>Format: YYYY-MM-DD. Harus bertipe tanggal.</t>
      </text>
    </comment>
    <comment ref="M1" authorId="0" shapeId="0">
      <text>
        <t>Format: YYYY-MM-DD. Boleh kosong sebelum tayang.</t>
      </text>
    </comment>
    <comment ref="N1" authorId="0" shapeId="0">
      <text>
        <t>Dropdown: Draft, Menunggu Review, Revisi, Terjadwal, Upload, Publish, Published, Batal</t>
      </text>
    </comment>
    <comment ref="O1" authorId="0" shapeId="0">
      <text>
        <t>Nama PIC channel; boleh kosong.</t>
      </text>
    </comment>
    <comment ref="P1" authorId="0" shapeId="0">
      <text>
        <t>FORMULA OTOMATIS kolom P. Jangan diisi manual.</t>
      </text>
    </comment>
    <comment ref="Q1" authorId="0" shapeId="0">
      <text>
        <t>FORMULA OTOMATIS kolom Q. Jangan diisi manual.</t>
      </text>
    </comment>
    <comment ref="R1" authorId="0" shapeId="0">
      <text>
        <t>FORMULA OTOMATIS kolom R berisi daftar masalah baris, termasuk Update Date/Song ID/Tgl Dibuat/Status. Kosong = bersih.</t>
      </text>
    </comment>
    <comment ref="S1" authorId="0" shapeId="0">
      <text>
        <t>FORMULA OTOMATIS kolom S menandai (PC, Worker ID) yang berulang.</t>
      </text>
    </comment>
  </commentList>
</comments>
</file>

<file path=xl/comments/comment2.xml><?xml version="1.0" encoding="utf-8"?>
<comments xmlns="http://schemas.openxmlformats.org/spreadsheetml/2006/main">
  <authors>
    <author>master-builder</author>
  </authors>
  <commentList>
    <comment ref="F1" authorId="0" shapeId="0">
      <text>
        <t>Hanya baris dengan Link Video YT terisi dan unik; kemunculan pertama dipertahankan. Diisi otomatis oleh merge_data.py.</t>
      </text>
    </comment>
    <comment ref="H1" authorId="0" shapeId="0">
      <text>
        <t>Format: YYYY-MM-DD.</t>
      </text>
    </comment>
    <comment ref="I1" authorId="0" shapeId="0">
      <text>
        <t>Format: YYYY-MM-DD.</t>
      </text>
    </comment>
  </commentList>
</comments>
</file>

<file path=xl/comments/comment3.xml><?xml version="1.0" encoding="utf-8"?>
<comments xmlns="http://schemas.openxmlformats.org/spreadsheetml/2006/main">
  <authors>
    <author>master-builder</author>
  </authors>
  <commentList>
    <comment ref="A1" authorId="0" shapeId="0">
      <text>
        <t>Format disarankan 'PC07-0001' (prefix PC + nomor urut 4 digit).</t>
      </text>
    </comment>
    <comment ref="B1" authorId="0" shapeId="0">
      <text>
        <t>Format: YYYY-MM-DD HH:MM.</t>
      </text>
    </comment>
    <comment ref="C1" authorId="0" shapeId="0">
      <text>
        <t>ID video YouTube, bukan URL.</t>
      </text>
    </comment>
    <comment ref="D1" authorId="0" shapeId="0">
      <text>
        <t>Judul; tanpa pindah baris dalam sel.</t>
      </text>
    </comment>
    <comment ref="E1" authorId="0" shapeId="0">
      <text>
        <t>Dropdown daftar baku: TuneCore, DistroKid, TooLost, SoundOn, Ditto, Believe, CD Baby, Amuse, Symphonic Distribution, ONErpm, RouteNote, LANDR, Horus Music, Indie.</t>
      </text>
    </comment>
    <comment ref="F1" authorId="0" shapeId="0">
      <text>
        <t>Pilih 1 atau 2 genre dari daftar baku; pisahkan dengan koma. Contoh: Pop, Jazz.</t>
      </text>
    </comment>
    <comment ref="G1" authorId="0" shapeId="0">
      <text>
        <t>Nama channel persis.</t>
      </text>
    </comment>
    <comment ref="H1" authorId="0" shapeId="0">
      <text>
        <t>URL channel (bukan link video); boleh youtube.com atau youtu.be.</t>
      </text>
    </comment>
    <comment ref="I1" authorId="0" shapeId="0">
      <text>
        <t>URL video YouTube; wajib; boleh youtube.com atau youtu.be.</t>
      </text>
    </comment>
    <comment ref="J1" authorId="0" shapeId="0">
      <text>
        <t>Format: YYYY-MM-DD.</t>
      </text>
    </comment>
    <comment ref="K1" authorId="0" shapeId="0">
      <text>
        <t>Format: YYYY-MM-DD; kosong bila belum tayang.</t>
      </text>
    </comment>
    <comment ref="L1" authorId="0" shapeId="0">
      <text>
        <t>Dropdown: Draft, Menunggu Review, Revisi, Terjadwal, Upload, Publish, Published, Batal</t>
      </text>
    </comment>
    <comment ref="M1" authorId="0" shapeId="0">
      <text>
        <t>Nama PIC; boleh kosong.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spreadsheets/d/1zyh70PK5RKhZU1ncTr5yDBIitVcT-d6aS71qqRR2hd0/edit" TargetMode="External" Id="rId1" /><Relationship Type="http://schemas.openxmlformats.org/officeDocument/2006/relationships/hyperlink" Target="https://docs.google.com/spreadsheets/d/11rrPrMVpvnXkzCf3Eyr18SJ3vIGbYtarFEk9AqKiOl8/edit" TargetMode="External" Id="rId2" /><Relationship Type="http://schemas.openxmlformats.org/officeDocument/2006/relationships/hyperlink" Target="https://docs.google.com/spreadsheets/d/1tf-vi6Eo4c1UMvKI0ddYbYgYg_dIC33IHmI1Cwx9hvs/edit" TargetMode="External" Id="rId3" /><Relationship Type="http://schemas.openxmlformats.org/officeDocument/2006/relationships/hyperlink" Target="https://docs.google.com/spreadsheets/d/1UrefG8uOVvi3h1Vm8k4MzCN3vrlVVrmGGOo9cqTUQLM/edit" TargetMode="External" Id="rId4" /><Relationship Type="http://schemas.openxmlformats.org/officeDocument/2006/relationships/hyperlink" Target="https://docs.google.com/spreadsheets/d/1WC4V1NNldEs7uS_Xld51393uiRI5p7eKxYgC5BlC5MY/edit" TargetMode="External" Id="rId5" /><Relationship Type="http://schemas.openxmlformats.org/officeDocument/2006/relationships/hyperlink" Target="https://docs.google.com/spreadsheets/d/168OJEbH7e1qnqa81nyyUy0ZTJYft4Y50cYUyEqubs48/edit" TargetMode="External" Id="rId6" /><Relationship Type="http://schemas.openxmlformats.org/officeDocument/2006/relationships/hyperlink" Target="https://docs.google.com/spreadsheets/d/1wwz_1KFb9PpJW47tzZqoOqb2LaYl6JRvko5-WiommwM/edit" TargetMode="External" Id="rId7" /><Relationship Type="http://schemas.openxmlformats.org/officeDocument/2006/relationships/hyperlink" Target="https://docs.google.com/spreadsheets/d/1GlKsgFKe7JGm9lgOKt-4tH2DRZA0r_Xfxf89dpb1Sac/edit" TargetMode="External" Id="rId8" /><Relationship Type="http://schemas.openxmlformats.org/officeDocument/2006/relationships/hyperlink" Target="https://docs.google.com/spreadsheets/d/1VwYa2VUseoVskqWsBmMoHp-Hqshnay2q11Bvwm2Tuzk/edit" TargetMode="External" Id="rId9" /><Relationship Type="http://schemas.openxmlformats.org/officeDocument/2006/relationships/hyperlink" Target="https://docs.google.com/spreadsheets/d/1pUaz4vPmOKyplO5LHm7nRLLcjDRFRgYLNC0lsRuxT1U/edit" TargetMode="External" Id="rId10" /><Relationship Type="http://schemas.openxmlformats.org/officeDocument/2006/relationships/hyperlink" Target="https://docs.google.com/spreadsheets/d/1W3ajRQiHjL4rqDQYWfkyYqAOQE_O7D42FQ5CWb6avMs/edit" TargetMode="External" Id="rId11" /><Relationship Type="http://schemas.openxmlformats.org/officeDocument/2006/relationships/hyperlink" Target="https://docs.google.com/spreadsheets/d/13ZTrmU9eZ0ltVSNirEcBuqq017_b-TB85qZEqfPPF5Q/edit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1F77B4"/>
    <outlinePr summaryBelow="1" summaryRight="1"/>
    <pageSetUpPr/>
  </sheetPr>
  <dimension ref="A1:A51"/>
  <sheetViews>
    <sheetView showGridLines="0" workbookViewId="0">
      <selection activeCell="A1" sqref="A1"/>
    </sheetView>
  </sheetViews>
  <sheetFormatPr baseColWidth="8" defaultRowHeight="15"/>
  <cols>
    <col width="120" customWidth="1" style="25" min="1" max="1"/>
  </cols>
  <sheetData>
    <row r="1">
      <c r="A1" s="1" t="inlineStr">
        <is>
          <t>SPREADSHEET MASTER - KONSOLIDASI KARYAWAN (PC 01..PC 12)</t>
        </is>
      </c>
    </row>
    <row r="2">
      <c r="A2" s="2" t="inlineStr">
        <is>
          <t>Versi template. 1 baris = 1 video/lagu. Kunci utama = PC + Worker ID.</t>
        </is>
      </c>
    </row>
    <row r="3">
      <c r="A3" s="2" t="inlineStr"/>
    </row>
    <row r="4">
      <c r="A4" s="3">
        <f>= 1. STRUKTUR FILE ==</f>
        <v/>
      </c>
    </row>
    <row r="5">
      <c r="A5" s="2" t="inlineStr">
        <is>
          <t>MASTER            : tab utama berisi gabungan semua PC; isian karyawan dilakukan di file masing-masing, master menyaring &amp; merangkum.</t>
        </is>
      </c>
    </row>
    <row r="6">
      <c r="A6" s="2" t="inlineStr">
        <is>
          <t>Kumpulan Video    : daftar baris yang punya Link Video YT; 9 kolom; hanya link video unik (kemunculan pertama).</t>
        </is>
      </c>
    </row>
    <row r="7">
      <c r="A7" s="2" t="inlineStr">
        <is>
          <t>RAW_PC01..RAW_PC12: salinan data mentah tiap sumber (header asli dipertahankan, termasuk spasi ekor).</t>
        </is>
      </c>
    </row>
    <row r="8">
      <c r="A8" s="2" t="inlineStr">
        <is>
          <t>RINGKASAN         : jumlah baris, kekurangan isi, duplikat, dan rata-rata masa produksi per PC.</t>
        </is>
      </c>
    </row>
    <row r="9">
      <c r="A9" s="2" t="inlineStr">
        <is>
          <t>KAMUS_KOLOM       : pemetaan kolom sumber -&gt; kolom master + tipe data + format + aturan isi.</t>
        </is>
      </c>
    </row>
    <row r="10">
      <c r="A10" s="2" t="inlineStr">
        <is>
          <t>TEMUAN_STRUKTUR   : daftar masalah struktur/kolom yang ditemukan dan bagaimana ditangani di master.</t>
        </is>
      </c>
    </row>
    <row r="11">
      <c r="A11" s="2" t="inlineStr">
        <is>
          <t>VALIDASI_TEMPLATE : kerangka validasi per PC (dicek Apps Script dan dijadikan tab VALIDASI di file karyawan).</t>
        </is>
      </c>
    </row>
    <row r="12">
      <c r="A12" s="2" t="inlineStr">
        <is>
          <t>TEMPLET_PC        : template kolom baku untuk file PC (bila ingin disalin ke file karyawan).</t>
        </is>
      </c>
    </row>
    <row r="13">
      <c r="A13" s="2" t="inlineStr">
        <is>
          <t>DAFTAR_SUMBER     : daftar 12 spreadsheet sumber dengan URL dan status.</t>
        </is>
      </c>
    </row>
    <row r="14">
      <c r="A14" s="2" t="inlineStr"/>
    </row>
    <row r="15">
      <c r="A15" s="3">
        <f>= 2. KOLOM MASTER DAN CARA ISI ==</f>
        <v/>
      </c>
    </row>
    <row r="16">
      <c r="A16" s="2" t="inlineStr">
        <is>
          <t>PC                    : dropdown PC 01..PC 12, wajib. Bagian dari kunci utama.</t>
        </is>
      </c>
    </row>
    <row r="17">
      <c r="A17" s="2" t="inlineStr">
        <is>
          <t>Nama Karyawan         : teks, opsional. Boleh diisi kemudian; bermakna bila 1 karyawan menangani lebih dari 1 PC.</t>
        </is>
      </c>
    </row>
    <row r="18">
      <c r="A18" s="2" t="inlineStr">
        <is>
          <t>Worker ID             : teks, wajib, unik di dalam PC. Format disarankan 'PC07-0001'.</t>
        </is>
      </c>
    </row>
    <row r="19">
      <c r="A19" s="2" t="inlineStr">
        <is>
          <t>Update Date           : tanggal-jam, format YYYY-MM-DD HH:MM. Waktu entri terakhir diubah.</t>
        </is>
      </c>
    </row>
    <row r="20">
      <c r="A20" s="2" t="inlineStr">
        <is>
          <t>Song ID YT            : ID video YouTube (bukan URL). Wajib.</t>
        </is>
      </c>
    </row>
    <row r="21">
      <c r="A21" s="2" t="inlineStr">
        <is>
          <t>Judul Lagu Kompilasi  : teks judul, tanpa pindah baris. Wajib.</t>
        </is>
      </c>
    </row>
    <row r="22">
      <c r="A22" s="2" t="inlineStr">
        <is>
          <t>Aggregator            : pilih dari daftar baku: TuneCore, DistroKid, TooLost, SoundOn, Ditto, Believe, CD Baby, Amuse, Symphonic Distribution, ONErpm, RouteNote, LANDR, Horus Music, Indie.</t>
        </is>
      </c>
    </row>
    <row r="23">
      <c r="A23" s="2" t="inlineStr">
        <is>
          <t>Genre                 : pilih 1 atau 2 genre dari daftar baku, pisahkan dengan koma. Contoh: Pop, Jazz. Wajib.</t>
        </is>
      </c>
    </row>
    <row r="24">
      <c r="A24" s="2" t="inlineStr">
        <is>
          <t>Nama Channel          : nama channel YouTube persis. Satu PC boleh mengelola &gt;1 channel.</t>
        </is>
      </c>
    </row>
    <row r="25">
      <c r="A25" s="2" t="inlineStr">
        <is>
          <t>Link Channel YT       : URL channel (bukan link video). Wajib. Boleh youtube.com atau youtu.be.</t>
        </is>
      </c>
    </row>
    <row r="26">
      <c r="A26" s="2" t="inlineStr">
        <is>
          <t>Link Video YT         : URL video YouTube (bukan link channel). Wajib. Boleh youtube.com atau youtu.be.</t>
        </is>
      </c>
    </row>
    <row r="27">
      <c r="A27" s="2" t="inlineStr">
        <is>
          <t>Tanggal Video Dibuat  : tanggal, format YYYY-MM-DD, wajib.</t>
        </is>
      </c>
    </row>
    <row r="28">
      <c r="A28" s="2" t="inlineStr">
        <is>
          <t>Tanggal Video Dipublish: tanggal, format YYYY-MM-DD, boleh kosong sebelum tayang.</t>
        </is>
      </c>
    </row>
    <row r="29">
      <c r="A29" s="2" t="inlineStr">
        <is>
          <t>Status Upload         : pilih dari daftar baku: Draft, Menunggu Review, Revisi, Terjadwal, Upload, Publish, Published, Batal. Default Draft.</t>
        </is>
      </c>
    </row>
    <row r="30">
      <c r="A30" s="2" t="inlineStr">
        <is>
          <t>PIC channel           : nama PIC channel, boleh kosong.</t>
        </is>
      </c>
    </row>
    <row r="31">
      <c r="A31" s="2" t="inlineStr">
        <is>
          <t>Masa Produksi (hari)  : formula otomatis = Dipublish - Dibuat. Jangan diisi manual.</t>
        </is>
      </c>
    </row>
    <row r="32">
      <c r="A32" s="2" t="inlineStr">
        <is>
          <t>Umur Data (hari)      : formula otomatis = hari ini - Update Date. Jangan diisi manual.</t>
        </is>
      </c>
    </row>
    <row r="33">
      <c r="A33" s="2" t="inlineStr">
        <is>
          <t>Validasi Master       : formula otomatis, berisi daftar masalah baris; kosong jika bersih.</t>
        </is>
      </c>
    </row>
    <row r="34">
      <c r="A34" s="2" t="inlineStr">
        <is>
          <t>Duplikat?             : formula otomatis, 'DUPLICAT' bila kombinasi (PC, Worker ID) dipakai lebih dari satu baris.</t>
        </is>
      </c>
    </row>
    <row r="35">
      <c r="A35" s="2" t="inlineStr"/>
    </row>
    <row r="36">
      <c r="A36" s="3">
        <f>= 3. VALIDASI OTOMATIS ==</f>
        <v/>
      </c>
    </row>
    <row r="37">
      <c r="A37" s="2" t="inlineStr">
        <is>
          <t>Baris sample kuning di MASTER hanyalah contoh; hapus/replace begitu data asli masuk.</t>
        </is>
      </c>
    </row>
    <row r="38">
      <c r="A38" s="2" t="inlineStr">
        <is>
          <t>Kolom Validasi Master memeriksa: kolom wajib kosong (termasuk Update Date, Song ID, Tgl Dibuat, Status), link bukan youtube, tanggal tidak bertipe tanggal, publish &lt; dibuat, aggregator/genre/status di luar daftar, dan genre lebih dari 2.</t>
        </is>
      </c>
    </row>
    <row r="39">
      <c r="A39" s="2" t="inlineStr">
        <is>
          <t>Link channel dan link video sama-sama menerima youtube.com maupun youtu.be.</t>
        </is>
      </c>
    </row>
    <row r="40">
      <c r="A40" s="2" t="inlineStr">
        <is>
          <t>File PC juga bisa memakai tab VALIDASI (lihat apps_script/karyawan_validasi.gs).</t>
        </is>
      </c>
    </row>
    <row r="41">
      <c r="A41" s="2" t="inlineStr"/>
    </row>
    <row r="42">
      <c r="A42" s="3">
        <f>= 4. CARA MEMPERBARUI MASTER SAAT DATA SUDAH DIISI ==</f>
        <v/>
      </c>
    </row>
    <row r="43">
      <c r="A43" s="2" t="inlineStr">
        <is>
          <t>python scripts/fetch_sheets.py   -&gt; unduh ulang 12 file ke data/raw/</t>
        </is>
      </c>
    </row>
    <row r="44">
      <c r="A44" s="2" t="inlineStr">
        <is>
          <t>python scripts/inventory.py      -&gt; refresh struktur</t>
        </is>
      </c>
    </row>
    <row r="45">
      <c r="A45" s="2" t="inlineStr">
        <is>
          <t>python scripts/build_master.py   -&gt; bangun master + tab Kumpulan Video</t>
        </is>
      </c>
    </row>
    <row r="46">
      <c r="A46" s="2" t="inlineStr">
        <is>
          <t>python scripts/merge_data.py     -&gt; gabungkan isi baris data ke MASTER, RAW_PC*, dan Kumpulan Video</t>
        </is>
      </c>
    </row>
    <row r="47">
      <c r="A47" s="2" t="inlineStr">
        <is>
          <t>Versi live memakai IMPORTRANGE untuk RINGKASAN; Kumpulan Video memakai LET+QUERY dari MASTER dan membuang link duplikat.</t>
        </is>
      </c>
    </row>
    <row r="48">
      <c r="A48" s="2" t="inlineStr"/>
    </row>
    <row r="49">
      <c r="A49" s="3">
        <f>= 5. APLIKASI KARYAWAN (APPS SCRIPT) ==</f>
        <v/>
      </c>
    </row>
    <row r="50">
      <c r="A50" s="2" t="inlineStr">
        <is>
          <t>File apps_script/karyawan_validasi.gs dipasang sekali di script.google.com.</t>
        </is>
      </c>
    </row>
    <row r="51">
      <c r="A51" s="2" t="inlineStr">
        <is>
          <t>Ia melakukan: 1) catatan cara isi pada tiap header file PC; 2) tab VALIDASI per file; 3) komentar otomatis saat data tidak sesuai (onEdit).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77B4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48" customWidth="1" style="25" min="2" max="2"/>
    <col width="80" customWidth="1" style="25" min="3" max="3"/>
    <col width="12" customWidth="1" style="25" min="4" max="4"/>
    <col width="8" customWidth="1" style="25" min="5" max="5"/>
  </cols>
  <sheetData>
    <row r="1" ht="32" customHeight="1" s="25">
      <c r="A1" s="4" t="inlineStr">
        <is>
          <t>PC</t>
        </is>
      </c>
      <c r="B1" s="4" t="inlineStr">
        <is>
          <t>Spreadsheet ID</t>
        </is>
      </c>
      <c r="C1" s="4" t="inlineStr">
        <is>
          <t>URL</t>
        </is>
      </c>
      <c r="D1" s="4" t="inlineStr">
        <is>
          <t>Baris Data</t>
        </is>
      </c>
      <c r="E1" s="4" t="inlineStr">
        <is>
          <t>Kolom</t>
        </is>
      </c>
    </row>
    <row r="2">
      <c r="A2" s="5" t="inlineStr">
        <is>
          <t>PC 01</t>
        </is>
      </c>
      <c r="B2" s="5" t="inlineStr">
        <is>
          <t>1zyh70PK5RKhZU1ncTr5yDBIitVcT-d6aS71qqRR2hd0</t>
        </is>
      </c>
      <c r="C2" s="6" t="inlineStr">
        <is>
          <t>https://docs.google.com/spreadsheets/d/1zyh70PK5RKhZU1ncTr5yDBIitVcT-d6aS71qqRR2hd0/edit</t>
        </is>
      </c>
      <c r="D2" s="5" t="n">
        <v>20</v>
      </c>
      <c r="E2" s="5" t="n">
        <v>13</v>
      </c>
    </row>
    <row r="3">
      <c r="A3" s="5" t="inlineStr">
        <is>
          <t>PC 02</t>
        </is>
      </c>
      <c r="B3" s="5" t="inlineStr">
        <is>
          <t>11rrPrMVpvnXkzCf3Eyr18SJ3vIGbYtarFEk9AqKiOl8</t>
        </is>
      </c>
      <c r="C3" s="6" t="inlineStr">
        <is>
          <t>https://docs.google.com/spreadsheets/d/11rrPrMVpvnXkzCf3Eyr18SJ3vIGbYtarFEk9AqKiOl8/edit</t>
        </is>
      </c>
      <c r="D3" s="5" t="n">
        <v>0</v>
      </c>
      <c r="E3" s="5" t="n">
        <v>13</v>
      </c>
    </row>
    <row r="4">
      <c r="A4" s="5" t="inlineStr">
        <is>
          <t>PC 03</t>
        </is>
      </c>
      <c r="B4" s="5" t="inlineStr">
        <is>
          <t>1tf-vi6Eo4c1UMvKI0ddYbYgYg_dIC33IHmI1Cwx9hvs</t>
        </is>
      </c>
      <c r="C4" s="6" t="inlineStr">
        <is>
          <t>https://docs.google.com/spreadsheets/d/1tf-vi6Eo4c1UMvKI0ddYbYgYg_dIC33IHmI1Cwx9hvs/edit</t>
        </is>
      </c>
      <c r="D4" s="5" t="n">
        <v>0</v>
      </c>
      <c r="E4" s="5" t="n">
        <v>13</v>
      </c>
    </row>
    <row r="5">
      <c r="A5" s="5" t="inlineStr">
        <is>
          <t>PC 04</t>
        </is>
      </c>
      <c r="B5" s="5" t="inlineStr">
        <is>
          <t>1UrefG8uOVvi3h1Vm8k4MzCN3vrlVVrmGGOo9cqTUQLM</t>
        </is>
      </c>
      <c r="C5" s="6" t="inlineStr">
        <is>
          <t>https://docs.google.com/spreadsheets/d/1UrefG8uOVvi3h1Vm8k4MzCN3vrlVVrmGGOo9cqTUQLM/edit</t>
        </is>
      </c>
      <c r="D5" s="5" t="n">
        <v>0</v>
      </c>
      <c r="E5" s="5" t="n">
        <v>13</v>
      </c>
    </row>
    <row r="6">
      <c r="A6" s="5" t="inlineStr">
        <is>
          <t>PC 05</t>
        </is>
      </c>
      <c r="B6" s="5" t="inlineStr">
        <is>
          <t>1WC4V1NNldEs7uS_Xld51393uiRI5p7eKxYgC5BlC5MY</t>
        </is>
      </c>
      <c r="C6" s="6" t="inlineStr">
        <is>
          <t>https://docs.google.com/spreadsheets/d/1WC4V1NNldEs7uS_Xld51393uiRI5p7eKxYgC5BlC5MY/edit</t>
        </is>
      </c>
      <c r="D6" s="5" t="n">
        <v>0</v>
      </c>
      <c r="E6" s="5" t="n">
        <v>13</v>
      </c>
    </row>
    <row r="7">
      <c r="A7" s="5" t="inlineStr">
        <is>
          <t>PC 06</t>
        </is>
      </c>
      <c r="B7" s="5" t="inlineStr">
        <is>
          <t>168OJEbH7e1qnqa81nyyUy0ZTJYft4Y50cYUyEqubs48</t>
        </is>
      </c>
      <c r="C7" s="6" t="inlineStr">
        <is>
          <t>https://docs.google.com/spreadsheets/d/168OJEbH7e1qnqa81nyyUy0ZTJYft4Y50cYUyEqubs48/edit</t>
        </is>
      </c>
      <c r="D7" s="5" t="n">
        <v>0</v>
      </c>
      <c r="E7" s="5" t="n">
        <v>13</v>
      </c>
    </row>
    <row r="8">
      <c r="A8" s="5" t="inlineStr">
        <is>
          <t>PC 07</t>
        </is>
      </c>
      <c r="B8" s="5" t="inlineStr">
        <is>
          <t>1wwz_1KFb9PpJW47tzZqoOqb2LaYl6JRvko5-WiommwM</t>
        </is>
      </c>
      <c r="C8" s="6" t="inlineStr">
        <is>
          <t>https://docs.google.com/spreadsheets/d/1wwz_1KFb9PpJW47tzZqoOqb2LaYl6JRvko5-WiommwM/edit</t>
        </is>
      </c>
      <c r="D8" s="5" t="n">
        <v>0</v>
      </c>
      <c r="E8" s="5" t="n">
        <v>13</v>
      </c>
    </row>
    <row r="9">
      <c r="A9" s="5" t="inlineStr">
        <is>
          <t>PC 08</t>
        </is>
      </c>
      <c r="B9" s="5" t="inlineStr">
        <is>
          <t>1GlKsgFKe7JGm9lgOKt-4tH2DRZA0r_Xfxf89dpb1Sac</t>
        </is>
      </c>
      <c r="C9" s="6" t="inlineStr">
        <is>
          <t>https://docs.google.com/spreadsheets/d/1GlKsgFKe7JGm9lgOKt-4tH2DRZA0r_Xfxf89dpb1Sac/edit</t>
        </is>
      </c>
      <c r="D9" s="5" t="n">
        <v>0</v>
      </c>
      <c r="E9" s="5" t="n">
        <v>13</v>
      </c>
    </row>
    <row r="10">
      <c r="A10" s="5" t="inlineStr">
        <is>
          <t>PC 09</t>
        </is>
      </c>
      <c r="B10" s="5" t="inlineStr">
        <is>
          <t>1VwYa2VUseoVskqWsBmMoHp-Hqshnay2q11Bvwm2Tuzk</t>
        </is>
      </c>
      <c r="C10" s="6" t="inlineStr">
        <is>
          <t>https://docs.google.com/spreadsheets/d/1VwYa2VUseoVskqWsBmMoHp-Hqshnay2q11Bvwm2Tuzk/edit</t>
        </is>
      </c>
      <c r="D10" s="5" t="n">
        <v>24</v>
      </c>
      <c r="E10" s="5" t="n">
        <v>13</v>
      </c>
    </row>
    <row r="11">
      <c r="A11" s="5" t="inlineStr">
        <is>
          <t>PC 10</t>
        </is>
      </c>
      <c r="B11" s="5" t="inlineStr">
        <is>
          <t>1pUaz4vPmOKyplO5LHm7nRLLcjDRFRgYLNC0lsRuxT1U</t>
        </is>
      </c>
      <c r="C11" s="6" t="inlineStr">
        <is>
          <t>https://docs.google.com/spreadsheets/d/1pUaz4vPmOKyplO5LHm7nRLLcjDRFRgYLNC0lsRuxT1U/edit</t>
        </is>
      </c>
      <c r="D11" s="5" t="n">
        <v>0</v>
      </c>
      <c r="E11" s="5" t="n">
        <v>13</v>
      </c>
    </row>
    <row r="12">
      <c r="A12" s="5" t="inlineStr">
        <is>
          <t>PC 11</t>
        </is>
      </c>
      <c r="B12" s="5" t="inlineStr">
        <is>
          <t>1W3ajRQiHjL4rqDQYWfkyYqAOQE_O7D42FQ5CWb6avMs</t>
        </is>
      </c>
      <c r="C12" s="6" t="inlineStr">
        <is>
          <t>https://docs.google.com/spreadsheets/d/1W3ajRQiHjL4rqDQYWfkyYqAOQE_O7D42FQ5CWb6avMs/edit</t>
        </is>
      </c>
      <c r="D12" s="5" t="n">
        <v>0</v>
      </c>
      <c r="E12" s="5" t="n">
        <v>13</v>
      </c>
    </row>
    <row r="13">
      <c r="A13" s="5" t="inlineStr">
        <is>
          <t>PC 12</t>
        </is>
      </c>
      <c r="B13" s="5" t="inlineStr">
        <is>
          <t>13ZTrmU9eZ0ltVSNirEcBuqq017_b-TB85qZEqfPPF5Q</t>
        </is>
      </c>
      <c r="C13" s="6" t="inlineStr">
        <is>
          <t>https://docs.google.com/spreadsheets/d/13ZTrmU9eZ0ltVSNirEcBuqq017_b-TB85qZEqfPPF5Q/edit</t>
        </is>
      </c>
      <c r="D13" s="5" t="n">
        <v>0</v>
      </c>
      <c r="E13" s="5" t="n">
        <v>13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3A047"/>
    <outlinePr summaryBelow="1" summaryRight="1"/>
    <pageSetUpPr/>
  </sheetPr>
  <dimension ref="A1:S10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25" min="1" max="1"/>
    <col width="20" customWidth="1" style="25" min="2" max="2"/>
    <col width="14" customWidth="1" style="25" min="3" max="3"/>
    <col width="19" customWidth="1" style="25" min="4" max="4"/>
    <col width="16" customWidth="1" style="25" min="5" max="5"/>
    <col width="34" customWidth="1" style="25" min="6" max="6"/>
    <col width="14" customWidth="1" style="25" min="7" max="7"/>
    <col width="12" customWidth="1" style="25" min="8" max="8"/>
    <col width="22" customWidth="1" style="25" min="9" max="9"/>
    <col width="36" customWidth="1" style="25" min="10" max="10"/>
    <col width="36" customWidth="1" style="25" min="11" max="11"/>
    <col width="15" customWidth="1" style="25" min="12" max="12"/>
    <col width="16" customWidth="1" style="25" min="13" max="13"/>
    <col width="16" customWidth="1" style="25" min="14" max="14"/>
    <col width="18" customWidth="1" style="25" min="15" max="15"/>
    <col width="12" customWidth="1" style="25" min="16" max="16"/>
    <col width="10" customWidth="1" style="25" min="17" max="17"/>
    <col width="42" customWidth="1" style="25" min="18" max="18"/>
    <col width="12" customWidth="1" style="25" min="19" max="19"/>
  </cols>
  <sheetData>
    <row r="1" ht="32" customHeight="1" s="25">
      <c r="A1" s="4" t="inlineStr">
        <is>
          <t>PC</t>
        </is>
      </c>
      <c r="B1" s="4" t="inlineStr">
        <is>
          <t>Nama Karyawan</t>
        </is>
      </c>
      <c r="C1" s="4" t="inlineStr">
        <is>
          <t>Worker ID</t>
        </is>
      </c>
      <c r="D1" s="4" t="inlineStr">
        <is>
          <t>Update Date</t>
        </is>
      </c>
      <c r="E1" s="4" t="inlineStr">
        <is>
          <t>Song ID YT</t>
        </is>
      </c>
      <c r="F1" s="4" t="inlineStr">
        <is>
          <t>Judul Lagu Kompilasi</t>
        </is>
      </c>
      <c r="G1" s="4" t="inlineStr">
        <is>
          <t>Aggregator</t>
        </is>
      </c>
      <c r="H1" s="4" t="inlineStr">
        <is>
          <t>Genre</t>
        </is>
      </c>
      <c r="I1" s="4" t="inlineStr">
        <is>
          <t>Nama Channel</t>
        </is>
      </c>
      <c r="J1" s="4" t="inlineStr">
        <is>
          <t>Link Channel YT</t>
        </is>
      </c>
      <c r="K1" s="4" t="inlineStr">
        <is>
          <t>Link Video YT</t>
        </is>
      </c>
      <c r="L1" s="4" t="inlineStr">
        <is>
          <t>Tanggal Video Dibuat</t>
        </is>
      </c>
      <c r="M1" s="4" t="inlineStr">
        <is>
          <t>Tanggal Video Dipublish</t>
        </is>
      </c>
      <c r="N1" s="4" t="inlineStr">
        <is>
          <t>Status Upload</t>
        </is>
      </c>
      <c r="O1" s="4" t="inlineStr">
        <is>
          <t>PIC channel</t>
        </is>
      </c>
      <c r="P1" s="4" t="inlineStr">
        <is>
          <t>Masa Produksi (hari)</t>
        </is>
      </c>
      <c r="Q1" s="4" t="inlineStr">
        <is>
          <t>Umur Data (hari)</t>
        </is>
      </c>
      <c r="R1" s="4" t="inlineStr">
        <is>
          <t>Validasi Master</t>
        </is>
      </c>
      <c r="S1" s="4" t="inlineStr">
        <is>
          <t>Duplikat?</t>
        </is>
      </c>
    </row>
    <row r="2">
      <c r="A2" s="7" t="inlineStr">
        <is>
          <t>PC 01</t>
        </is>
      </c>
      <c r="B2" s="7" t="n"/>
      <c r="C2" s="7" t="inlineStr">
        <is>
          <t>W01</t>
        </is>
      </c>
      <c r="D2" s="8" t="n">
        <v>46311</v>
      </c>
      <c r="E2" s="7" t="inlineStr">
        <is>
          <t>W01-16102026-001</t>
        </is>
      </c>
      <c r="F2" s="9" t="inlineStr">
        <is>
          <t>PLAN B</t>
        </is>
      </c>
      <c r="G2" s="7" t="inlineStr">
        <is>
          <t>DistroKid</t>
        </is>
      </c>
      <c r="H2" s="7" t="inlineStr">
        <is>
          <t>Pop</t>
        </is>
      </c>
      <c r="I2" s="7" t="inlineStr">
        <is>
          <t>MOONELLE</t>
        </is>
      </c>
      <c r="J2" s="9" t="n"/>
      <c r="K2" s="9" t="inlineStr">
        <is>
          <t>https://youtu.be/bI8jj576Pdg?si=L99J46Ek0fErrnfT</t>
        </is>
      </c>
      <c r="L2" s="10" t="n">
        <v>46311</v>
      </c>
      <c r="M2" s="10" t="n">
        <v>46311</v>
      </c>
      <c r="N2" s="7" t="inlineStr">
        <is>
          <t>Upload</t>
        </is>
      </c>
      <c r="O2" s="7" t="n"/>
      <c r="P2" s="11">
        <f>IF(AND(ISNUMBER($L2),ISNUMBER($M2)),MAX(0,$M2-$L2),"")</f>
        <v/>
      </c>
      <c r="Q2" s="11">
        <f>IF(ISNUMBER($D2),MAX(0,TODAY()-$D2),"")</f>
        <v/>
      </c>
      <c r="R2" s="9">
        <f>IF(COUNTA($A2:$O2)=0,"",IFERROR(TRIM(TEXTJOIN(" | ",TRUE,IF($A2="","PC kosong",""),IF($C2="","Worker ID kosong",""),IF($D2="","Update Date kosong",IF(NOT(ISNUMBER($D2)),"Update Date bukan tanggal","")),IF($E2="","Song ID YT kosong",""),IF($F2="","Judul kosong",""),IF(TRIM($G2)="","",IF(ISERROR(MATCH(TRIM($G2),{"TuneCore","DistroKid","TooLost","SoundOn","Ditto","Believe","CD Baby","Amuse","Symphonic Distribution","ONErpm","RouteNote","LANDR","Horus Music","Indie"},0)),"Aggregator di luar daftar","")),IF(TRIM($H2)="","Genre kosong",IF((LEN(SUBSTITUTE(SUBSTITUTE(SUBSTITUTE(TRIM($H2),"/",","),";",",")," ",""))-LEN(SUBSTITUTE(SUBSTITUTE(SUBSTITUTE(SUBSTITUTE(TRIM($H2),"/",","),";",","),"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2),"/",","),";",",")," ","")&amp;",")))&lt;&gt;(LEN(SUBSTITUTE(SUBSTITUTE(SUBSTITUTE(TRIM($H2),"/",","),";",",")," ",""))-LEN(SUBSTITUTE(SUBSTITUTE(SUBSTITUTE(SUBSTITUTE(TRIM($H2),"/",","),";",",")," ",""),",",""))+1),"Genre di luar daftar",""))),IF($I2="","Nama Channel kosong",""),IF($J2="","Link Channel kosong",IF(ISERROR(SEARCH("youtu",$J2)),"Link Channel bukan youtube","")),IF($K2="","Link Video kosong",IF(ISERROR(SEARCH("youtu",$K2)),"Link Video bukan youtube","")),IF($L2="","Tgl Dibuat kosong",IF(NOT(ISNUMBER($L2)),"Tgl Dibuat bukan tanggal","")),IF(AND($M2&lt;&gt;"",NOT(ISNUMBER($M2))),"Tgl Publish bukan tanggal",""),IF(AND(ISNUMBER($L2),ISNUMBER($M2),$M2&lt;$L2),"Tgl Publish &lt; Tgl buat",""),IF(TRIM($N2)="","Status kosong",IF(ISERROR(MATCH(TRIM($N2),{"Draft","Menunggu Review","Revisi","Terjadwal","Upload","Publish","Published","Batal"},0)),"Status di luar daftar","")))),""))</f>
        <v/>
      </c>
      <c r="S2" s="7">
        <f>IF(AND($A2&lt;&gt;"",$C2&lt;&gt;""),IF(COUNTIFS($A$2:$A$1000,$A2,$C$2:$C$1000,$C2)&gt;1,"DUPLICAT",""),"")</f>
        <v/>
      </c>
    </row>
    <row r="3">
      <c r="A3" s="12" t="inlineStr">
        <is>
          <t>PC 01</t>
        </is>
      </c>
      <c r="B3" s="12" t="n"/>
      <c r="C3" s="12" t="n"/>
      <c r="D3" s="13" t="n">
        <v>46311</v>
      </c>
      <c r="E3" s="12" t="inlineStr">
        <is>
          <t>W01-16102026-002</t>
        </is>
      </c>
      <c r="F3" s="14" t="inlineStr">
        <is>
          <t>IN MY SHADOW</t>
        </is>
      </c>
      <c r="G3" s="12" t="inlineStr">
        <is>
          <t>DistroKid</t>
        </is>
      </c>
      <c r="H3" s="12" t="inlineStr">
        <is>
          <t>Pop</t>
        </is>
      </c>
      <c r="I3" s="12" t="inlineStr">
        <is>
          <t>MOONELLE</t>
        </is>
      </c>
      <c r="J3" s="14" t="n"/>
      <c r="K3" s="14" t="inlineStr">
        <is>
          <t>https://youtu.be/bI8jj576Pdg?si=L99J46Ek0fErrnfT</t>
        </is>
      </c>
      <c r="L3" s="15" t="n">
        <v>46311</v>
      </c>
      <c r="M3" s="15" t="n">
        <v>46311</v>
      </c>
      <c r="N3" s="12" t="inlineStr">
        <is>
          <t>Upload</t>
        </is>
      </c>
      <c r="O3" s="12" t="n"/>
      <c r="P3" s="16">
        <f>IF(AND(ISNUMBER($L3),ISNUMBER($M3)),MAX(0,$M3-$L3),"")</f>
        <v/>
      </c>
      <c r="Q3" s="16">
        <f>IF(ISNUMBER($D3),MAX(0,TODAY()-$D3),"")</f>
        <v/>
      </c>
      <c r="R3" s="14">
        <f>IF(COUNTA($A3:$O3)=0,"",IFERROR(TRIM(TEXTJOIN(" | ",TRUE,IF($A3="","PC kosong",""),IF($C3="","Worker ID kosong",""),IF($D3="","Update Date kosong",IF(NOT(ISNUMBER($D3)),"Update Date bukan tanggal","")),IF($E3="","Song ID YT kosong",""),IF($F3="","Judul kosong",""),IF(TRIM($G3)="","",IF(ISERROR(MATCH(TRIM($G3),{"TuneCore","DistroKid","TooLost","SoundOn","Ditto","Believe","CD Baby","Amuse","Symphonic Distribution","ONErpm","RouteNote","LANDR","Horus Music","Indie"},0)),"Aggregator di luar daftar","")),IF(TRIM($H3)="","Genre kosong",IF((LEN(SUBSTITUTE(SUBSTITUTE(SUBSTITUTE(TRIM($H3),"/",","),";",",")," ",""))-LEN(SUBSTITUTE(SUBSTITUTE(SUBSTITUTE(SUBSTITUTE(TRIM($H3),"/",","),";",","),"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3),"/",","),";",",")," ","")&amp;",")))&lt;&gt;(LEN(SUBSTITUTE(SUBSTITUTE(SUBSTITUTE(TRIM($H3),"/",","),";",",")," ",""))-LEN(SUBSTITUTE(SUBSTITUTE(SUBSTITUTE(SUBSTITUTE(TRIM($H3),"/",","),";",",")," ",""),",",""))+1),"Genre di luar daftar",""))),IF($I3="","Nama Channel kosong",""),IF($J3="","Link Channel kosong",IF(ISERROR(SEARCH("youtu",$J3)),"Link Channel bukan youtube","")),IF($K3="","Link Video kosong",IF(ISERROR(SEARCH("youtu",$K3)),"Link Video bukan youtube","")),IF($L3="","Tgl Dibuat kosong",IF(NOT(ISNUMBER($L3)),"Tgl Dibuat bukan tanggal","")),IF(AND($M3&lt;&gt;"",NOT(ISNUMBER($M3))),"Tgl Publish bukan tanggal",""),IF(AND(ISNUMBER($L3),ISNUMBER($M3),$M3&lt;$L3),"Tgl Publish &lt; Tgl buat",""),IF(TRIM($N3)="","Status kosong",IF(ISERROR(MATCH(TRIM($N3),{"Draft","Menunggu Review","Revisi","Terjadwal","Upload","Publish","Published","Batal"},0)),"Status di luar daftar","")))),""))</f>
        <v/>
      </c>
      <c r="S3" s="12">
        <f>IF(AND($A3&lt;&gt;"",$C3&lt;&gt;""),IF(COUNTIFS($A$2:$A$1000,$A3,$C$2:$C$1000,$C3)&gt;1,"DUPLICAT",""),"")</f>
        <v/>
      </c>
    </row>
    <row r="4">
      <c r="A4" s="17" t="inlineStr">
        <is>
          <t>PC 01</t>
        </is>
      </c>
      <c r="B4" s="17" t="n"/>
      <c r="C4" s="17" t="n"/>
      <c r="D4" s="18" t="n"/>
      <c r="E4" s="17" t="inlineStr">
        <is>
          <t>W01-17102016-001</t>
        </is>
      </c>
      <c r="F4" s="19" t="inlineStr">
        <is>
          <t>SHMPHONY OF US</t>
        </is>
      </c>
      <c r="G4" s="17" t="inlineStr">
        <is>
          <t>DistroKid</t>
        </is>
      </c>
      <c r="H4" s="17" t="inlineStr">
        <is>
          <t>Pop</t>
        </is>
      </c>
      <c r="I4" s="17" t="inlineStr">
        <is>
          <t>MOONELLE</t>
        </is>
      </c>
      <c r="J4" s="19" t="n"/>
      <c r="K4" s="19" t="inlineStr">
        <is>
          <t>https://youtu.be/eUdT66_D1G0?si=1C5oFfeh3sLXcBwe</t>
        </is>
      </c>
      <c r="L4" s="20" t="n">
        <v>46312</v>
      </c>
      <c r="M4" s="20" t="n"/>
      <c r="N4" s="17" t="inlineStr">
        <is>
          <t>Upload</t>
        </is>
      </c>
      <c r="O4" s="17" t="n"/>
      <c r="P4" s="21">
        <f>IF(AND(ISNUMBER($L4),ISNUMBER($M4)),MAX(0,$M4-$L4),"")</f>
        <v/>
      </c>
      <c r="Q4" s="21">
        <f>IF(ISNUMBER($D4),MAX(0,TODAY()-$D4),"")</f>
        <v/>
      </c>
      <c r="R4" s="19">
        <f>IF(COUNTA($A4:$O4)=0,"",IFERROR(TRIM(TEXTJOIN(" | ",TRUE,IF($A4="","PC kosong",""),IF($C4="","Worker ID kosong",""),IF($D4="","Update Date kosong",IF(NOT(ISNUMBER($D4)),"Update Date bukan tanggal","")),IF($E4="","Song ID YT kosong",""),IF($F4="","Judul kosong",""),IF(TRIM($G4)="","",IF(ISERROR(MATCH(TRIM($G4),{"TuneCore","DistroKid","TooLost","SoundOn","Ditto","Believe","CD Baby","Amuse","Symphonic Distribution","ONErpm","RouteNote","LANDR","Horus Music","Indie"},0)),"Aggregator di luar daftar","")),IF(TRIM($H4)="","Genre kosong",IF((LEN(SUBSTITUTE(SUBSTITUTE(SUBSTITUTE(TRIM($H4),"/",","),";",",")," ",""))-LEN(SUBSTITUTE(SUBSTITUTE(SUBSTITUTE(SUBSTITUTE(TRIM($H4),"/",","),";",","),"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4),"/",","),";",",")," ","")&amp;",")))&lt;&gt;(LEN(SUBSTITUTE(SUBSTITUTE(SUBSTITUTE(TRIM($H4),"/",","),";",",")," ",""))-LEN(SUBSTITUTE(SUBSTITUTE(SUBSTITUTE(SUBSTITUTE(TRIM($H4),"/",","),";",",")," ",""),",",""))+1),"Genre di luar daftar",""))),IF($I4="","Nama Channel kosong",""),IF($J4="","Link Channel kosong",IF(ISERROR(SEARCH("youtu",$J4)),"Link Channel bukan youtube","")),IF($K4="","Link Video kosong",IF(ISERROR(SEARCH("youtu",$K4)),"Link Video bukan youtube","")),IF($L4="","Tgl Dibuat kosong",IF(NOT(ISNUMBER($L4)),"Tgl Dibuat bukan tanggal","")),IF(AND($M4&lt;&gt;"",NOT(ISNUMBER($M4))),"Tgl Publish bukan tanggal",""),IF(AND(ISNUMBER($L4),ISNUMBER($M4),$M4&lt;$L4),"Tgl Publish &lt; Tgl buat",""),IF(TRIM($N4)="","Status kosong",IF(ISERROR(MATCH(TRIM($N4),{"Draft","Menunggu Review","Revisi","Terjadwal","Upload","Publish","Published","Batal"},0)),"Status di luar daftar","")))),""))</f>
        <v/>
      </c>
      <c r="S4" s="17">
        <f>IF(AND($A4&lt;&gt;"",$C4&lt;&gt;""),IF(COUNTIFS($A$2:$A$1000,$A4,$C$2:$C$1000,$C4)&gt;1,"DUPLICAT",""),"")</f>
        <v/>
      </c>
    </row>
    <row r="5">
      <c r="A5" s="12" t="inlineStr">
        <is>
          <t>PC 01</t>
        </is>
      </c>
      <c r="B5" s="12" t="n"/>
      <c r="C5" s="12" t="n"/>
      <c r="D5" s="13" t="n"/>
      <c r="E5" s="12" t="inlineStr">
        <is>
          <t>W01-17102016-002</t>
        </is>
      </c>
      <c r="F5" s="14" t="inlineStr">
        <is>
          <t>WAITING IN THE WINGS</t>
        </is>
      </c>
      <c r="G5" s="12" t="inlineStr">
        <is>
          <t>DistroKid</t>
        </is>
      </c>
      <c r="H5" s="12" t="inlineStr">
        <is>
          <t>Pop</t>
        </is>
      </c>
      <c r="I5" s="12" t="inlineStr">
        <is>
          <t>MOONELLE</t>
        </is>
      </c>
      <c r="J5" s="14" t="n"/>
      <c r="K5" s="14" t="inlineStr">
        <is>
          <t>https://youtu.be/mvnZCMT6OKA?si=cvLDQ2J0LoJeBFI7</t>
        </is>
      </c>
      <c r="L5" s="15" t="n"/>
      <c r="M5" s="15" t="n"/>
      <c r="N5" s="12" t="n"/>
      <c r="O5" s="12" t="n"/>
      <c r="P5" s="16">
        <f>IF(AND(ISNUMBER($L5),ISNUMBER($M5)),MAX(0,$M5-$L5),"")</f>
        <v/>
      </c>
      <c r="Q5" s="16">
        <f>IF(ISNUMBER($D5),MAX(0,TODAY()-$D5),"")</f>
        <v/>
      </c>
      <c r="R5" s="14">
        <f>IF(COUNTA($A5:$O5)=0,"",IFERROR(TRIM(TEXTJOIN(" | ",TRUE,IF($A5="","PC kosong",""),IF($C5="","Worker ID kosong",""),IF($D5="","Update Date kosong",IF(NOT(ISNUMBER($D5)),"Update Date bukan tanggal","")),IF($E5="","Song ID YT kosong",""),IF($F5="","Judul kosong",""),IF(TRIM($G5)="","",IF(ISERROR(MATCH(TRIM($G5),{"TuneCore","DistroKid","TooLost","SoundOn","Ditto","Believe","CD Baby","Amuse","Symphonic Distribution","ONErpm","RouteNote","LANDR","Horus Music","Indie"},0)),"Aggregator di luar daftar","")),IF(TRIM($H5)="","Genre kosong",IF((LEN(SUBSTITUTE(SUBSTITUTE(SUBSTITUTE(TRIM($H5),"/",","),";",",")," ",""))-LEN(SUBSTITUTE(SUBSTITUTE(SUBSTITUTE(SUBSTITUTE(TRIM($H5),"/",","),";",","),"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5),"/",","),";",",")," ","")&amp;",")))&lt;&gt;(LEN(SUBSTITUTE(SUBSTITUTE(SUBSTITUTE(TRIM($H5),"/",","),";",",")," ",""))-LEN(SUBSTITUTE(SUBSTITUTE(SUBSTITUTE(SUBSTITUTE(TRIM($H5),"/",","),";",",")," ",""),",",""))+1),"Genre di luar daftar",""))),IF($I5="","Nama Channel kosong",""),IF($J5="","Link Channel kosong",IF(ISERROR(SEARCH("youtu",$J5)),"Link Channel bukan youtube","")),IF($K5="","Link Video kosong",IF(ISERROR(SEARCH("youtu",$K5)),"Link Video bukan youtube","")),IF($L5="","Tgl Dibuat kosong",IF(NOT(ISNUMBER($L5)),"Tgl Dibuat bukan tanggal","")),IF(AND($M5&lt;&gt;"",NOT(ISNUMBER($M5))),"Tgl Publish bukan tanggal",""),IF(AND(ISNUMBER($L5),ISNUMBER($M5),$M5&lt;$L5),"Tgl Publish &lt; Tgl buat",""),IF(TRIM($N5)="","Status kosong",IF(ISERROR(MATCH(TRIM($N5),{"Draft","Menunggu Review","Revisi","Terjadwal","Upload","Publish","Published","Batal"},0)),"Status di luar daftar","")))),""))</f>
        <v/>
      </c>
      <c r="S5" s="12">
        <f>IF(AND($A5&lt;&gt;"",$C5&lt;&gt;""),IF(COUNTIFS($A$2:$A$1000,$A5,$C$2:$C$1000,$C5)&gt;1,"DUPLICAT",""),"")</f>
        <v/>
      </c>
    </row>
    <row r="6">
      <c r="A6" s="17" t="inlineStr">
        <is>
          <t>PC 01</t>
        </is>
      </c>
      <c r="B6" s="17" t="n"/>
      <c r="C6" s="17" t="n"/>
      <c r="D6" s="18" t="n"/>
      <c r="E6" s="17" t="inlineStr">
        <is>
          <t>W01-17102016-003</t>
        </is>
      </c>
      <c r="F6" s="19" t="inlineStr">
        <is>
          <t>PETAL AND PROMISES</t>
        </is>
      </c>
      <c r="G6" s="17" t="inlineStr">
        <is>
          <t>DistroKid</t>
        </is>
      </c>
      <c r="H6" s="17" t="inlineStr">
        <is>
          <t>Pop</t>
        </is>
      </c>
      <c r="I6" s="17" t="inlineStr">
        <is>
          <t>MOONELLE</t>
        </is>
      </c>
      <c r="J6" s="19" t="n"/>
      <c r="K6" s="19" t="inlineStr">
        <is>
          <t>https://youtu.be/mvnZCMT6OKA?si=cvLDQ2J0LoJeBFI7</t>
        </is>
      </c>
      <c r="L6" s="20" t="n"/>
      <c r="M6" s="20" t="n"/>
      <c r="N6" s="17" t="n"/>
      <c r="O6" s="17" t="n"/>
      <c r="P6" s="21">
        <f>IF(AND(ISNUMBER($L6),ISNUMBER($M6)),MAX(0,$M6-$L6),"")</f>
        <v/>
      </c>
      <c r="Q6" s="21">
        <f>IF(ISNUMBER($D6),MAX(0,TODAY()-$D6),"")</f>
        <v/>
      </c>
      <c r="R6" s="19">
        <f>IF(COUNTA($A6:$O6)=0,"",IFERROR(TRIM(TEXTJOIN(" | ",TRUE,IF($A6="","PC kosong",""),IF($C6="","Worker ID kosong",""),IF($D6="","Update Date kosong",IF(NOT(ISNUMBER($D6)),"Update Date bukan tanggal","")),IF($E6="","Song ID YT kosong",""),IF($F6="","Judul kosong",""),IF(TRIM($G6)="","",IF(ISERROR(MATCH(TRIM($G6),{"TuneCore","DistroKid","TooLost","SoundOn","Ditto","Believe","CD Baby","Amuse","Symphonic Distribution","ONErpm","RouteNote","LANDR","Horus Music","Indie"},0)),"Aggregator di luar daftar","")),IF(TRIM($H6)="","Genre kosong",IF((LEN(SUBSTITUTE(SUBSTITUTE(SUBSTITUTE(TRIM($H6),"/",","),";",",")," ",""))-LEN(SUBSTITUTE(SUBSTITUTE(SUBSTITUTE(SUBSTITUTE(TRIM($H6),"/",","),";",","),"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6),"/",","),";",",")," ","")&amp;",")))&lt;&gt;(LEN(SUBSTITUTE(SUBSTITUTE(SUBSTITUTE(TRIM($H6),"/",","),";",",")," ",""))-LEN(SUBSTITUTE(SUBSTITUTE(SUBSTITUTE(SUBSTITUTE(TRIM($H6),"/",","),";",",")," ",""),",",""))+1),"Genre di luar daftar",""))),IF($I6="","Nama Channel kosong",""),IF($J6="","Link Channel kosong",IF(ISERROR(SEARCH("youtu",$J6)),"Link Channel bukan youtube","")),IF($K6="","Link Video kosong",IF(ISERROR(SEARCH("youtu",$K6)),"Link Video bukan youtube","")),IF($L6="","Tgl Dibuat kosong",IF(NOT(ISNUMBER($L6)),"Tgl Dibuat bukan tanggal","")),IF(AND($M6&lt;&gt;"",NOT(ISNUMBER($M6))),"Tgl Publish bukan tanggal",""),IF(AND(ISNUMBER($L6),ISNUMBER($M6),$M6&lt;$L6),"Tgl Publish &lt; Tgl buat",""),IF(TRIM($N6)="","Status kosong",IF(ISERROR(MATCH(TRIM($N6),{"Draft","Menunggu Review","Revisi","Terjadwal","Upload","Publish","Published","Batal"},0)),"Status di luar daftar","")))),""))</f>
        <v/>
      </c>
      <c r="S6" s="17">
        <f>IF(AND($A6&lt;&gt;"",$C6&lt;&gt;""),IF(COUNTIFS($A$2:$A$1000,$A6,$C$2:$C$1000,$C6)&gt;1,"DUPLICAT",""),"")</f>
        <v/>
      </c>
    </row>
    <row r="7">
      <c r="A7" s="12" t="inlineStr">
        <is>
          <t>PC 01</t>
        </is>
      </c>
      <c r="B7" s="12" t="n"/>
      <c r="C7" s="12" t="n"/>
      <c r="D7" s="13" t="n"/>
      <c r="E7" s="12" t="inlineStr">
        <is>
          <t>W01-19102026-001</t>
        </is>
      </c>
      <c r="F7" s="14" t="inlineStr">
        <is>
          <t>HALLWAY MEMORIES</t>
        </is>
      </c>
      <c r="G7" s="12" t="inlineStr">
        <is>
          <t>TooLost</t>
        </is>
      </c>
      <c r="H7" s="12" t="inlineStr">
        <is>
          <t>Pop</t>
        </is>
      </c>
      <c r="I7" s="12" t="inlineStr">
        <is>
          <t>MOONELLE</t>
        </is>
      </c>
      <c r="J7" s="14" t="n"/>
      <c r="K7" s="14" t="inlineStr">
        <is>
          <t>https://youtu.be/V8Sq6eCqMHY?si=zDsf9y_PpiLsjJK1</t>
        </is>
      </c>
      <c r="L7" s="15" t="n"/>
      <c r="M7" s="15" t="n"/>
      <c r="N7" s="12" t="n"/>
      <c r="O7" s="12" t="n"/>
      <c r="P7" s="16">
        <f>IF(AND(ISNUMBER($L7),ISNUMBER($M7)),MAX(0,$M7-$L7),"")</f>
        <v/>
      </c>
      <c r="Q7" s="16">
        <f>IF(ISNUMBER($D7),MAX(0,TODAY()-$D7),"")</f>
        <v/>
      </c>
      <c r="R7" s="14">
        <f>IF(COUNTA($A7:$O7)=0,"",IFERROR(TRIM(TEXTJOIN(" | ",TRUE,IF($A7="","PC kosong",""),IF($C7="","Worker ID kosong",""),IF($D7="","Update Date kosong",IF(NOT(ISNUMBER($D7)),"Update Date bukan tanggal","")),IF($E7="","Song ID YT kosong",""),IF($F7="","Judul kosong",""),IF(TRIM($G7)="","",IF(ISERROR(MATCH(TRIM($G7),{"TuneCore","DistroKid","TooLost","SoundOn","Ditto","Believe","CD Baby","Amuse","Symphonic Distribution","ONErpm","RouteNote","LANDR","Horus Music","Indie"},0)),"Aggregator di luar daftar","")),IF(TRIM($H7)="","Genre kosong",IF((LEN(SUBSTITUTE(SUBSTITUTE(SUBSTITUTE(TRIM($H7),"/",","),";",",")," ",""))-LEN(SUBSTITUTE(SUBSTITUTE(SUBSTITUTE(SUBSTITUTE(TRIM($H7),"/",","),";",","),"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7),"/",","),";",",")," ","")&amp;",")))&lt;&gt;(LEN(SUBSTITUTE(SUBSTITUTE(SUBSTITUTE(TRIM($H7),"/",","),";",",")," ",""))-LEN(SUBSTITUTE(SUBSTITUTE(SUBSTITUTE(SUBSTITUTE(TRIM($H7),"/",","),";",",")," ",""),",",""))+1),"Genre di luar daftar",""))),IF($I7="","Nama Channel kosong",""),IF($J7="","Link Channel kosong",IF(ISERROR(SEARCH("youtu",$J7)),"Link Channel bukan youtube","")),IF($K7="","Link Video kosong",IF(ISERROR(SEARCH("youtu",$K7)),"Link Video bukan youtube","")),IF($L7="","Tgl Dibuat kosong",IF(NOT(ISNUMBER($L7)),"Tgl Dibuat bukan tanggal","")),IF(AND($M7&lt;&gt;"",NOT(ISNUMBER($M7))),"Tgl Publish bukan tanggal",""),IF(AND(ISNUMBER($L7),ISNUMBER($M7),$M7&lt;$L7),"Tgl Publish &lt; Tgl buat",""),IF(TRIM($N7)="","Status kosong",IF(ISERROR(MATCH(TRIM($N7),{"Draft","Menunggu Review","Revisi","Terjadwal","Upload","Publish","Published","Batal"},0)),"Status di luar daftar","")))),""))</f>
        <v/>
      </c>
      <c r="S7" s="12">
        <f>IF(AND($A7&lt;&gt;"",$C7&lt;&gt;""),IF(COUNTIFS($A$2:$A$1000,$A7,$C$2:$C$1000,$C7)&gt;1,"DUPLICAT",""),"")</f>
        <v/>
      </c>
    </row>
    <row r="8">
      <c r="A8" s="17" t="inlineStr">
        <is>
          <t>PC 01</t>
        </is>
      </c>
      <c r="B8" s="17" t="n"/>
      <c r="C8" s="17" t="n"/>
      <c r="D8" s="18" t="n"/>
      <c r="E8" s="17" t="inlineStr">
        <is>
          <t>W01-19102026-002</t>
        </is>
      </c>
      <c r="F8" s="19" t="inlineStr">
        <is>
          <t>CHALK CIRCLES AND SPRINGKLERS</t>
        </is>
      </c>
      <c r="G8" s="17" t="inlineStr">
        <is>
          <t>DistroKid</t>
        </is>
      </c>
      <c r="H8" s="17" t="inlineStr">
        <is>
          <t>Pop</t>
        </is>
      </c>
      <c r="I8" s="17" t="inlineStr">
        <is>
          <t>MOONELLE</t>
        </is>
      </c>
      <c r="J8" s="19" t="n"/>
      <c r="K8" s="19" t="inlineStr">
        <is>
          <t>https://youtu.be/V8Sq6eCqMHY?si=zDsf9y_PpiLsjJK1</t>
        </is>
      </c>
      <c r="L8" s="20" t="n"/>
      <c r="M8" s="20" t="n"/>
      <c r="N8" s="17" t="n"/>
      <c r="O8" s="17" t="n"/>
      <c r="P8" s="21">
        <f>IF(AND(ISNUMBER($L8),ISNUMBER($M8)),MAX(0,$M8-$L8),"")</f>
        <v/>
      </c>
      <c r="Q8" s="21">
        <f>IF(ISNUMBER($D8),MAX(0,TODAY()-$D8),"")</f>
        <v/>
      </c>
      <c r="R8" s="19">
        <f>IF(COUNTA($A8:$O8)=0,"",IFERROR(TRIM(TEXTJOIN(" | ",TRUE,IF($A8="","PC kosong",""),IF($C8="","Worker ID kosong",""),IF($D8="","Update Date kosong",IF(NOT(ISNUMBER($D8)),"Update Date bukan tanggal","")),IF($E8="","Song ID YT kosong",""),IF($F8="","Judul kosong",""),IF(TRIM($G8)="","",IF(ISERROR(MATCH(TRIM($G8),{"TuneCore","DistroKid","TooLost","SoundOn","Ditto","Believe","CD Baby","Amuse","Symphonic Distribution","ONErpm","RouteNote","LANDR","Horus Music","Indie"},0)),"Aggregator di luar daftar","")),IF(TRIM($H8)="","Genre kosong",IF((LEN(SUBSTITUTE(SUBSTITUTE(SUBSTITUTE(TRIM($H8),"/",","),";",",")," ",""))-LEN(SUBSTITUTE(SUBSTITUTE(SUBSTITUTE(SUBSTITUTE(TRIM($H8),"/",","),";",","),"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8),"/",","),";",",")," ","")&amp;",")))&lt;&gt;(LEN(SUBSTITUTE(SUBSTITUTE(SUBSTITUTE(TRIM($H8),"/",","),";",",")," ",""))-LEN(SUBSTITUTE(SUBSTITUTE(SUBSTITUTE(SUBSTITUTE(TRIM($H8),"/",","),";",",")," ",""),",",""))+1),"Genre di luar daftar",""))),IF($I8="","Nama Channel kosong",""),IF($J8="","Link Channel kosong",IF(ISERROR(SEARCH("youtu",$J8)),"Link Channel bukan youtube","")),IF($K8="","Link Video kosong",IF(ISERROR(SEARCH("youtu",$K8)),"Link Video bukan youtube","")),IF($L8="","Tgl Dibuat kosong",IF(NOT(ISNUMBER($L8)),"Tgl Dibuat bukan tanggal","")),IF(AND($M8&lt;&gt;"",NOT(ISNUMBER($M8))),"Tgl Publish bukan tanggal",""),IF(AND(ISNUMBER($L8),ISNUMBER($M8),$M8&lt;$L8),"Tgl Publish &lt; Tgl buat",""),IF(TRIM($N8)="","Status kosong",IF(ISERROR(MATCH(TRIM($N8),{"Draft","Menunggu Review","Revisi","Terjadwal","Upload","Publish","Published","Batal"},0)),"Status di luar daftar","")))),""))</f>
        <v/>
      </c>
      <c r="S8" s="17">
        <f>IF(AND($A8&lt;&gt;"",$C8&lt;&gt;""),IF(COUNTIFS($A$2:$A$1000,$A8,$C$2:$C$1000,$C8)&gt;1,"DUPLICAT",""),"")</f>
        <v/>
      </c>
    </row>
    <row r="9">
      <c r="A9" s="12" t="inlineStr">
        <is>
          <t>PC 01</t>
        </is>
      </c>
      <c r="B9" s="12" t="n"/>
      <c r="C9" s="12" t="n"/>
      <c r="D9" s="13" t="n"/>
      <c r="E9" s="12" t="inlineStr">
        <is>
          <t>W01-19102026-003</t>
        </is>
      </c>
      <c r="F9" s="14" t="inlineStr">
        <is>
          <t>HIGH ABOVE THE NOISE</t>
        </is>
      </c>
      <c r="G9" s="12" t="inlineStr">
        <is>
          <t>DistroKid</t>
        </is>
      </c>
      <c r="H9" s="12" t="inlineStr">
        <is>
          <t>Jazz</t>
        </is>
      </c>
      <c r="I9" s="12" t="inlineStr">
        <is>
          <t>MOONELLE</t>
        </is>
      </c>
      <c r="J9" s="14" t="n"/>
      <c r="K9" s="14" t="inlineStr">
        <is>
          <t>https://youtu.be/Q9IxyuhXOvU?si=iEY5l_dq_2MAw08G</t>
        </is>
      </c>
      <c r="L9" s="15" t="n"/>
      <c r="M9" s="15" t="n"/>
      <c r="N9" s="12" t="n"/>
      <c r="O9" s="12" t="n"/>
      <c r="P9" s="16">
        <f>IF(AND(ISNUMBER($L9),ISNUMBER($M9)),MAX(0,$M9-$L9),"")</f>
        <v/>
      </c>
      <c r="Q9" s="16">
        <f>IF(ISNUMBER($D9),MAX(0,TODAY()-$D9),"")</f>
        <v/>
      </c>
      <c r="R9" s="14">
        <f>IF(COUNTA($A9:$O9)=0,"",IFERROR(TRIM(TEXTJOIN(" | ",TRUE,IF($A9="","PC kosong",""),IF($C9="","Worker ID kosong",""),IF($D9="","Update Date kosong",IF(NOT(ISNUMBER($D9)),"Update Date bukan tanggal","")),IF($E9="","Song ID YT kosong",""),IF($F9="","Judul kosong",""),IF(TRIM($G9)="","",IF(ISERROR(MATCH(TRIM($G9),{"TuneCore","DistroKid","TooLost","SoundOn","Ditto","Believe","CD Baby","Amuse","Symphonic Distribution","ONErpm","RouteNote","LANDR","Horus Music","Indie"},0)),"Aggregator di luar daftar","")),IF(TRIM($H9)="","Genre kosong",IF((LEN(SUBSTITUTE(SUBSTITUTE(SUBSTITUTE(TRIM($H9),"/",","),";",",")," ",""))-LEN(SUBSTITUTE(SUBSTITUTE(SUBSTITUTE(SUBSTITUTE(TRIM($H9),"/",","),";",","),"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9),"/",","),";",",")," ","")&amp;",")))&lt;&gt;(LEN(SUBSTITUTE(SUBSTITUTE(SUBSTITUTE(TRIM($H9),"/",","),";",",")," ",""))-LEN(SUBSTITUTE(SUBSTITUTE(SUBSTITUTE(SUBSTITUTE(TRIM($H9),"/",","),";",",")," ",""),",",""))+1),"Genre di luar daftar",""))),IF($I9="","Nama Channel kosong",""),IF($J9="","Link Channel kosong",IF(ISERROR(SEARCH("youtu",$J9)),"Link Channel bukan youtube","")),IF($K9="","Link Video kosong",IF(ISERROR(SEARCH("youtu",$K9)),"Link Video bukan youtube","")),IF($L9="","Tgl Dibuat kosong",IF(NOT(ISNUMBER($L9)),"Tgl Dibuat bukan tanggal","")),IF(AND($M9&lt;&gt;"",NOT(ISNUMBER($M9))),"Tgl Publish bukan tanggal",""),IF(AND(ISNUMBER($L9),ISNUMBER($M9),$M9&lt;$L9),"Tgl Publish &lt; Tgl buat",""),IF(TRIM($N9)="","Status kosong",IF(ISERROR(MATCH(TRIM($N9),{"Draft","Menunggu Review","Revisi","Terjadwal","Upload","Publish","Published","Batal"},0)),"Status di luar daftar","")))),""))</f>
        <v/>
      </c>
      <c r="S9" s="12">
        <f>IF(AND($A9&lt;&gt;"",$C9&lt;&gt;""),IF(COUNTIFS($A$2:$A$1000,$A9,$C$2:$C$1000,$C9)&gt;1,"DUPLICAT",""),"")</f>
        <v/>
      </c>
    </row>
    <row r="10">
      <c r="A10" s="17" t="inlineStr">
        <is>
          <t>PC 01</t>
        </is>
      </c>
      <c r="B10" s="17" t="n"/>
      <c r="C10" s="17" t="n"/>
      <c r="D10" s="18" t="n"/>
      <c r="E10" s="17" t="inlineStr">
        <is>
          <t>W01-19102026-004</t>
        </is>
      </c>
      <c r="F10" s="19" t="inlineStr">
        <is>
          <t>HAND THAT HELD ME</t>
        </is>
      </c>
      <c r="G10" s="17" t="inlineStr">
        <is>
          <t>DistroKid</t>
        </is>
      </c>
      <c r="H10" s="17" t="inlineStr">
        <is>
          <t>Pop</t>
        </is>
      </c>
      <c r="I10" s="17" t="inlineStr">
        <is>
          <t>MOONELLE</t>
        </is>
      </c>
      <c r="J10" s="19" t="n"/>
      <c r="K10" s="19" t="inlineStr">
        <is>
          <t>https://youtu.be/Q9IxyuhXOvU?si=iEY5l_dq_2MAw08G</t>
        </is>
      </c>
      <c r="L10" s="20" t="n"/>
      <c r="M10" s="20" t="n"/>
      <c r="N10" s="17" t="n"/>
      <c r="O10" s="17" t="n"/>
      <c r="P10" s="21">
        <f>IF(AND(ISNUMBER($L10),ISNUMBER($M10)),MAX(0,$M10-$L10),"")</f>
        <v/>
      </c>
      <c r="Q10" s="21">
        <f>IF(ISNUMBER($D10),MAX(0,TODAY()-$D10),"")</f>
        <v/>
      </c>
      <c r="R10" s="19">
        <f>IF(COUNTA($A10:$O10)=0,"",IFERROR(TRIM(TEXTJOIN(" | ",TRUE,IF($A10="","PC kosong",""),IF($C10="","Worker ID kosong",""),IF($D10="","Update Date kosong",IF(NOT(ISNUMBER($D10)),"Update Date bukan tanggal","")),IF($E10="","Song ID YT kosong",""),IF($F10="","Judul kosong",""),IF(TRIM($G10)="","",IF(ISERROR(MATCH(TRIM($G10),{"TuneCore","DistroKid","TooLost","SoundOn","Ditto","Believe","CD Baby","Amuse","Symphonic Distribution","ONErpm","RouteNote","LANDR","Horus Music","Indie"},0)),"Aggregator di luar daftar","")),IF(TRIM($H10)="","Genre kosong",IF((LEN(SUBSTITUTE(SUBSTITUTE(SUBSTITUTE(TRIM($H10),"/",","),";",",")," ",""))-LEN(SUBSTITUTE(SUBSTITUTE(SUBSTITUTE(SUBSTITUTE(TRIM($H10),"/",","),";",","),"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10),"/",","),";",",")," ","")&amp;",")))&lt;&gt;(LEN(SUBSTITUTE(SUBSTITUTE(SUBSTITUTE(TRIM($H10),"/",","),";",",")," ",""))-LEN(SUBSTITUTE(SUBSTITUTE(SUBSTITUTE(SUBSTITUTE(TRIM($H10),"/",","),";",",")," ",""),",",""))+1),"Genre di luar daftar",""))),IF($I10="","Nama Channel kosong",""),IF($J10="","Link Channel kosong",IF(ISERROR(SEARCH("youtu",$J10)),"Link Channel bukan youtube","")),IF($K10="","Link Video kosong",IF(ISERROR(SEARCH("youtu",$K10)),"Link Video bukan youtube","")),IF($L10="","Tgl Dibuat kosong",IF(NOT(ISNUMBER($L10)),"Tgl Dibuat bukan tanggal","")),IF(AND($M10&lt;&gt;"",NOT(ISNUMBER($M10))),"Tgl Publish bukan tanggal",""),IF(AND(ISNUMBER($L10),ISNUMBER($M10),$M10&lt;$L10),"Tgl Publish &lt; Tgl buat",""),IF(TRIM($N10)="","Status kosong",IF(ISERROR(MATCH(TRIM($N10),{"Draft","Menunggu Review","Revisi","Terjadwal","Upload","Publish","Published","Batal"},0)),"Status di luar daftar","")))),""))</f>
        <v/>
      </c>
      <c r="S10" s="17">
        <f>IF(AND($A10&lt;&gt;"",$C10&lt;&gt;""),IF(COUNTIFS($A$2:$A$1000,$A10,$C$2:$C$1000,$C10)&gt;1,"DUPLICAT",""),"")</f>
        <v/>
      </c>
    </row>
    <row r="11">
      <c r="A11" s="12" t="inlineStr">
        <is>
          <t>PC 01</t>
        </is>
      </c>
      <c r="B11" s="12" t="n"/>
      <c r="C11" s="12" t="n"/>
      <c r="D11" s="13" t="n"/>
      <c r="E11" s="12" t="inlineStr">
        <is>
          <t>W01-19102026-005</t>
        </is>
      </c>
      <c r="F11" s="14" t="inlineStr">
        <is>
          <t>LIITLE STAR IN MY ARMS</t>
        </is>
      </c>
      <c r="G11" s="12" t="inlineStr">
        <is>
          <t>TooLost</t>
        </is>
      </c>
      <c r="H11" s="12" t="inlineStr">
        <is>
          <t>Pop</t>
        </is>
      </c>
      <c r="I11" s="12" t="inlineStr">
        <is>
          <t>MOONELLE</t>
        </is>
      </c>
      <c r="J11" s="14" t="n"/>
      <c r="K11" s="14" t="inlineStr">
        <is>
          <t>https://youtu.be/sTsYW0sN8V8?si=D1lH7t1qnXGGPgcw</t>
        </is>
      </c>
      <c r="L11" s="15" t="n"/>
      <c r="M11" s="15" t="n"/>
      <c r="N11" s="12" t="n"/>
      <c r="O11" s="12" t="n"/>
      <c r="P11" s="16">
        <f>IF(AND(ISNUMBER($L11),ISNUMBER($M11)),MAX(0,$M11-$L11),"")</f>
        <v/>
      </c>
      <c r="Q11" s="16">
        <f>IF(ISNUMBER($D11),MAX(0,TODAY()-$D11),"")</f>
        <v/>
      </c>
      <c r="R11" s="14">
        <f>IF(COUNTA($A11:$O11)=0,"",IFERROR(TRIM(TEXTJOIN(" | ",TRUE,IF($A11="","PC kosong",""),IF($C11="","Worker ID kosong",""),IF($D11="","Update Date kosong",IF(NOT(ISNUMBER($D11)),"Update Date bukan tanggal","")),IF($E11="","Song ID YT kosong",""),IF($F11="","Judul kosong",""),IF(TRIM($G11)="","",IF(ISERROR(MATCH(TRIM($G11),{"TuneCore","DistroKid","TooLost","SoundOn","Ditto","Believe","CD Baby","Amuse","Symphonic Distribution","ONErpm","RouteNote","LANDR","Horus Music","Indie"},0)),"Aggregator di luar daftar","")),IF(TRIM($H11)="","Genre kosong",IF((LEN(SUBSTITUTE(SUBSTITUTE(SUBSTITUTE(TRIM($H11),"/",","),";",",")," ",""))-LEN(SUBSTITUTE(SUBSTITUTE(SUBSTITUTE(SUBSTITUTE(TRIM($H11),"/",","),";",","),"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11),"/",","),";",",")," ","")&amp;",")))&lt;&gt;(LEN(SUBSTITUTE(SUBSTITUTE(SUBSTITUTE(TRIM($H11),"/",","),";",",")," ",""))-LEN(SUBSTITUTE(SUBSTITUTE(SUBSTITUTE(SUBSTITUTE(TRIM($H11),"/",","),";",",")," ",""),",",""))+1),"Genre di luar daftar",""))),IF($I11="","Nama Channel kosong",""),IF($J11="","Link Channel kosong",IF(ISERROR(SEARCH("youtu",$J11)),"Link Channel bukan youtube","")),IF($K11="","Link Video kosong",IF(ISERROR(SEARCH("youtu",$K11)),"Link Video bukan youtube","")),IF($L11="","Tgl Dibuat kosong",IF(NOT(ISNUMBER($L11)),"Tgl Dibuat bukan tanggal","")),IF(AND($M11&lt;&gt;"",NOT(ISNUMBER($M11))),"Tgl Publish bukan tanggal",""),IF(AND(ISNUMBER($L11),ISNUMBER($M11),$M11&lt;$L11),"Tgl Publish &lt; Tgl buat",""),IF(TRIM($N11)="","Status kosong",IF(ISERROR(MATCH(TRIM($N11),{"Draft","Menunggu Review","Revisi","Terjadwal","Upload","Publish","Published","Batal"},0)),"Status di luar daftar","")))),""))</f>
        <v/>
      </c>
      <c r="S11" s="12">
        <f>IF(AND($A11&lt;&gt;"",$C11&lt;&gt;""),IF(COUNTIFS($A$2:$A$1000,$A11,$C$2:$C$1000,$C11)&gt;1,"DUPLICAT",""),"")</f>
        <v/>
      </c>
    </row>
    <row r="12">
      <c r="A12" s="17" t="inlineStr">
        <is>
          <t>PC 01</t>
        </is>
      </c>
      <c r="B12" s="17" t="n"/>
      <c r="C12" s="17" t="n"/>
      <c r="D12" s="18" t="n"/>
      <c r="E12" s="17" t="inlineStr">
        <is>
          <t>W01-20102026-001</t>
        </is>
      </c>
      <c r="F12" s="19" t="inlineStr">
        <is>
          <t>BLOOM</t>
        </is>
      </c>
      <c r="G12" s="17" t="inlineStr">
        <is>
          <t>DistroKid</t>
        </is>
      </c>
      <c r="H12" s="17" t="inlineStr">
        <is>
          <t>Pop</t>
        </is>
      </c>
      <c r="I12" s="17" t="inlineStr">
        <is>
          <t>MOONELLE</t>
        </is>
      </c>
      <c r="J12" s="19" t="n"/>
      <c r="K12" s="19" t="inlineStr">
        <is>
          <t>https://youtu.be/XsJ1rfBIhxg?si=BTsceuMqheDDWgCG</t>
        </is>
      </c>
      <c r="L12" s="20" t="n"/>
      <c r="M12" s="20" t="n"/>
      <c r="N12" s="17" t="n"/>
      <c r="O12" s="17" t="n"/>
      <c r="P12" s="21">
        <f>IF(AND(ISNUMBER($L12),ISNUMBER($M12)),MAX(0,$M12-$L12),"")</f>
        <v/>
      </c>
      <c r="Q12" s="21">
        <f>IF(ISNUMBER($D12),MAX(0,TODAY()-$D12),"")</f>
        <v/>
      </c>
      <c r="R12" s="19">
        <f>IF(COUNTA($A12:$O12)=0,"",IFERROR(TRIM(TEXTJOIN(" | ",TRUE,IF($A12="","PC kosong",""),IF($C12="","Worker ID kosong",""),IF($D12="","Update Date kosong",IF(NOT(ISNUMBER($D12)),"Update Date bukan tanggal","")),IF($E12="","Song ID YT kosong",""),IF($F12="","Judul kosong",""),IF(TRIM($G12)="","",IF(ISERROR(MATCH(TRIM($G12),{"TuneCore","DistroKid","TooLost","SoundOn","Ditto","Believe","CD Baby","Amuse","Symphonic Distribution","ONErpm","RouteNote","LANDR","Horus Music","Indie"},0)),"Aggregator di luar daftar","")),IF(TRIM($H12)="","Genre kosong",IF((LEN(SUBSTITUTE(SUBSTITUTE(SUBSTITUTE(TRIM($H12),"/",","),";",",")," ",""))-LEN(SUBSTITUTE(SUBSTITUTE(SUBSTITUTE(SUBSTITUTE(TRIM($H12),"/",","),";",","),"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12),"/",","),";",",")," ","")&amp;",")))&lt;&gt;(LEN(SUBSTITUTE(SUBSTITUTE(SUBSTITUTE(TRIM($H12),"/",","),";",",")," ",""))-LEN(SUBSTITUTE(SUBSTITUTE(SUBSTITUTE(SUBSTITUTE(TRIM($H12),"/",","),";",",")," ",""),",",""))+1),"Genre di luar daftar",""))),IF($I12="","Nama Channel kosong",""),IF($J12="","Link Channel kosong",IF(ISERROR(SEARCH("youtu",$J12)),"Link Channel bukan youtube","")),IF($K12="","Link Video kosong",IF(ISERROR(SEARCH("youtu",$K12)),"Link Video bukan youtube","")),IF($L12="","Tgl Dibuat kosong",IF(NOT(ISNUMBER($L12)),"Tgl Dibuat bukan tanggal","")),IF(AND($M12&lt;&gt;"",NOT(ISNUMBER($M12))),"Tgl Publish bukan tanggal",""),IF(AND(ISNUMBER($L12),ISNUMBER($M12),$M12&lt;$L12),"Tgl Publish &lt; Tgl buat",""),IF(TRIM($N12)="","Status kosong",IF(ISERROR(MATCH(TRIM($N12),{"Draft","Menunggu Review","Revisi","Terjadwal","Upload","Publish","Published","Batal"},0)),"Status di luar daftar","")))),""))</f>
        <v/>
      </c>
      <c r="S12" s="17">
        <f>IF(AND($A12&lt;&gt;"",$C12&lt;&gt;""),IF(COUNTIFS($A$2:$A$1000,$A12,$C$2:$C$1000,$C12)&gt;1,"DUPLICAT",""),"")</f>
        <v/>
      </c>
    </row>
    <row r="13">
      <c r="A13" s="12" t="inlineStr">
        <is>
          <t>PC 01</t>
        </is>
      </c>
      <c r="B13" s="12" t="n"/>
      <c r="C13" s="12" t="n"/>
      <c r="D13" s="13" t="n"/>
      <c r="E13" s="12" t="inlineStr">
        <is>
          <t>W01-20102026-002</t>
        </is>
      </c>
      <c r="F13" s="14" t="inlineStr">
        <is>
          <t>MIRROR IN THE WALL</t>
        </is>
      </c>
      <c r="G13" s="12" t="inlineStr">
        <is>
          <t>DistroKid</t>
        </is>
      </c>
      <c r="H13" s="12" t="inlineStr">
        <is>
          <t>Pop</t>
        </is>
      </c>
      <c r="I13" s="12" t="inlineStr">
        <is>
          <t>MOONELLE</t>
        </is>
      </c>
      <c r="J13" s="14" t="n"/>
      <c r="K13" s="14" t="inlineStr">
        <is>
          <t>https://youtu.be/XsJ1rfBIhxg?si=BTsceuMqheDDWgCG</t>
        </is>
      </c>
      <c r="L13" s="15" t="n"/>
      <c r="M13" s="15" t="n"/>
      <c r="N13" s="12" t="n"/>
      <c r="O13" s="12" t="n"/>
      <c r="P13" s="16">
        <f>IF(AND(ISNUMBER($L13),ISNUMBER($M13)),MAX(0,$M13-$L13),"")</f>
        <v/>
      </c>
      <c r="Q13" s="16">
        <f>IF(ISNUMBER($D13),MAX(0,TODAY()-$D13),"")</f>
        <v/>
      </c>
      <c r="R13" s="14">
        <f>IF(COUNTA($A13:$O13)=0,"",IFERROR(TRIM(TEXTJOIN(" | ",TRUE,IF($A13="","PC kosong",""),IF($C13="","Worker ID kosong",""),IF($D13="","Update Date kosong",IF(NOT(ISNUMBER($D13)),"Update Date bukan tanggal","")),IF($E13="","Song ID YT kosong",""),IF($F13="","Judul kosong",""),IF(TRIM($G13)="","",IF(ISERROR(MATCH(TRIM($G13),{"TuneCore","DistroKid","TooLost","SoundOn","Ditto","Believe","CD Baby","Amuse","Symphonic Distribution","ONErpm","RouteNote","LANDR","Horus Music","Indie"},0)),"Aggregator di luar daftar","")),IF(TRIM($H13)="","Genre kosong",IF((LEN(SUBSTITUTE(SUBSTITUTE(SUBSTITUTE(TRIM($H13),"/",","),";",",")," ",""))-LEN(SUBSTITUTE(SUBSTITUTE(SUBSTITUTE(SUBSTITUTE(TRIM($H13),"/",","),";",","),"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13),"/",","),";",",")," ","")&amp;",")))&lt;&gt;(LEN(SUBSTITUTE(SUBSTITUTE(SUBSTITUTE(TRIM($H13),"/",","),";",",")," ",""))-LEN(SUBSTITUTE(SUBSTITUTE(SUBSTITUTE(SUBSTITUTE(TRIM($H13),"/",","),";",",")," ",""),",",""))+1),"Genre di luar daftar",""))),IF($I13="","Nama Channel kosong",""),IF($J13="","Link Channel kosong",IF(ISERROR(SEARCH("youtu",$J13)),"Link Channel bukan youtube","")),IF($K13="","Link Video kosong",IF(ISERROR(SEARCH("youtu",$K13)),"Link Video bukan youtube","")),IF($L13="","Tgl Dibuat kosong",IF(NOT(ISNUMBER($L13)),"Tgl Dibuat bukan tanggal","")),IF(AND($M13&lt;&gt;"",NOT(ISNUMBER($M13))),"Tgl Publish bukan tanggal",""),IF(AND(ISNUMBER($L13),ISNUMBER($M13),$M13&lt;$L13),"Tgl Publish &lt; Tgl buat",""),IF(TRIM($N13)="","Status kosong",IF(ISERROR(MATCH(TRIM($N13),{"Draft","Menunggu Review","Revisi","Terjadwal","Upload","Publish","Published","Batal"},0)),"Status di luar daftar","")))),""))</f>
        <v/>
      </c>
      <c r="S13" s="12">
        <f>IF(AND($A13&lt;&gt;"",$C13&lt;&gt;""),IF(COUNTIFS($A$2:$A$1000,$A13,$C$2:$C$1000,$C13)&gt;1,"DUPLICAT",""),"")</f>
        <v/>
      </c>
    </row>
    <row r="14">
      <c r="A14" s="17" t="inlineStr">
        <is>
          <t>PC 01</t>
        </is>
      </c>
      <c r="B14" s="17" t="n"/>
      <c r="C14" s="17" t="n"/>
      <c r="D14" s="18" t="n"/>
      <c r="E14" s="17" t="n"/>
      <c r="F14" s="19" t="inlineStr">
        <is>
          <t>DANCING IN THE DRIZZLE</t>
        </is>
      </c>
      <c r="G14" s="17" t="inlineStr">
        <is>
          <t>DistroKid</t>
        </is>
      </c>
      <c r="H14" s="17" t="inlineStr">
        <is>
          <t>Jazz</t>
        </is>
      </c>
      <c r="I14" s="17" t="inlineStr">
        <is>
          <t>MOONELLE</t>
        </is>
      </c>
      <c r="J14" s="19" t="n"/>
      <c r="K14" s="19" t="inlineStr">
        <is>
          <t>https://youtu.be/avl-KInETVs?si=xa27wpZyqZwv1CdD</t>
        </is>
      </c>
      <c r="L14" s="20" t="n"/>
      <c r="M14" s="20" t="n"/>
      <c r="N14" s="17" t="n"/>
      <c r="O14" s="17" t="n"/>
      <c r="P14" s="21">
        <f>IF(AND(ISNUMBER($L14),ISNUMBER($M14)),MAX(0,$M14-$L14),"")</f>
        <v/>
      </c>
      <c r="Q14" s="21">
        <f>IF(ISNUMBER($D14),MAX(0,TODAY()-$D14),"")</f>
        <v/>
      </c>
      <c r="R14" s="19">
        <f>IF(COUNTA($A14:$O14)=0,"",IFERROR(TRIM(TEXTJOIN(" | ",TRUE,IF($A14="","PC kosong",""),IF($C14="","Worker ID kosong",""),IF($D14="","Update Date kosong",IF(NOT(ISNUMBER($D14)),"Update Date bukan tanggal","")),IF($E14="","Song ID YT kosong",""),IF($F14="","Judul kosong",""),IF(TRIM($G14)="","",IF(ISERROR(MATCH(TRIM($G14),{"TuneCore","DistroKid","TooLost","SoundOn","Ditto","Believe","CD Baby","Amuse","Symphonic Distribution","ONErpm","RouteNote","LANDR","Horus Music","Indie"},0)),"Aggregator di luar daftar","")),IF(TRIM($H14)="","Genre kosong",IF((LEN(SUBSTITUTE(SUBSTITUTE(SUBSTITUTE(TRIM($H14),"/",","),";",",")," ",""))-LEN(SUBSTITUTE(SUBSTITUTE(SUBSTITUTE(SUBSTITUTE(TRIM($H14),"/",","),";",","),"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14),"/",","),";",",")," ","")&amp;",")))&lt;&gt;(LEN(SUBSTITUTE(SUBSTITUTE(SUBSTITUTE(TRIM($H14),"/",","),";",",")," ",""))-LEN(SUBSTITUTE(SUBSTITUTE(SUBSTITUTE(SUBSTITUTE(TRIM($H14),"/",","),";",",")," ",""),",",""))+1),"Genre di luar daftar",""))),IF($I14="","Nama Channel kosong",""),IF($J14="","Link Channel kosong",IF(ISERROR(SEARCH("youtu",$J14)),"Link Channel bukan youtube","")),IF($K14="","Link Video kosong",IF(ISERROR(SEARCH("youtu",$K14)),"Link Video bukan youtube","")),IF($L14="","Tgl Dibuat kosong",IF(NOT(ISNUMBER($L14)),"Tgl Dibuat bukan tanggal","")),IF(AND($M14&lt;&gt;"",NOT(ISNUMBER($M14))),"Tgl Publish bukan tanggal",""),IF(AND(ISNUMBER($L14),ISNUMBER($M14),$M14&lt;$L14),"Tgl Publish &lt; Tgl buat",""),IF(TRIM($N14)="","Status kosong",IF(ISERROR(MATCH(TRIM($N14),{"Draft","Menunggu Review","Revisi","Terjadwal","Upload","Publish","Published","Batal"},0)),"Status di luar daftar","")))),""))</f>
        <v/>
      </c>
      <c r="S14" s="17">
        <f>IF(AND($A14&lt;&gt;"",$C14&lt;&gt;""),IF(COUNTIFS($A$2:$A$1000,$A14,$C$2:$C$1000,$C14)&gt;1,"DUPLICAT",""),"")</f>
        <v/>
      </c>
    </row>
    <row r="15">
      <c r="A15" s="12" t="inlineStr">
        <is>
          <t>PC 01</t>
        </is>
      </c>
      <c r="B15" s="12" t="n"/>
      <c r="C15" s="12" t="n"/>
      <c r="D15" s="13" t="n"/>
      <c r="E15" s="12" t="n"/>
      <c r="F15" s="14" t="inlineStr">
        <is>
          <t>FRONT ROW FEVER</t>
        </is>
      </c>
      <c r="G15" s="12" t="inlineStr">
        <is>
          <t>DistroKid</t>
        </is>
      </c>
      <c r="H15" s="12" t="inlineStr">
        <is>
          <t>Jazz</t>
        </is>
      </c>
      <c r="I15" s="12" t="inlineStr">
        <is>
          <t>MOONELLE</t>
        </is>
      </c>
      <c r="J15" s="14" t="n"/>
      <c r="K15" s="14" t="inlineStr">
        <is>
          <t>https://youtu.be/avl-KInETVs?si=xa27wpZyqZwv1CdD</t>
        </is>
      </c>
      <c r="L15" s="15" t="n"/>
      <c r="M15" s="15" t="n"/>
      <c r="N15" s="12" t="n"/>
      <c r="O15" s="12" t="n"/>
      <c r="P15" s="16">
        <f>IF(AND(ISNUMBER($L15),ISNUMBER($M15)),MAX(0,$M15-$L15),"")</f>
        <v/>
      </c>
      <c r="Q15" s="16">
        <f>IF(ISNUMBER($D15),MAX(0,TODAY()-$D15),"")</f>
        <v/>
      </c>
      <c r="R15" s="14">
        <f>IF(COUNTA($A15:$O15)=0,"",IFERROR(TRIM(TEXTJOIN(" | ",TRUE,IF($A15="","PC kosong",""),IF($C15="","Worker ID kosong",""),IF($D15="","Update Date kosong",IF(NOT(ISNUMBER($D15)),"Update Date bukan tanggal","")),IF($E15="","Song ID YT kosong",""),IF($F15="","Judul kosong",""),IF(TRIM($G15)="","",IF(ISERROR(MATCH(TRIM($G15),{"TuneCore","DistroKid","TooLost","SoundOn","Ditto","Believe","CD Baby","Amuse","Symphonic Distribution","ONErpm","RouteNote","LANDR","Horus Music","Indie"},0)),"Aggregator di luar daftar","")),IF(TRIM($H15)="","Genre kosong",IF((LEN(SUBSTITUTE(SUBSTITUTE(SUBSTITUTE(TRIM($H15),"/",","),";",",")," ",""))-LEN(SUBSTITUTE(SUBSTITUTE(SUBSTITUTE(SUBSTITUTE(TRIM($H15),"/",","),";",","),"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15),"/",","),";",",")," ","")&amp;",")))&lt;&gt;(LEN(SUBSTITUTE(SUBSTITUTE(SUBSTITUTE(TRIM($H15),"/",","),";",",")," ",""))-LEN(SUBSTITUTE(SUBSTITUTE(SUBSTITUTE(SUBSTITUTE(TRIM($H15),"/",","),";",",")," ",""),",",""))+1),"Genre di luar daftar",""))),IF($I15="","Nama Channel kosong",""),IF($J15="","Link Channel kosong",IF(ISERROR(SEARCH("youtu",$J15)),"Link Channel bukan youtube","")),IF($K15="","Link Video kosong",IF(ISERROR(SEARCH("youtu",$K15)),"Link Video bukan youtube","")),IF($L15="","Tgl Dibuat kosong",IF(NOT(ISNUMBER($L15)),"Tgl Dibuat bukan tanggal","")),IF(AND($M15&lt;&gt;"",NOT(ISNUMBER($M15))),"Tgl Publish bukan tanggal",""),IF(AND(ISNUMBER($L15),ISNUMBER($M15),$M15&lt;$L15),"Tgl Publish &lt; Tgl buat",""),IF(TRIM($N15)="","Status kosong",IF(ISERROR(MATCH(TRIM($N15),{"Draft","Menunggu Review","Revisi","Terjadwal","Upload","Publish","Published","Batal"},0)),"Status di luar daftar","")))),""))</f>
        <v/>
      </c>
      <c r="S15" s="12">
        <f>IF(AND($A15&lt;&gt;"",$C15&lt;&gt;""),IF(COUNTIFS($A$2:$A$1000,$A15,$C$2:$C$1000,$C15)&gt;1,"DUPLICAT",""),"")</f>
        <v/>
      </c>
    </row>
    <row r="16">
      <c r="A16" s="17" t="inlineStr">
        <is>
          <t>PC 01</t>
        </is>
      </c>
      <c r="B16" s="17" t="n"/>
      <c r="C16" s="17" t="n"/>
      <c r="D16" s="18" t="n"/>
      <c r="E16" s="17" t="n"/>
      <c r="F16" s="19" t="inlineStr">
        <is>
          <t>KNOT MY CHEST</t>
        </is>
      </c>
      <c r="G16" s="17" t="inlineStr">
        <is>
          <t>DistroKid</t>
        </is>
      </c>
      <c r="H16" s="17" t="inlineStr">
        <is>
          <t>Jazz</t>
        </is>
      </c>
      <c r="I16" s="17" t="inlineStr">
        <is>
          <t>MOONELLE</t>
        </is>
      </c>
      <c r="J16" s="19" t="n"/>
      <c r="K16" s="19" t="inlineStr">
        <is>
          <t>https://youtu.be/zvyVbevsE3k?si=_ee8YEc2E327Xd-7</t>
        </is>
      </c>
      <c r="L16" s="20" t="n"/>
      <c r="M16" s="20" t="n"/>
      <c r="N16" s="17" t="n"/>
      <c r="O16" s="17" t="n"/>
      <c r="P16" s="21">
        <f>IF(AND(ISNUMBER($L16),ISNUMBER($M16)),MAX(0,$M16-$L16),"")</f>
        <v/>
      </c>
      <c r="Q16" s="21">
        <f>IF(ISNUMBER($D16),MAX(0,TODAY()-$D16),"")</f>
        <v/>
      </c>
      <c r="R16" s="19">
        <f>IF(COUNTA($A16:$O16)=0,"",IFERROR(TRIM(TEXTJOIN(" | ",TRUE,IF($A16="","PC kosong",""),IF($C16="","Worker ID kosong",""),IF($D16="","Update Date kosong",IF(NOT(ISNUMBER($D16)),"Update Date bukan tanggal","")),IF($E16="","Song ID YT kosong",""),IF($F16="","Judul kosong",""),IF(TRIM($G16)="","",IF(ISERROR(MATCH(TRIM($G16),{"TuneCore","DistroKid","TooLost","SoundOn","Ditto","Believe","CD Baby","Amuse","Symphonic Distribution","ONErpm","RouteNote","LANDR","Horus Music","Indie"},0)),"Aggregator di luar daftar","")),IF(TRIM($H16)="","Genre kosong",IF((LEN(SUBSTITUTE(SUBSTITUTE(SUBSTITUTE(TRIM($H16),"/",","),";",",")," ",""))-LEN(SUBSTITUTE(SUBSTITUTE(SUBSTITUTE(SUBSTITUTE(TRIM($H16),"/",","),";",","),"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16),"/",","),";",",")," ","")&amp;",")))&lt;&gt;(LEN(SUBSTITUTE(SUBSTITUTE(SUBSTITUTE(TRIM($H16),"/",","),";",",")," ",""))-LEN(SUBSTITUTE(SUBSTITUTE(SUBSTITUTE(SUBSTITUTE(TRIM($H16),"/",","),";",",")," ",""),",",""))+1),"Genre di luar daftar",""))),IF($I16="","Nama Channel kosong",""),IF($J16="","Link Channel kosong",IF(ISERROR(SEARCH("youtu",$J16)),"Link Channel bukan youtube","")),IF($K16="","Link Video kosong",IF(ISERROR(SEARCH("youtu",$K16)),"Link Video bukan youtube","")),IF($L16="","Tgl Dibuat kosong",IF(NOT(ISNUMBER($L16)),"Tgl Dibuat bukan tanggal","")),IF(AND($M16&lt;&gt;"",NOT(ISNUMBER($M16))),"Tgl Publish bukan tanggal",""),IF(AND(ISNUMBER($L16),ISNUMBER($M16),$M16&lt;$L16),"Tgl Publish &lt; Tgl buat",""),IF(TRIM($N16)="","Status kosong",IF(ISERROR(MATCH(TRIM($N16),{"Draft","Menunggu Review","Revisi","Terjadwal","Upload","Publish","Published","Batal"},0)),"Status di luar daftar","")))),""))</f>
        <v/>
      </c>
      <c r="S16" s="17">
        <f>IF(AND($A16&lt;&gt;"",$C16&lt;&gt;""),IF(COUNTIFS($A$2:$A$1000,$A16,$C$2:$C$1000,$C16)&gt;1,"DUPLICAT",""),"")</f>
        <v/>
      </c>
    </row>
    <row r="17">
      <c r="A17" s="12" t="inlineStr">
        <is>
          <t>PC 01</t>
        </is>
      </c>
      <c r="B17" s="12" t="n"/>
      <c r="C17" s="12" t="n"/>
      <c r="D17" s="13" t="n"/>
      <c r="E17" s="12" t="n"/>
      <c r="F17" s="14" t="inlineStr">
        <is>
          <t>DEADLINE BREAKDOWN</t>
        </is>
      </c>
      <c r="G17" s="12" t="inlineStr">
        <is>
          <t>DistroKid</t>
        </is>
      </c>
      <c r="H17" s="12" t="inlineStr">
        <is>
          <t>Jazz</t>
        </is>
      </c>
      <c r="I17" s="12" t="inlineStr">
        <is>
          <t>MOONELLE</t>
        </is>
      </c>
      <c r="J17" s="14" t="n"/>
      <c r="K17" s="14" t="inlineStr">
        <is>
          <t>https://youtu.be/zvyVbevsE3k?si=_ee8YEc2E327Xd-7</t>
        </is>
      </c>
      <c r="L17" s="15" t="n"/>
      <c r="M17" s="15" t="n"/>
      <c r="N17" s="12" t="n"/>
      <c r="O17" s="12" t="n"/>
      <c r="P17" s="16">
        <f>IF(AND(ISNUMBER($L17),ISNUMBER($M17)),MAX(0,$M17-$L17),"")</f>
        <v/>
      </c>
      <c r="Q17" s="16">
        <f>IF(ISNUMBER($D17),MAX(0,TODAY()-$D17),"")</f>
        <v/>
      </c>
      <c r="R17" s="14">
        <f>IF(COUNTA($A17:$O17)=0,"",IFERROR(TRIM(TEXTJOIN(" | ",TRUE,IF($A17="","PC kosong",""),IF($C17="","Worker ID kosong",""),IF($D17="","Update Date kosong",IF(NOT(ISNUMBER($D17)),"Update Date bukan tanggal","")),IF($E17="","Song ID YT kosong",""),IF($F17="","Judul kosong",""),IF(TRIM($G17)="","",IF(ISERROR(MATCH(TRIM($G17),{"TuneCore","DistroKid","TooLost","SoundOn","Ditto","Believe","CD Baby","Amuse","Symphonic Distribution","ONErpm","RouteNote","LANDR","Horus Music","Indie"},0)),"Aggregator di luar daftar","")),IF(TRIM($H17)="","Genre kosong",IF((LEN(SUBSTITUTE(SUBSTITUTE(SUBSTITUTE(TRIM($H17),"/",","),";",",")," ",""))-LEN(SUBSTITUTE(SUBSTITUTE(SUBSTITUTE(SUBSTITUTE(TRIM($H17),"/",","),";",","),"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17),"/",","),";",",")," ","")&amp;",")))&lt;&gt;(LEN(SUBSTITUTE(SUBSTITUTE(SUBSTITUTE(TRIM($H17),"/",","),";",",")," ",""))-LEN(SUBSTITUTE(SUBSTITUTE(SUBSTITUTE(SUBSTITUTE(TRIM($H17),"/",","),";",",")," ",""),",",""))+1),"Genre di luar daftar",""))),IF($I17="","Nama Channel kosong",""),IF($J17="","Link Channel kosong",IF(ISERROR(SEARCH("youtu",$J17)),"Link Channel bukan youtube","")),IF($K17="","Link Video kosong",IF(ISERROR(SEARCH("youtu",$K17)),"Link Video bukan youtube","")),IF($L17="","Tgl Dibuat kosong",IF(NOT(ISNUMBER($L17)),"Tgl Dibuat bukan tanggal","")),IF(AND($M17&lt;&gt;"",NOT(ISNUMBER($M17))),"Tgl Publish bukan tanggal",""),IF(AND(ISNUMBER($L17),ISNUMBER($M17),$M17&lt;$L17),"Tgl Publish &lt; Tgl buat",""),IF(TRIM($N17)="","Status kosong",IF(ISERROR(MATCH(TRIM($N17),{"Draft","Menunggu Review","Revisi","Terjadwal","Upload","Publish","Published","Batal"},0)),"Status di luar daftar","")))),""))</f>
        <v/>
      </c>
      <c r="S17" s="12">
        <f>IF(AND($A17&lt;&gt;"",$C17&lt;&gt;""),IF(COUNTIFS($A$2:$A$1000,$A17,$C$2:$C$1000,$C17)&gt;1,"DUPLICAT",""),"")</f>
        <v/>
      </c>
    </row>
    <row r="18">
      <c r="A18" s="17" t="inlineStr">
        <is>
          <t>PC 01</t>
        </is>
      </c>
      <c r="B18" s="17" t="n"/>
      <c r="C18" s="17" t="n"/>
      <c r="D18" s="18" t="n"/>
      <c r="E18" s="17" t="n"/>
      <c r="F18" s="19" t="inlineStr">
        <is>
          <t>THE SHADOW OG HIS COAT</t>
        </is>
      </c>
      <c r="G18" s="17" t="n"/>
      <c r="H18" s="17" t="n"/>
      <c r="I18" s="17" t="n"/>
      <c r="J18" s="19" t="n"/>
      <c r="K18" s="19" t="n"/>
      <c r="L18" s="20" t="n"/>
      <c r="M18" s="20" t="n"/>
      <c r="N18" s="17" t="n"/>
      <c r="O18" s="17" t="n"/>
      <c r="P18" s="21">
        <f>IF(AND(ISNUMBER($L18),ISNUMBER($M18)),MAX(0,$M18-$L18),"")</f>
        <v/>
      </c>
      <c r="Q18" s="21">
        <f>IF(ISNUMBER($D18),MAX(0,TODAY()-$D18),"")</f>
        <v/>
      </c>
      <c r="R18" s="19">
        <f>IF(COUNTA($A18:$O18)=0,"",IFERROR(TRIM(TEXTJOIN(" | ",TRUE,IF($A18="","PC kosong",""),IF($C18="","Worker ID kosong",""),IF($D18="","Update Date kosong",IF(NOT(ISNUMBER($D18)),"Update Date bukan tanggal","")),IF($E18="","Song ID YT kosong",""),IF($F18="","Judul kosong",""),IF(TRIM($G18)="","",IF(ISERROR(MATCH(TRIM($G18),{"TuneCore","DistroKid","TooLost","SoundOn","Ditto","Believe","CD Baby","Amuse","Symphonic Distribution","ONErpm","RouteNote","LANDR","Horus Music","Indie"},0)),"Aggregator di luar daftar","")),IF(TRIM($H18)="","Genre kosong",IF((LEN(SUBSTITUTE(SUBSTITUTE(SUBSTITUTE(TRIM($H18),"/",","),";",",")," ",""))-LEN(SUBSTITUTE(SUBSTITUTE(SUBSTITUTE(SUBSTITUTE(TRIM($H18),"/",","),";",","),"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18),"/",","),";",",")," ","")&amp;",")))&lt;&gt;(LEN(SUBSTITUTE(SUBSTITUTE(SUBSTITUTE(TRIM($H18),"/",","),";",",")," ",""))-LEN(SUBSTITUTE(SUBSTITUTE(SUBSTITUTE(SUBSTITUTE(TRIM($H18),"/",","),";",",")," ",""),",",""))+1),"Genre di luar daftar",""))),IF($I18="","Nama Channel kosong",""),IF($J18="","Link Channel kosong",IF(ISERROR(SEARCH("youtu",$J18)),"Link Channel bukan youtube","")),IF($K18="","Link Video kosong",IF(ISERROR(SEARCH("youtu",$K18)),"Link Video bukan youtube","")),IF($L18="","Tgl Dibuat kosong",IF(NOT(ISNUMBER($L18)),"Tgl Dibuat bukan tanggal","")),IF(AND($M18&lt;&gt;"",NOT(ISNUMBER($M18))),"Tgl Publish bukan tanggal",""),IF(AND(ISNUMBER($L18),ISNUMBER($M18),$M18&lt;$L18),"Tgl Publish &lt; Tgl buat",""),IF(TRIM($N18)="","Status kosong",IF(ISERROR(MATCH(TRIM($N18),{"Draft","Menunggu Review","Revisi","Terjadwal","Upload","Publish","Published","Batal"},0)),"Status di luar daftar","")))),""))</f>
        <v/>
      </c>
      <c r="S18" s="17">
        <f>IF(AND($A18&lt;&gt;"",$C18&lt;&gt;""),IF(COUNTIFS($A$2:$A$1000,$A18,$C$2:$C$1000,$C18)&gt;1,"DUPLICAT",""),"")</f>
        <v/>
      </c>
    </row>
    <row r="19">
      <c r="A19" s="12" t="inlineStr">
        <is>
          <t>PC 01</t>
        </is>
      </c>
      <c r="B19" s="12" t="n"/>
      <c r="C19" s="12" t="n"/>
      <c r="D19" s="13" t="n"/>
      <c r="E19" s="12" t="n"/>
      <c r="F19" s="14" t="inlineStr">
        <is>
          <t>SALTY BREEZE AND AZURE DREAMS</t>
        </is>
      </c>
      <c r="G19" s="12" t="n"/>
      <c r="H19" s="12" t="n"/>
      <c r="I19" s="12" t="n"/>
      <c r="J19" s="14" t="n"/>
      <c r="K19" s="14" t="n"/>
      <c r="L19" s="15" t="n"/>
      <c r="M19" s="15" t="n"/>
      <c r="N19" s="12" t="n"/>
      <c r="O19" s="12" t="n"/>
      <c r="P19" s="16">
        <f>IF(AND(ISNUMBER($L19),ISNUMBER($M19)),MAX(0,$M19-$L19),"")</f>
        <v/>
      </c>
      <c r="Q19" s="16">
        <f>IF(ISNUMBER($D19),MAX(0,TODAY()-$D19),"")</f>
        <v/>
      </c>
      <c r="R19" s="14">
        <f>IF(COUNTA($A19:$O19)=0,"",IFERROR(TRIM(TEXTJOIN(" | ",TRUE,IF($A19="","PC kosong",""),IF($C19="","Worker ID kosong",""),IF($D19="","Update Date kosong",IF(NOT(ISNUMBER($D19)),"Update Date bukan tanggal","")),IF($E19="","Song ID YT kosong",""),IF($F19="","Judul kosong",""),IF(TRIM($G19)="","",IF(ISERROR(MATCH(TRIM($G19),{"TuneCore","DistroKid","TooLost","SoundOn","Ditto","Believe","CD Baby","Amuse","Symphonic Distribution","ONErpm","RouteNote","LANDR","Horus Music","Indie"},0)),"Aggregator di luar daftar","")),IF(TRIM($H19)="","Genre kosong",IF((LEN(SUBSTITUTE(SUBSTITUTE(SUBSTITUTE(TRIM($H19),"/",","),";",",")," ",""))-LEN(SUBSTITUTE(SUBSTITUTE(SUBSTITUTE(SUBSTITUTE(TRIM($H19),"/",","),";",","),"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19),"/",","),";",",")," ","")&amp;",")))&lt;&gt;(LEN(SUBSTITUTE(SUBSTITUTE(SUBSTITUTE(TRIM($H19),"/",","),";",",")," ",""))-LEN(SUBSTITUTE(SUBSTITUTE(SUBSTITUTE(SUBSTITUTE(TRIM($H19),"/",","),";",",")," ",""),",",""))+1),"Genre di luar daftar",""))),IF($I19="","Nama Channel kosong",""),IF($J19="","Link Channel kosong",IF(ISERROR(SEARCH("youtu",$J19)),"Link Channel bukan youtube","")),IF($K19="","Link Video kosong",IF(ISERROR(SEARCH("youtu",$K19)),"Link Video bukan youtube","")),IF($L19="","Tgl Dibuat kosong",IF(NOT(ISNUMBER($L19)),"Tgl Dibuat bukan tanggal","")),IF(AND($M19&lt;&gt;"",NOT(ISNUMBER($M19))),"Tgl Publish bukan tanggal",""),IF(AND(ISNUMBER($L19),ISNUMBER($M19),$M19&lt;$L19),"Tgl Publish &lt; Tgl buat",""),IF(TRIM($N19)="","Status kosong",IF(ISERROR(MATCH(TRIM($N19),{"Draft","Menunggu Review","Revisi","Terjadwal","Upload","Publish","Published","Batal"},0)),"Status di luar daftar","")))),""))</f>
        <v/>
      </c>
      <c r="S19" s="12">
        <f>IF(AND($A19&lt;&gt;"",$C19&lt;&gt;""),IF(COUNTIFS($A$2:$A$1000,$A19,$C$2:$C$1000,$C19)&gt;1,"DUPLICAT",""),"")</f>
        <v/>
      </c>
    </row>
    <row r="20">
      <c r="A20" s="17" t="inlineStr">
        <is>
          <t>PC 01</t>
        </is>
      </c>
      <c r="B20" s="17" t="n"/>
      <c r="C20" s="17" t="n"/>
      <c r="D20" s="18" t="n"/>
      <c r="E20" s="17" t="n"/>
      <c r="F20" s="19" t="inlineStr">
        <is>
          <t>SIDE BY SIDE</t>
        </is>
      </c>
      <c r="G20" s="17" t="n"/>
      <c r="H20" s="17" t="n"/>
      <c r="I20" s="17" t="n"/>
      <c r="J20" s="19" t="n"/>
      <c r="K20" s="19" t="n"/>
      <c r="L20" s="20" t="n"/>
      <c r="M20" s="20" t="n"/>
      <c r="N20" s="17" t="n"/>
      <c r="O20" s="17" t="n"/>
      <c r="P20" s="21">
        <f>IF(AND(ISNUMBER($L20),ISNUMBER($M20)),MAX(0,$M20-$L20),"")</f>
        <v/>
      </c>
      <c r="Q20" s="21">
        <f>IF(ISNUMBER($D20),MAX(0,TODAY()-$D20),"")</f>
        <v/>
      </c>
      <c r="R20" s="19">
        <f>IF(COUNTA($A20:$O20)=0,"",IFERROR(TRIM(TEXTJOIN(" | ",TRUE,IF($A20="","PC kosong",""),IF($C20="","Worker ID kosong",""),IF($D20="","Update Date kosong",IF(NOT(ISNUMBER($D20)),"Update Date bukan tanggal","")),IF($E20="","Song ID YT kosong",""),IF($F20="","Judul kosong",""),IF(TRIM($G20)="","",IF(ISERROR(MATCH(TRIM($G20),{"TuneCore","DistroKid","TooLost","SoundOn","Ditto","Believe","CD Baby","Amuse","Symphonic Distribution","ONErpm","RouteNote","LANDR","Horus Music","Indie"},0)),"Aggregator di luar daftar","")),IF(TRIM($H20)="","Genre kosong",IF((LEN(SUBSTITUTE(SUBSTITUTE(SUBSTITUTE(TRIM($H20),"/",","),";",",")," ",""))-LEN(SUBSTITUTE(SUBSTITUTE(SUBSTITUTE(SUBSTITUTE(TRIM($H20),"/",","),";",","),"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20),"/",","),";",",")," ","")&amp;",")))&lt;&gt;(LEN(SUBSTITUTE(SUBSTITUTE(SUBSTITUTE(TRIM($H20),"/",","),";",",")," ",""))-LEN(SUBSTITUTE(SUBSTITUTE(SUBSTITUTE(SUBSTITUTE(TRIM($H20),"/",","),";",",")," ",""),",",""))+1),"Genre di luar daftar",""))),IF($I20="","Nama Channel kosong",""),IF($J20="","Link Channel kosong",IF(ISERROR(SEARCH("youtu",$J20)),"Link Channel bukan youtube","")),IF($K20="","Link Video kosong",IF(ISERROR(SEARCH("youtu",$K20)),"Link Video bukan youtube","")),IF($L20="","Tgl Dibuat kosong",IF(NOT(ISNUMBER($L20)),"Tgl Dibuat bukan tanggal","")),IF(AND($M20&lt;&gt;"",NOT(ISNUMBER($M20))),"Tgl Publish bukan tanggal",""),IF(AND(ISNUMBER($L20),ISNUMBER($M20),$M20&lt;$L20),"Tgl Publish &lt; Tgl buat",""),IF(TRIM($N20)="","Status kosong",IF(ISERROR(MATCH(TRIM($N20),{"Draft","Menunggu Review","Revisi","Terjadwal","Upload","Publish","Published","Batal"},0)),"Status di luar daftar","")))),""))</f>
        <v/>
      </c>
      <c r="S20" s="17">
        <f>IF(AND($A20&lt;&gt;"",$C20&lt;&gt;""),IF(COUNTIFS($A$2:$A$1000,$A20,$C$2:$C$1000,$C20)&gt;1,"DUPLICAT",""),"")</f>
        <v/>
      </c>
    </row>
    <row r="21">
      <c r="A21" s="12" t="inlineStr">
        <is>
          <t>PC 01</t>
        </is>
      </c>
      <c r="B21" s="12" t="n"/>
      <c r="C21" s="12" t="n"/>
      <c r="D21" s="13" t="n"/>
      <c r="E21" s="12" t="n"/>
      <c r="F21" s="14" t="inlineStr">
        <is>
          <t>CHASINGA FTER YOU</t>
        </is>
      </c>
      <c r="G21" s="12" t="n"/>
      <c r="H21" s="12" t="n"/>
      <c r="I21" s="12" t="n"/>
      <c r="J21" s="14" t="n"/>
      <c r="K21" s="14" t="n"/>
      <c r="L21" s="15" t="n"/>
      <c r="M21" s="15" t="n"/>
      <c r="N21" s="12" t="n"/>
      <c r="O21" s="12" t="n"/>
      <c r="P21" s="16">
        <f>IF(AND(ISNUMBER($L21),ISNUMBER($M21)),MAX(0,$M21-$L21),"")</f>
        <v/>
      </c>
      <c r="Q21" s="16">
        <f>IF(ISNUMBER($D21),MAX(0,TODAY()-$D21),"")</f>
        <v/>
      </c>
      <c r="R21" s="14">
        <f>IF(COUNTA($A21:$O21)=0,"",IFERROR(TRIM(TEXTJOIN(" | ",TRUE,IF($A21="","PC kosong",""),IF($C21="","Worker ID kosong",""),IF($D21="","Update Date kosong",IF(NOT(ISNUMBER($D21)),"Update Date bukan tanggal","")),IF($E21="","Song ID YT kosong",""),IF($F21="","Judul kosong",""),IF(TRIM($G21)="","",IF(ISERROR(MATCH(TRIM($G21),{"TuneCore","DistroKid","TooLost","SoundOn","Ditto","Believe","CD Baby","Amuse","Symphonic Distribution","ONErpm","RouteNote","LANDR","Horus Music","Indie"},0)),"Aggregator di luar daftar","")),IF(TRIM($H21)="","Genre kosong",IF((LEN(SUBSTITUTE(SUBSTITUTE(SUBSTITUTE(TRIM($H21),"/",","),";",",")," ",""))-LEN(SUBSTITUTE(SUBSTITUTE(SUBSTITUTE(SUBSTITUTE(TRIM($H21),"/",","),";",","),"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21),"/",","),";",",")," ","")&amp;",")))&lt;&gt;(LEN(SUBSTITUTE(SUBSTITUTE(SUBSTITUTE(TRIM($H21),"/",","),";",",")," ",""))-LEN(SUBSTITUTE(SUBSTITUTE(SUBSTITUTE(SUBSTITUTE(TRIM($H21),"/",","),";",",")," ",""),",",""))+1),"Genre di luar daftar",""))),IF($I21="","Nama Channel kosong",""),IF($J21="","Link Channel kosong",IF(ISERROR(SEARCH("youtu",$J21)),"Link Channel bukan youtube","")),IF($K21="","Link Video kosong",IF(ISERROR(SEARCH("youtu",$K21)),"Link Video bukan youtube","")),IF($L21="","Tgl Dibuat kosong",IF(NOT(ISNUMBER($L21)),"Tgl Dibuat bukan tanggal","")),IF(AND($M21&lt;&gt;"",NOT(ISNUMBER($M21))),"Tgl Publish bukan tanggal",""),IF(AND(ISNUMBER($L21),ISNUMBER($M21),$M21&lt;$L21),"Tgl Publish &lt; Tgl buat",""),IF(TRIM($N21)="","Status kosong",IF(ISERROR(MATCH(TRIM($N21),{"Draft","Menunggu Review","Revisi","Terjadwal","Upload","Publish","Published","Batal"},0)),"Status di luar daftar","")))),""))</f>
        <v/>
      </c>
      <c r="S21" s="12">
        <f>IF(AND($A21&lt;&gt;"",$C21&lt;&gt;""),IF(COUNTIFS($A$2:$A$1000,$A21,$C$2:$C$1000,$C21)&gt;1,"DUPLICAT",""),"")</f>
        <v/>
      </c>
    </row>
    <row r="22">
      <c r="A22" s="17" t="inlineStr">
        <is>
          <t>PC 09</t>
        </is>
      </c>
      <c r="B22" s="17" t="n"/>
      <c r="C22" s="17" t="inlineStr">
        <is>
          <t>PC18-0001</t>
        </is>
      </c>
      <c r="D22" s="18" t="n">
        <v>46318</v>
      </c>
      <c r="E22" s="17" t="inlineStr">
        <is>
          <t>W18 -23102026-001</t>
        </is>
      </c>
      <c r="F22" s="19" t="inlineStr">
        <is>
          <t>Borrowed Library Silence</t>
        </is>
      </c>
      <c r="G22" s="17" t="inlineStr">
        <is>
          <t>TuneCore</t>
        </is>
      </c>
      <c r="H22" s="17" t="inlineStr">
        <is>
          <t>Pop</t>
        </is>
      </c>
      <c r="I22" s="17" t="inlineStr">
        <is>
          <t>Kade Valen</t>
        </is>
      </c>
      <c r="J22" s="19" t="inlineStr">
        <is>
          <t>https://www.youtube.com/@KadeValen</t>
        </is>
      </c>
      <c r="K22" s="19" t="inlineStr">
        <is>
          <t>https://youtu.be/2jFFvQX0pNo?si=Wbs7qnbUcStGSg5i</t>
        </is>
      </c>
      <c r="L22" s="20" t="n">
        <v>46304</v>
      </c>
      <c r="M22" s="20" t="n">
        <v>46311</v>
      </c>
      <c r="N22" s="17" t="inlineStr">
        <is>
          <t>Published</t>
        </is>
      </c>
      <c r="O22" s="17" t="n"/>
      <c r="P22" s="21">
        <f>IF(AND(ISNUMBER($L22),ISNUMBER($M22)),MAX(0,$M22-$L22),"")</f>
        <v/>
      </c>
      <c r="Q22" s="21">
        <f>IF(ISNUMBER($D22),MAX(0,TODAY()-$D22),"")</f>
        <v/>
      </c>
      <c r="R22" s="19">
        <f>IF(COUNTA($A22:$O22)=0,"",IFERROR(TRIM(TEXTJOIN(" | ",TRUE,IF($A22="","PC kosong",""),IF($C22="","Worker ID kosong",""),IF($D22="","Update Date kosong",IF(NOT(ISNUMBER($D22)),"Update Date bukan tanggal","")),IF($E22="","Song ID YT kosong",""),IF($F22="","Judul kosong",""),IF(TRIM($G22)="","",IF(ISERROR(MATCH(TRIM($G22),{"TuneCore","DistroKid","TooLost","SoundOn","Ditto","Believe","CD Baby","Amuse","Symphonic Distribution","ONErpm","RouteNote","LANDR","Horus Music","Indie"},0)),"Aggregator di luar daftar","")),IF(TRIM($H22)="","Genre kosong",IF((LEN(SUBSTITUTE(SUBSTITUTE(SUBSTITUTE(TRIM($H22),"/",","),";",",")," ",""))-LEN(SUBSTITUTE(SUBSTITUTE(SUBSTITUTE(SUBSTITUTE(TRIM($H22),"/",","),";",","),"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22),"/",","),";",",")," ","")&amp;",")))&lt;&gt;(LEN(SUBSTITUTE(SUBSTITUTE(SUBSTITUTE(TRIM($H22),"/",","),";",",")," ",""))-LEN(SUBSTITUTE(SUBSTITUTE(SUBSTITUTE(SUBSTITUTE(TRIM($H22),"/",","),";",",")," ",""),",",""))+1),"Genre di luar daftar",""))),IF($I22="","Nama Channel kosong",""),IF($J22="","Link Channel kosong",IF(ISERROR(SEARCH("youtu",$J22)),"Link Channel bukan youtube","")),IF($K22="","Link Video kosong",IF(ISERROR(SEARCH("youtu",$K22)),"Link Video bukan youtube","")),IF($L22="","Tgl Dibuat kosong",IF(NOT(ISNUMBER($L22)),"Tgl Dibuat bukan tanggal","")),IF(AND($M22&lt;&gt;"",NOT(ISNUMBER($M22))),"Tgl Publish bukan tanggal",""),IF(AND(ISNUMBER($L22),ISNUMBER($M22),$M22&lt;$L22),"Tgl Publish &lt; Tgl buat",""),IF(TRIM($N22)="","Status kosong",IF(ISERROR(MATCH(TRIM($N22),{"Draft","Menunggu Review","Revisi","Terjadwal","Upload","Publish","Published","Batal"},0)),"Status di luar daftar","")))),""))</f>
        <v/>
      </c>
      <c r="S22" s="17">
        <f>IF(AND($A22&lt;&gt;"",$C22&lt;&gt;""),IF(COUNTIFS($A$2:$A$1000,$A22,$C$2:$C$1000,$C22)&gt;1,"DUPLICAT",""),"")</f>
        <v/>
      </c>
    </row>
    <row r="23">
      <c r="A23" s="12" t="inlineStr">
        <is>
          <t>PC 09</t>
        </is>
      </c>
      <c r="B23" s="12" t="n"/>
      <c r="C23" s="12" t="inlineStr">
        <is>
          <t>PC18-0002</t>
        </is>
      </c>
      <c r="D23" s="13" t="n">
        <v>46318</v>
      </c>
      <c r="E23" s="12" t="inlineStr">
        <is>
          <t>W18 -23102026-002</t>
        </is>
      </c>
      <c r="F23" s="14" t="inlineStr">
        <is>
          <t>An Apology from Next Tuesday</t>
        </is>
      </c>
      <c r="G23" s="12" t="inlineStr">
        <is>
          <t>TuneCore</t>
        </is>
      </c>
      <c r="H23" s="12" t="inlineStr">
        <is>
          <t>Pop</t>
        </is>
      </c>
      <c r="I23" s="12" t="inlineStr">
        <is>
          <t>Kade Valen</t>
        </is>
      </c>
      <c r="J23" s="14" t="inlineStr">
        <is>
          <t>https://www.youtube.com/@KadeValen</t>
        </is>
      </c>
      <c r="K23" s="14" t="inlineStr">
        <is>
          <t>https://youtu.be/dThJRAp80q4?si=eyncqnNYapdvYNvL</t>
        </is>
      </c>
      <c r="L23" s="15" t="n">
        <v>46304</v>
      </c>
      <c r="M23" s="15" t="n">
        <v>46314</v>
      </c>
      <c r="N23" s="12" t="inlineStr">
        <is>
          <t>Published</t>
        </is>
      </c>
      <c r="O23" s="12" t="n"/>
      <c r="P23" s="16">
        <f>IF(AND(ISNUMBER($L23),ISNUMBER($M23)),MAX(0,$M23-$L23),"")</f>
        <v/>
      </c>
      <c r="Q23" s="16">
        <f>IF(ISNUMBER($D23),MAX(0,TODAY()-$D23),"")</f>
        <v/>
      </c>
      <c r="R23" s="14">
        <f>IF(COUNTA($A23:$O23)=0,"",IFERROR(TRIM(TEXTJOIN(" | ",TRUE,IF($A23="","PC kosong",""),IF($C23="","Worker ID kosong",""),IF($D23="","Update Date kosong",IF(NOT(ISNUMBER($D23)),"Update Date bukan tanggal","")),IF($E23="","Song ID YT kosong",""),IF($F23="","Judul kosong",""),IF(TRIM($G23)="","",IF(ISERROR(MATCH(TRIM($G23),{"TuneCore","DistroKid","TooLost","SoundOn","Ditto","Believe","CD Baby","Amuse","Symphonic Distribution","ONErpm","RouteNote","LANDR","Horus Music","Indie"},0)),"Aggregator di luar daftar","")),IF(TRIM($H23)="","Genre kosong",IF((LEN(SUBSTITUTE(SUBSTITUTE(SUBSTITUTE(TRIM($H23),"/",","),";",",")," ",""))-LEN(SUBSTITUTE(SUBSTITUTE(SUBSTITUTE(SUBSTITUTE(TRIM($H23),"/",","),";",","),"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23),"/",","),";",",")," ","")&amp;",")))&lt;&gt;(LEN(SUBSTITUTE(SUBSTITUTE(SUBSTITUTE(TRIM($H23),"/",","),";",",")," ",""))-LEN(SUBSTITUTE(SUBSTITUTE(SUBSTITUTE(SUBSTITUTE(TRIM($H23),"/",","),";",",")," ",""),",",""))+1),"Genre di luar daftar",""))),IF($I23="","Nama Channel kosong",""),IF($J23="","Link Channel kosong",IF(ISERROR(SEARCH("youtu",$J23)),"Link Channel bukan youtube","")),IF($K23="","Link Video kosong",IF(ISERROR(SEARCH("youtu",$K23)),"Link Video bukan youtube","")),IF($L23="","Tgl Dibuat kosong",IF(NOT(ISNUMBER($L23)),"Tgl Dibuat bukan tanggal","")),IF(AND($M23&lt;&gt;"",NOT(ISNUMBER($M23))),"Tgl Publish bukan tanggal",""),IF(AND(ISNUMBER($L23),ISNUMBER($M23),$M23&lt;$L23),"Tgl Publish &lt; Tgl buat",""),IF(TRIM($N23)="","Status kosong",IF(ISERROR(MATCH(TRIM($N23),{"Draft","Menunggu Review","Revisi","Terjadwal","Upload","Publish","Published","Batal"},0)),"Status di luar daftar","")))),""))</f>
        <v/>
      </c>
      <c r="S23" s="12">
        <f>IF(AND($A23&lt;&gt;"",$C23&lt;&gt;""),IF(COUNTIFS($A$2:$A$1000,$A23,$C$2:$C$1000,$C23)&gt;1,"DUPLICAT",""),"")</f>
        <v/>
      </c>
    </row>
    <row r="24">
      <c r="A24" s="17" t="inlineStr">
        <is>
          <t>PC 09</t>
        </is>
      </c>
      <c r="B24" s="17" t="n"/>
      <c r="C24" s="17" t="inlineStr">
        <is>
          <t>PC18-0003</t>
        </is>
      </c>
      <c r="D24" s="18" t="n">
        <v>46318</v>
      </c>
      <c r="E24" s="17" t="inlineStr">
        <is>
          <t>W18 -23102026-003</t>
        </is>
      </c>
      <c r="F24" s="19" t="inlineStr">
        <is>
          <t>Honest Mistake</t>
        </is>
      </c>
      <c r="G24" s="17" t="inlineStr">
        <is>
          <t>TuneCore</t>
        </is>
      </c>
      <c r="H24" s="17" t="inlineStr">
        <is>
          <t>Pop</t>
        </is>
      </c>
      <c r="I24" s="17" t="inlineStr">
        <is>
          <t>Kade Valen</t>
        </is>
      </c>
      <c r="J24" s="19" t="inlineStr">
        <is>
          <t>https://www.youtube.com/@KadeValen</t>
        </is>
      </c>
      <c r="K24" s="19" t="inlineStr">
        <is>
          <t>https://youtu.be/8qZ9g0PENVU?si=bOOwn_UrvTb-IjZL</t>
        </is>
      </c>
      <c r="L24" s="20" t="n">
        <v>46304</v>
      </c>
      <c r="M24" s="20" t="n">
        <v>46314</v>
      </c>
      <c r="N24" s="17" t="inlineStr">
        <is>
          <t>Published</t>
        </is>
      </c>
      <c r="O24" s="17" t="n"/>
      <c r="P24" s="21">
        <f>IF(AND(ISNUMBER($L24),ISNUMBER($M24)),MAX(0,$M24-$L24),"")</f>
        <v/>
      </c>
      <c r="Q24" s="21">
        <f>IF(ISNUMBER($D24),MAX(0,TODAY()-$D24),"")</f>
        <v/>
      </c>
      <c r="R24" s="19">
        <f>IF(COUNTA($A24:$O24)=0,"",IFERROR(TRIM(TEXTJOIN(" | ",TRUE,IF($A24="","PC kosong",""),IF($C24="","Worker ID kosong",""),IF($D24="","Update Date kosong",IF(NOT(ISNUMBER($D24)),"Update Date bukan tanggal","")),IF($E24="","Song ID YT kosong",""),IF($F24="","Judul kosong",""),IF(TRIM($G24)="","",IF(ISERROR(MATCH(TRIM($G24),{"TuneCore","DistroKid","TooLost","SoundOn","Ditto","Believe","CD Baby","Amuse","Symphonic Distribution","ONErpm","RouteNote","LANDR","Horus Music","Indie"},0)),"Aggregator di luar daftar","")),IF(TRIM($H24)="","Genre kosong",IF((LEN(SUBSTITUTE(SUBSTITUTE(SUBSTITUTE(TRIM($H24),"/",","),";",",")," ",""))-LEN(SUBSTITUTE(SUBSTITUTE(SUBSTITUTE(SUBSTITUTE(TRIM($H24),"/",","),";",","),"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24),"/",","),";",",")," ","")&amp;",")))&lt;&gt;(LEN(SUBSTITUTE(SUBSTITUTE(SUBSTITUTE(TRIM($H24),"/",","),";",",")," ",""))-LEN(SUBSTITUTE(SUBSTITUTE(SUBSTITUTE(SUBSTITUTE(TRIM($H24),"/",","),";",",")," ",""),",",""))+1),"Genre di luar daftar",""))),IF($I24="","Nama Channel kosong",""),IF($J24="","Link Channel kosong",IF(ISERROR(SEARCH("youtu",$J24)),"Link Channel bukan youtube","")),IF($K24="","Link Video kosong",IF(ISERROR(SEARCH("youtu",$K24)),"Link Video bukan youtube","")),IF($L24="","Tgl Dibuat kosong",IF(NOT(ISNUMBER($L24)),"Tgl Dibuat bukan tanggal","")),IF(AND($M24&lt;&gt;"",NOT(ISNUMBER($M24))),"Tgl Publish bukan tanggal",""),IF(AND(ISNUMBER($L24),ISNUMBER($M24),$M24&lt;$L24),"Tgl Publish &lt; Tgl buat",""),IF(TRIM($N24)="","Status kosong",IF(ISERROR(MATCH(TRIM($N24),{"Draft","Menunggu Review","Revisi","Terjadwal","Upload","Publish","Published","Batal"},0)),"Status di luar daftar","")))),""))</f>
        <v/>
      </c>
      <c r="S24" s="17">
        <f>IF(AND($A24&lt;&gt;"",$C24&lt;&gt;""),IF(COUNTIFS($A$2:$A$1000,$A24,$C$2:$C$1000,$C24)&gt;1,"DUPLICAT",""),"")</f>
        <v/>
      </c>
    </row>
    <row r="25">
      <c r="A25" s="12" t="inlineStr">
        <is>
          <t>PC 09</t>
        </is>
      </c>
      <c r="B25" s="12" t="n"/>
      <c r="C25" s="12" t="inlineStr">
        <is>
          <t>PC18-0004</t>
        </is>
      </c>
      <c r="D25" s="13" t="n">
        <v>46318</v>
      </c>
      <c r="E25" s="12" t="inlineStr">
        <is>
          <t>W18 -23102026-004</t>
        </is>
      </c>
      <c r="F25" s="14" t="inlineStr">
        <is>
          <t>Common Ground</t>
        </is>
      </c>
      <c r="G25" s="12" t="inlineStr">
        <is>
          <t>TuneCore</t>
        </is>
      </c>
      <c r="H25" s="12" t="inlineStr">
        <is>
          <t>Pop</t>
        </is>
      </c>
      <c r="I25" s="12" t="inlineStr">
        <is>
          <t>Kade Valen</t>
        </is>
      </c>
      <c r="J25" s="14" t="inlineStr">
        <is>
          <t>https://www.youtube.com/@KadeValen</t>
        </is>
      </c>
      <c r="K25" s="14" t="inlineStr">
        <is>
          <t>https://youtu.be/uFvUzYAzGv4?si=96iq0yXAxXWXRbcK</t>
        </is>
      </c>
      <c r="L25" s="15" t="n">
        <v>46304</v>
      </c>
      <c r="M25" s="15" t="n">
        <v>46314</v>
      </c>
      <c r="N25" s="12" t="inlineStr">
        <is>
          <t>Published</t>
        </is>
      </c>
      <c r="O25" s="12" t="n"/>
      <c r="P25" s="16">
        <f>IF(AND(ISNUMBER($L25),ISNUMBER($M25)),MAX(0,$M25-$L25),"")</f>
        <v/>
      </c>
      <c r="Q25" s="16">
        <f>IF(ISNUMBER($D25),MAX(0,TODAY()-$D25),"")</f>
        <v/>
      </c>
      <c r="R25" s="14">
        <f>IF(COUNTA($A25:$O25)=0,"",IFERROR(TRIM(TEXTJOIN(" | ",TRUE,IF($A25="","PC kosong",""),IF($C25="","Worker ID kosong",""),IF($D25="","Update Date kosong",IF(NOT(ISNUMBER($D25)),"Update Date bukan tanggal","")),IF($E25="","Song ID YT kosong",""),IF($F25="","Judul kosong",""),IF(TRIM($G25)="","",IF(ISERROR(MATCH(TRIM($G25),{"TuneCore","DistroKid","TooLost","SoundOn","Ditto","Believe","CD Baby","Amuse","Symphonic Distribution","ONErpm","RouteNote","LANDR","Horus Music","Indie"},0)),"Aggregator di luar daftar","")),IF(TRIM($H25)="","Genre kosong",IF((LEN(SUBSTITUTE(SUBSTITUTE(SUBSTITUTE(TRIM($H25),"/",","),";",",")," ",""))-LEN(SUBSTITUTE(SUBSTITUTE(SUBSTITUTE(SUBSTITUTE(TRIM($H25),"/",","),";",","),"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25),"/",","),";",",")," ","")&amp;",")))&lt;&gt;(LEN(SUBSTITUTE(SUBSTITUTE(SUBSTITUTE(TRIM($H25),"/",","),";",",")," ",""))-LEN(SUBSTITUTE(SUBSTITUTE(SUBSTITUTE(SUBSTITUTE(TRIM($H25),"/",","),";",",")," ",""),",",""))+1),"Genre di luar daftar",""))),IF($I25="","Nama Channel kosong",""),IF($J25="","Link Channel kosong",IF(ISERROR(SEARCH("youtu",$J25)),"Link Channel bukan youtube","")),IF($K25="","Link Video kosong",IF(ISERROR(SEARCH("youtu",$K25)),"Link Video bukan youtube","")),IF($L25="","Tgl Dibuat kosong",IF(NOT(ISNUMBER($L25)),"Tgl Dibuat bukan tanggal","")),IF(AND($M25&lt;&gt;"",NOT(ISNUMBER($M25))),"Tgl Publish bukan tanggal",""),IF(AND(ISNUMBER($L25),ISNUMBER($M25),$M25&lt;$L25),"Tgl Publish &lt; Tgl buat",""),IF(TRIM($N25)="","Status kosong",IF(ISERROR(MATCH(TRIM($N25),{"Draft","Menunggu Review","Revisi","Terjadwal","Upload","Publish","Published","Batal"},0)),"Status di luar daftar","")))),""))</f>
        <v/>
      </c>
      <c r="S25" s="12">
        <f>IF(AND($A25&lt;&gt;"",$C25&lt;&gt;""),IF(COUNTIFS($A$2:$A$1000,$A25,$C$2:$C$1000,$C25)&gt;1,"DUPLICAT",""),"")</f>
        <v/>
      </c>
    </row>
    <row r="26">
      <c r="A26" s="17" t="inlineStr">
        <is>
          <t>PC 09</t>
        </is>
      </c>
      <c r="B26" s="17" t="n"/>
      <c r="C26" s="17" t="inlineStr">
        <is>
          <t>PC18-0005</t>
        </is>
      </c>
      <c r="D26" s="18" t="n">
        <v>46318</v>
      </c>
      <c r="E26" s="17" t="inlineStr">
        <is>
          <t>W18 -23102026-005</t>
        </is>
      </c>
      <c r="F26" s="19" t="inlineStr">
        <is>
          <t>Gravity Well</t>
        </is>
      </c>
      <c r="G26" s="17" t="inlineStr">
        <is>
          <t>TuneCore</t>
        </is>
      </c>
      <c r="H26" s="17" t="inlineStr">
        <is>
          <t>Pop</t>
        </is>
      </c>
      <c r="I26" s="17" t="inlineStr">
        <is>
          <t>Kade Valen</t>
        </is>
      </c>
      <c r="J26" s="19" t="inlineStr">
        <is>
          <t>https://www.youtube.com/@KadeValen</t>
        </is>
      </c>
      <c r="K26" s="19" t="inlineStr">
        <is>
          <t>https://youtu.be/x8ox5nPhrP4?si=lBvl3FPxmRjrMc1l</t>
        </is>
      </c>
      <c r="L26" s="20" t="n">
        <v>46304</v>
      </c>
      <c r="M26" s="20" t="n">
        <v>46314</v>
      </c>
      <c r="N26" s="17" t="inlineStr">
        <is>
          <t>Published</t>
        </is>
      </c>
      <c r="O26" s="17" t="n"/>
      <c r="P26" s="21">
        <f>IF(AND(ISNUMBER($L26),ISNUMBER($M26)),MAX(0,$M26-$L26),"")</f>
        <v/>
      </c>
      <c r="Q26" s="21">
        <f>IF(ISNUMBER($D26),MAX(0,TODAY()-$D26),"")</f>
        <v/>
      </c>
      <c r="R26" s="19">
        <f>IF(COUNTA($A26:$O26)=0,"",IFERROR(TRIM(TEXTJOIN(" | ",TRUE,IF($A26="","PC kosong",""),IF($C26="","Worker ID kosong",""),IF($D26="","Update Date kosong",IF(NOT(ISNUMBER($D26)),"Update Date bukan tanggal","")),IF($E26="","Song ID YT kosong",""),IF($F26="","Judul kosong",""),IF(TRIM($G26)="","",IF(ISERROR(MATCH(TRIM($G26),{"TuneCore","DistroKid","TooLost","SoundOn","Ditto","Believe","CD Baby","Amuse","Symphonic Distribution","ONErpm","RouteNote","LANDR","Horus Music","Indie"},0)),"Aggregator di luar daftar","")),IF(TRIM($H26)="","Genre kosong",IF((LEN(SUBSTITUTE(SUBSTITUTE(SUBSTITUTE(TRIM($H26),"/",","),";",",")," ",""))-LEN(SUBSTITUTE(SUBSTITUTE(SUBSTITUTE(SUBSTITUTE(TRIM($H26),"/",","),";",","),"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26),"/",","),";",",")," ","")&amp;",")))&lt;&gt;(LEN(SUBSTITUTE(SUBSTITUTE(SUBSTITUTE(TRIM($H26),"/",","),";",",")," ",""))-LEN(SUBSTITUTE(SUBSTITUTE(SUBSTITUTE(SUBSTITUTE(TRIM($H26),"/",","),";",",")," ",""),",",""))+1),"Genre di luar daftar",""))),IF($I26="","Nama Channel kosong",""),IF($J26="","Link Channel kosong",IF(ISERROR(SEARCH("youtu",$J26)),"Link Channel bukan youtube","")),IF($K26="","Link Video kosong",IF(ISERROR(SEARCH("youtu",$K26)),"Link Video bukan youtube","")),IF($L26="","Tgl Dibuat kosong",IF(NOT(ISNUMBER($L26)),"Tgl Dibuat bukan tanggal","")),IF(AND($M26&lt;&gt;"",NOT(ISNUMBER($M26))),"Tgl Publish bukan tanggal",""),IF(AND(ISNUMBER($L26),ISNUMBER($M26),$M26&lt;$L26),"Tgl Publish &lt; Tgl buat",""),IF(TRIM($N26)="","Status kosong",IF(ISERROR(MATCH(TRIM($N26),{"Draft","Menunggu Review","Revisi","Terjadwal","Upload","Publish","Published","Batal"},0)),"Status di luar daftar","")))),""))</f>
        <v/>
      </c>
      <c r="S26" s="17">
        <f>IF(AND($A26&lt;&gt;"",$C26&lt;&gt;""),IF(COUNTIFS($A$2:$A$1000,$A26,$C$2:$C$1000,$C26)&gt;1,"DUPLICAT",""),"")</f>
        <v/>
      </c>
    </row>
    <row r="27">
      <c r="A27" s="12" t="inlineStr">
        <is>
          <t>PC 09</t>
        </is>
      </c>
      <c r="B27" s="12" t="n"/>
      <c r="C27" s="12" t="inlineStr">
        <is>
          <t>PC18-0006</t>
        </is>
      </c>
      <c r="D27" s="13" t="n">
        <v>46318</v>
      </c>
      <c r="E27" s="12" t="inlineStr">
        <is>
          <t>W18 -23102026-006</t>
        </is>
      </c>
      <c r="F27" s="14" t="inlineStr">
        <is>
          <t>Right of Way</t>
        </is>
      </c>
      <c r="G27" s="12" t="inlineStr">
        <is>
          <t>TuneCore</t>
        </is>
      </c>
      <c r="H27" s="12" t="inlineStr">
        <is>
          <t>Pop</t>
        </is>
      </c>
      <c r="I27" s="12" t="inlineStr">
        <is>
          <t>Kade Valen</t>
        </is>
      </c>
      <c r="J27" s="14" t="inlineStr">
        <is>
          <t>https://www.youtube.com/@KadeValen</t>
        </is>
      </c>
      <c r="K27" s="14" t="inlineStr">
        <is>
          <t>https://youtu.be/oAfSK_ToUw4?si=bKjD_2PvqR7rdWQB</t>
        </is>
      </c>
      <c r="L27" s="15" t="n">
        <v>46304</v>
      </c>
      <c r="M27" s="15" t="n">
        <v>46315</v>
      </c>
      <c r="N27" s="12" t="inlineStr">
        <is>
          <t>Published</t>
        </is>
      </c>
      <c r="O27" s="12" t="n"/>
      <c r="P27" s="16">
        <f>IF(AND(ISNUMBER($L27),ISNUMBER($M27)),MAX(0,$M27-$L27),"")</f>
        <v/>
      </c>
      <c r="Q27" s="16">
        <f>IF(ISNUMBER($D27),MAX(0,TODAY()-$D27),"")</f>
        <v/>
      </c>
      <c r="R27" s="14">
        <f>IF(COUNTA($A27:$O27)=0,"",IFERROR(TRIM(TEXTJOIN(" | ",TRUE,IF($A27="","PC kosong",""),IF($C27="","Worker ID kosong",""),IF($D27="","Update Date kosong",IF(NOT(ISNUMBER($D27)),"Update Date bukan tanggal","")),IF($E27="","Song ID YT kosong",""),IF($F27="","Judul kosong",""),IF(TRIM($G27)="","",IF(ISERROR(MATCH(TRIM($G27),{"TuneCore","DistroKid","TooLost","SoundOn","Ditto","Believe","CD Baby","Amuse","Symphonic Distribution","ONErpm","RouteNote","LANDR","Horus Music","Indie"},0)),"Aggregator di luar daftar","")),IF(TRIM($H27)="","Genre kosong",IF((LEN(SUBSTITUTE(SUBSTITUTE(SUBSTITUTE(TRIM($H27),"/",","),";",",")," ",""))-LEN(SUBSTITUTE(SUBSTITUTE(SUBSTITUTE(SUBSTITUTE(TRIM($H27),"/",","),";",","),"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27),"/",","),";",",")," ","")&amp;",")))&lt;&gt;(LEN(SUBSTITUTE(SUBSTITUTE(SUBSTITUTE(TRIM($H27),"/",","),";",",")," ",""))-LEN(SUBSTITUTE(SUBSTITUTE(SUBSTITUTE(SUBSTITUTE(TRIM($H27),"/",","),";",",")," ",""),",",""))+1),"Genre di luar daftar",""))),IF($I27="","Nama Channel kosong",""),IF($J27="","Link Channel kosong",IF(ISERROR(SEARCH("youtu",$J27)),"Link Channel bukan youtube","")),IF($K27="","Link Video kosong",IF(ISERROR(SEARCH("youtu",$K27)),"Link Video bukan youtube","")),IF($L27="","Tgl Dibuat kosong",IF(NOT(ISNUMBER($L27)),"Tgl Dibuat bukan tanggal","")),IF(AND($M27&lt;&gt;"",NOT(ISNUMBER($M27))),"Tgl Publish bukan tanggal",""),IF(AND(ISNUMBER($L27),ISNUMBER($M27),$M27&lt;$L27),"Tgl Publish &lt; Tgl buat",""),IF(TRIM($N27)="","Status kosong",IF(ISERROR(MATCH(TRIM($N27),{"Draft","Menunggu Review","Revisi","Terjadwal","Upload","Publish","Published","Batal"},0)),"Status di luar daftar","")))),""))</f>
        <v/>
      </c>
      <c r="S27" s="12">
        <f>IF(AND($A27&lt;&gt;"",$C27&lt;&gt;""),IF(COUNTIFS($A$2:$A$1000,$A27,$C$2:$C$1000,$C27)&gt;1,"DUPLICAT",""),"")</f>
        <v/>
      </c>
    </row>
    <row r="28">
      <c r="A28" s="17" t="inlineStr">
        <is>
          <t>PC 09</t>
        </is>
      </c>
      <c r="B28" s="17" t="n"/>
      <c r="C28" s="17" t="inlineStr">
        <is>
          <t>PC18-0007</t>
        </is>
      </c>
      <c r="D28" s="18" t="n">
        <v>46318</v>
      </c>
      <c r="E28" s="17" t="inlineStr">
        <is>
          <t>W18 -23102026-007</t>
        </is>
      </c>
      <c r="F28" s="19" t="inlineStr">
        <is>
          <t>Magnetic Field</t>
        </is>
      </c>
      <c r="G28" s="17" t="inlineStr">
        <is>
          <t>TuneCore</t>
        </is>
      </c>
      <c r="H28" s="17" t="inlineStr">
        <is>
          <t>Pop</t>
        </is>
      </c>
      <c r="I28" s="17" t="inlineStr">
        <is>
          <t>Kade Valen</t>
        </is>
      </c>
      <c r="J28" s="19" t="inlineStr">
        <is>
          <t>https://www.youtube.com/@KadeValen</t>
        </is>
      </c>
      <c r="K28" s="19" t="inlineStr">
        <is>
          <t>https://youtu.be/6ANvV0_KhNE?si=PD-VrK7Cw2YAkfqF</t>
        </is>
      </c>
      <c r="L28" s="20" t="n">
        <v>46304</v>
      </c>
      <c r="M28" s="20" t="n">
        <v>46315</v>
      </c>
      <c r="N28" s="17" t="inlineStr">
        <is>
          <t>Published</t>
        </is>
      </c>
      <c r="O28" s="17" t="n"/>
      <c r="P28" s="21">
        <f>IF(AND(ISNUMBER($L28),ISNUMBER($M28)),MAX(0,$M28-$L28),"")</f>
        <v/>
      </c>
      <c r="Q28" s="21">
        <f>IF(ISNUMBER($D28),MAX(0,TODAY()-$D28),"")</f>
        <v/>
      </c>
      <c r="R28" s="19">
        <f>IF(COUNTA($A28:$O28)=0,"",IFERROR(TRIM(TEXTJOIN(" | ",TRUE,IF($A28="","PC kosong",""),IF($C28="","Worker ID kosong",""),IF($D28="","Update Date kosong",IF(NOT(ISNUMBER($D28)),"Update Date bukan tanggal","")),IF($E28="","Song ID YT kosong",""),IF($F28="","Judul kosong",""),IF(TRIM($G28)="","",IF(ISERROR(MATCH(TRIM($G28),{"TuneCore","DistroKid","TooLost","SoundOn","Ditto","Believe","CD Baby","Amuse","Symphonic Distribution","ONErpm","RouteNote","LANDR","Horus Music","Indie"},0)),"Aggregator di luar daftar","")),IF(TRIM($H28)="","Genre kosong",IF((LEN(SUBSTITUTE(SUBSTITUTE(SUBSTITUTE(TRIM($H28),"/",","),";",",")," ",""))-LEN(SUBSTITUTE(SUBSTITUTE(SUBSTITUTE(SUBSTITUTE(TRIM($H28),"/",","),";",","),"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28),"/",","),";",",")," ","")&amp;",")))&lt;&gt;(LEN(SUBSTITUTE(SUBSTITUTE(SUBSTITUTE(TRIM($H28),"/",","),";",",")," ",""))-LEN(SUBSTITUTE(SUBSTITUTE(SUBSTITUTE(SUBSTITUTE(TRIM($H28),"/",","),";",",")," ",""),",",""))+1),"Genre di luar daftar",""))),IF($I28="","Nama Channel kosong",""),IF($J28="","Link Channel kosong",IF(ISERROR(SEARCH("youtu",$J28)),"Link Channel bukan youtube","")),IF($K28="","Link Video kosong",IF(ISERROR(SEARCH("youtu",$K28)),"Link Video bukan youtube","")),IF($L28="","Tgl Dibuat kosong",IF(NOT(ISNUMBER($L28)),"Tgl Dibuat bukan tanggal","")),IF(AND($M28&lt;&gt;"",NOT(ISNUMBER($M28))),"Tgl Publish bukan tanggal",""),IF(AND(ISNUMBER($L28),ISNUMBER($M28),$M28&lt;$L28),"Tgl Publish &lt; Tgl buat",""),IF(TRIM($N28)="","Status kosong",IF(ISERROR(MATCH(TRIM($N28),{"Draft","Menunggu Review","Revisi","Terjadwal","Upload","Publish","Published","Batal"},0)),"Status di luar daftar","")))),""))</f>
        <v/>
      </c>
      <c r="S28" s="17">
        <f>IF(AND($A28&lt;&gt;"",$C28&lt;&gt;""),IF(COUNTIFS($A$2:$A$1000,$A28,$C$2:$C$1000,$C28)&gt;1,"DUPLICAT",""),"")</f>
        <v/>
      </c>
    </row>
    <row r="29">
      <c r="A29" s="12" t="inlineStr">
        <is>
          <t>PC 09</t>
        </is>
      </c>
      <c r="B29" s="12" t="n"/>
      <c r="C29" s="12" t="inlineStr">
        <is>
          <t>PC18-0008</t>
        </is>
      </c>
      <c r="D29" s="13" t="n">
        <v>46318</v>
      </c>
      <c r="E29" s="12" t="inlineStr">
        <is>
          <t>W18 -23102026-008</t>
        </is>
      </c>
      <c r="F29" s="14" t="inlineStr">
        <is>
          <t>Headwind</t>
        </is>
      </c>
      <c r="G29" s="12" t="inlineStr">
        <is>
          <t>TuneCore</t>
        </is>
      </c>
      <c r="H29" s="12" t="inlineStr">
        <is>
          <t>Pop</t>
        </is>
      </c>
      <c r="I29" s="12" t="inlineStr">
        <is>
          <t>Kade Valen</t>
        </is>
      </c>
      <c r="J29" s="14" t="inlineStr">
        <is>
          <t>https://www.youtube.com/@KadeValen</t>
        </is>
      </c>
      <c r="K29" s="14" t="inlineStr">
        <is>
          <t>https://youtu.be/Oyi7mUFtaQQ?si=jkq7H3dE_qo0K3X8</t>
        </is>
      </c>
      <c r="L29" s="15" t="n">
        <v>46304</v>
      </c>
      <c r="M29" s="15" t="n">
        <v>46315</v>
      </c>
      <c r="N29" s="12" t="inlineStr">
        <is>
          <t>Published</t>
        </is>
      </c>
      <c r="O29" s="12" t="n"/>
      <c r="P29" s="16">
        <f>IF(AND(ISNUMBER($L29),ISNUMBER($M29)),MAX(0,$M29-$L29),"")</f>
        <v/>
      </c>
      <c r="Q29" s="16">
        <f>IF(ISNUMBER($D29),MAX(0,TODAY()-$D29),"")</f>
        <v/>
      </c>
      <c r="R29" s="14">
        <f>IF(COUNTA($A29:$O29)=0,"",IFERROR(TRIM(TEXTJOIN(" | ",TRUE,IF($A29="","PC kosong",""),IF($C29="","Worker ID kosong",""),IF($D29="","Update Date kosong",IF(NOT(ISNUMBER($D29)),"Update Date bukan tanggal","")),IF($E29="","Song ID YT kosong",""),IF($F29="","Judul kosong",""),IF(TRIM($G29)="","",IF(ISERROR(MATCH(TRIM($G29),{"TuneCore","DistroKid","TooLost","SoundOn","Ditto","Believe","CD Baby","Amuse","Symphonic Distribution","ONErpm","RouteNote","LANDR","Horus Music","Indie"},0)),"Aggregator di luar daftar","")),IF(TRIM($H29)="","Genre kosong",IF((LEN(SUBSTITUTE(SUBSTITUTE(SUBSTITUTE(TRIM($H29),"/",","),";",",")," ",""))-LEN(SUBSTITUTE(SUBSTITUTE(SUBSTITUTE(SUBSTITUTE(TRIM($H29),"/",","),";",","),"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29),"/",","),";",",")," ","")&amp;",")))&lt;&gt;(LEN(SUBSTITUTE(SUBSTITUTE(SUBSTITUTE(TRIM($H29),"/",","),";",",")," ",""))-LEN(SUBSTITUTE(SUBSTITUTE(SUBSTITUTE(SUBSTITUTE(TRIM($H29),"/",","),";",",")," ",""),",",""))+1),"Genre di luar daftar",""))),IF($I29="","Nama Channel kosong",""),IF($J29="","Link Channel kosong",IF(ISERROR(SEARCH("youtu",$J29)),"Link Channel bukan youtube","")),IF($K29="","Link Video kosong",IF(ISERROR(SEARCH("youtu",$K29)),"Link Video bukan youtube","")),IF($L29="","Tgl Dibuat kosong",IF(NOT(ISNUMBER($L29)),"Tgl Dibuat bukan tanggal","")),IF(AND($M29&lt;&gt;"",NOT(ISNUMBER($M29))),"Tgl Publish bukan tanggal",""),IF(AND(ISNUMBER($L29),ISNUMBER($M29),$M29&lt;$L29),"Tgl Publish &lt; Tgl buat",""),IF(TRIM($N29)="","Status kosong",IF(ISERROR(MATCH(TRIM($N29),{"Draft","Menunggu Review","Revisi","Terjadwal","Upload","Publish","Published","Batal"},0)),"Status di luar daftar","")))),""))</f>
        <v/>
      </c>
      <c r="S29" s="12">
        <f>IF(AND($A29&lt;&gt;"",$C29&lt;&gt;""),IF(COUNTIFS($A$2:$A$1000,$A29,$C$2:$C$1000,$C29)&gt;1,"DUPLICAT",""),"")</f>
        <v/>
      </c>
    </row>
    <row r="30">
      <c r="A30" s="17" t="inlineStr">
        <is>
          <t>PC 09</t>
        </is>
      </c>
      <c r="B30" s="17" t="n"/>
      <c r="C30" s="17" t="inlineStr">
        <is>
          <t>PC18-0009</t>
        </is>
      </c>
      <c r="D30" s="18" t="n">
        <v>46318</v>
      </c>
      <c r="E30" s="17" t="inlineStr">
        <is>
          <t>W18 -23102026-009</t>
        </is>
      </c>
      <c r="F30" s="19" t="inlineStr">
        <is>
          <t>Seed Bank</t>
        </is>
      </c>
      <c r="G30" s="17" t="inlineStr">
        <is>
          <t>TuneCore</t>
        </is>
      </c>
      <c r="H30" s="17" t="inlineStr">
        <is>
          <t>Pop</t>
        </is>
      </c>
      <c r="I30" s="17" t="inlineStr">
        <is>
          <t>Kade Valen</t>
        </is>
      </c>
      <c r="J30" s="19" t="inlineStr">
        <is>
          <t>https://www.youtube.com/@KadeValen</t>
        </is>
      </c>
      <c r="K30" s="19" t="inlineStr">
        <is>
          <t>https://youtu.be/uJH1V6L8mLw?si=TUZG9aIBg7b_eb78</t>
        </is>
      </c>
      <c r="L30" s="20" t="n">
        <v>46304</v>
      </c>
      <c r="M30" s="20" t="n">
        <v>46315</v>
      </c>
      <c r="N30" s="17" t="inlineStr">
        <is>
          <t>Published</t>
        </is>
      </c>
      <c r="O30" s="17" t="n"/>
      <c r="P30" s="21">
        <f>IF(AND(ISNUMBER($L30),ISNUMBER($M30)),MAX(0,$M30-$L30),"")</f>
        <v/>
      </c>
      <c r="Q30" s="21">
        <f>IF(ISNUMBER($D30),MAX(0,TODAY()-$D30),"")</f>
        <v/>
      </c>
      <c r="R30" s="19">
        <f>IF(COUNTA($A30:$O30)=0,"",IFERROR(TRIM(TEXTJOIN(" | ",TRUE,IF($A30="","PC kosong",""),IF($C30="","Worker ID kosong",""),IF($D30="","Update Date kosong",IF(NOT(ISNUMBER($D30)),"Update Date bukan tanggal","")),IF($E30="","Song ID YT kosong",""),IF($F30="","Judul kosong",""),IF(TRIM($G30)="","",IF(ISERROR(MATCH(TRIM($G30),{"TuneCore","DistroKid","TooLost","SoundOn","Ditto","Believe","CD Baby","Amuse","Symphonic Distribution","ONErpm","RouteNote","LANDR","Horus Music","Indie"},0)),"Aggregator di luar daftar","")),IF(TRIM($H30)="","Genre kosong",IF((LEN(SUBSTITUTE(SUBSTITUTE(SUBSTITUTE(TRIM($H30),"/",","),";",",")," ",""))-LEN(SUBSTITUTE(SUBSTITUTE(SUBSTITUTE(SUBSTITUTE(TRIM($H30),"/",","),";",","),"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30),"/",","),";",",")," ","")&amp;",")))&lt;&gt;(LEN(SUBSTITUTE(SUBSTITUTE(SUBSTITUTE(TRIM($H30),"/",","),";",",")," ",""))-LEN(SUBSTITUTE(SUBSTITUTE(SUBSTITUTE(SUBSTITUTE(TRIM($H30),"/",","),";",",")," ",""),",",""))+1),"Genre di luar daftar",""))),IF($I30="","Nama Channel kosong",""),IF($J30="","Link Channel kosong",IF(ISERROR(SEARCH("youtu",$J30)),"Link Channel bukan youtube","")),IF($K30="","Link Video kosong",IF(ISERROR(SEARCH("youtu",$K30)),"Link Video bukan youtube","")),IF($L30="","Tgl Dibuat kosong",IF(NOT(ISNUMBER($L30)),"Tgl Dibuat bukan tanggal","")),IF(AND($M30&lt;&gt;"",NOT(ISNUMBER($M30))),"Tgl Publish bukan tanggal",""),IF(AND(ISNUMBER($L30),ISNUMBER($M30),$M30&lt;$L30),"Tgl Publish &lt; Tgl buat",""),IF(TRIM($N30)="","Status kosong",IF(ISERROR(MATCH(TRIM($N30),{"Draft","Menunggu Review","Revisi","Terjadwal","Upload","Publish","Published","Batal"},0)),"Status di luar daftar","")))),""))</f>
        <v/>
      </c>
      <c r="S30" s="17">
        <f>IF(AND($A30&lt;&gt;"",$C30&lt;&gt;""),IF(COUNTIFS($A$2:$A$1000,$A30,$C$2:$C$1000,$C30)&gt;1,"DUPLICAT",""),"")</f>
        <v/>
      </c>
    </row>
    <row r="31">
      <c r="A31" s="12" t="inlineStr">
        <is>
          <t>PC 09</t>
        </is>
      </c>
      <c r="B31" s="12" t="n"/>
      <c r="C31" s="12" t="inlineStr">
        <is>
          <t>PC18-0010</t>
        </is>
      </c>
      <c r="D31" s="13" t="n">
        <v>46318</v>
      </c>
      <c r="E31" s="12" t="inlineStr">
        <is>
          <t>W18 -23102026-010</t>
        </is>
      </c>
      <c r="F31" s="14" t="inlineStr">
        <is>
          <t>Pergola</t>
        </is>
      </c>
      <c r="G31" s="12" t="inlineStr">
        <is>
          <t>TuneCore</t>
        </is>
      </c>
      <c r="H31" s="12" t="inlineStr">
        <is>
          <t>Pop</t>
        </is>
      </c>
      <c r="I31" s="12" t="inlineStr">
        <is>
          <t>Kade Valen</t>
        </is>
      </c>
      <c r="J31" s="14" t="inlineStr">
        <is>
          <t>https://www.youtube.com/@KadeValen</t>
        </is>
      </c>
      <c r="K31" s="14" t="inlineStr">
        <is>
          <t>https://youtu.be/KMboLJ1TqKs?si=84_voqFwOPiYpCKV</t>
        </is>
      </c>
      <c r="L31" s="15" t="n">
        <v>46304</v>
      </c>
      <c r="M31" s="15" t="n">
        <v>46315</v>
      </c>
      <c r="N31" s="12" t="inlineStr">
        <is>
          <t>Published</t>
        </is>
      </c>
      <c r="O31" s="12" t="n"/>
      <c r="P31" s="16">
        <f>IF(AND(ISNUMBER($L31),ISNUMBER($M31)),MAX(0,$M31-$L31),"")</f>
        <v/>
      </c>
      <c r="Q31" s="16">
        <f>IF(ISNUMBER($D31),MAX(0,TODAY()-$D31),"")</f>
        <v/>
      </c>
      <c r="R31" s="14">
        <f>IF(COUNTA($A31:$O31)=0,"",IFERROR(TRIM(TEXTJOIN(" | ",TRUE,IF($A31="","PC kosong",""),IF($C31="","Worker ID kosong",""),IF($D31="","Update Date kosong",IF(NOT(ISNUMBER($D31)),"Update Date bukan tanggal","")),IF($E31="","Song ID YT kosong",""),IF($F31="","Judul kosong",""),IF(TRIM($G31)="","",IF(ISERROR(MATCH(TRIM($G31),{"TuneCore","DistroKid","TooLost","SoundOn","Ditto","Believe","CD Baby","Amuse","Symphonic Distribution","ONErpm","RouteNote","LANDR","Horus Music","Indie"},0)),"Aggregator di luar daftar","")),IF(TRIM($H31)="","Genre kosong",IF((LEN(SUBSTITUTE(SUBSTITUTE(SUBSTITUTE(TRIM($H31),"/",","),";",",")," ",""))-LEN(SUBSTITUTE(SUBSTITUTE(SUBSTITUTE(SUBSTITUTE(TRIM($H31),"/",","),";",","),"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31),"/",","),";",",")," ","")&amp;",")))&lt;&gt;(LEN(SUBSTITUTE(SUBSTITUTE(SUBSTITUTE(TRIM($H31),"/",","),";",",")," ",""))-LEN(SUBSTITUTE(SUBSTITUTE(SUBSTITUTE(SUBSTITUTE(TRIM($H31),"/",","),";",",")," ",""),",",""))+1),"Genre di luar daftar",""))),IF($I31="","Nama Channel kosong",""),IF($J31="","Link Channel kosong",IF(ISERROR(SEARCH("youtu",$J31)),"Link Channel bukan youtube","")),IF($K31="","Link Video kosong",IF(ISERROR(SEARCH("youtu",$K31)),"Link Video bukan youtube","")),IF($L31="","Tgl Dibuat kosong",IF(NOT(ISNUMBER($L31)),"Tgl Dibuat bukan tanggal","")),IF(AND($M31&lt;&gt;"",NOT(ISNUMBER($M31))),"Tgl Publish bukan tanggal",""),IF(AND(ISNUMBER($L31),ISNUMBER($M31),$M31&lt;$L31),"Tgl Publish &lt; Tgl buat",""),IF(TRIM($N31)="","Status kosong",IF(ISERROR(MATCH(TRIM($N31),{"Draft","Menunggu Review","Revisi","Terjadwal","Upload","Publish","Published","Batal"},0)),"Status di luar daftar","")))),""))</f>
        <v/>
      </c>
      <c r="S31" s="12">
        <f>IF(AND($A31&lt;&gt;"",$C31&lt;&gt;""),IF(COUNTIFS($A$2:$A$1000,$A31,$C$2:$C$1000,$C31)&gt;1,"DUPLICAT",""),"")</f>
        <v/>
      </c>
    </row>
    <row r="32">
      <c r="A32" s="17" t="inlineStr">
        <is>
          <t>PC 09</t>
        </is>
      </c>
      <c r="B32" s="17" t="n"/>
      <c r="C32" s="17" t="inlineStr">
        <is>
          <t>PC18-0011</t>
        </is>
      </c>
      <c r="D32" s="18" t="n">
        <v>46318</v>
      </c>
      <c r="E32" s="17" t="inlineStr">
        <is>
          <t>W18 -23102026-011</t>
        </is>
      </c>
      <c r="F32" s="19" t="inlineStr">
        <is>
          <t>Static Screen Goodnight</t>
        </is>
      </c>
      <c r="G32" s="17" t="inlineStr">
        <is>
          <t>TuneCore</t>
        </is>
      </c>
      <c r="H32" s="17" t="inlineStr">
        <is>
          <t>Pop</t>
        </is>
      </c>
      <c r="I32" s="17" t="inlineStr">
        <is>
          <t>Kade Valen</t>
        </is>
      </c>
      <c r="J32" s="19" t="inlineStr">
        <is>
          <t>https://www.youtube.com/@KadeValen</t>
        </is>
      </c>
      <c r="K32" s="19" t="inlineStr">
        <is>
          <t>https://youtu.be/16WKdck3od4?si=JNOz9TiAA07BCLX3</t>
        </is>
      </c>
      <c r="L32" s="20" t="n">
        <v>46304</v>
      </c>
      <c r="M32" s="20" t="n">
        <v>46316</v>
      </c>
      <c r="N32" s="17" t="inlineStr">
        <is>
          <t>Published</t>
        </is>
      </c>
      <c r="O32" s="17" t="n"/>
      <c r="P32" s="21">
        <f>IF(AND(ISNUMBER($L32),ISNUMBER($M32)),MAX(0,$M32-$L32),"")</f>
        <v/>
      </c>
      <c r="Q32" s="21">
        <f>IF(ISNUMBER($D32),MAX(0,TODAY()-$D32),"")</f>
        <v/>
      </c>
      <c r="R32" s="19">
        <f>IF(COUNTA($A32:$O32)=0,"",IFERROR(TRIM(TEXTJOIN(" | ",TRUE,IF($A32="","PC kosong",""),IF($C32="","Worker ID kosong",""),IF($D32="","Update Date kosong",IF(NOT(ISNUMBER($D32)),"Update Date bukan tanggal","")),IF($E32="","Song ID YT kosong",""),IF($F32="","Judul kosong",""),IF(TRIM($G32)="","",IF(ISERROR(MATCH(TRIM($G32),{"TuneCore","DistroKid","TooLost","SoundOn","Ditto","Believe","CD Baby","Amuse","Symphonic Distribution","ONErpm","RouteNote","LANDR","Horus Music","Indie"},0)),"Aggregator di luar daftar","")),IF(TRIM($H32)="","Genre kosong",IF((LEN(SUBSTITUTE(SUBSTITUTE(SUBSTITUTE(TRIM($H32),"/",","),";",",")," ",""))-LEN(SUBSTITUTE(SUBSTITUTE(SUBSTITUTE(SUBSTITUTE(TRIM($H32),"/",","),";",","),"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32),"/",","),";",",")," ","")&amp;",")))&lt;&gt;(LEN(SUBSTITUTE(SUBSTITUTE(SUBSTITUTE(TRIM($H32),"/",","),";",",")," ",""))-LEN(SUBSTITUTE(SUBSTITUTE(SUBSTITUTE(SUBSTITUTE(TRIM($H32),"/",","),";",",")," ",""),",",""))+1),"Genre di luar daftar",""))),IF($I32="","Nama Channel kosong",""),IF($J32="","Link Channel kosong",IF(ISERROR(SEARCH("youtu",$J32)),"Link Channel bukan youtube","")),IF($K32="","Link Video kosong",IF(ISERROR(SEARCH("youtu",$K32)),"Link Video bukan youtube","")),IF($L32="","Tgl Dibuat kosong",IF(NOT(ISNUMBER($L32)),"Tgl Dibuat bukan tanggal","")),IF(AND($M32&lt;&gt;"",NOT(ISNUMBER($M32))),"Tgl Publish bukan tanggal",""),IF(AND(ISNUMBER($L32),ISNUMBER($M32),$M32&lt;$L32),"Tgl Publish &lt; Tgl buat",""),IF(TRIM($N32)="","Status kosong",IF(ISERROR(MATCH(TRIM($N32),{"Draft","Menunggu Review","Revisi","Terjadwal","Upload","Publish","Published","Batal"},0)),"Status di luar daftar","")))),""))</f>
        <v/>
      </c>
      <c r="S32" s="17">
        <f>IF(AND($A32&lt;&gt;"",$C32&lt;&gt;""),IF(COUNTIFS($A$2:$A$1000,$A32,$C$2:$C$1000,$C32)&gt;1,"DUPLICAT",""),"")</f>
        <v/>
      </c>
    </row>
    <row r="33">
      <c r="A33" s="12" t="inlineStr">
        <is>
          <t>PC 09</t>
        </is>
      </c>
      <c r="B33" s="12" t="n"/>
      <c r="C33" s="12" t="inlineStr">
        <is>
          <t>PC18-0012</t>
        </is>
      </c>
      <c r="D33" s="13" t="n">
        <v>46318</v>
      </c>
      <c r="E33" s="12" t="inlineStr">
        <is>
          <t>W18 -23102026-012</t>
        </is>
      </c>
      <c r="F33" s="14" t="inlineStr">
        <is>
          <t>Sized Constellations</t>
        </is>
      </c>
      <c r="G33" s="12" t="inlineStr">
        <is>
          <t>TuneCore</t>
        </is>
      </c>
      <c r="H33" s="12" t="inlineStr">
        <is>
          <t>Pop</t>
        </is>
      </c>
      <c r="I33" s="12" t="inlineStr">
        <is>
          <t>Kade Valen</t>
        </is>
      </c>
      <c r="J33" s="14" t="inlineStr">
        <is>
          <t>https://www.youtube.com/@KadeValen</t>
        </is>
      </c>
      <c r="K33" s="14" t="inlineStr">
        <is>
          <t>https://youtu.be/_Ivq2u047GY?si=2qDaFM7sORWVEpsw</t>
        </is>
      </c>
      <c r="L33" s="15" t="n">
        <v>46305</v>
      </c>
      <c r="M33" s="15" t="n">
        <v>46316</v>
      </c>
      <c r="N33" s="12" t="inlineStr">
        <is>
          <t>Published</t>
        </is>
      </c>
      <c r="O33" s="12" t="n"/>
      <c r="P33" s="16">
        <f>IF(AND(ISNUMBER($L33),ISNUMBER($M33)),MAX(0,$M33-$L33),"")</f>
        <v/>
      </c>
      <c r="Q33" s="16">
        <f>IF(ISNUMBER($D33),MAX(0,TODAY()-$D33),"")</f>
        <v/>
      </c>
      <c r="R33" s="14">
        <f>IF(COUNTA($A33:$O33)=0,"",IFERROR(TRIM(TEXTJOIN(" | ",TRUE,IF($A33="","PC kosong",""),IF($C33="","Worker ID kosong",""),IF($D33="","Update Date kosong",IF(NOT(ISNUMBER($D33)),"Update Date bukan tanggal","")),IF($E33="","Song ID YT kosong",""),IF($F33="","Judul kosong",""),IF(TRIM($G33)="","",IF(ISERROR(MATCH(TRIM($G33),{"TuneCore","DistroKid","TooLost","SoundOn","Ditto","Believe","CD Baby","Amuse","Symphonic Distribution","ONErpm","RouteNote","LANDR","Horus Music","Indie"},0)),"Aggregator di luar daftar","")),IF(TRIM($H33)="","Genre kosong",IF((LEN(SUBSTITUTE(SUBSTITUTE(SUBSTITUTE(TRIM($H33),"/",","),";",",")," ",""))-LEN(SUBSTITUTE(SUBSTITUTE(SUBSTITUTE(SUBSTITUTE(TRIM($H33),"/",","),";",","),"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33),"/",","),";",",")," ","")&amp;",")))&lt;&gt;(LEN(SUBSTITUTE(SUBSTITUTE(SUBSTITUTE(TRIM($H33),"/",","),";",",")," ",""))-LEN(SUBSTITUTE(SUBSTITUTE(SUBSTITUTE(SUBSTITUTE(TRIM($H33),"/",","),";",",")," ",""),",",""))+1),"Genre di luar daftar",""))),IF($I33="","Nama Channel kosong",""),IF($J33="","Link Channel kosong",IF(ISERROR(SEARCH("youtu",$J33)),"Link Channel bukan youtube","")),IF($K33="","Link Video kosong",IF(ISERROR(SEARCH("youtu",$K33)),"Link Video bukan youtube","")),IF($L33="","Tgl Dibuat kosong",IF(NOT(ISNUMBER($L33)),"Tgl Dibuat bukan tanggal","")),IF(AND($M33&lt;&gt;"",NOT(ISNUMBER($M33))),"Tgl Publish bukan tanggal",""),IF(AND(ISNUMBER($L33),ISNUMBER($M33),$M33&lt;$L33),"Tgl Publish &lt; Tgl buat",""),IF(TRIM($N33)="","Status kosong",IF(ISERROR(MATCH(TRIM($N33),{"Draft","Menunggu Review","Revisi","Terjadwal","Upload","Publish","Published","Batal"},0)),"Status di luar daftar","")))),""))</f>
        <v/>
      </c>
      <c r="S33" s="12">
        <f>IF(AND($A33&lt;&gt;"",$C33&lt;&gt;""),IF(COUNTIFS($A$2:$A$1000,$A33,$C$2:$C$1000,$C33)&gt;1,"DUPLICAT",""),"")</f>
        <v/>
      </c>
    </row>
    <row r="34">
      <c r="A34" s="17" t="inlineStr">
        <is>
          <t>PC 09</t>
        </is>
      </c>
      <c r="B34" s="17" t="n"/>
      <c r="C34" s="17" t="inlineStr">
        <is>
          <t>PC18-0013</t>
        </is>
      </c>
      <c r="D34" s="18" t="n">
        <v>46318</v>
      </c>
      <c r="E34" s="17" t="inlineStr">
        <is>
          <t>W18 -23102026-013</t>
        </is>
      </c>
      <c r="F34" s="19" t="inlineStr">
        <is>
          <t>My Childhood in the Trunk</t>
        </is>
      </c>
      <c r="G34" s="17" t="inlineStr">
        <is>
          <t>TuneCore</t>
        </is>
      </c>
      <c r="H34" s="17" t="inlineStr">
        <is>
          <t>Pop</t>
        </is>
      </c>
      <c r="I34" s="17" t="inlineStr">
        <is>
          <t>Kade Valen</t>
        </is>
      </c>
      <c r="J34" s="19" t="inlineStr">
        <is>
          <t>https://www.youtube.com/@KadeValen</t>
        </is>
      </c>
      <c r="K34" s="19" t="inlineStr">
        <is>
          <t>https://youtu.be/zv5l1nw2vBk?si=d6yrxRmoOyhLmVMf</t>
        </is>
      </c>
      <c r="L34" s="20" t="n">
        <v>46305</v>
      </c>
      <c r="M34" s="20" t="n">
        <v>46316</v>
      </c>
      <c r="N34" s="17" t="inlineStr">
        <is>
          <t>Published</t>
        </is>
      </c>
      <c r="O34" s="17" t="n"/>
      <c r="P34" s="21">
        <f>IF(AND(ISNUMBER($L34),ISNUMBER($M34)),MAX(0,$M34-$L34),"")</f>
        <v/>
      </c>
      <c r="Q34" s="21">
        <f>IF(ISNUMBER($D34),MAX(0,TODAY()-$D34),"")</f>
        <v/>
      </c>
      <c r="R34" s="19">
        <f>IF(COUNTA($A34:$O34)=0,"",IFERROR(TRIM(TEXTJOIN(" | ",TRUE,IF($A34="","PC kosong",""),IF($C34="","Worker ID kosong",""),IF($D34="","Update Date kosong",IF(NOT(ISNUMBER($D34)),"Update Date bukan tanggal","")),IF($E34="","Song ID YT kosong",""),IF($F34="","Judul kosong",""),IF(TRIM($G34)="","",IF(ISERROR(MATCH(TRIM($G34),{"TuneCore","DistroKid","TooLost","SoundOn","Ditto","Believe","CD Baby","Amuse","Symphonic Distribution","ONErpm","RouteNote","LANDR","Horus Music","Indie"},0)),"Aggregator di luar daftar","")),IF(TRIM($H34)="","Genre kosong",IF((LEN(SUBSTITUTE(SUBSTITUTE(SUBSTITUTE(TRIM($H34),"/",","),";",",")," ",""))-LEN(SUBSTITUTE(SUBSTITUTE(SUBSTITUTE(SUBSTITUTE(TRIM($H34),"/",","),";",","),"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34),"/",","),";",",")," ","")&amp;",")))&lt;&gt;(LEN(SUBSTITUTE(SUBSTITUTE(SUBSTITUTE(TRIM($H34),"/",","),";",",")," ",""))-LEN(SUBSTITUTE(SUBSTITUTE(SUBSTITUTE(SUBSTITUTE(TRIM($H34),"/",","),";",",")," ",""),",",""))+1),"Genre di luar daftar",""))),IF($I34="","Nama Channel kosong",""),IF($J34="","Link Channel kosong",IF(ISERROR(SEARCH("youtu",$J34)),"Link Channel bukan youtube","")),IF($K34="","Link Video kosong",IF(ISERROR(SEARCH("youtu",$K34)),"Link Video bukan youtube","")),IF($L34="","Tgl Dibuat kosong",IF(NOT(ISNUMBER($L34)),"Tgl Dibuat bukan tanggal","")),IF(AND($M34&lt;&gt;"",NOT(ISNUMBER($M34))),"Tgl Publish bukan tanggal",""),IF(AND(ISNUMBER($L34),ISNUMBER($M34),$M34&lt;$L34),"Tgl Publish &lt; Tgl buat",""),IF(TRIM($N34)="","Status kosong",IF(ISERROR(MATCH(TRIM($N34),{"Draft","Menunggu Review","Revisi","Terjadwal","Upload","Publish","Published","Batal"},0)),"Status di luar daftar","")))),""))</f>
        <v/>
      </c>
      <c r="S34" s="17">
        <f>IF(AND($A34&lt;&gt;"",$C34&lt;&gt;""),IF(COUNTIFS($A$2:$A$1000,$A34,$C$2:$C$1000,$C34)&gt;1,"DUPLICAT",""),"")</f>
        <v/>
      </c>
    </row>
    <row r="35">
      <c r="A35" s="12" t="inlineStr">
        <is>
          <t>PC 09</t>
        </is>
      </c>
      <c r="B35" s="12" t="n"/>
      <c r="C35" s="12" t="inlineStr">
        <is>
          <t>PC18-0014</t>
        </is>
      </c>
      <c r="D35" s="13" t="n">
        <v>46318</v>
      </c>
      <c r="E35" s="12" t="inlineStr">
        <is>
          <t>W18 -23102026-014</t>
        </is>
      </c>
      <c r="F35" s="14" t="inlineStr">
        <is>
          <t>Cassette Tape Confessions</t>
        </is>
      </c>
      <c r="G35" s="12" t="inlineStr">
        <is>
          <t>TuneCore</t>
        </is>
      </c>
      <c r="H35" s="12" t="inlineStr">
        <is>
          <t>Pop</t>
        </is>
      </c>
      <c r="I35" s="12" t="inlineStr">
        <is>
          <t>Kade Valen</t>
        </is>
      </c>
      <c r="J35" s="14" t="inlineStr">
        <is>
          <t>https://www.youtube.com/@KadeValen</t>
        </is>
      </c>
      <c r="K35" s="14" t="inlineStr">
        <is>
          <t>https://youtu.be/CeoSggoVGuA?si=kqpkl8QiQ8wHImWn</t>
        </is>
      </c>
      <c r="L35" s="15" t="n">
        <v>46305</v>
      </c>
      <c r="M35" s="15" t="n">
        <v>46316</v>
      </c>
      <c r="N35" s="12" t="inlineStr">
        <is>
          <t>Published</t>
        </is>
      </c>
      <c r="O35" s="12" t="n"/>
      <c r="P35" s="16">
        <f>IF(AND(ISNUMBER($L35),ISNUMBER($M35)),MAX(0,$M35-$L35),"")</f>
        <v/>
      </c>
      <c r="Q35" s="16">
        <f>IF(ISNUMBER($D35),MAX(0,TODAY()-$D35),"")</f>
        <v/>
      </c>
      <c r="R35" s="14">
        <f>IF(COUNTA($A35:$O35)=0,"",IFERROR(TRIM(TEXTJOIN(" | ",TRUE,IF($A35="","PC kosong",""),IF($C35="","Worker ID kosong",""),IF($D35="","Update Date kosong",IF(NOT(ISNUMBER($D35)),"Update Date bukan tanggal","")),IF($E35="","Song ID YT kosong",""),IF($F35="","Judul kosong",""),IF(TRIM($G35)="","",IF(ISERROR(MATCH(TRIM($G35),{"TuneCore","DistroKid","TooLost","SoundOn","Ditto","Believe","CD Baby","Amuse","Symphonic Distribution","ONErpm","RouteNote","LANDR","Horus Music","Indie"},0)),"Aggregator di luar daftar","")),IF(TRIM($H35)="","Genre kosong",IF((LEN(SUBSTITUTE(SUBSTITUTE(SUBSTITUTE(TRIM($H35),"/",","),";",",")," ",""))-LEN(SUBSTITUTE(SUBSTITUTE(SUBSTITUTE(SUBSTITUTE(TRIM($H35),"/",","),";",","),"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35),"/",","),";",",")," ","")&amp;",")))&lt;&gt;(LEN(SUBSTITUTE(SUBSTITUTE(SUBSTITUTE(TRIM($H35),"/",","),";",",")," ",""))-LEN(SUBSTITUTE(SUBSTITUTE(SUBSTITUTE(SUBSTITUTE(TRIM($H35),"/",","),";",",")," ",""),",",""))+1),"Genre di luar daftar",""))),IF($I35="","Nama Channel kosong",""),IF($J35="","Link Channel kosong",IF(ISERROR(SEARCH("youtu",$J35)),"Link Channel bukan youtube","")),IF($K35="","Link Video kosong",IF(ISERROR(SEARCH("youtu",$K35)),"Link Video bukan youtube","")),IF($L35="","Tgl Dibuat kosong",IF(NOT(ISNUMBER($L35)),"Tgl Dibuat bukan tanggal","")),IF(AND($M35&lt;&gt;"",NOT(ISNUMBER($M35))),"Tgl Publish bukan tanggal",""),IF(AND(ISNUMBER($L35),ISNUMBER($M35),$M35&lt;$L35),"Tgl Publish &lt; Tgl buat",""),IF(TRIM($N35)="","Status kosong",IF(ISERROR(MATCH(TRIM($N35),{"Draft","Menunggu Review","Revisi","Terjadwal","Upload","Publish","Published","Batal"},0)),"Status di luar daftar","")))),""))</f>
        <v/>
      </c>
      <c r="S35" s="12">
        <f>IF(AND($A35&lt;&gt;"",$C35&lt;&gt;""),IF(COUNTIFS($A$2:$A$1000,$A35,$C$2:$C$1000,$C35)&gt;1,"DUPLICAT",""),"")</f>
        <v/>
      </c>
    </row>
    <row r="36">
      <c r="A36" s="17" t="inlineStr">
        <is>
          <t>PC 09</t>
        </is>
      </c>
      <c r="B36" s="17" t="n"/>
      <c r="C36" s="17" t="inlineStr">
        <is>
          <t>PC18-0015</t>
        </is>
      </c>
      <c r="D36" s="18" t="n">
        <v>46318</v>
      </c>
      <c r="E36" s="17" t="inlineStr">
        <is>
          <t>W18 -23102026-015</t>
        </is>
      </c>
      <c r="F36" s="19" t="inlineStr">
        <is>
          <t>Greenhouse Effect</t>
        </is>
      </c>
      <c r="G36" s="17" t="inlineStr">
        <is>
          <t>TuneCore</t>
        </is>
      </c>
      <c r="H36" s="17" t="inlineStr">
        <is>
          <t>Pop</t>
        </is>
      </c>
      <c r="I36" s="17" t="inlineStr">
        <is>
          <t>Kade Valen</t>
        </is>
      </c>
      <c r="J36" s="19" t="inlineStr">
        <is>
          <t>https://www.youtube.com/@KadeValen</t>
        </is>
      </c>
      <c r="K36" s="19" t="inlineStr">
        <is>
          <t>https://youtu.be/1AdYy6c2HZc?si=JXnhMucNFA4d8u0O</t>
        </is>
      </c>
      <c r="L36" s="20" t="n">
        <v>46305</v>
      </c>
      <c r="M36" s="20" t="n">
        <v>46316</v>
      </c>
      <c r="N36" s="17" t="inlineStr">
        <is>
          <t>Published</t>
        </is>
      </c>
      <c r="O36" s="17" t="n"/>
      <c r="P36" s="21">
        <f>IF(AND(ISNUMBER($L36),ISNUMBER($M36)),MAX(0,$M36-$L36),"")</f>
        <v/>
      </c>
      <c r="Q36" s="21">
        <f>IF(ISNUMBER($D36),MAX(0,TODAY()-$D36),"")</f>
        <v/>
      </c>
      <c r="R36" s="19">
        <f>IF(COUNTA($A36:$O36)=0,"",IFERROR(TRIM(TEXTJOIN(" | ",TRUE,IF($A36="","PC kosong",""),IF($C36="","Worker ID kosong",""),IF($D36="","Update Date kosong",IF(NOT(ISNUMBER($D36)),"Update Date bukan tanggal","")),IF($E36="","Song ID YT kosong",""),IF($F36="","Judul kosong",""),IF(TRIM($G36)="","",IF(ISERROR(MATCH(TRIM($G36),{"TuneCore","DistroKid","TooLost","SoundOn","Ditto","Believe","CD Baby","Amuse","Symphonic Distribution","ONErpm","RouteNote","LANDR","Horus Music","Indie"},0)),"Aggregator di luar daftar","")),IF(TRIM($H36)="","Genre kosong",IF((LEN(SUBSTITUTE(SUBSTITUTE(SUBSTITUTE(TRIM($H36),"/",","),";",",")," ",""))-LEN(SUBSTITUTE(SUBSTITUTE(SUBSTITUTE(SUBSTITUTE(TRIM($H36),"/",","),";",","),"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36),"/",","),";",",")," ","")&amp;",")))&lt;&gt;(LEN(SUBSTITUTE(SUBSTITUTE(SUBSTITUTE(TRIM($H36),"/",","),";",",")," ",""))-LEN(SUBSTITUTE(SUBSTITUTE(SUBSTITUTE(SUBSTITUTE(TRIM($H36),"/",","),";",",")," ",""),",",""))+1),"Genre di luar daftar",""))),IF($I36="","Nama Channel kosong",""),IF($J36="","Link Channel kosong",IF(ISERROR(SEARCH("youtu",$J36)),"Link Channel bukan youtube","")),IF($K36="","Link Video kosong",IF(ISERROR(SEARCH("youtu",$K36)),"Link Video bukan youtube","")),IF($L36="","Tgl Dibuat kosong",IF(NOT(ISNUMBER($L36)),"Tgl Dibuat bukan tanggal","")),IF(AND($M36&lt;&gt;"",NOT(ISNUMBER($M36))),"Tgl Publish bukan tanggal",""),IF(AND(ISNUMBER($L36),ISNUMBER($M36),$M36&lt;$L36),"Tgl Publish &lt; Tgl buat",""),IF(TRIM($N36)="","Status kosong",IF(ISERROR(MATCH(TRIM($N36),{"Draft","Menunggu Review","Revisi","Terjadwal","Upload","Publish","Published","Batal"},0)),"Status di luar daftar","")))),""))</f>
        <v/>
      </c>
      <c r="S36" s="17">
        <f>IF(AND($A36&lt;&gt;"",$C36&lt;&gt;""),IF(COUNTIFS($A$2:$A$1000,$A36,$C$2:$C$1000,$C36)&gt;1,"DUPLICAT",""),"")</f>
        <v/>
      </c>
    </row>
    <row r="37">
      <c r="A37" s="12" t="inlineStr">
        <is>
          <t>PC 09</t>
        </is>
      </c>
      <c r="B37" s="12" t="n"/>
      <c r="C37" s="12" t="inlineStr">
        <is>
          <t>PC18-0016</t>
        </is>
      </c>
      <c r="D37" s="13" t="n">
        <v>46318</v>
      </c>
      <c r="E37" s="12" t="inlineStr">
        <is>
          <t>W18 -23102026-016</t>
        </is>
      </c>
      <c r="F37" s="14" t="inlineStr">
        <is>
          <t>Platform Nine</t>
        </is>
      </c>
      <c r="G37" s="12" t="inlineStr">
        <is>
          <t>TuneCore</t>
        </is>
      </c>
      <c r="H37" s="12" t="inlineStr">
        <is>
          <t>Pop</t>
        </is>
      </c>
      <c r="I37" s="12" t="inlineStr">
        <is>
          <t>Kade Valen</t>
        </is>
      </c>
      <c r="J37" s="14" t="inlineStr">
        <is>
          <t>https://www.youtube.com/@KadeValen</t>
        </is>
      </c>
      <c r="K37" s="14" t="inlineStr">
        <is>
          <t>https://youtu.be/ml6R2e8IBWo?si=BaJlBuCxBS7jB3au</t>
        </is>
      </c>
      <c r="L37" s="15" t="n">
        <v>46305</v>
      </c>
      <c r="M37" s="15" t="n">
        <v>46316</v>
      </c>
      <c r="N37" s="12" t="inlineStr">
        <is>
          <t>Published</t>
        </is>
      </c>
      <c r="O37" s="12" t="n"/>
      <c r="P37" s="16">
        <f>IF(AND(ISNUMBER($L37),ISNUMBER($M37)),MAX(0,$M37-$L37),"")</f>
        <v/>
      </c>
      <c r="Q37" s="16">
        <f>IF(ISNUMBER($D37),MAX(0,TODAY()-$D37),"")</f>
        <v/>
      </c>
      <c r="R37" s="14">
        <f>IF(COUNTA($A37:$O37)=0,"",IFERROR(TRIM(TEXTJOIN(" | ",TRUE,IF($A37="","PC kosong",""),IF($C37="","Worker ID kosong",""),IF($D37="","Update Date kosong",IF(NOT(ISNUMBER($D37)),"Update Date bukan tanggal","")),IF($E37="","Song ID YT kosong",""),IF($F37="","Judul kosong",""),IF(TRIM($G37)="","",IF(ISERROR(MATCH(TRIM($G37),{"TuneCore","DistroKid","TooLost","SoundOn","Ditto","Believe","CD Baby","Amuse","Symphonic Distribution","ONErpm","RouteNote","LANDR","Horus Music","Indie"},0)),"Aggregator di luar daftar","")),IF(TRIM($H37)="","Genre kosong",IF((LEN(SUBSTITUTE(SUBSTITUTE(SUBSTITUTE(TRIM($H37),"/",","),";",",")," ",""))-LEN(SUBSTITUTE(SUBSTITUTE(SUBSTITUTE(SUBSTITUTE(TRIM($H37),"/",","),";",","),"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37),"/",","),";",",")," ","")&amp;",")))&lt;&gt;(LEN(SUBSTITUTE(SUBSTITUTE(SUBSTITUTE(TRIM($H37),"/",","),";",",")," ",""))-LEN(SUBSTITUTE(SUBSTITUTE(SUBSTITUTE(SUBSTITUTE(TRIM($H37),"/",","),";",",")," ",""),",",""))+1),"Genre di luar daftar",""))),IF($I37="","Nama Channel kosong",""),IF($J37="","Link Channel kosong",IF(ISERROR(SEARCH("youtu",$J37)),"Link Channel bukan youtube","")),IF($K37="","Link Video kosong",IF(ISERROR(SEARCH("youtu",$K37)),"Link Video bukan youtube","")),IF($L37="","Tgl Dibuat kosong",IF(NOT(ISNUMBER($L37)),"Tgl Dibuat bukan tanggal","")),IF(AND($M37&lt;&gt;"",NOT(ISNUMBER($M37))),"Tgl Publish bukan tanggal",""),IF(AND(ISNUMBER($L37),ISNUMBER($M37),$M37&lt;$L37),"Tgl Publish &lt; Tgl buat",""),IF(TRIM($N37)="","Status kosong",IF(ISERROR(MATCH(TRIM($N37),{"Draft","Menunggu Review","Revisi","Terjadwal","Upload","Publish","Published","Batal"},0)),"Status di luar daftar","")))),""))</f>
        <v/>
      </c>
      <c r="S37" s="12">
        <f>IF(AND($A37&lt;&gt;"",$C37&lt;&gt;""),IF(COUNTIFS($A$2:$A$1000,$A37,$C$2:$C$1000,$C37)&gt;1,"DUPLICAT",""),"")</f>
        <v/>
      </c>
    </row>
    <row r="38">
      <c r="A38" s="17" t="inlineStr">
        <is>
          <t>PC 09</t>
        </is>
      </c>
      <c r="B38" s="17" t="n"/>
      <c r="C38" s="17" t="inlineStr">
        <is>
          <t>PC18-0017</t>
        </is>
      </c>
      <c r="D38" s="18" t="n">
        <v>46318</v>
      </c>
      <c r="E38" s="17" t="inlineStr">
        <is>
          <t>W18 -23102026-017</t>
        </is>
      </c>
      <c r="F38" s="19" t="inlineStr">
        <is>
          <t>Faded Bus Ticket Stub</t>
        </is>
      </c>
      <c r="G38" s="17" t="inlineStr">
        <is>
          <t>TuneCore</t>
        </is>
      </c>
      <c r="H38" s="17" t="inlineStr">
        <is>
          <t>Pop</t>
        </is>
      </c>
      <c r="I38" s="17" t="inlineStr">
        <is>
          <t>Kade Valen</t>
        </is>
      </c>
      <c r="J38" s="19" t="inlineStr">
        <is>
          <t>https://www.youtube.com/@KadeValen</t>
        </is>
      </c>
      <c r="K38" s="19" t="inlineStr">
        <is>
          <t>https://youtu.be/jCuC0Q_UKeo?si=d-nZMGbGgU2acE4Z</t>
        </is>
      </c>
      <c r="L38" s="20" t="n">
        <v>46305</v>
      </c>
      <c r="M38" s="20" t="n">
        <v>46317</v>
      </c>
      <c r="N38" s="17" t="inlineStr">
        <is>
          <t>Published</t>
        </is>
      </c>
      <c r="O38" s="17" t="n"/>
      <c r="P38" s="21">
        <f>IF(AND(ISNUMBER($L38),ISNUMBER($M38)),MAX(0,$M38-$L38),"")</f>
        <v/>
      </c>
      <c r="Q38" s="21">
        <f>IF(ISNUMBER($D38),MAX(0,TODAY()-$D38),"")</f>
        <v/>
      </c>
      <c r="R38" s="19">
        <f>IF(COUNTA($A38:$O38)=0,"",IFERROR(TRIM(TEXTJOIN(" | ",TRUE,IF($A38="","PC kosong",""),IF($C38="","Worker ID kosong",""),IF($D38="","Update Date kosong",IF(NOT(ISNUMBER($D38)),"Update Date bukan tanggal","")),IF($E38="","Song ID YT kosong",""),IF($F38="","Judul kosong",""),IF(TRIM($G38)="","",IF(ISERROR(MATCH(TRIM($G38),{"TuneCore","DistroKid","TooLost","SoundOn","Ditto","Believe","CD Baby","Amuse","Symphonic Distribution","ONErpm","RouteNote","LANDR","Horus Music","Indie"},0)),"Aggregator di luar daftar","")),IF(TRIM($H38)="","Genre kosong",IF((LEN(SUBSTITUTE(SUBSTITUTE(SUBSTITUTE(TRIM($H38),"/",","),";",",")," ",""))-LEN(SUBSTITUTE(SUBSTITUTE(SUBSTITUTE(SUBSTITUTE(TRIM($H38),"/",","),";",","),"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38),"/",","),";",",")," ","")&amp;",")))&lt;&gt;(LEN(SUBSTITUTE(SUBSTITUTE(SUBSTITUTE(TRIM($H38),"/",","),";",",")," ",""))-LEN(SUBSTITUTE(SUBSTITUTE(SUBSTITUTE(SUBSTITUTE(TRIM($H38),"/",","),";",",")," ",""),",",""))+1),"Genre di luar daftar",""))),IF($I38="","Nama Channel kosong",""),IF($J38="","Link Channel kosong",IF(ISERROR(SEARCH("youtu",$J38)),"Link Channel bukan youtube","")),IF($K38="","Link Video kosong",IF(ISERROR(SEARCH("youtu",$K38)),"Link Video bukan youtube","")),IF($L38="","Tgl Dibuat kosong",IF(NOT(ISNUMBER($L38)),"Tgl Dibuat bukan tanggal","")),IF(AND($M38&lt;&gt;"",NOT(ISNUMBER($M38))),"Tgl Publish bukan tanggal",""),IF(AND(ISNUMBER($L38),ISNUMBER($M38),$M38&lt;$L38),"Tgl Publish &lt; Tgl buat",""),IF(TRIM($N38)="","Status kosong",IF(ISERROR(MATCH(TRIM($N38),{"Draft","Menunggu Review","Revisi","Terjadwal","Upload","Publish","Published","Batal"},0)),"Status di luar daftar","")))),""))</f>
        <v/>
      </c>
      <c r="S38" s="17">
        <f>IF(AND($A38&lt;&gt;"",$C38&lt;&gt;""),IF(COUNTIFS($A$2:$A$1000,$A38,$C$2:$C$1000,$C38)&gt;1,"DUPLICAT",""),"")</f>
        <v/>
      </c>
    </row>
    <row r="39">
      <c r="A39" s="12" t="inlineStr">
        <is>
          <t>PC 09</t>
        </is>
      </c>
      <c r="B39" s="12" t="n"/>
      <c r="C39" s="12" t="inlineStr">
        <is>
          <t>PC18-0018</t>
        </is>
      </c>
      <c r="D39" s="13" t="n">
        <v>46318</v>
      </c>
      <c r="E39" s="12" t="inlineStr">
        <is>
          <t>W18 -23102026-018</t>
        </is>
      </c>
      <c r="F39" s="14" t="inlineStr">
        <is>
          <t>Loading Screen</t>
        </is>
      </c>
      <c r="G39" s="12" t="inlineStr">
        <is>
          <t>TuneCore</t>
        </is>
      </c>
      <c r="H39" s="12" t="inlineStr">
        <is>
          <t>Pop</t>
        </is>
      </c>
      <c r="I39" s="12" t="inlineStr">
        <is>
          <t>Kade Valen</t>
        </is>
      </c>
      <c r="J39" s="14" t="inlineStr">
        <is>
          <t>https://www.youtube.com/@KadeValen</t>
        </is>
      </c>
      <c r="K39" s="14" t="inlineStr">
        <is>
          <t>https://youtu.be/aIEBQTdhhEM?si=RD3R9v1K4dPqvrXp</t>
        </is>
      </c>
      <c r="L39" s="15" t="n">
        <v>46305</v>
      </c>
      <c r="M39" s="15" t="n">
        <v>46317</v>
      </c>
      <c r="N39" s="12" t="inlineStr">
        <is>
          <t>Published</t>
        </is>
      </c>
      <c r="O39" s="12" t="n"/>
      <c r="P39" s="16">
        <f>IF(AND(ISNUMBER($L39),ISNUMBER($M39)),MAX(0,$M39-$L39),"")</f>
        <v/>
      </c>
      <c r="Q39" s="16">
        <f>IF(ISNUMBER($D39),MAX(0,TODAY()-$D39),"")</f>
        <v/>
      </c>
      <c r="R39" s="14">
        <f>IF(COUNTA($A39:$O39)=0,"",IFERROR(TRIM(TEXTJOIN(" | ",TRUE,IF($A39="","PC kosong",""),IF($C39="","Worker ID kosong",""),IF($D39="","Update Date kosong",IF(NOT(ISNUMBER($D39)),"Update Date bukan tanggal","")),IF($E39="","Song ID YT kosong",""),IF($F39="","Judul kosong",""),IF(TRIM($G39)="","",IF(ISERROR(MATCH(TRIM($G39),{"TuneCore","DistroKid","TooLost","SoundOn","Ditto","Believe","CD Baby","Amuse","Symphonic Distribution","ONErpm","RouteNote","LANDR","Horus Music","Indie"},0)),"Aggregator di luar daftar","")),IF(TRIM($H39)="","Genre kosong",IF((LEN(SUBSTITUTE(SUBSTITUTE(SUBSTITUTE(TRIM($H39),"/",","),";",",")," ",""))-LEN(SUBSTITUTE(SUBSTITUTE(SUBSTITUTE(SUBSTITUTE(TRIM($H39),"/",","),";",","),"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39),"/",","),";",",")," ","")&amp;",")))&lt;&gt;(LEN(SUBSTITUTE(SUBSTITUTE(SUBSTITUTE(TRIM($H39),"/",","),";",",")," ",""))-LEN(SUBSTITUTE(SUBSTITUTE(SUBSTITUTE(SUBSTITUTE(TRIM($H39),"/",","),";",",")," ",""),",",""))+1),"Genre di luar daftar",""))),IF($I39="","Nama Channel kosong",""),IF($J39="","Link Channel kosong",IF(ISERROR(SEARCH("youtu",$J39)),"Link Channel bukan youtube","")),IF($K39="","Link Video kosong",IF(ISERROR(SEARCH("youtu",$K39)),"Link Video bukan youtube","")),IF($L39="","Tgl Dibuat kosong",IF(NOT(ISNUMBER($L39)),"Tgl Dibuat bukan tanggal","")),IF(AND($M39&lt;&gt;"",NOT(ISNUMBER($M39))),"Tgl Publish bukan tanggal",""),IF(AND(ISNUMBER($L39),ISNUMBER($M39),$M39&lt;$L39),"Tgl Publish &lt; Tgl buat",""),IF(TRIM($N39)="","Status kosong",IF(ISERROR(MATCH(TRIM($N39),{"Draft","Menunggu Review","Revisi","Terjadwal","Upload","Publish","Published","Batal"},0)),"Status di luar daftar","")))),""))</f>
        <v/>
      </c>
      <c r="S39" s="12">
        <f>IF(AND($A39&lt;&gt;"",$C39&lt;&gt;""),IF(COUNTIFS($A$2:$A$1000,$A39,$C$2:$C$1000,$C39)&gt;1,"DUPLICAT",""),"")</f>
        <v/>
      </c>
    </row>
    <row r="40">
      <c r="A40" s="17" t="inlineStr">
        <is>
          <t>PC 09</t>
        </is>
      </c>
      <c r="B40" s="17" t="n"/>
      <c r="C40" s="17" t="inlineStr">
        <is>
          <t>PC18-0019</t>
        </is>
      </c>
      <c r="D40" s="18" t="n">
        <v>46318</v>
      </c>
      <c r="E40" s="17" t="inlineStr">
        <is>
          <t>W18 -23102026-019</t>
        </is>
      </c>
      <c r="F40" s="19" t="inlineStr">
        <is>
          <t>Your Shadow Wears Cologne</t>
        </is>
      </c>
      <c r="G40" s="17" t="inlineStr">
        <is>
          <t>TuneCore</t>
        </is>
      </c>
      <c r="H40" s="17" t="inlineStr">
        <is>
          <t>Pop</t>
        </is>
      </c>
      <c r="I40" s="17" t="inlineStr">
        <is>
          <t>Kade Valen</t>
        </is>
      </c>
      <c r="J40" s="19" t="inlineStr">
        <is>
          <t>https://www.youtube.com/@KadeValen</t>
        </is>
      </c>
      <c r="K40" s="19" t="inlineStr">
        <is>
          <t>https://youtu.be/YoN7jxTjd4k?si=tOBmf2mv1KxbSbRA</t>
        </is>
      </c>
      <c r="L40" s="20" t="n">
        <v>46305</v>
      </c>
      <c r="M40" s="20" t="n">
        <v>46317</v>
      </c>
      <c r="N40" s="17" t="inlineStr">
        <is>
          <t>Published</t>
        </is>
      </c>
      <c r="O40" s="17" t="n"/>
      <c r="P40" s="21">
        <f>IF(AND(ISNUMBER($L40),ISNUMBER($M40)),MAX(0,$M40-$L40),"")</f>
        <v/>
      </c>
      <c r="Q40" s="21">
        <f>IF(ISNUMBER($D40),MAX(0,TODAY()-$D40),"")</f>
        <v/>
      </c>
      <c r="R40" s="19">
        <f>IF(COUNTA($A40:$O40)=0,"",IFERROR(TRIM(TEXTJOIN(" | ",TRUE,IF($A40="","PC kosong",""),IF($C40="","Worker ID kosong",""),IF($D40="","Update Date kosong",IF(NOT(ISNUMBER($D40)),"Update Date bukan tanggal","")),IF($E40="","Song ID YT kosong",""),IF($F40="","Judul kosong",""),IF(TRIM($G40)="","",IF(ISERROR(MATCH(TRIM($G40),{"TuneCore","DistroKid","TooLost","SoundOn","Ditto","Believe","CD Baby","Amuse","Symphonic Distribution","ONErpm","RouteNote","LANDR","Horus Music","Indie"},0)),"Aggregator di luar daftar","")),IF(TRIM($H40)="","Genre kosong",IF((LEN(SUBSTITUTE(SUBSTITUTE(SUBSTITUTE(TRIM($H40),"/",","),";",",")," ",""))-LEN(SUBSTITUTE(SUBSTITUTE(SUBSTITUTE(SUBSTITUTE(TRIM($H40),"/",","),";",","),"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40),"/",","),";",",")," ","")&amp;",")))&lt;&gt;(LEN(SUBSTITUTE(SUBSTITUTE(SUBSTITUTE(TRIM($H40),"/",","),";",",")," ",""))-LEN(SUBSTITUTE(SUBSTITUTE(SUBSTITUTE(SUBSTITUTE(TRIM($H40),"/",","),";",",")," ",""),",",""))+1),"Genre di luar daftar",""))),IF($I40="","Nama Channel kosong",""),IF($J40="","Link Channel kosong",IF(ISERROR(SEARCH("youtu",$J40)),"Link Channel bukan youtube","")),IF($K40="","Link Video kosong",IF(ISERROR(SEARCH("youtu",$K40)),"Link Video bukan youtube","")),IF($L40="","Tgl Dibuat kosong",IF(NOT(ISNUMBER($L40)),"Tgl Dibuat bukan tanggal","")),IF(AND($M40&lt;&gt;"",NOT(ISNUMBER($M40))),"Tgl Publish bukan tanggal",""),IF(AND(ISNUMBER($L40),ISNUMBER($M40),$M40&lt;$L40),"Tgl Publish &lt; Tgl buat",""),IF(TRIM($N40)="","Status kosong",IF(ISERROR(MATCH(TRIM($N40),{"Draft","Menunggu Review","Revisi","Terjadwal","Upload","Publish","Published","Batal"},0)),"Status di luar daftar","")))),""))</f>
        <v/>
      </c>
      <c r="S40" s="17">
        <f>IF(AND($A40&lt;&gt;"",$C40&lt;&gt;""),IF(COUNTIFS($A$2:$A$1000,$A40,$C$2:$C$1000,$C40)&gt;1,"DUPLICAT",""),"")</f>
        <v/>
      </c>
    </row>
    <row r="41">
      <c r="A41" s="12" t="inlineStr">
        <is>
          <t>PC 09</t>
        </is>
      </c>
      <c r="B41" s="12" t="n"/>
      <c r="C41" s="12" t="inlineStr">
        <is>
          <t>PC18-0020</t>
        </is>
      </c>
      <c r="D41" s="13" t="n">
        <v>46318</v>
      </c>
      <c r="E41" s="12" t="inlineStr">
        <is>
          <t>W18 -23102026-020</t>
        </is>
      </c>
      <c r="F41" s="14" t="inlineStr">
        <is>
          <t>Sideshow</t>
        </is>
      </c>
      <c r="G41" s="12" t="inlineStr">
        <is>
          <t>TuneCore</t>
        </is>
      </c>
      <c r="H41" s="12" t="inlineStr">
        <is>
          <t>Pop</t>
        </is>
      </c>
      <c r="I41" s="12" t="inlineStr">
        <is>
          <t>Kade Valen</t>
        </is>
      </c>
      <c r="J41" s="14" t="inlineStr">
        <is>
          <t>https://www.youtube.com/@KadeValen</t>
        </is>
      </c>
      <c r="K41" s="14" t="inlineStr">
        <is>
          <t>https://youtu.be/UlsavM-G56k?si=LlElo9VqoQpNf3aQ</t>
        </is>
      </c>
      <c r="L41" s="15" t="n">
        <v>46305</v>
      </c>
      <c r="M41" s="15" t="n">
        <v>46317</v>
      </c>
      <c r="N41" s="12" t="inlineStr">
        <is>
          <t>Published</t>
        </is>
      </c>
      <c r="O41" s="12" t="n"/>
      <c r="P41" s="16">
        <f>IF(AND(ISNUMBER($L41),ISNUMBER($M41)),MAX(0,$M41-$L41),"")</f>
        <v/>
      </c>
      <c r="Q41" s="16">
        <f>IF(ISNUMBER($D41),MAX(0,TODAY()-$D41),"")</f>
        <v/>
      </c>
      <c r="R41" s="14">
        <f>IF(COUNTA($A41:$O41)=0,"",IFERROR(TRIM(TEXTJOIN(" | ",TRUE,IF($A41="","PC kosong",""),IF($C41="","Worker ID kosong",""),IF($D41="","Update Date kosong",IF(NOT(ISNUMBER($D41)),"Update Date bukan tanggal","")),IF($E41="","Song ID YT kosong",""),IF($F41="","Judul kosong",""),IF(TRIM($G41)="","",IF(ISERROR(MATCH(TRIM($G41),{"TuneCore","DistroKid","TooLost","SoundOn","Ditto","Believe","CD Baby","Amuse","Symphonic Distribution","ONErpm","RouteNote","LANDR","Horus Music","Indie"},0)),"Aggregator di luar daftar","")),IF(TRIM($H41)="","Genre kosong",IF((LEN(SUBSTITUTE(SUBSTITUTE(SUBSTITUTE(TRIM($H41),"/",","),";",",")," ",""))-LEN(SUBSTITUTE(SUBSTITUTE(SUBSTITUTE(SUBSTITUTE(TRIM($H41),"/",","),";",","),"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41),"/",","),";",",")," ","")&amp;",")))&lt;&gt;(LEN(SUBSTITUTE(SUBSTITUTE(SUBSTITUTE(TRIM($H41),"/",","),";",",")," ",""))-LEN(SUBSTITUTE(SUBSTITUTE(SUBSTITUTE(SUBSTITUTE(TRIM($H41),"/",","),";",",")," ",""),",",""))+1),"Genre di luar daftar",""))),IF($I41="","Nama Channel kosong",""),IF($J41="","Link Channel kosong",IF(ISERROR(SEARCH("youtu",$J41)),"Link Channel bukan youtube","")),IF($K41="","Link Video kosong",IF(ISERROR(SEARCH("youtu",$K41)),"Link Video bukan youtube","")),IF($L41="","Tgl Dibuat kosong",IF(NOT(ISNUMBER($L41)),"Tgl Dibuat bukan tanggal","")),IF(AND($M41&lt;&gt;"",NOT(ISNUMBER($M41))),"Tgl Publish bukan tanggal",""),IF(AND(ISNUMBER($L41),ISNUMBER($M41),$M41&lt;$L41),"Tgl Publish &lt; Tgl buat",""),IF(TRIM($N41)="","Status kosong",IF(ISERROR(MATCH(TRIM($N41),{"Draft","Menunggu Review","Revisi","Terjadwal","Upload","Publish","Published","Batal"},0)),"Status di luar daftar","")))),""))</f>
        <v/>
      </c>
      <c r="S41" s="12">
        <f>IF(AND($A41&lt;&gt;"",$C41&lt;&gt;""),IF(COUNTIFS($A$2:$A$1000,$A41,$C$2:$C$1000,$C41)&gt;1,"DUPLICAT",""),"")</f>
        <v/>
      </c>
    </row>
    <row r="42">
      <c r="A42" s="17" t="inlineStr">
        <is>
          <t>PC 09</t>
        </is>
      </c>
      <c r="B42" s="17" t="n"/>
      <c r="C42" s="17" t="inlineStr">
        <is>
          <t>PC18-0021</t>
        </is>
      </c>
      <c r="D42" s="18" t="n">
        <v>46318</v>
      </c>
      <c r="E42" s="17" t="inlineStr">
        <is>
          <t>W18 -23102026-021</t>
        </is>
      </c>
      <c r="F42" s="19" t="inlineStr">
        <is>
          <t>Avalance</t>
        </is>
      </c>
      <c r="G42" s="17" t="inlineStr">
        <is>
          <t>TuneCore</t>
        </is>
      </c>
      <c r="H42" s="17" t="inlineStr">
        <is>
          <t>Pop</t>
        </is>
      </c>
      <c r="I42" s="17" t="inlineStr">
        <is>
          <t>Kade Valen</t>
        </is>
      </c>
      <c r="J42" s="19" t="inlineStr">
        <is>
          <t>https://www.youtube.com/@KadeValen</t>
        </is>
      </c>
      <c r="K42" s="19" t="inlineStr">
        <is>
          <t>https://youtu.be/ess86eYUv8k?si=2tjQuFcdqsoRP1Av</t>
        </is>
      </c>
      <c r="L42" s="20" t="n">
        <v>46305</v>
      </c>
      <c r="M42" s="20" t="n">
        <v>46318</v>
      </c>
      <c r="N42" s="17" t="inlineStr">
        <is>
          <t>Published</t>
        </is>
      </c>
      <c r="O42" s="17" t="n"/>
      <c r="P42" s="21">
        <f>IF(AND(ISNUMBER($L42),ISNUMBER($M42)),MAX(0,$M42-$L42),"")</f>
        <v/>
      </c>
      <c r="Q42" s="21">
        <f>IF(ISNUMBER($D42),MAX(0,TODAY()-$D42),"")</f>
        <v/>
      </c>
      <c r="R42" s="19">
        <f>IF(COUNTA($A42:$O42)=0,"",IFERROR(TRIM(TEXTJOIN(" | ",TRUE,IF($A42="","PC kosong",""),IF($C42="","Worker ID kosong",""),IF($D42="","Update Date kosong",IF(NOT(ISNUMBER($D42)),"Update Date bukan tanggal","")),IF($E42="","Song ID YT kosong",""),IF($F42="","Judul kosong",""),IF(TRIM($G42)="","",IF(ISERROR(MATCH(TRIM($G42),{"TuneCore","DistroKid","TooLost","SoundOn","Ditto","Believe","CD Baby","Amuse","Symphonic Distribution","ONErpm","RouteNote","LANDR","Horus Music","Indie"},0)),"Aggregator di luar daftar","")),IF(TRIM($H42)="","Genre kosong",IF((LEN(SUBSTITUTE(SUBSTITUTE(SUBSTITUTE(TRIM($H42),"/",","),";",",")," ",""))-LEN(SUBSTITUTE(SUBSTITUTE(SUBSTITUTE(SUBSTITUTE(TRIM($H42),"/",","),";",","),"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42),"/",","),";",",")," ","")&amp;",")))&lt;&gt;(LEN(SUBSTITUTE(SUBSTITUTE(SUBSTITUTE(TRIM($H42),"/",","),";",",")," ",""))-LEN(SUBSTITUTE(SUBSTITUTE(SUBSTITUTE(SUBSTITUTE(TRIM($H42),"/",","),";",",")," ",""),",",""))+1),"Genre di luar daftar",""))),IF($I42="","Nama Channel kosong",""),IF($J42="","Link Channel kosong",IF(ISERROR(SEARCH("youtu",$J42)),"Link Channel bukan youtube","")),IF($K42="","Link Video kosong",IF(ISERROR(SEARCH("youtu",$K42)),"Link Video bukan youtube","")),IF($L42="","Tgl Dibuat kosong",IF(NOT(ISNUMBER($L42)),"Tgl Dibuat bukan tanggal","")),IF(AND($M42&lt;&gt;"",NOT(ISNUMBER($M42))),"Tgl Publish bukan tanggal",""),IF(AND(ISNUMBER($L42),ISNUMBER($M42),$M42&lt;$L42),"Tgl Publish &lt; Tgl buat",""),IF(TRIM($N42)="","Status kosong",IF(ISERROR(MATCH(TRIM($N42),{"Draft","Menunggu Review","Revisi","Terjadwal","Upload","Publish","Published","Batal"},0)),"Status di luar daftar","")))),""))</f>
        <v/>
      </c>
      <c r="S42" s="17">
        <f>IF(AND($A42&lt;&gt;"",$C42&lt;&gt;""),IF(COUNTIFS($A$2:$A$1000,$A42,$C$2:$C$1000,$C42)&gt;1,"DUPLICAT",""),"")</f>
        <v/>
      </c>
    </row>
    <row r="43">
      <c r="A43" s="12" t="inlineStr">
        <is>
          <t>PC 09</t>
        </is>
      </c>
      <c r="B43" s="12" t="n"/>
      <c r="C43" s="12" t="inlineStr">
        <is>
          <t>PC18-0022</t>
        </is>
      </c>
      <c r="D43" s="13" t="n">
        <v>46318</v>
      </c>
      <c r="E43" s="12" t="inlineStr">
        <is>
          <t>W18 -23102026-022</t>
        </is>
      </c>
      <c r="F43" s="14" t="inlineStr">
        <is>
          <t>Demolition Day</t>
        </is>
      </c>
      <c r="G43" s="12" t="inlineStr">
        <is>
          <t>TuneCore</t>
        </is>
      </c>
      <c r="H43" s="12" t="inlineStr">
        <is>
          <t>Pop</t>
        </is>
      </c>
      <c r="I43" s="12" t="inlineStr">
        <is>
          <t>Kade Valen</t>
        </is>
      </c>
      <c r="J43" s="14" t="inlineStr">
        <is>
          <t>https://www.youtube.com/@KadeValen</t>
        </is>
      </c>
      <c r="K43" s="14" t="inlineStr">
        <is>
          <t>https://youtu.be/Xvhh6CM2iO4?si=0Qu9YzYkm25655_d</t>
        </is>
      </c>
      <c r="L43" s="15" t="n">
        <v>46305</v>
      </c>
      <c r="M43" s="15" t="n">
        <v>46318</v>
      </c>
      <c r="N43" s="12" t="inlineStr">
        <is>
          <t>Published</t>
        </is>
      </c>
      <c r="O43" s="12" t="n"/>
      <c r="P43" s="16">
        <f>IF(AND(ISNUMBER($L43),ISNUMBER($M43)),MAX(0,$M43-$L43),"")</f>
        <v/>
      </c>
      <c r="Q43" s="16">
        <f>IF(ISNUMBER($D43),MAX(0,TODAY()-$D43),"")</f>
        <v/>
      </c>
      <c r="R43" s="14">
        <f>IF(COUNTA($A43:$O43)=0,"",IFERROR(TRIM(TEXTJOIN(" | ",TRUE,IF($A43="","PC kosong",""),IF($C43="","Worker ID kosong",""),IF($D43="","Update Date kosong",IF(NOT(ISNUMBER($D43)),"Update Date bukan tanggal","")),IF($E43="","Song ID YT kosong",""),IF($F43="","Judul kosong",""),IF(TRIM($G43)="","",IF(ISERROR(MATCH(TRIM($G43),{"TuneCore","DistroKid","TooLost","SoundOn","Ditto","Believe","CD Baby","Amuse","Symphonic Distribution","ONErpm","RouteNote","LANDR","Horus Music","Indie"},0)),"Aggregator di luar daftar","")),IF(TRIM($H43)="","Genre kosong",IF((LEN(SUBSTITUTE(SUBSTITUTE(SUBSTITUTE(TRIM($H43),"/",","),";",",")," ",""))-LEN(SUBSTITUTE(SUBSTITUTE(SUBSTITUTE(SUBSTITUTE(TRIM($H43),"/",","),";",","),"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43),"/",","),";",",")," ","")&amp;",")))&lt;&gt;(LEN(SUBSTITUTE(SUBSTITUTE(SUBSTITUTE(TRIM($H43),"/",","),";",",")," ",""))-LEN(SUBSTITUTE(SUBSTITUTE(SUBSTITUTE(SUBSTITUTE(TRIM($H43),"/",","),";",",")," ",""),",",""))+1),"Genre di luar daftar",""))),IF($I43="","Nama Channel kosong",""),IF($J43="","Link Channel kosong",IF(ISERROR(SEARCH("youtu",$J43)),"Link Channel bukan youtube","")),IF($K43="","Link Video kosong",IF(ISERROR(SEARCH("youtu",$K43)),"Link Video bukan youtube","")),IF($L43="","Tgl Dibuat kosong",IF(NOT(ISNUMBER($L43)),"Tgl Dibuat bukan tanggal","")),IF(AND($M43&lt;&gt;"",NOT(ISNUMBER($M43))),"Tgl Publish bukan tanggal",""),IF(AND(ISNUMBER($L43),ISNUMBER($M43),$M43&lt;$L43),"Tgl Publish &lt; Tgl buat",""),IF(TRIM($N43)="","Status kosong",IF(ISERROR(MATCH(TRIM($N43),{"Draft","Menunggu Review","Revisi","Terjadwal","Upload","Publish","Published","Batal"},0)),"Status di luar daftar","")))),""))</f>
        <v/>
      </c>
      <c r="S43" s="12">
        <f>IF(AND($A43&lt;&gt;"",$C43&lt;&gt;""),IF(COUNTIFS($A$2:$A$1000,$A43,$C$2:$C$1000,$C43)&gt;1,"DUPLICAT",""),"")</f>
        <v/>
      </c>
    </row>
    <row r="44">
      <c r="A44" s="17" t="inlineStr">
        <is>
          <t>PC 09</t>
        </is>
      </c>
      <c r="B44" s="17" t="n"/>
      <c r="C44" s="17" t="inlineStr">
        <is>
          <t>PC18-0023</t>
        </is>
      </c>
      <c r="D44" s="18" t="n">
        <v>46318</v>
      </c>
      <c r="E44" s="17" t="inlineStr">
        <is>
          <t>W18 -23102026-023</t>
        </is>
      </c>
      <c r="F44" s="19" t="inlineStr">
        <is>
          <t>Foundation Crack</t>
        </is>
      </c>
      <c r="G44" s="17" t="inlineStr">
        <is>
          <t>TuneCore</t>
        </is>
      </c>
      <c r="H44" s="17" t="inlineStr">
        <is>
          <t>Pop</t>
        </is>
      </c>
      <c r="I44" s="17" t="inlineStr">
        <is>
          <t>Kade Valen</t>
        </is>
      </c>
      <c r="J44" s="19" t="inlineStr">
        <is>
          <t>https://www.youtube.com/@KadeValen</t>
        </is>
      </c>
      <c r="K44" s="19" t="inlineStr">
        <is>
          <t>https://youtu.be/Oa5PA7YDVwc?si=8CwYNdf0x_laZnMA</t>
        </is>
      </c>
      <c r="L44" s="20" t="n">
        <v>46305</v>
      </c>
      <c r="M44" s="20" t="n">
        <v>46318</v>
      </c>
      <c r="N44" s="17" t="inlineStr">
        <is>
          <t>Terjadwal</t>
        </is>
      </c>
      <c r="O44" s="17" t="n"/>
      <c r="P44" s="21">
        <f>IF(AND(ISNUMBER($L44),ISNUMBER($M44)),MAX(0,$M44-$L44),"")</f>
        <v/>
      </c>
      <c r="Q44" s="21">
        <f>IF(ISNUMBER($D44),MAX(0,TODAY()-$D44),"")</f>
        <v/>
      </c>
      <c r="R44" s="19">
        <f>IF(COUNTA($A44:$O44)=0,"",IFERROR(TRIM(TEXTJOIN(" | ",TRUE,IF($A44="","PC kosong",""),IF($C44="","Worker ID kosong",""),IF($D44="","Update Date kosong",IF(NOT(ISNUMBER($D44)),"Update Date bukan tanggal","")),IF($E44="","Song ID YT kosong",""),IF($F44="","Judul kosong",""),IF(TRIM($G44)="","",IF(ISERROR(MATCH(TRIM($G44),{"TuneCore","DistroKid","TooLost","SoundOn","Ditto","Believe","CD Baby","Amuse","Symphonic Distribution","ONErpm","RouteNote","LANDR","Horus Music","Indie"},0)),"Aggregator di luar daftar","")),IF(TRIM($H44)="","Genre kosong",IF((LEN(SUBSTITUTE(SUBSTITUTE(SUBSTITUTE(TRIM($H44),"/",","),";",",")," ",""))-LEN(SUBSTITUTE(SUBSTITUTE(SUBSTITUTE(SUBSTITUTE(TRIM($H44),"/",","),";",","),"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44),"/",","),";",",")," ","")&amp;",")))&lt;&gt;(LEN(SUBSTITUTE(SUBSTITUTE(SUBSTITUTE(TRIM($H44),"/",","),";",",")," ",""))-LEN(SUBSTITUTE(SUBSTITUTE(SUBSTITUTE(SUBSTITUTE(TRIM($H44),"/",","),";",",")," ",""),",",""))+1),"Genre di luar daftar",""))),IF($I44="","Nama Channel kosong",""),IF($J44="","Link Channel kosong",IF(ISERROR(SEARCH("youtu",$J44)),"Link Channel bukan youtube","")),IF($K44="","Link Video kosong",IF(ISERROR(SEARCH("youtu",$K44)),"Link Video bukan youtube","")),IF($L44="","Tgl Dibuat kosong",IF(NOT(ISNUMBER($L44)),"Tgl Dibuat bukan tanggal","")),IF(AND($M44&lt;&gt;"",NOT(ISNUMBER($M44))),"Tgl Publish bukan tanggal",""),IF(AND(ISNUMBER($L44),ISNUMBER($M44),$M44&lt;$L44),"Tgl Publish &lt; Tgl buat",""),IF(TRIM($N44)="","Status kosong",IF(ISERROR(MATCH(TRIM($N44),{"Draft","Menunggu Review","Revisi","Terjadwal","Upload","Publish","Published","Batal"},0)),"Status di luar daftar","")))),""))</f>
        <v/>
      </c>
      <c r="S44" s="17">
        <f>IF(AND($A44&lt;&gt;"",$C44&lt;&gt;""),IF(COUNTIFS($A$2:$A$1000,$A44,$C$2:$C$1000,$C44)&gt;1,"DUPLICAT",""),"")</f>
        <v/>
      </c>
    </row>
    <row r="45">
      <c r="A45" s="12" t="inlineStr">
        <is>
          <t>PC 09</t>
        </is>
      </c>
      <c r="B45" s="12" t="n"/>
      <c r="C45" s="12" t="inlineStr">
        <is>
          <t>PC18-0024</t>
        </is>
      </c>
      <c r="D45" s="13" t="n">
        <v>46318</v>
      </c>
      <c r="E45" s="12" t="inlineStr">
        <is>
          <t>W18 -23102026-024</t>
        </is>
      </c>
      <c r="F45" s="14" t="inlineStr">
        <is>
          <t>Nothing To Defend</t>
        </is>
      </c>
      <c r="G45" s="12" t="inlineStr">
        <is>
          <t>TuneCore</t>
        </is>
      </c>
      <c r="H45" s="12" t="inlineStr">
        <is>
          <t>Pop</t>
        </is>
      </c>
      <c r="I45" s="12" t="inlineStr">
        <is>
          <t>Kade Valen</t>
        </is>
      </c>
      <c r="J45" s="14" t="inlineStr">
        <is>
          <t>https://www.youtube.com/@KadeValen</t>
        </is>
      </c>
      <c r="K45" s="14" t="inlineStr">
        <is>
          <t>https://youtu.be/pWraEljvKeI?si=kheZJXId_CTDD_BZ</t>
        </is>
      </c>
      <c r="L45" s="15" t="n">
        <v>46305</v>
      </c>
      <c r="M45" s="15" t="n">
        <v>46318</v>
      </c>
      <c r="N45" s="12" t="inlineStr">
        <is>
          <t>Terjadwal</t>
        </is>
      </c>
      <c r="O45" s="12" t="n"/>
      <c r="P45" s="16">
        <f>IF(AND(ISNUMBER($L45),ISNUMBER($M45)),MAX(0,$M45-$L45),"")</f>
        <v/>
      </c>
      <c r="Q45" s="16">
        <f>IF(ISNUMBER($D45),MAX(0,TODAY()-$D45),"")</f>
        <v/>
      </c>
      <c r="R45" s="14">
        <f>IF(COUNTA($A45:$O45)=0,"",IFERROR(TRIM(TEXTJOIN(" | ",TRUE,IF($A45="","PC kosong",""),IF($C45="","Worker ID kosong",""),IF($D45="","Update Date kosong",IF(NOT(ISNUMBER($D45)),"Update Date bukan tanggal","")),IF($E45="","Song ID YT kosong",""),IF($F45="","Judul kosong",""),IF(TRIM($G45)="","",IF(ISERROR(MATCH(TRIM($G45),{"TuneCore","DistroKid","TooLost","SoundOn","Ditto","Believe","CD Baby","Amuse","Symphonic Distribution","ONErpm","RouteNote","LANDR","Horus Music","Indie"},0)),"Aggregator di luar daftar","")),IF(TRIM($H45)="","Genre kosong",IF((LEN(SUBSTITUTE(SUBSTITUTE(SUBSTITUTE(TRIM($H45),"/",","),";",",")," ",""))-LEN(SUBSTITUTE(SUBSTITUTE(SUBSTITUTE(SUBSTITUTE(TRIM($H45),"/",","),";",","),"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45),"/",","),";",",")," ","")&amp;",")))&lt;&gt;(LEN(SUBSTITUTE(SUBSTITUTE(SUBSTITUTE(TRIM($H45),"/",","),";",",")," ",""))-LEN(SUBSTITUTE(SUBSTITUTE(SUBSTITUTE(SUBSTITUTE(TRIM($H45),"/",","),";",",")," ",""),",",""))+1),"Genre di luar daftar",""))),IF($I45="","Nama Channel kosong",""),IF($J45="","Link Channel kosong",IF(ISERROR(SEARCH("youtu",$J45)),"Link Channel bukan youtube","")),IF($K45="","Link Video kosong",IF(ISERROR(SEARCH("youtu",$K45)),"Link Video bukan youtube","")),IF($L45="","Tgl Dibuat kosong",IF(NOT(ISNUMBER($L45)),"Tgl Dibuat bukan tanggal","")),IF(AND($M45&lt;&gt;"",NOT(ISNUMBER($M45))),"Tgl Publish bukan tanggal",""),IF(AND(ISNUMBER($L45),ISNUMBER($M45),$M45&lt;$L45),"Tgl Publish &lt; Tgl buat",""),IF(TRIM($N45)="","Status kosong",IF(ISERROR(MATCH(TRIM($N45),{"Draft","Menunggu Review","Revisi","Terjadwal","Upload","Publish","Published","Batal"},0)),"Status di luar daftar","")))),""))</f>
        <v/>
      </c>
      <c r="S45" s="12">
        <f>IF(AND($A45&lt;&gt;"",$C45&lt;&gt;""),IF(COUNTIFS($A$2:$A$1000,$A45,$C$2:$C$1000,$C45)&gt;1,"DUPLICAT",""),"")</f>
        <v/>
      </c>
    </row>
    <row r="46">
      <c r="A46" s="17" t="n"/>
      <c r="B46" s="17" t="n"/>
      <c r="C46" s="17" t="n"/>
      <c r="D46" s="18" t="n"/>
      <c r="E46" s="17" t="n"/>
      <c r="F46" s="19" t="n"/>
      <c r="G46" s="17" t="n"/>
      <c r="H46" s="17" t="n"/>
      <c r="I46" s="17" t="n"/>
      <c r="J46" s="19" t="n"/>
      <c r="K46" s="19" t="n"/>
      <c r="L46" s="20" t="n"/>
      <c r="M46" s="20" t="n"/>
      <c r="N46" s="17" t="n"/>
      <c r="O46" s="17" t="n"/>
      <c r="P46" s="21">
        <f>IF(AND(ISNUMBER($L46),ISNUMBER($M46)),MAX(0,$M46-$L46),"")</f>
        <v/>
      </c>
      <c r="Q46" s="21">
        <f>IF(ISNUMBER($D46),MAX(0,TODAY()-$D46),"")</f>
        <v/>
      </c>
      <c r="R46" s="19">
        <f>IF(COUNTA($A46:$O46)=0,"",IFERROR(TRIM(TEXTJOIN(" | ",TRUE,IF($A46="","PC kosong",""),IF($C46="","Worker ID kosong",""),IF($D46="","Update Date kosong",IF(NOT(ISNUMBER($D46)),"Update Date bukan tanggal","")),IF($E46="","Song ID YT kosong",""),IF($F46="","Judul kosong",""),IF(TRIM($G46)="","",IF(ISERROR(MATCH(TRIM($G46),{"TuneCore","DistroKid","TooLost","SoundOn","Ditto","Believe","CD Baby","Amuse","Symphonic Distribution","ONErpm","RouteNote","LANDR","Horus Music","Indie"},0)),"Aggregator di luar daftar","")),IF(TRIM($H46)="","Genre kosong",IF((LEN(SUBSTITUTE(SUBSTITUTE(SUBSTITUTE(TRIM($H46),"/",","),";",",")," ",""))-LEN(SUBSTITUTE(SUBSTITUTE(SUBSTITUTE(SUBSTITUTE(TRIM($H46),"/",","),";",","),"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46),"/",","),";",",")," ","")&amp;",")))&lt;&gt;(LEN(SUBSTITUTE(SUBSTITUTE(SUBSTITUTE(TRIM($H46),"/",","),";",",")," ",""))-LEN(SUBSTITUTE(SUBSTITUTE(SUBSTITUTE(SUBSTITUTE(TRIM($H46),"/",","),";",",")," ",""),",",""))+1),"Genre di luar daftar",""))),IF($I46="","Nama Channel kosong",""),IF($J46="","Link Channel kosong",IF(ISERROR(SEARCH("youtu",$J46)),"Link Channel bukan youtube","")),IF($K46="","Link Video kosong",IF(ISERROR(SEARCH("youtu",$K46)),"Link Video bukan youtube","")),IF($L46="","Tgl Dibuat kosong",IF(NOT(ISNUMBER($L46)),"Tgl Dibuat bukan tanggal","")),IF(AND($M46&lt;&gt;"",NOT(ISNUMBER($M46))),"Tgl Publish bukan tanggal",""),IF(AND(ISNUMBER($L46),ISNUMBER($M46),$M46&lt;$L46),"Tgl Publish &lt; Tgl buat",""),IF(TRIM($N46)="","Status kosong",IF(ISERROR(MATCH(TRIM($N46),{"Draft","Menunggu Review","Revisi","Terjadwal","Upload","Publish","Published","Batal"},0)),"Status di luar daftar","")))),""))</f>
        <v/>
      </c>
      <c r="S46" s="17">
        <f>IF(AND($A46&lt;&gt;"",$C46&lt;&gt;""),IF(COUNTIFS($A$2:$A$1000,$A46,$C$2:$C$1000,$C46)&gt;1,"DUPLICAT",""),"")</f>
        <v/>
      </c>
    </row>
    <row r="47">
      <c r="A47" s="12" t="n"/>
      <c r="B47" s="12" t="n"/>
      <c r="C47" s="12" t="n"/>
      <c r="D47" s="13" t="n"/>
      <c r="E47" s="12" t="n"/>
      <c r="F47" s="14" t="n"/>
      <c r="G47" s="12" t="n"/>
      <c r="H47" s="12" t="n"/>
      <c r="I47" s="12" t="n"/>
      <c r="J47" s="14" t="n"/>
      <c r="K47" s="14" t="n"/>
      <c r="L47" s="15" t="n"/>
      <c r="M47" s="15" t="n"/>
      <c r="N47" s="12" t="n"/>
      <c r="O47" s="12" t="n"/>
      <c r="P47" s="16">
        <f>IF(AND(ISNUMBER($L47),ISNUMBER($M47)),MAX(0,$M47-$L47),"")</f>
        <v/>
      </c>
      <c r="Q47" s="16">
        <f>IF(ISNUMBER($D47),MAX(0,TODAY()-$D47),"")</f>
        <v/>
      </c>
      <c r="R47" s="14">
        <f>IF(COUNTA($A47:$O47)=0,"",IFERROR(TRIM(TEXTJOIN(" | ",TRUE,IF($A47="","PC kosong",""),IF($C47="","Worker ID kosong",""),IF($D47="","Update Date kosong",IF(NOT(ISNUMBER($D47)),"Update Date bukan tanggal","")),IF($E47="","Song ID YT kosong",""),IF($F47="","Judul kosong",""),IF(TRIM($G47)="","",IF(ISERROR(MATCH(TRIM($G47),{"TuneCore","DistroKid","TooLost","SoundOn","Ditto","Believe","CD Baby","Amuse","Symphonic Distribution","ONErpm","RouteNote","LANDR","Horus Music","Indie"},0)),"Aggregator di luar daftar","")),IF(TRIM($H47)="","Genre kosong",IF((LEN(SUBSTITUTE(SUBSTITUTE(SUBSTITUTE(TRIM($H47),"/",","),";",",")," ",""))-LEN(SUBSTITUTE(SUBSTITUTE(SUBSTITUTE(SUBSTITUTE(TRIM($H47),"/",","),";",","),"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47),"/",","),";",",")," ","")&amp;",")))&lt;&gt;(LEN(SUBSTITUTE(SUBSTITUTE(SUBSTITUTE(TRIM($H47),"/",","),";",",")," ",""))-LEN(SUBSTITUTE(SUBSTITUTE(SUBSTITUTE(SUBSTITUTE(TRIM($H47),"/",","),";",",")," ",""),",",""))+1),"Genre di luar daftar",""))),IF($I47="","Nama Channel kosong",""),IF($J47="","Link Channel kosong",IF(ISERROR(SEARCH("youtu",$J47)),"Link Channel bukan youtube","")),IF($K47="","Link Video kosong",IF(ISERROR(SEARCH("youtu",$K47)),"Link Video bukan youtube","")),IF($L47="","Tgl Dibuat kosong",IF(NOT(ISNUMBER($L47)),"Tgl Dibuat bukan tanggal","")),IF(AND($M47&lt;&gt;"",NOT(ISNUMBER($M47))),"Tgl Publish bukan tanggal",""),IF(AND(ISNUMBER($L47),ISNUMBER($M47),$M47&lt;$L47),"Tgl Publish &lt; Tgl buat",""),IF(TRIM($N47)="","Status kosong",IF(ISERROR(MATCH(TRIM($N47),{"Draft","Menunggu Review","Revisi","Terjadwal","Upload","Publish","Published","Batal"},0)),"Status di luar daftar","")))),""))</f>
        <v/>
      </c>
      <c r="S47" s="12">
        <f>IF(AND($A47&lt;&gt;"",$C47&lt;&gt;""),IF(COUNTIFS($A$2:$A$1000,$A47,$C$2:$C$1000,$C47)&gt;1,"DUPLICAT",""),"")</f>
        <v/>
      </c>
    </row>
    <row r="48">
      <c r="A48" s="17" t="n"/>
      <c r="B48" s="17" t="n"/>
      <c r="C48" s="17" t="n"/>
      <c r="D48" s="18" t="n"/>
      <c r="E48" s="17" t="n"/>
      <c r="F48" s="19" t="n"/>
      <c r="G48" s="17" t="n"/>
      <c r="H48" s="17" t="n"/>
      <c r="I48" s="17" t="n"/>
      <c r="J48" s="19" t="n"/>
      <c r="K48" s="19" t="n"/>
      <c r="L48" s="20" t="n"/>
      <c r="M48" s="20" t="n"/>
      <c r="N48" s="17" t="n"/>
      <c r="O48" s="17" t="n"/>
      <c r="P48" s="21">
        <f>IF(AND(ISNUMBER($L48),ISNUMBER($M48)),MAX(0,$M48-$L48),"")</f>
        <v/>
      </c>
      <c r="Q48" s="21">
        <f>IF(ISNUMBER($D48),MAX(0,TODAY()-$D48),"")</f>
        <v/>
      </c>
      <c r="R48" s="19">
        <f>IF(COUNTA($A48:$O48)=0,"",IFERROR(TRIM(TEXTJOIN(" | ",TRUE,IF($A48="","PC kosong",""),IF($C48="","Worker ID kosong",""),IF($D48="","Update Date kosong",IF(NOT(ISNUMBER($D48)),"Update Date bukan tanggal","")),IF($E48="","Song ID YT kosong",""),IF($F48="","Judul kosong",""),IF(TRIM($G48)="","",IF(ISERROR(MATCH(TRIM($G48),{"TuneCore","DistroKid","TooLost","SoundOn","Ditto","Believe","CD Baby","Amuse","Symphonic Distribution","ONErpm","RouteNote","LANDR","Horus Music","Indie"},0)),"Aggregator di luar daftar","")),IF(TRIM($H48)="","Genre kosong",IF((LEN(SUBSTITUTE(SUBSTITUTE(SUBSTITUTE(TRIM($H48),"/",","),";",",")," ",""))-LEN(SUBSTITUTE(SUBSTITUTE(SUBSTITUTE(SUBSTITUTE(TRIM($H48),"/",","),";",","),"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48),"/",","),";",",")," ","")&amp;",")))&lt;&gt;(LEN(SUBSTITUTE(SUBSTITUTE(SUBSTITUTE(TRIM($H48),"/",","),";",",")," ",""))-LEN(SUBSTITUTE(SUBSTITUTE(SUBSTITUTE(SUBSTITUTE(TRIM($H48),"/",","),";",",")," ",""),",",""))+1),"Genre di luar daftar",""))),IF($I48="","Nama Channel kosong",""),IF($J48="","Link Channel kosong",IF(ISERROR(SEARCH("youtu",$J48)),"Link Channel bukan youtube","")),IF($K48="","Link Video kosong",IF(ISERROR(SEARCH("youtu",$K48)),"Link Video bukan youtube","")),IF($L48="","Tgl Dibuat kosong",IF(NOT(ISNUMBER($L48)),"Tgl Dibuat bukan tanggal","")),IF(AND($M48&lt;&gt;"",NOT(ISNUMBER($M48))),"Tgl Publish bukan tanggal",""),IF(AND(ISNUMBER($L48),ISNUMBER($M48),$M48&lt;$L48),"Tgl Publish &lt; Tgl buat",""),IF(TRIM($N48)="","Status kosong",IF(ISERROR(MATCH(TRIM($N48),{"Draft","Menunggu Review","Revisi","Terjadwal","Upload","Publish","Published","Batal"},0)),"Status di luar daftar","")))),""))</f>
        <v/>
      </c>
      <c r="S48" s="17">
        <f>IF(AND($A48&lt;&gt;"",$C48&lt;&gt;""),IF(COUNTIFS($A$2:$A$1000,$A48,$C$2:$C$1000,$C48)&gt;1,"DUPLICAT",""),"")</f>
        <v/>
      </c>
    </row>
    <row r="49">
      <c r="A49" s="12" t="n"/>
      <c r="B49" s="12" t="n"/>
      <c r="C49" s="12" t="n"/>
      <c r="D49" s="13" t="n"/>
      <c r="E49" s="12" t="n"/>
      <c r="F49" s="14" t="n"/>
      <c r="G49" s="12" t="n"/>
      <c r="H49" s="12" t="n"/>
      <c r="I49" s="12" t="n"/>
      <c r="J49" s="14" t="n"/>
      <c r="K49" s="14" t="n"/>
      <c r="L49" s="15" t="n"/>
      <c r="M49" s="15" t="n"/>
      <c r="N49" s="12" t="n"/>
      <c r="O49" s="12" t="n"/>
      <c r="P49" s="16">
        <f>IF(AND(ISNUMBER($L49),ISNUMBER($M49)),MAX(0,$M49-$L49),"")</f>
        <v/>
      </c>
      <c r="Q49" s="16">
        <f>IF(ISNUMBER($D49),MAX(0,TODAY()-$D49),"")</f>
        <v/>
      </c>
      <c r="R49" s="14">
        <f>IF(COUNTA($A49:$O49)=0,"",IFERROR(TRIM(TEXTJOIN(" | ",TRUE,IF($A49="","PC kosong",""),IF($C49="","Worker ID kosong",""),IF($D49="","Update Date kosong",IF(NOT(ISNUMBER($D49)),"Update Date bukan tanggal","")),IF($E49="","Song ID YT kosong",""),IF($F49="","Judul kosong",""),IF(TRIM($G49)="","",IF(ISERROR(MATCH(TRIM($G49),{"TuneCore","DistroKid","TooLost","SoundOn","Ditto","Believe","CD Baby","Amuse","Symphonic Distribution","ONErpm","RouteNote","LANDR","Horus Music","Indie"},0)),"Aggregator di luar daftar","")),IF(TRIM($H49)="","Genre kosong",IF((LEN(SUBSTITUTE(SUBSTITUTE(SUBSTITUTE(TRIM($H49),"/",","),";",",")," ",""))-LEN(SUBSTITUTE(SUBSTITUTE(SUBSTITUTE(SUBSTITUTE(TRIM($H49),"/",","),";",","),"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49),"/",","),";",",")," ","")&amp;",")))&lt;&gt;(LEN(SUBSTITUTE(SUBSTITUTE(SUBSTITUTE(TRIM($H49),"/",","),";",",")," ",""))-LEN(SUBSTITUTE(SUBSTITUTE(SUBSTITUTE(SUBSTITUTE(TRIM($H49),"/",","),";",",")," ",""),",",""))+1),"Genre di luar daftar",""))),IF($I49="","Nama Channel kosong",""),IF($J49="","Link Channel kosong",IF(ISERROR(SEARCH("youtu",$J49)),"Link Channel bukan youtube","")),IF($K49="","Link Video kosong",IF(ISERROR(SEARCH("youtu",$K49)),"Link Video bukan youtube","")),IF($L49="","Tgl Dibuat kosong",IF(NOT(ISNUMBER($L49)),"Tgl Dibuat bukan tanggal","")),IF(AND($M49&lt;&gt;"",NOT(ISNUMBER($M49))),"Tgl Publish bukan tanggal",""),IF(AND(ISNUMBER($L49),ISNUMBER($M49),$M49&lt;$L49),"Tgl Publish &lt; Tgl buat",""),IF(TRIM($N49)="","Status kosong",IF(ISERROR(MATCH(TRIM($N49),{"Draft","Menunggu Review","Revisi","Terjadwal","Upload","Publish","Published","Batal"},0)),"Status di luar daftar","")))),""))</f>
        <v/>
      </c>
      <c r="S49" s="12">
        <f>IF(AND($A49&lt;&gt;"",$C49&lt;&gt;""),IF(COUNTIFS($A$2:$A$1000,$A49,$C$2:$C$1000,$C49)&gt;1,"DUPLICAT",""),"")</f>
        <v/>
      </c>
    </row>
    <row r="50">
      <c r="A50" s="17" t="n"/>
      <c r="B50" s="17" t="n"/>
      <c r="C50" s="17" t="n"/>
      <c r="D50" s="18" t="n"/>
      <c r="E50" s="17" t="n"/>
      <c r="F50" s="19" t="n"/>
      <c r="G50" s="17" t="n"/>
      <c r="H50" s="17" t="n"/>
      <c r="I50" s="17" t="n"/>
      <c r="J50" s="19" t="n"/>
      <c r="K50" s="19" t="n"/>
      <c r="L50" s="20" t="n"/>
      <c r="M50" s="20" t="n"/>
      <c r="N50" s="17" t="n"/>
      <c r="O50" s="17" t="n"/>
      <c r="P50" s="21">
        <f>IF(AND(ISNUMBER($L50),ISNUMBER($M50)),MAX(0,$M50-$L50),"")</f>
        <v/>
      </c>
      <c r="Q50" s="21">
        <f>IF(ISNUMBER($D50),MAX(0,TODAY()-$D50),"")</f>
        <v/>
      </c>
      <c r="R50" s="19">
        <f>IF(COUNTA($A50:$O50)=0,"",IFERROR(TRIM(TEXTJOIN(" | ",TRUE,IF($A50="","PC kosong",""),IF($C50="","Worker ID kosong",""),IF($D50="","Update Date kosong",IF(NOT(ISNUMBER($D50)),"Update Date bukan tanggal","")),IF($E50="","Song ID YT kosong",""),IF($F50="","Judul kosong",""),IF(TRIM($G50)="","",IF(ISERROR(MATCH(TRIM($G50),{"TuneCore","DistroKid","TooLost","SoundOn","Ditto","Believe","CD Baby","Amuse","Symphonic Distribution","ONErpm","RouteNote","LANDR","Horus Music","Indie"},0)),"Aggregator di luar daftar","")),IF(TRIM($H50)="","Genre kosong",IF((LEN(SUBSTITUTE(SUBSTITUTE(SUBSTITUTE(TRIM($H50),"/",","),";",",")," ",""))-LEN(SUBSTITUTE(SUBSTITUTE(SUBSTITUTE(SUBSTITUTE(TRIM($H50),"/",","),";",","),"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50),"/",","),";",",")," ","")&amp;",")))&lt;&gt;(LEN(SUBSTITUTE(SUBSTITUTE(SUBSTITUTE(TRIM($H50),"/",","),";",",")," ",""))-LEN(SUBSTITUTE(SUBSTITUTE(SUBSTITUTE(SUBSTITUTE(TRIM($H50),"/",","),";",",")," ",""),",",""))+1),"Genre di luar daftar",""))),IF($I50="","Nama Channel kosong",""),IF($J50="","Link Channel kosong",IF(ISERROR(SEARCH("youtu",$J50)),"Link Channel bukan youtube","")),IF($K50="","Link Video kosong",IF(ISERROR(SEARCH("youtu",$K50)),"Link Video bukan youtube","")),IF($L50="","Tgl Dibuat kosong",IF(NOT(ISNUMBER($L50)),"Tgl Dibuat bukan tanggal","")),IF(AND($M50&lt;&gt;"",NOT(ISNUMBER($M50))),"Tgl Publish bukan tanggal",""),IF(AND(ISNUMBER($L50),ISNUMBER($M50),$M50&lt;$L50),"Tgl Publish &lt; Tgl buat",""),IF(TRIM($N50)="","Status kosong",IF(ISERROR(MATCH(TRIM($N50),{"Draft","Menunggu Review","Revisi","Terjadwal","Upload","Publish","Published","Batal"},0)),"Status di luar daftar","")))),""))</f>
        <v/>
      </c>
      <c r="S50" s="17">
        <f>IF(AND($A50&lt;&gt;"",$C50&lt;&gt;""),IF(COUNTIFS($A$2:$A$1000,$A50,$C$2:$C$1000,$C50)&gt;1,"DUPLICAT",""),"")</f>
        <v/>
      </c>
    </row>
    <row r="51">
      <c r="A51" s="12" t="n"/>
      <c r="B51" s="12" t="n"/>
      <c r="C51" s="12" t="n"/>
      <c r="D51" s="13" t="n"/>
      <c r="E51" s="12" t="n"/>
      <c r="F51" s="14" t="n"/>
      <c r="G51" s="12" t="n"/>
      <c r="H51" s="12" t="n"/>
      <c r="I51" s="12" t="n"/>
      <c r="J51" s="14" t="n"/>
      <c r="K51" s="14" t="n"/>
      <c r="L51" s="15" t="n"/>
      <c r="M51" s="15" t="n"/>
      <c r="N51" s="12" t="n"/>
      <c r="O51" s="12" t="n"/>
      <c r="P51" s="16">
        <f>IF(AND(ISNUMBER($L51),ISNUMBER($M51)),MAX(0,$M51-$L51),"")</f>
        <v/>
      </c>
      <c r="Q51" s="16">
        <f>IF(ISNUMBER($D51),MAX(0,TODAY()-$D51),"")</f>
        <v/>
      </c>
      <c r="R51" s="14">
        <f>IF(COUNTA($A51:$O51)=0,"",IFERROR(TRIM(TEXTJOIN(" | ",TRUE,IF($A51="","PC kosong",""),IF($C51="","Worker ID kosong",""),IF($D51="","Update Date kosong",IF(NOT(ISNUMBER($D51)),"Update Date bukan tanggal","")),IF($E51="","Song ID YT kosong",""),IF($F51="","Judul kosong",""),IF(TRIM($G51)="","",IF(ISERROR(MATCH(TRIM($G51),{"TuneCore","DistroKid","TooLost","SoundOn","Ditto","Believe","CD Baby","Amuse","Symphonic Distribution","ONErpm","RouteNote","LANDR","Horus Music","Indie"},0)),"Aggregator di luar daftar","")),IF(TRIM($H51)="","Genre kosong",IF((LEN(SUBSTITUTE(SUBSTITUTE(SUBSTITUTE(TRIM($H51),"/",","),";",",")," ",""))-LEN(SUBSTITUTE(SUBSTITUTE(SUBSTITUTE(SUBSTITUTE(TRIM($H51),"/",","),";",","),"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51),"/",","),";",",")," ","")&amp;",")))&lt;&gt;(LEN(SUBSTITUTE(SUBSTITUTE(SUBSTITUTE(TRIM($H51),"/",","),";",",")," ",""))-LEN(SUBSTITUTE(SUBSTITUTE(SUBSTITUTE(SUBSTITUTE(TRIM($H51),"/",","),";",",")," ",""),",",""))+1),"Genre di luar daftar",""))),IF($I51="","Nama Channel kosong",""),IF($J51="","Link Channel kosong",IF(ISERROR(SEARCH("youtu",$J51)),"Link Channel bukan youtube","")),IF($K51="","Link Video kosong",IF(ISERROR(SEARCH("youtu",$K51)),"Link Video bukan youtube","")),IF($L51="","Tgl Dibuat kosong",IF(NOT(ISNUMBER($L51)),"Tgl Dibuat bukan tanggal","")),IF(AND($M51&lt;&gt;"",NOT(ISNUMBER($M51))),"Tgl Publish bukan tanggal",""),IF(AND(ISNUMBER($L51),ISNUMBER($M51),$M51&lt;$L51),"Tgl Publish &lt; Tgl buat",""),IF(TRIM($N51)="","Status kosong",IF(ISERROR(MATCH(TRIM($N51),{"Draft","Menunggu Review","Revisi","Terjadwal","Upload","Publish","Published","Batal"},0)),"Status di luar daftar","")))),""))</f>
        <v/>
      </c>
      <c r="S51" s="12">
        <f>IF(AND($A51&lt;&gt;"",$C51&lt;&gt;""),IF(COUNTIFS($A$2:$A$1000,$A51,$C$2:$C$1000,$C51)&gt;1,"DUPLICAT",""),"")</f>
        <v/>
      </c>
    </row>
    <row r="52">
      <c r="A52" s="17" t="n"/>
      <c r="B52" s="17" t="n"/>
      <c r="C52" s="17" t="n"/>
      <c r="D52" s="18" t="n"/>
      <c r="E52" s="17" t="n"/>
      <c r="F52" s="19" t="n"/>
      <c r="G52" s="17" t="n"/>
      <c r="H52" s="17" t="n"/>
      <c r="I52" s="17" t="n"/>
      <c r="J52" s="19" t="n"/>
      <c r="K52" s="19" t="n"/>
      <c r="L52" s="20" t="n"/>
      <c r="M52" s="20" t="n"/>
      <c r="N52" s="17" t="n"/>
      <c r="O52" s="17" t="n"/>
      <c r="P52" s="21">
        <f>IF(AND(ISNUMBER($L52),ISNUMBER($M52)),MAX(0,$M52-$L52),"")</f>
        <v/>
      </c>
      <c r="Q52" s="21">
        <f>IF(ISNUMBER($D52),MAX(0,TODAY()-$D52),"")</f>
        <v/>
      </c>
      <c r="R52" s="19">
        <f>IF(COUNTA($A52:$O52)=0,"",IFERROR(TRIM(TEXTJOIN(" | ",TRUE,IF($A52="","PC kosong",""),IF($C52="","Worker ID kosong",""),IF($D52="","Update Date kosong",IF(NOT(ISNUMBER($D52)),"Update Date bukan tanggal","")),IF($E52="","Song ID YT kosong",""),IF($F52="","Judul kosong",""),IF(TRIM($G52)="","",IF(ISERROR(MATCH(TRIM($G52),{"TuneCore","DistroKid","TooLost","SoundOn","Ditto","Believe","CD Baby","Amuse","Symphonic Distribution","ONErpm","RouteNote","LANDR","Horus Music","Indie"},0)),"Aggregator di luar daftar","")),IF(TRIM($H52)="","Genre kosong",IF((LEN(SUBSTITUTE(SUBSTITUTE(SUBSTITUTE(TRIM($H52),"/",","),";",",")," ",""))-LEN(SUBSTITUTE(SUBSTITUTE(SUBSTITUTE(SUBSTITUTE(TRIM($H52),"/",","),";",","),"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52),"/",","),";",",")," ","")&amp;",")))&lt;&gt;(LEN(SUBSTITUTE(SUBSTITUTE(SUBSTITUTE(TRIM($H52),"/",","),";",",")," ",""))-LEN(SUBSTITUTE(SUBSTITUTE(SUBSTITUTE(SUBSTITUTE(TRIM($H52),"/",","),";",",")," ",""),",",""))+1),"Genre di luar daftar",""))),IF($I52="","Nama Channel kosong",""),IF($J52="","Link Channel kosong",IF(ISERROR(SEARCH("youtu",$J52)),"Link Channel bukan youtube","")),IF($K52="","Link Video kosong",IF(ISERROR(SEARCH("youtu",$K52)),"Link Video bukan youtube","")),IF($L52="","Tgl Dibuat kosong",IF(NOT(ISNUMBER($L52)),"Tgl Dibuat bukan tanggal","")),IF(AND($M52&lt;&gt;"",NOT(ISNUMBER($M52))),"Tgl Publish bukan tanggal",""),IF(AND(ISNUMBER($L52),ISNUMBER($M52),$M52&lt;$L52),"Tgl Publish &lt; Tgl buat",""),IF(TRIM($N52)="","Status kosong",IF(ISERROR(MATCH(TRIM($N52),{"Draft","Menunggu Review","Revisi","Terjadwal","Upload","Publish","Published","Batal"},0)),"Status di luar daftar","")))),""))</f>
        <v/>
      </c>
      <c r="S52" s="17">
        <f>IF(AND($A52&lt;&gt;"",$C52&lt;&gt;""),IF(COUNTIFS($A$2:$A$1000,$A52,$C$2:$C$1000,$C52)&gt;1,"DUPLICAT",""),"")</f>
        <v/>
      </c>
    </row>
    <row r="53">
      <c r="A53" s="12" t="n"/>
      <c r="B53" s="12" t="n"/>
      <c r="C53" s="12" t="n"/>
      <c r="D53" s="13" t="n"/>
      <c r="E53" s="12" t="n"/>
      <c r="F53" s="14" t="n"/>
      <c r="G53" s="12" t="n"/>
      <c r="H53" s="12" t="n"/>
      <c r="I53" s="12" t="n"/>
      <c r="J53" s="14" t="n"/>
      <c r="K53" s="14" t="n"/>
      <c r="L53" s="15" t="n"/>
      <c r="M53" s="15" t="n"/>
      <c r="N53" s="12" t="n"/>
      <c r="O53" s="12" t="n"/>
      <c r="P53" s="16">
        <f>IF(AND(ISNUMBER($L53),ISNUMBER($M53)),MAX(0,$M53-$L53),"")</f>
        <v/>
      </c>
      <c r="Q53" s="16">
        <f>IF(ISNUMBER($D53),MAX(0,TODAY()-$D53),"")</f>
        <v/>
      </c>
      <c r="R53" s="14">
        <f>IF(COUNTA($A53:$O53)=0,"",IFERROR(TRIM(TEXTJOIN(" | ",TRUE,IF($A53="","PC kosong",""),IF($C53="","Worker ID kosong",""),IF($D53="","Update Date kosong",IF(NOT(ISNUMBER($D53)),"Update Date bukan tanggal","")),IF($E53="","Song ID YT kosong",""),IF($F53="","Judul kosong",""),IF(TRIM($G53)="","",IF(ISERROR(MATCH(TRIM($G53),{"TuneCore","DistroKid","TooLost","SoundOn","Ditto","Believe","CD Baby","Amuse","Symphonic Distribution","ONErpm","RouteNote","LANDR","Horus Music","Indie"},0)),"Aggregator di luar daftar","")),IF(TRIM($H53)="","Genre kosong",IF((LEN(SUBSTITUTE(SUBSTITUTE(SUBSTITUTE(TRIM($H53),"/",","),";",",")," ",""))-LEN(SUBSTITUTE(SUBSTITUTE(SUBSTITUTE(SUBSTITUTE(TRIM($H53),"/",","),";",","),"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53),"/",","),";",",")," ","")&amp;",")))&lt;&gt;(LEN(SUBSTITUTE(SUBSTITUTE(SUBSTITUTE(TRIM($H53),"/",","),";",",")," ",""))-LEN(SUBSTITUTE(SUBSTITUTE(SUBSTITUTE(SUBSTITUTE(TRIM($H53),"/",","),";",",")," ",""),",",""))+1),"Genre di luar daftar",""))),IF($I53="","Nama Channel kosong",""),IF($J53="","Link Channel kosong",IF(ISERROR(SEARCH("youtu",$J53)),"Link Channel bukan youtube","")),IF($K53="","Link Video kosong",IF(ISERROR(SEARCH("youtu",$K53)),"Link Video bukan youtube","")),IF($L53="","Tgl Dibuat kosong",IF(NOT(ISNUMBER($L53)),"Tgl Dibuat bukan tanggal","")),IF(AND($M53&lt;&gt;"",NOT(ISNUMBER($M53))),"Tgl Publish bukan tanggal",""),IF(AND(ISNUMBER($L53),ISNUMBER($M53),$M53&lt;$L53),"Tgl Publish &lt; Tgl buat",""),IF(TRIM($N53)="","Status kosong",IF(ISERROR(MATCH(TRIM($N53),{"Draft","Menunggu Review","Revisi","Terjadwal","Upload","Publish","Published","Batal"},0)),"Status di luar daftar","")))),""))</f>
        <v/>
      </c>
      <c r="S53" s="12">
        <f>IF(AND($A53&lt;&gt;"",$C53&lt;&gt;""),IF(COUNTIFS($A$2:$A$1000,$A53,$C$2:$C$1000,$C53)&gt;1,"DUPLICAT",""),"")</f>
        <v/>
      </c>
    </row>
    <row r="54">
      <c r="A54" s="17" t="n"/>
      <c r="B54" s="17" t="n"/>
      <c r="C54" s="17" t="n"/>
      <c r="D54" s="18" t="n"/>
      <c r="E54" s="17" t="n"/>
      <c r="F54" s="19" t="n"/>
      <c r="G54" s="17" t="n"/>
      <c r="H54" s="17" t="n"/>
      <c r="I54" s="17" t="n"/>
      <c r="J54" s="19" t="n"/>
      <c r="K54" s="19" t="n"/>
      <c r="L54" s="20" t="n"/>
      <c r="M54" s="20" t="n"/>
      <c r="N54" s="17" t="n"/>
      <c r="O54" s="17" t="n"/>
      <c r="P54" s="21">
        <f>IF(AND(ISNUMBER($L54),ISNUMBER($M54)),MAX(0,$M54-$L54),"")</f>
        <v/>
      </c>
      <c r="Q54" s="21">
        <f>IF(ISNUMBER($D54),MAX(0,TODAY()-$D54),"")</f>
        <v/>
      </c>
      <c r="R54" s="19">
        <f>IF(COUNTA($A54:$O54)=0,"",IFERROR(TRIM(TEXTJOIN(" | ",TRUE,IF($A54="","PC kosong",""),IF($C54="","Worker ID kosong",""),IF($D54="","Update Date kosong",IF(NOT(ISNUMBER($D54)),"Update Date bukan tanggal","")),IF($E54="","Song ID YT kosong",""),IF($F54="","Judul kosong",""),IF(TRIM($G54)="","",IF(ISERROR(MATCH(TRIM($G54),{"TuneCore","DistroKid","TooLost","SoundOn","Ditto","Believe","CD Baby","Amuse","Symphonic Distribution","ONErpm","RouteNote","LANDR","Horus Music","Indie"},0)),"Aggregator di luar daftar","")),IF(TRIM($H54)="","Genre kosong",IF((LEN(SUBSTITUTE(SUBSTITUTE(SUBSTITUTE(TRIM($H54),"/",","),";",",")," ",""))-LEN(SUBSTITUTE(SUBSTITUTE(SUBSTITUTE(SUBSTITUTE(TRIM($H54),"/",","),";",","),"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54),"/",","),";",",")," ","")&amp;",")))&lt;&gt;(LEN(SUBSTITUTE(SUBSTITUTE(SUBSTITUTE(TRIM($H54),"/",","),";",",")," ",""))-LEN(SUBSTITUTE(SUBSTITUTE(SUBSTITUTE(SUBSTITUTE(TRIM($H54),"/",","),";",",")," ",""),",",""))+1),"Genre di luar daftar",""))),IF($I54="","Nama Channel kosong",""),IF($J54="","Link Channel kosong",IF(ISERROR(SEARCH("youtu",$J54)),"Link Channel bukan youtube","")),IF($K54="","Link Video kosong",IF(ISERROR(SEARCH("youtu",$K54)),"Link Video bukan youtube","")),IF($L54="","Tgl Dibuat kosong",IF(NOT(ISNUMBER($L54)),"Tgl Dibuat bukan tanggal","")),IF(AND($M54&lt;&gt;"",NOT(ISNUMBER($M54))),"Tgl Publish bukan tanggal",""),IF(AND(ISNUMBER($L54),ISNUMBER($M54),$M54&lt;$L54),"Tgl Publish &lt; Tgl buat",""),IF(TRIM($N54)="","Status kosong",IF(ISERROR(MATCH(TRIM($N54),{"Draft","Menunggu Review","Revisi","Terjadwal","Upload","Publish","Published","Batal"},0)),"Status di luar daftar","")))),""))</f>
        <v/>
      </c>
      <c r="S54" s="17">
        <f>IF(AND($A54&lt;&gt;"",$C54&lt;&gt;""),IF(COUNTIFS($A$2:$A$1000,$A54,$C$2:$C$1000,$C54)&gt;1,"DUPLICAT",""),"")</f>
        <v/>
      </c>
    </row>
    <row r="55">
      <c r="A55" s="12" t="n"/>
      <c r="B55" s="12" t="n"/>
      <c r="C55" s="12" t="n"/>
      <c r="D55" s="13" t="n"/>
      <c r="E55" s="12" t="n"/>
      <c r="F55" s="14" t="n"/>
      <c r="G55" s="12" t="n"/>
      <c r="H55" s="12" t="n"/>
      <c r="I55" s="12" t="n"/>
      <c r="J55" s="14" t="n"/>
      <c r="K55" s="14" t="n"/>
      <c r="L55" s="15" t="n"/>
      <c r="M55" s="15" t="n"/>
      <c r="N55" s="12" t="n"/>
      <c r="O55" s="12" t="n"/>
      <c r="P55" s="16">
        <f>IF(AND(ISNUMBER($L55),ISNUMBER($M55)),MAX(0,$M55-$L55),"")</f>
        <v/>
      </c>
      <c r="Q55" s="16">
        <f>IF(ISNUMBER($D55),MAX(0,TODAY()-$D55),"")</f>
        <v/>
      </c>
      <c r="R55" s="14">
        <f>IF(COUNTA($A55:$O55)=0,"",IFERROR(TRIM(TEXTJOIN(" | ",TRUE,IF($A55="","PC kosong",""),IF($C55="","Worker ID kosong",""),IF($D55="","Update Date kosong",IF(NOT(ISNUMBER($D55)),"Update Date bukan tanggal","")),IF($E55="","Song ID YT kosong",""),IF($F55="","Judul kosong",""),IF(TRIM($G55)="","",IF(ISERROR(MATCH(TRIM($G55),{"TuneCore","DistroKid","TooLost","SoundOn","Ditto","Believe","CD Baby","Amuse","Symphonic Distribution","ONErpm","RouteNote","LANDR","Horus Music","Indie"},0)),"Aggregator di luar daftar","")),IF(TRIM($H55)="","Genre kosong",IF((LEN(SUBSTITUTE(SUBSTITUTE(SUBSTITUTE(TRIM($H55),"/",","),";",",")," ",""))-LEN(SUBSTITUTE(SUBSTITUTE(SUBSTITUTE(SUBSTITUTE(TRIM($H55),"/",","),";",","),"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55),"/",","),";",",")," ","")&amp;",")))&lt;&gt;(LEN(SUBSTITUTE(SUBSTITUTE(SUBSTITUTE(TRIM($H55),"/",","),";",",")," ",""))-LEN(SUBSTITUTE(SUBSTITUTE(SUBSTITUTE(SUBSTITUTE(TRIM($H55),"/",","),";",",")," ",""),",",""))+1),"Genre di luar daftar",""))),IF($I55="","Nama Channel kosong",""),IF($J55="","Link Channel kosong",IF(ISERROR(SEARCH("youtu",$J55)),"Link Channel bukan youtube","")),IF($K55="","Link Video kosong",IF(ISERROR(SEARCH("youtu",$K55)),"Link Video bukan youtube","")),IF($L55="","Tgl Dibuat kosong",IF(NOT(ISNUMBER($L55)),"Tgl Dibuat bukan tanggal","")),IF(AND($M55&lt;&gt;"",NOT(ISNUMBER($M55))),"Tgl Publish bukan tanggal",""),IF(AND(ISNUMBER($L55),ISNUMBER($M55),$M55&lt;$L55),"Tgl Publish &lt; Tgl buat",""),IF(TRIM($N55)="","Status kosong",IF(ISERROR(MATCH(TRIM($N55),{"Draft","Menunggu Review","Revisi","Terjadwal","Upload","Publish","Published","Batal"},0)),"Status di luar daftar","")))),""))</f>
        <v/>
      </c>
      <c r="S55" s="12">
        <f>IF(AND($A55&lt;&gt;"",$C55&lt;&gt;""),IF(COUNTIFS($A$2:$A$1000,$A55,$C$2:$C$1000,$C55)&gt;1,"DUPLICAT",""),"")</f>
        <v/>
      </c>
    </row>
    <row r="56">
      <c r="A56" s="17" t="n"/>
      <c r="B56" s="17" t="n"/>
      <c r="C56" s="17" t="n"/>
      <c r="D56" s="18" t="n"/>
      <c r="E56" s="17" t="n"/>
      <c r="F56" s="19" t="n"/>
      <c r="G56" s="17" t="n"/>
      <c r="H56" s="17" t="n"/>
      <c r="I56" s="17" t="n"/>
      <c r="J56" s="19" t="n"/>
      <c r="K56" s="19" t="n"/>
      <c r="L56" s="20" t="n"/>
      <c r="M56" s="20" t="n"/>
      <c r="N56" s="17" t="n"/>
      <c r="O56" s="17" t="n"/>
      <c r="P56" s="21">
        <f>IF(AND(ISNUMBER($L56),ISNUMBER($M56)),MAX(0,$M56-$L56),"")</f>
        <v/>
      </c>
      <c r="Q56" s="21">
        <f>IF(ISNUMBER($D56),MAX(0,TODAY()-$D56),"")</f>
        <v/>
      </c>
      <c r="R56" s="19">
        <f>IF(COUNTA($A56:$O56)=0,"",IFERROR(TRIM(TEXTJOIN(" | ",TRUE,IF($A56="","PC kosong",""),IF($C56="","Worker ID kosong",""),IF($D56="","Update Date kosong",IF(NOT(ISNUMBER($D56)),"Update Date bukan tanggal","")),IF($E56="","Song ID YT kosong",""),IF($F56="","Judul kosong",""),IF(TRIM($G56)="","",IF(ISERROR(MATCH(TRIM($G56),{"TuneCore","DistroKid","TooLost","SoundOn","Ditto","Believe","CD Baby","Amuse","Symphonic Distribution","ONErpm","RouteNote","LANDR","Horus Music","Indie"},0)),"Aggregator di luar daftar","")),IF(TRIM($H56)="","Genre kosong",IF((LEN(SUBSTITUTE(SUBSTITUTE(SUBSTITUTE(TRIM($H56),"/",","),";",",")," ",""))-LEN(SUBSTITUTE(SUBSTITUTE(SUBSTITUTE(SUBSTITUTE(TRIM($H56),"/",","),";",","),"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56),"/",","),";",",")," ","")&amp;",")))&lt;&gt;(LEN(SUBSTITUTE(SUBSTITUTE(SUBSTITUTE(TRIM($H56),"/",","),";",",")," ",""))-LEN(SUBSTITUTE(SUBSTITUTE(SUBSTITUTE(SUBSTITUTE(TRIM($H56),"/",","),";",",")," ",""),",",""))+1),"Genre di luar daftar",""))),IF($I56="","Nama Channel kosong",""),IF($J56="","Link Channel kosong",IF(ISERROR(SEARCH("youtu",$J56)),"Link Channel bukan youtube","")),IF($K56="","Link Video kosong",IF(ISERROR(SEARCH("youtu",$K56)),"Link Video bukan youtube","")),IF($L56="","Tgl Dibuat kosong",IF(NOT(ISNUMBER($L56)),"Tgl Dibuat bukan tanggal","")),IF(AND($M56&lt;&gt;"",NOT(ISNUMBER($M56))),"Tgl Publish bukan tanggal",""),IF(AND(ISNUMBER($L56),ISNUMBER($M56),$M56&lt;$L56),"Tgl Publish &lt; Tgl buat",""),IF(TRIM($N56)="","Status kosong",IF(ISERROR(MATCH(TRIM($N56),{"Draft","Menunggu Review","Revisi","Terjadwal","Upload","Publish","Published","Batal"},0)),"Status di luar daftar","")))),""))</f>
        <v/>
      </c>
      <c r="S56" s="17">
        <f>IF(AND($A56&lt;&gt;"",$C56&lt;&gt;""),IF(COUNTIFS($A$2:$A$1000,$A56,$C$2:$C$1000,$C56)&gt;1,"DUPLICAT",""),"")</f>
        <v/>
      </c>
    </row>
    <row r="57">
      <c r="A57" s="12" t="n"/>
      <c r="B57" s="12" t="n"/>
      <c r="C57" s="12" t="n"/>
      <c r="D57" s="13" t="n"/>
      <c r="E57" s="12" t="n"/>
      <c r="F57" s="14" t="n"/>
      <c r="G57" s="12" t="n"/>
      <c r="H57" s="12" t="n"/>
      <c r="I57" s="12" t="n"/>
      <c r="J57" s="14" t="n"/>
      <c r="K57" s="14" t="n"/>
      <c r="L57" s="15" t="n"/>
      <c r="M57" s="15" t="n"/>
      <c r="N57" s="12" t="n"/>
      <c r="O57" s="12" t="n"/>
      <c r="P57" s="16">
        <f>IF(AND(ISNUMBER($L57),ISNUMBER($M57)),MAX(0,$M57-$L57),"")</f>
        <v/>
      </c>
      <c r="Q57" s="16">
        <f>IF(ISNUMBER($D57),MAX(0,TODAY()-$D57),"")</f>
        <v/>
      </c>
      <c r="R57" s="14">
        <f>IF(COUNTA($A57:$O57)=0,"",IFERROR(TRIM(TEXTJOIN(" | ",TRUE,IF($A57="","PC kosong",""),IF($C57="","Worker ID kosong",""),IF($D57="","Update Date kosong",IF(NOT(ISNUMBER($D57)),"Update Date bukan tanggal","")),IF($E57="","Song ID YT kosong",""),IF($F57="","Judul kosong",""),IF(TRIM($G57)="","",IF(ISERROR(MATCH(TRIM($G57),{"TuneCore","DistroKid","TooLost","SoundOn","Ditto","Believe","CD Baby","Amuse","Symphonic Distribution","ONErpm","RouteNote","LANDR","Horus Music","Indie"},0)),"Aggregator di luar daftar","")),IF(TRIM($H57)="","Genre kosong",IF((LEN(SUBSTITUTE(SUBSTITUTE(SUBSTITUTE(TRIM($H57),"/",","),";",",")," ",""))-LEN(SUBSTITUTE(SUBSTITUTE(SUBSTITUTE(SUBSTITUTE(TRIM($H57),"/",","),";",","),"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57),"/",","),";",",")," ","")&amp;",")))&lt;&gt;(LEN(SUBSTITUTE(SUBSTITUTE(SUBSTITUTE(TRIM($H57),"/",","),";",",")," ",""))-LEN(SUBSTITUTE(SUBSTITUTE(SUBSTITUTE(SUBSTITUTE(TRIM($H57),"/",","),";",",")," ",""),",",""))+1),"Genre di luar daftar",""))),IF($I57="","Nama Channel kosong",""),IF($J57="","Link Channel kosong",IF(ISERROR(SEARCH("youtu",$J57)),"Link Channel bukan youtube","")),IF($K57="","Link Video kosong",IF(ISERROR(SEARCH("youtu",$K57)),"Link Video bukan youtube","")),IF($L57="","Tgl Dibuat kosong",IF(NOT(ISNUMBER($L57)),"Tgl Dibuat bukan tanggal","")),IF(AND($M57&lt;&gt;"",NOT(ISNUMBER($M57))),"Tgl Publish bukan tanggal",""),IF(AND(ISNUMBER($L57),ISNUMBER($M57),$M57&lt;$L57),"Tgl Publish &lt; Tgl buat",""),IF(TRIM($N57)="","Status kosong",IF(ISERROR(MATCH(TRIM($N57),{"Draft","Menunggu Review","Revisi","Terjadwal","Upload","Publish","Published","Batal"},0)),"Status di luar daftar","")))),""))</f>
        <v/>
      </c>
      <c r="S57" s="12">
        <f>IF(AND($A57&lt;&gt;"",$C57&lt;&gt;""),IF(COUNTIFS($A$2:$A$1000,$A57,$C$2:$C$1000,$C57)&gt;1,"DUPLICAT",""),"")</f>
        <v/>
      </c>
    </row>
    <row r="58">
      <c r="A58" s="17" t="n"/>
      <c r="B58" s="17" t="n"/>
      <c r="C58" s="17" t="n"/>
      <c r="D58" s="18" t="n"/>
      <c r="E58" s="17" t="n"/>
      <c r="F58" s="19" t="n"/>
      <c r="G58" s="17" t="n"/>
      <c r="H58" s="17" t="n"/>
      <c r="I58" s="17" t="n"/>
      <c r="J58" s="19" t="n"/>
      <c r="K58" s="19" t="n"/>
      <c r="L58" s="20" t="n"/>
      <c r="M58" s="20" t="n"/>
      <c r="N58" s="17" t="n"/>
      <c r="O58" s="17" t="n"/>
      <c r="P58" s="21">
        <f>IF(AND(ISNUMBER($L58),ISNUMBER($M58)),MAX(0,$M58-$L58),"")</f>
        <v/>
      </c>
      <c r="Q58" s="21">
        <f>IF(ISNUMBER($D58),MAX(0,TODAY()-$D58),"")</f>
        <v/>
      </c>
      <c r="R58" s="19">
        <f>IF(COUNTA($A58:$O58)=0,"",IFERROR(TRIM(TEXTJOIN(" | ",TRUE,IF($A58="","PC kosong",""),IF($C58="","Worker ID kosong",""),IF($D58="","Update Date kosong",IF(NOT(ISNUMBER($D58)),"Update Date bukan tanggal","")),IF($E58="","Song ID YT kosong",""),IF($F58="","Judul kosong",""),IF(TRIM($G58)="","",IF(ISERROR(MATCH(TRIM($G58),{"TuneCore","DistroKid","TooLost","SoundOn","Ditto","Believe","CD Baby","Amuse","Symphonic Distribution","ONErpm","RouteNote","LANDR","Horus Music","Indie"},0)),"Aggregator di luar daftar","")),IF(TRIM($H58)="","Genre kosong",IF((LEN(SUBSTITUTE(SUBSTITUTE(SUBSTITUTE(TRIM($H58),"/",","),";",",")," ",""))-LEN(SUBSTITUTE(SUBSTITUTE(SUBSTITUTE(SUBSTITUTE(TRIM($H58),"/",","),";",","),"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58),"/",","),";",",")," ","")&amp;",")))&lt;&gt;(LEN(SUBSTITUTE(SUBSTITUTE(SUBSTITUTE(TRIM($H58),"/",","),";",",")," ",""))-LEN(SUBSTITUTE(SUBSTITUTE(SUBSTITUTE(SUBSTITUTE(TRIM($H58),"/",","),";",",")," ",""),",",""))+1),"Genre di luar daftar",""))),IF($I58="","Nama Channel kosong",""),IF($J58="","Link Channel kosong",IF(ISERROR(SEARCH("youtu",$J58)),"Link Channel bukan youtube","")),IF($K58="","Link Video kosong",IF(ISERROR(SEARCH("youtu",$K58)),"Link Video bukan youtube","")),IF($L58="","Tgl Dibuat kosong",IF(NOT(ISNUMBER($L58)),"Tgl Dibuat bukan tanggal","")),IF(AND($M58&lt;&gt;"",NOT(ISNUMBER($M58))),"Tgl Publish bukan tanggal",""),IF(AND(ISNUMBER($L58),ISNUMBER($M58),$M58&lt;$L58),"Tgl Publish &lt; Tgl buat",""),IF(TRIM($N58)="","Status kosong",IF(ISERROR(MATCH(TRIM($N58),{"Draft","Menunggu Review","Revisi","Terjadwal","Upload","Publish","Published","Batal"},0)),"Status di luar daftar","")))),""))</f>
        <v/>
      </c>
      <c r="S58" s="17">
        <f>IF(AND($A58&lt;&gt;"",$C58&lt;&gt;""),IF(COUNTIFS($A$2:$A$1000,$A58,$C$2:$C$1000,$C58)&gt;1,"DUPLICAT",""),"")</f>
        <v/>
      </c>
    </row>
    <row r="59">
      <c r="A59" s="12" t="n"/>
      <c r="B59" s="12" t="n"/>
      <c r="C59" s="12" t="n"/>
      <c r="D59" s="13" t="n"/>
      <c r="E59" s="12" t="n"/>
      <c r="F59" s="14" t="n"/>
      <c r="G59" s="12" t="n"/>
      <c r="H59" s="12" t="n"/>
      <c r="I59" s="12" t="n"/>
      <c r="J59" s="14" t="n"/>
      <c r="K59" s="14" t="n"/>
      <c r="L59" s="15" t="n"/>
      <c r="M59" s="15" t="n"/>
      <c r="N59" s="12" t="n"/>
      <c r="O59" s="12" t="n"/>
      <c r="P59" s="16">
        <f>IF(AND(ISNUMBER($L59),ISNUMBER($M59)),MAX(0,$M59-$L59),"")</f>
        <v/>
      </c>
      <c r="Q59" s="16">
        <f>IF(ISNUMBER($D59),MAX(0,TODAY()-$D59),"")</f>
        <v/>
      </c>
      <c r="R59" s="14">
        <f>IF(COUNTA($A59:$O59)=0,"",IFERROR(TRIM(TEXTJOIN(" | ",TRUE,IF($A59="","PC kosong",""),IF($C59="","Worker ID kosong",""),IF($D59="","Update Date kosong",IF(NOT(ISNUMBER($D59)),"Update Date bukan tanggal","")),IF($E59="","Song ID YT kosong",""),IF($F59="","Judul kosong",""),IF(TRIM($G59)="","",IF(ISERROR(MATCH(TRIM($G59),{"TuneCore","DistroKid","TooLost","SoundOn","Ditto","Believe","CD Baby","Amuse","Symphonic Distribution","ONErpm","RouteNote","LANDR","Horus Music","Indie"},0)),"Aggregator di luar daftar","")),IF(TRIM($H59)="","Genre kosong",IF((LEN(SUBSTITUTE(SUBSTITUTE(SUBSTITUTE(TRIM($H59),"/",","),";",",")," ",""))-LEN(SUBSTITUTE(SUBSTITUTE(SUBSTITUTE(SUBSTITUTE(TRIM($H59),"/",","),";",","),"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59),"/",","),";",",")," ","")&amp;",")))&lt;&gt;(LEN(SUBSTITUTE(SUBSTITUTE(SUBSTITUTE(TRIM($H59),"/",","),";",",")," ",""))-LEN(SUBSTITUTE(SUBSTITUTE(SUBSTITUTE(SUBSTITUTE(TRIM($H59),"/",","),";",",")," ",""),",",""))+1),"Genre di luar daftar",""))),IF($I59="","Nama Channel kosong",""),IF($J59="","Link Channel kosong",IF(ISERROR(SEARCH("youtu",$J59)),"Link Channel bukan youtube","")),IF($K59="","Link Video kosong",IF(ISERROR(SEARCH("youtu",$K59)),"Link Video bukan youtube","")),IF($L59="","Tgl Dibuat kosong",IF(NOT(ISNUMBER($L59)),"Tgl Dibuat bukan tanggal","")),IF(AND($M59&lt;&gt;"",NOT(ISNUMBER($M59))),"Tgl Publish bukan tanggal",""),IF(AND(ISNUMBER($L59),ISNUMBER($M59),$M59&lt;$L59),"Tgl Publish &lt; Tgl buat",""),IF(TRIM($N59)="","Status kosong",IF(ISERROR(MATCH(TRIM($N59),{"Draft","Menunggu Review","Revisi","Terjadwal","Upload","Publish","Published","Batal"},0)),"Status di luar daftar","")))),""))</f>
        <v/>
      </c>
      <c r="S59" s="12">
        <f>IF(AND($A59&lt;&gt;"",$C59&lt;&gt;""),IF(COUNTIFS($A$2:$A$1000,$A59,$C$2:$C$1000,$C59)&gt;1,"DUPLICAT",""),"")</f>
        <v/>
      </c>
    </row>
    <row r="60">
      <c r="A60" s="17" t="n"/>
      <c r="B60" s="17" t="n"/>
      <c r="C60" s="17" t="n"/>
      <c r="D60" s="18" t="n"/>
      <c r="E60" s="17" t="n"/>
      <c r="F60" s="19" t="n"/>
      <c r="G60" s="17" t="n"/>
      <c r="H60" s="17" t="n"/>
      <c r="I60" s="17" t="n"/>
      <c r="J60" s="19" t="n"/>
      <c r="K60" s="19" t="n"/>
      <c r="L60" s="20" t="n"/>
      <c r="M60" s="20" t="n"/>
      <c r="N60" s="17" t="n"/>
      <c r="O60" s="17" t="n"/>
      <c r="P60" s="21">
        <f>IF(AND(ISNUMBER($L60),ISNUMBER($M60)),MAX(0,$M60-$L60),"")</f>
        <v/>
      </c>
      <c r="Q60" s="21">
        <f>IF(ISNUMBER($D60),MAX(0,TODAY()-$D60),"")</f>
        <v/>
      </c>
      <c r="R60" s="19">
        <f>IF(COUNTA($A60:$O60)=0,"",IFERROR(TRIM(TEXTJOIN(" | ",TRUE,IF($A60="","PC kosong",""),IF($C60="","Worker ID kosong",""),IF($D60="","Update Date kosong",IF(NOT(ISNUMBER($D60)),"Update Date bukan tanggal","")),IF($E60="","Song ID YT kosong",""),IF($F60="","Judul kosong",""),IF(TRIM($G60)="","",IF(ISERROR(MATCH(TRIM($G60),{"TuneCore","DistroKid","TooLost","SoundOn","Ditto","Believe","CD Baby","Amuse","Symphonic Distribution","ONErpm","RouteNote","LANDR","Horus Music","Indie"},0)),"Aggregator di luar daftar","")),IF(TRIM($H60)="","Genre kosong",IF((LEN(SUBSTITUTE(SUBSTITUTE(SUBSTITUTE(TRIM($H60),"/",","),";",",")," ",""))-LEN(SUBSTITUTE(SUBSTITUTE(SUBSTITUTE(SUBSTITUTE(TRIM($H60),"/",","),";",","),"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60),"/",","),";",",")," ","")&amp;",")))&lt;&gt;(LEN(SUBSTITUTE(SUBSTITUTE(SUBSTITUTE(TRIM($H60),"/",","),";",",")," ",""))-LEN(SUBSTITUTE(SUBSTITUTE(SUBSTITUTE(SUBSTITUTE(TRIM($H60),"/",","),";",",")," ",""),",",""))+1),"Genre di luar daftar",""))),IF($I60="","Nama Channel kosong",""),IF($J60="","Link Channel kosong",IF(ISERROR(SEARCH("youtu",$J60)),"Link Channel bukan youtube","")),IF($K60="","Link Video kosong",IF(ISERROR(SEARCH("youtu",$K60)),"Link Video bukan youtube","")),IF($L60="","Tgl Dibuat kosong",IF(NOT(ISNUMBER($L60)),"Tgl Dibuat bukan tanggal","")),IF(AND($M60&lt;&gt;"",NOT(ISNUMBER($M60))),"Tgl Publish bukan tanggal",""),IF(AND(ISNUMBER($L60),ISNUMBER($M60),$M60&lt;$L60),"Tgl Publish &lt; Tgl buat",""),IF(TRIM($N60)="","Status kosong",IF(ISERROR(MATCH(TRIM($N60),{"Draft","Menunggu Review","Revisi","Terjadwal","Upload","Publish","Published","Batal"},0)),"Status di luar daftar","")))),""))</f>
        <v/>
      </c>
      <c r="S60" s="17">
        <f>IF(AND($A60&lt;&gt;"",$C60&lt;&gt;""),IF(COUNTIFS($A$2:$A$1000,$A60,$C$2:$C$1000,$C60)&gt;1,"DUPLICAT",""),"")</f>
        <v/>
      </c>
    </row>
    <row r="61">
      <c r="A61" s="12" t="n"/>
      <c r="B61" s="12" t="n"/>
      <c r="C61" s="12" t="n"/>
      <c r="D61" s="13" t="n"/>
      <c r="E61" s="12" t="n"/>
      <c r="F61" s="14" t="n"/>
      <c r="G61" s="12" t="n"/>
      <c r="H61" s="12" t="n"/>
      <c r="I61" s="12" t="n"/>
      <c r="J61" s="14" t="n"/>
      <c r="K61" s="14" t="n"/>
      <c r="L61" s="15" t="n"/>
      <c r="M61" s="15" t="n"/>
      <c r="N61" s="12" t="n"/>
      <c r="O61" s="12" t="n"/>
      <c r="P61" s="16">
        <f>IF(AND(ISNUMBER($L61),ISNUMBER($M61)),MAX(0,$M61-$L61),"")</f>
        <v/>
      </c>
      <c r="Q61" s="16">
        <f>IF(ISNUMBER($D61),MAX(0,TODAY()-$D61),"")</f>
        <v/>
      </c>
      <c r="R61" s="14">
        <f>IF(COUNTA($A61:$O61)=0,"",IFERROR(TRIM(TEXTJOIN(" | ",TRUE,IF($A61="","PC kosong",""),IF($C61="","Worker ID kosong",""),IF($D61="","Update Date kosong",IF(NOT(ISNUMBER($D61)),"Update Date bukan tanggal","")),IF($E61="","Song ID YT kosong",""),IF($F61="","Judul kosong",""),IF(TRIM($G61)="","",IF(ISERROR(MATCH(TRIM($G61),{"TuneCore","DistroKid","TooLost","SoundOn","Ditto","Believe","CD Baby","Amuse","Symphonic Distribution","ONErpm","RouteNote","LANDR","Horus Music","Indie"},0)),"Aggregator di luar daftar","")),IF(TRIM($H61)="","Genre kosong",IF((LEN(SUBSTITUTE(SUBSTITUTE(SUBSTITUTE(TRIM($H61),"/",","),";",",")," ",""))-LEN(SUBSTITUTE(SUBSTITUTE(SUBSTITUTE(SUBSTITUTE(TRIM($H61),"/",","),";",","),"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61),"/",","),";",",")," ","")&amp;",")))&lt;&gt;(LEN(SUBSTITUTE(SUBSTITUTE(SUBSTITUTE(TRIM($H61),"/",","),";",",")," ",""))-LEN(SUBSTITUTE(SUBSTITUTE(SUBSTITUTE(SUBSTITUTE(TRIM($H61),"/",","),";",",")," ",""),",",""))+1),"Genre di luar daftar",""))),IF($I61="","Nama Channel kosong",""),IF($J61="","Link Channel kosong",IF(ISERROR(SEARCH("youtu",$J61)),"Link Channel bukan youtube","")),IF($K61="","Link Video kosong",IF(ISERROR(SEARCH("youtu",$K61)),"Link Video bukan youtube","")),IF($L61="","Tgl Dibuat kosong",IF(NOT(ISNUMBER($L61)),"Tgl Dibuat bukan tanggal","")),IF(AND($M61&lt;&gt;"",NOT(ISNUMBER($M61))),"Tgl Publish bukan tanggal",""),IF(AND(ISNUMBER($L61),ISNUMBER($M61),$M61&lt;$L61),"Tgl Publish &lt; Tgl buat",""),IF(TRIM($N61)="","Status kosong",IF(ISERROR(MATCH(TRIM($N61),{"Draft","Menunggu Review","Revisi","Terjadwal","Upload","Publish","Published","Batal"},0)),"Status di luar daftar","")))),""))</f>
        <v/>
      </c>
      <c r="S61" s="12">
        <f>IF(AND($A61&lt;&gt;"",$C61&lt;&gt;""),IF(COUNTIFS($A$2:$A$1000,$A61,$C$2:$C$1000,$C61)&gt;1,"DUPLICAT",""),"")</f>
        <v/>
      </c>
    </row>
    <row r="62">
      <c r="A62" s="17" t="n"/>
      <c r="B62" s="17" t="n"/>
      <c r="C62" s="17" t="n"/>
      <c r="D62" s="18" t="n"/>
      <c r="E62" s="17" t="n"/>
      <c r="F62" s="19" t="n"/>
      <c r="G62" s="17" t="n"/>
      <c r="H62" s="17" t="n"/>
      <c r="I62" s="17" t="n"/>
      <c r="J62" s="19" t="n"/>
      <c r="K62" s="19" t="n"/>
      <c r="L62" s="20" t="n"/>
      <c r="M62" s="20" t="n"/>
      <c r="N62" s="17" t="n"/>
      <c r="O62" s="17" t="n"/>
      <c r="P62" s="21">
        <f>IF(AND(ISNUMBER($L62),ISNUMBER($M62)),MAX(0,$M62-$L62),"")</f>
        <v/>
      </c>
      <c r="Q62" s="21">
        <f>IF(ISNUMBER($D62),MAX(0,TODAY()-$D62),"")</f>
        <v/>
      </c>
      <c r="R62" s="19">
        <f>IF(COUNTA($A62:$O62)=0,"",IFERROR(TRIM(TEXTJOIN(" | ",TRUE,IF($A62="","PC kosong",""),IF($C62="","Worker ID kosong",""),IF($D62="","Update Date kosong",IF(NOT(ISNUMBER($D62)),"Update Date bukan tanggal","")),IF($E62="","Song ID YT kosong",""),IF($F62="","Judul kosong",""),IF(TRIM($G62)="","",IF(ISERROR(MATCH(TRIM($G62),{"TuneCore","DistroKid","TooLost","SoundOn","Ditto","Believe","CD Baby","Amuse","Symphonic Distribution","ONErpm","RouteNote","LANDR","Horus Music","Indie"},0)),"Aggregator di luar daftar","")),IF(TRIM($H62)="","Genre kosong",IF((LEN(SUBSTITUTE(SUBSTITUTE(SUBSTITUTE(TRIM($H62),"/",","),";",",")," ",""))-LEN(SUBSTITUTE(SUBSTITUTE(SUBSTITUTE(SUBSTITUTE(TRIM($H62),"/",","),";",","),"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62),"/",","),";",",")," ","")&amp;",")))&lt;&gt;(LEN(SUBSTITUTE(SUBSTITUTE(SUBSTITUTE(TRIM($H62),"/",","),";",",")," ",""))-LEN(SUBSTITUTE(SUBSTITUTE(SUBSTITUTE(SUBSTITUTE(TRIM($H62),"/",","),";",",")," ",""),",",""))+1),"Genre di luar daftar",""))),IF($I62="","Nama Channel kosong",""),IF($J62="","Link Channel kosong",IF(ISERROR(SEARCH("youtu",$J62)),"Link Channel bukan youtube","")),IF($K62="","Link Video kosong",IF(ISERROR(SEARCH("youtu",$K62)),"Link Video bukan youtube","")),IF($L62="","Tgl Dibuat kosong",IF(NOT(ISNUMBER($L62)),"Tgl Dibuat bukan tanggal","")),IF(AND($M62&lt;&gt;"",NOT(ISNUMBER($M62))),"Tgl Publish bukan tanggal",""),IF(AND(ISNUMBER($L62),ISNUMBER($M62),$M62&lt;$L62),"Tgl Publish &lt; Tgl buat",""),IF(TRIM($N62)="","Status kosong",IF(ISERROR(MATCH(TRIM($N62),{"Draft","Menunggu Review","Revisi","Terjadwal","Upload","Publish","Published","Batal"},0)),"Status di luar daftar","")))),""))</f>
        <v/>
      </c>
      <c r="S62" s="17">
        <f>IF(AND($A62&lt;&gt;"",$C62&lt;&gt;""),IF(COUNTIFS($A$2:$A$1000,$A62,$C$2:$C$1000,$C62)&gt;1,"DUPLICAT",""),"")</f>
        <v/>
      </c>
    </row>
    <row r="63">
      <c r="A63" s="12" t="n"/>
      <c r="B63" s="12" t="n"/>
      <c r="C63" s="12" t="n"/>
      <c r="D63" s="13" t="n"/>
      <c r="E63" s="12" t="n"/>
      <c r="F63" s="14" t="n"/>
      <c r="G63" s="12" t="n"/>
      <c r="H63" s="12" t="n"/>
      <c r="I63" s="12" t="n"/>
      <c r="J63" s="14" t="n"/>
      <c r="K63" s="14" t="n"/>
      <c r="L63" s="15" t="n"/>
      <c r="M63" s="15" t="n"/>
      <c r="N63" s="12" t="n"/>
      <c r="O63" s="12" t="n"/>
      <c r="P63" s="16">
        <f>IF(AND(ISNUMBER($L63),ISNUMBER($M63)),MAX(0,$M63-$L63),"")</f>
        <v/>
      </c>
      <c r="Q63" s="16">
        <f>IF(ISNUMBER($D63),MAX(0,TODAY()-$D63),"")</f>
        <v/>
      </c>
      <c r="R63" s="14">
        <f>IF(COUNTA($A63:$O63)=0,"",IFERROR(TRIM(TEXTJOIN(" | ",TRUE,IF($A63="","PC kosong",""),IF($C63="","Worker ID kosong",""),IF($D63="","Update Date kosong",IF(NOT(ISNUMBER($D63)),"Update Date bukan tanggal","")),IF($E63="","Song ID YT kosong",""),IF($F63="","Judul kosong",""),IF(TRIM($G63)="","",IF(ISERROR(MATCH(TRIM($G63),{"TuneCore","DistroKid","TooLost","SoundOn","Ditto","Believe","CD Baby","Amuse","Symphonic Distribution","ONErpm","RouteNote","LANDR","Horus Music","Indie"},0)),"Aggregator di luar daftar","")),IF(TRIM($H63)="","Genre kosong",IF((LEN(SUBSTITUTE(SUBSTITUTE(SUBSTITUTE(TRIM($H63),"/",","),";",",")," ",""))-LEN(SUBSTITUTE(SUBSTITUTE(SUBSTITUTE(SUBSTITUTE(TRIM($H63),"/",","),";",","),"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63),"/",","),";",",")," ","")&amp;",")))&lt;&gt;(LEN(SUBSTITUTE(SUBSTITUTE(SUBSTITUTE(TRIM($H63),"/",","),";",",")," ",""))-LEN(SUBSTITUTE(SUBSTITUTE(SUBSTITUTE(SUBSTITUTE(TRIM($H63),"/",","),";",",")," ",""),",",""))+1),"Genre di luar daftar",""))),IF($I63="","Nama Channel kosong",""),IF($J63="","Link Channel kosong",IF(ISERROR(SEARCH("youtu",$J63)),"Link Channel bukan youtube","")),IF($K63="","Link Video kosong",IF(ISERROR(SEARCH("youtu",$K63)),"Link Video bukan youtube","")),IF($L63="","Tgl Dibuat kosong",IF(NOT(ISNUMBER($L63)),"Tgl Dibuat bukan tanggal","")),IF(AND($M63&lt;&gt;"",NOT(ISNUMBER($M63))),"Tgl Publish bukan tanggal",""),IF(AND(ISNUMBER($L63),ISNUMBER($M63),$M63&lt;$L63),"Tgl Publish &lt; Tgl buat",""),IF(TRIM($N63)="","Status kosong",IF(ISERROR(MATCH(TRIM($N63),{"Draft","Menunggu Review","Revisi","Terjadwal","Upload","Publish","Published","Batal"},0)),"Status di luar daftar","")))),""))</f>
        <v/>
      </c>
      <c r="S63" s="12">
        <f>IF(AND($A63&lt;&gt;"",$C63&lt;&gt;""),IF(COUNTIFS($A$2:$A$1000,$A63,$C$2:$C$1000,$C63)&gt;1,"DUPLICAT",""),"")</f>
        <v/>
      </c>
    </row>
    <row r="64">
      <c r="A64" s="17" t="n"/>
      <c r="B64" s="17" t="n"/>
      <c r="C64" s="17" t="n"/>
      <c r="D64" s="18" t="n"/>
      <c r="E64" s="17" t="n"/>
      <c r="F64" s="19" t="n"/>
      <c r="G64" s="17" t="n"/>
      <c r="H64" s="17" t="n"/>
      <c r="I64" s="17" t="n"/>
      <c r="J64" s="19" t="n"/>
      <c r="K64" s="19" t="n"/>
      <c r="L64" s="20" t="n"/>
      <c r="M64" s="20" t="n"/>
      <c r="N64" s="17" t="n"/>
      <c r="O64" s="17" t="n"/>
      <c r="P64" s="21">
        <f>IF(AND(ISNUMBER($L64),ISNUMBER($M64)),MAX(0,$M64-$L64),"")</f>
        <v/>
      </c>
      <c r="Q64" s="21">
        <f>IF(ISNUMBER($D64),MAX(0,TODAY()-$D64),"")</f>
        <v/>
      </c>
      <c r="R64" s="19">
        <f>IF(COUNTA($A64:$O64)=0,"",IFERROR(TRIM(TEXTJOIN(" | ",TRUE,IF($A64="","PC kosong",""),IF($C64="","Worker ID kosong",""),IF($D64="","Update Date kosong",IF(NOT(ISNUMBER($D64)),"Update Date bukan tanggal","")),IF($E64="","Song ID YT kosong",""),IF($F64="","Judul kosong",""),IF(TRIM($G64)="","",IF(ISERROR(MATCH(TRIM($G64),{"TuneCore","DistroKid","TooLost","SoundOn","Ditto","Believe","CD Baby","Amuse","Symphonic Distribution","ONErpm","RouteNote","LANDR","Horus Music","Indie"},0)),"Aggregator di luar daftar","")),IF(TRIM($H64)="","Genre kosong",IF((LEN(SUBSTITUTE(SUBSTITUTE(SUBSTITUTE(TRIM($H64),"/",","),";",",")," ",""))-LEN(SUBSTITUTE(SUBSTITUTE(SUBSTITUTE(SUBSTITUTE(TRIM($H64),"/",","),";",","),"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64),"/",","),";",",")," ","")&amp;",")))&lt;&gt;(LEN(SUBSTITUTE(SUBSTITUTE(SUBSTITUTE(TRIM($H64),"/",","),";",",")," ",""))-LEN(SUBSTITUTE(SUBSTITUTE(SUBSTITUTE(SUBSTITUTE(TRIM($H64),"/",","),";",",")," ",""),",",""))+1),"Genre di luar daftar",""))),IF($I64="","Nama Channel kosong",""),IF($J64="","Link Channel kosong",IF(ISERROR(SEARCH("youtu",$J64)),"Link Channel bukan youtube","")),IF($K64="","Link Video kosong",IF(ISERROR(SEARCH("youtu",$K64)),"Link Video bukan youtube","")),IF($L64="","Tgl Dibuat kosong",IF(NOT(ISNUMBER($L64)),"Tgl Dibuat bukan tanggal","")),IF(AND($M64&lt;&gt;"",NOT(ISNUMBER($M64))),"Tgl Publish bukan tanggal",""),IF(AND(ISNUMBER($L64),ISNUMBER($M64),$M64&lt;$L64),"Tgl Publish &lt; Tgl buat",""),IF(TRIM($N64)="","Status kosong",IF(ISERROR(MATCH(TRIM($N64),{"Draft","Menunggu Review","Revisi","Terjadwal","Upload","Publish","Published","Batal"},0)),"Status di luar daftar","")))),""))</f>
        <v/>
      </c>
      <c r="S64" s="17">
        <f>IF(AND($A64&lt;&gt;"",$C64&lt;&gt;""),IF(COUNTIFS($A$2:$A$1000,$A64,$C$2:$C$1000,$C64)&gt;1,"DUPLICAT",""),"")</f>
        <v/>
      </c>
    </row>
    <row r="65">
      <c r="A65" s="12" t="n"/>
      <c r="B65" s="12" t="n"/>
      <c r="C65" s="12" t="n"/>
      <c r="D65" s="13" t="n"/>
      <c r="E65" s="12" t="n"/>
      <c r="F65" s="14" t="n"/>
      <c r="G65" s="12" t="n"/>
      <c r="H65" s="12" t="n"/>
      <c r="I65" s="12" t="n"/>
      <c r="J65" s="14" t="n"/>
      <c r="K65" s="14" t="n"/>
      <c r="L65" s="15" t="n"/>
      <c r="M65" s="15" t="n"/>
      <c r="N65" s="12" t="n"/>
      <c r="O65" s="12" t="n"/>
      <c r="P65" s="16">
        <f>IF(AND(ISNUMBER($L65),ISNUMBER($M65)),MAX(0,$M65-$L65),"")</f>
        <v/>
      </c>
      <c r="Q65" s="16">
        <f>IF(ISNUMBER($D65),MAX(0,TODAY()-$D65),"")</f>
        <v/>
      </c>
      <c r="R65" s="14">
        <f>IF(COUNTA($A65:$O65)=0,"",IFERROR(TRIM(TEXTJOIN(" | ",TRUE,IF($A65="","PC kosong",""),IF($C65="","Worker ID kosong",""),IF($D65="","Update Date kosong",IF(NOT(ISNUMBER($D65)),"Update Date bukan tanggal","")),IF($E65="","Song ID YT kosong",""),IF($F65="","Judul kosong",""),IF(TRIM($G65)="","",IF(ISERROR(MATCH(TRIM($G65),{"TuneCore","DistroKid","TooLost","SoundOn","Ditto","Believe","CD Baby","Amuse","Symphonic Distribution","ONErpm","RouteNote","LANDR","Horus Music","Indie"},0)),"Aggregator di luar daftar","")),IF(TRIM($H65)="","Genre kosong",IF((LEN(SUBSTITUTE(SUBSTITUTE(SUBSTITUTE(TRIM($H65),"/",","),";",",")," ",""))-LEN(SUBSTITUTE(SUBSTITUTE(SUBSTITUTE(SUBSTITUTE(TRIM($H65),"/",","),";",","),"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65),"/",","),";",",")," ","")&amp;",")))&lt;&gt;(LEN(SUBSTITUTE(SUBSTITUTE(SUBSTITUTE(TRIM($H65),"/",","),";",",")," ",""))-LEN(SUBSTITUTE(SUBSTITUTE(SUBSTITUTE(SUBSTITUTE(TRIM($H65),"/",","),";",",")," ",""),",",""))+1),"Genre di luar daftar",""))),IF($I65="","Nama Channel kosong",""),IF($J65="","Link Channel kosong",IF(ISERROR(SEARCH("youtu",$J65)),"Link Channel bukan youtube","")),IF($K65="","Link Video kosong",IF(ISERROR(SEARCH("youtu",$K65)),"Link Video bukan youtube","")),IF($L65="","Tgl Dibuat kosong",IF(NOT(ISNUMBER($L65)),"Tgl Dibuat bukan tanggal","")),IF(AND($M65&lt;&gt;"",NOT(ISNUMBER($M65))),"Tgl Publish bukan tanggal",""),IF(AND(ISNUMBER($L65),ISNUMBER($M65),$M65&lt;$L65),"Tgl Publish &lt; Tgl buat",""),IF(TRIM($N65)="","Status kosong",IF(ISERROR(MATCH(TRIM($N65),{"Draft","Menunggu Review","Revisi","Terjadwal","Upload","Publish","Published","Batal"},0)),"Status di luar daftar","")))),""))</f>
        <v/>
      </c>
      <c r="S65" s="12">
        <f>IF(AND($A65&lt;&gt;"",$C65&lt;&gt;""),IF(COUNTIFS($A$2:$A$1000,$A65,$C$2:$C$1000,$C65)&gt;1,"DUPLICAT",""),"")</f>
        <v/>
      </c>
    </row>
    <row r="66">
      <c r="A66" s="17" t="n"/>
      <c r="B66" s="17" t="n"/>
      <c r="C66" s="17" t="n"/>
      <c r="D66" s="18" t="n"/>
      <c r="E66" s="17" t="n"/>
      <c r="F66" s="19" t="n"/>
      <c r="G66" s="17" t="n"/>
      <c r="H66" s="17" t="n"/>
      <c r="I66" s="17" t="n"/>
      <c r="J66" s="19" t="n"/>
      <c r="K66" s="19" t="n"/>
      <c r="L66" s="20" t="n"/>
      <c r="M66" s="20" t="n"/>
      <c r="N66" s="17" t="n"/>
      <c r="O66" s="17" t="n"/>
      <c r="P66" s="21">
        <f>IF(AND(ISNUMBER($L66),ISNUMBER($M66)),MAX(0,$M66-$L66),"")</f>
        <v/>
      </c>
      <c r="Q66" s="21">
        <f>IF(ISNUMBER($D66),MAX(0,TODAY()-$D66),"")</f>
        <v/>
      </c>
      <c r="R66" s="19">
        <f>IF(COUNTA($A66:$O66)=0,"",IFERROR(TRIM(TEXTJOIN(" | ",TRUE,IF($A66="","PC kosong",""),IF($C66="","Worker ID kosong",""),IF($D66="","Update Date kosong",IF(NOT(ISNUMBER($D66)),"Update Date bukan tanggal","")),IF($E66="","Song ID YT kosong",""),IF($F66="","Judul kosong",""),IF(TRIM($G66)="","",IF(ISERROR(MATCH(TRIM($G66),{"TuneCore","DistroKid","TooLost","SoundOn","Ditto","Believe","CD Baby","Amuse","Symphonic Distribution","ONErpm","RouteNote","LANDR","Horus Music","Indie"},0)),"Aggregator di luar daftar","")),IF(TRIM($H66)="","Genre kosong",IF((LEN(SUBSTITUTE(SUBSTITUTE(SUBSTITUTE(TRIM($H66),"/",","),";",",")," ",""))-LEN(SUBSTITUTE(SUBSTITUTE(SUBSTITUTE(SUBSTITUTE(TRIM($H66),"/",","),";",","),"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66),"/",","),";",",")," ","")&amp;",")))&lt;&gt;(LEN(SUBSTITUTE(SUBSTITUTE(SUBSTITUTE(TRIM($H66),"/",","),";",",")," ",""))-LEN(SUBSTITUTE(SUBSTITUTE(SUBSTITUTE(SUBSTITUTE(TRIM($H66),"/",","),";",",")," ",""),",",""))+1),"Genre di luar daftar",""))),IF($I66="","Nama Channel kosong",""),IF($J66="","Link Channel kosong",IF(ISERROR(SEARCH("youtu",$J66)),"Link Channel bukan youtube","")),IF($K66="","Link Video kosong",IF(ISERROR(SEARCH("youtu",$K66)),"Link Video bukan youtube","")),IF($L66="","Tgl Dibuat kosong",IF(NOT(ISNUMBER($L66)),"Tgl Dibuat bukan tanggal","")),IF(AND($M66&lt;&gt;"",NOT(ISNUMBER($M66))),"Tgl Publish bukan tanggal",""),IF(AND(ISNUMBER($L66),ISNUMBER($M66),$M66&lt;$L66),"Tgl Publish &lt; Tgl buat",""),IF(TRIM($N66)="","Status kosong",IF(ISERROR(MATCH(TRIM($N66),{"Draft","Menunggu Review","Revisi","Terjadwal","Upload","Publish","Published","Batal"},0)),"Status di luar daftar","")))),""))</f>
        <v/>
      </c>
      <c r="S66" s="17">
        <f>IF(AND($A66&lt;&gt;"",$C66&lt;&gt;""),IF(COUNTIFS($A$2:$A$1000,$A66,$C$2:$C$1000,$C66)&gt;1,"DUPLICAT",""),"")</f>
        <v/>
      </c>
    </row>
    <row r="67">
      <c r="A67" s="12" t="n"/>
      <c r="B67" s="12" t="n"/>
      <c r="C67" s="12" t="n"/>
      <c r="D67" s="13" t="n"/>
      <c r="E67" s="12" t="n"/>
      <c r="F67" s="14" t="n"/>
      <c r="G67" s="12" t="n"/>
      <c r="H67" s="12" t="n"/>
      <c r="I67" s="12" t="n"/>
      <c r="J67" s="14" t="n"/>
      <c r="K67" s="14" t="n"/>
      <c r="L67" s="15" t="n"/>
      <c r="M67" s="15" t="n"/>
      <c r="N67" s="12" t="n"/>
      <c r="O67" s="12" t="n"/>
      <c r="P67" s="16">
        <f>IF(AND(ISNUMBER($L67),ISNUMBER($M67)),MAX(0,$M67-$L67),"")</f>
        <v/>
      </c>
      <c r="Q67" s="16">
        <f>IF(ISNUMBER($D67),MAX(0,TODAY()-$D67),"")</f>
        <v/>
      </c>
      <c r="R67" s="14">
        <f>IF(COUNTA($A67:$O67)=0,"",IFERROR(TRIM(TEXTJOIN(" | ",TRUE,IF($A67="","PC kosong",""),IF($C67="","Worker ID kosong",""),IF($D67="","Update Date kosong",IF(NOT(ISNUMBER($D67)),"Update Date bukan tanggal","")),IF($E67="","Song ID YT kosong",""),IF($F67="","Judul kosong",""),IF(TRIM($G67)="","",IF(ISERROR(MATCH(TRIM($G67),{"TuneCore","DistroKid","TooLost","SoundOn","Ditto","Believe","CD Baby","Amuse","Symphonic Distribution","ONErpm","RouteNote","LANDR","Horus Music","Indie"},0)),"Aggregator di luar daftar","")),IF(TRIM($H67)="","Genre kosong",IF((LEN(SUBSTITUTE(SUBSTITUTE(SUBSTITUTE(TRIM($H67),"/",","),";",",")," ",""))-LEN(SUBSTITUTE(SUBSTITUTE(SUBSTITUTE(SUBSTITUTE(TRIM($H67),"/",","),";",","),"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67),"/",","),";",",")," ","")&amp;",")))&lt;&gt;(LEN(SUBSTITUTE(SUBSTITUTE(SUBSTITUTE(TRIM($H67),"/",","),";",",")," ",""))-LEN(SUBSTITUTE(SUBSTITUTE(SUBSTITUTE(SUBSTITUTE(TRIM($H67),"/",","),";",",")," ",""),",",""))+1),"Genre di luar daftar",""))),IF($I67="","Nama Channel kosong",""),IF($J67="","Link Channel kosong",IF(ISERROR(SEARCH("youtu",$J67)),"Link Channel bukan youtube","")),IF($K67="","Link Video kosong",IF(ISERROR(SEARCH("youtu",$K67)),"Link Video bukan youtube","")),IF($L67="","Tgl Dibuat kosong",IF(NOT(ISNUMBER($L67)),"Tgl Dibuat bukan tanggal","")),IF(AND($M67&lt;&gt;"",NOT(ISNUMBER($M67))),"Tgl Publish bukan tanggal",""),IF(AND(ISNUMBER($L67),ISNUMBER($M67),$M67&lt;$L67),"Tgl Publish &lt; Tgl buat",""),IF(TRIM($N67)="","Status kosong",IF(ISERROR(MATCH(TRIM($N67),{"Draft","Menunggu Review","Revisi","Terjadwal","Upload","Publish","Published","Batal"},0)),"Status di luar daftar","")))),""))</f>
        <v/>
      </c>
      <c r="S67" s="12">
        <f>IF(AND($A67&lt;&gt;"",$C67&lt;&gt;""),IF(COUNTIFS($A$2:$A$1000,$A67,$C$2:$C$1000,$C67)&gt;1,"DUPLICAT",""),"")</f>
        <v/>
      </c>
    </row>
    <row r="68">
      <c r="A68" s="17" t="n"/>
      <c r="B68" s="17" t="n"/>
      <c r="C68" s="17" t="n"/>
      <c r="D68" s="18" t="n"/>
      <c r="E68" s="17" t="n"/>
      <c r="F68" s="19" t="n"/>
      <c r="G68" s="17" t="n"/>
      <c r="H68" s="17" t="n"/>
      <c r="I68" s="17" t="n"/>
      <c r="J68" s="19" t="n"/>
      <c r="K68" s="19" t="n"/>
      <c r="L68" s="20" t="n"/>
      <c r="M68" s="20" t="n"/>
      <c r="N68" s="17" t="n"/>
      <c r="O68" s="17" t="n"/>
      <c r="P68" s="21">
        <f>IF(AND(ISNUMBER($L68),ISNUMBER($M68)),MAX(0,$M68-$L68),"")</f>
        <v/>
      </c>
      <c r="Q68" s="21">
        <f>IF(ISNUMBER($D68),MAX(0,TODAY()-$D68),"")</f>
        <v/>
      </c>
      <c r="R68" s="19">
        <f>IF(COUNTA($A68:$O68)=0,"",IFERROR(TRIM(TEXTJOIN(" | ",TRUE,IF($A68="","PC kosong",""),IF($C68="","Worker ID kosong",""),IF($D68="","Update Date kosong",IF(NOT(ISNUMBER($D68)),"Update Date bukan tanggal","")),IF($E68="","Song ID YT kosong",""),IF($F68="","Judul kosong",""),IF(TRIM($G68)="","",IF(ISERROR(MATCH(TRIM($G68),{"TuneCore","DistroKid","TooLost","SoundOn","Ditto","Believe","CD Baby","Amuse","Symphonic Distribution","ONErpm","RouteNote","LANDR","Horus Music","Indie"},0)),"Aggregator di luar daftar","")),IF(TRIM($H68)="","Genre kosong",IF((LEN(SUBSTITUTE(SUBSTITUTE(SUBSTITUTE(TRIM($H68),"/",","),";",",")," ",""))-LEN(SUBSTITUTE(SUBSTITUTE(SUBSTITUTE(SUBSTITUTE(TRIM($H68),"/",","),";",","),"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68),"/",","),";",",")," ","")&amp;",")))&lt;&gt;(LEN(SUBSTITUTE(SUBSTITUTE(SUBSTITUTE(TRIM($H68),"/",","),";",",")," ",""))-LEN(SUBSTITUTE(SUBSTITUTE(SUBSTITUTE(SUBSTITUTE(TRIM($H68),"/",","),";",",")," ",""),",",""))+1),"Genre di luar daftar",""))),IF($I68="","Nama Channel kosong",""),IF($J68="","Link Channel kosong",IF(ISERROR(SEARCH("youtu",$J68)),"Link Channel bukan youtube","")),IF($K68="","Link Video kosong",IF(ISERROR(SEARCH("youtu",$K68)),"Link Video bukan youtube","")),IF($L68="","Tgl Dibuat kosong",IF(NOT(ISNUMBER($L68)),"Tgl Dibuat bukan tanggal","")),IF(AND($M68&lt;&gt;"",NOT(ISNUMBER($M68))),"Tgl Publish bukan tanggal",""),IF(AND(ISNUMBER($L68),ISNUMBER($M68),$M68&lt;$L68),"Tgl Publish &lt; Tgl buat",""),IF(TRIM($N68)="","Status kosong",IF(ISERROR(MATCH(TRIM($N68),{"Draft","Menunggu Review","Revisi","Terjadwal","Upload","Publish","Published","Batal"},0)),"Status di luar daftar","")))),""))</f>
        <v/>
      </c>
      <c r="S68" s="17">
        <f>IF(AND($A68&lt;&gt;"",$C68&lt;&gt;""),IF(COUNTIFS($A$2:$A$1000,$A68,$C$2:$C$1000,$C68)&gt;1,"DUPLICAT",""),"")</f>
        <v/>
      </c>
    </row>
    <row r="69">
      <c r="A69" s="12" t="n"/>
      <c r="B69" s="12" t="n"/>
      <c r="C69" s="12" t="n"/>
      <c r="D69" s="13" t="n"/>
      <c r="E69" s="12" t="n"/>
      <c r="F69" s="14" t="n"/>
      <c r="G69" s="12" t="n"/>
      <c r="H69" s="12" t="n"/>
      <c r="I69" s="12" t="n"/>
      <c r="J69" s="14" t="n"/>
      <c r="K69" s="14" t="n"/>
      <c r="L69" s="15" t="n"/>
      <c r="M69" s="15" t="n"/>
      <c r="N69" s="12" t="n"/>
      <c r="O69" s="12" t="n"/>
      <c r="P69" s="16">
        <f>IF(AND(ISNUMBER($L69),ISNUMBER($M69)),MAX(0,$M69-$L69),"")</f>
        <v/>
      </c>
      <c r="Q69" s="16">
        <f>IF(ISNUMBER($D69),MAX(0,TODAY()-$D69),"")</f>
        <v/>
      </c>
      <c r="R69" s="14">
        <f>IF(COUNTA($A69:$O69)=0,"",IFERROR(TRIM(TEXTJOIN(" | ",TRUE,IF($A69="","PC kosong",""),IF($C69="","Worker ID kosong",""),IF($D69="","Update Date kosong",IF(NOT(ISNUMBER($D69)),"Update Date bukan tanggal","")),IF($E69="","Song ID YT kosong",""),IF($F69="","Judul kosong",""),IF(TRIM($G69)="","",IF(ISERROR(MATCH(TRIM($G69),{"TuneCore","DistroKid","TooLost","SoundOn","Ditto","Believe","CD Baby","Amuse","Symphonic Distribution","ONErpm","RouteNote","LANDR","Horus Music","Indie"},0)),"Aggregator di luar daftar","")),IF(TRIM($H69)="","Genre kosong",IF((LEN(SUBSTITUTE(SUBSTITUTE(SUBSTITUTE(TRIM($H69),"/",","),";",",")," ",""))-LEN(SUBSTITUTE(SUBSTITUTE(SUBSTITUTE(SUBSTITUTE(TRIM($H69),"/",","),";",","),"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69),"/",","),";",",")," ","")&amp;",")))&lt;&gt;(LEN(SUBSTITUTE(SUBSTITUTE(SUBSTITUTE(TRIM($H69),"/",","),";",",")," ",""))-LEN(SUBSTITUTE(SUBSTITUTE(SUBSTITUTE(SUBSTITUTE(TRIM($H69),"/",","),";",",")," ",""),",",""))+1),"Genre di luar daftar",""))),IF($I69="","Nama Channel kosong",""),IF($J69="","Link Channel kosong",IF(ISERROR(SEARCH("youtu",$J69)),"Link Channel bukan youtube","")),IF($K69="","Link Video kosong",IF(ISERROR(SEARCH("youtu",$K69)),"Link Video bukan youtube","")),IF($L69="","Tgl Dibuat kosong",IF(NOT(ISNUMBER($L69)),"Tgl Dibuat bukan tanggal","")),IF(AND($M69&lt;&gt;"",NOT(ISNUMBER($M69))),"Tgl Publish bukan tanggal",""),IF(AND(ISNUMBER($L69),ISNUMBER($M69),$M69&lt;$L69),"Tgl Publish &lt; Tgl buat",""),IF(TRIM($N69)="","Status kosong",IF(ISERROR(MATCH(TRIM($N69),{"Draft","Menunggu Review","Revisi","Terjadwal","Upload","Publish","Published","Batal"},0)),"Status di luar daftar","")))),""))</f>
        <v/>
      </c>
      <c r="S69" s="12">
        <f>IF(AND($A69&lt;&gt;"",$C69&lt;&gt;""),IF(COUNTIFS($A$2:$A$1000,$A69,$C$2:$C$1000,$C69)&gt;1,"DUPLICAT",""),"")</f>
        <v/>
      </c>
    </row>
    <row r="70">
      <c r="A70" s="17" t="n"/>
      <c r="B70" s="17" t="n"/>
      <c r="C70" s="17" t="n"/>
      <c r="D70" s="18" t="n"/>
      <c r="E70" s="17" t="n"/>
      <c r="F70" s="19" t="n"/>
      <c r="G70" s="17" t="n"/>
      <c r="H70" s="17" t="n"/>
      <c r="I70" s="17" t="n"/>
      <c r="J70" s="19" t="n"/>
      <c r="K70" s="19" t="n"/>
      <c r="L70" s="20" t="n"/>
      <c r="M70" s="20" t="n"/>
      <c r="N70" s="17" t="n"/>
      <c r="O70" s="17" t="n"/>
      <c r="P70" s="21">
        <f>IF(AND(ISNUMBER($L70),ISNUMBER($M70)),MAX(0,$M70-$L70),"")</f>
        <v/>
      </c>
      <c r="Q70" s="21">
        <f>IF(ISNUMBER($D70),MAX(0,TODAY()-$D70),"")</f>
        <v/>
      </c>
      <c r="R70" s="19">
        <f>IF(COUNTA($A70:$O70)=0,"",IFERROR(TRIM(TEXTJOIN(" | ",TRUE,IF($A70="","PC kosong",""),IF($C70="","Worker ID kosong",""),IF($D70="","Update Date kosong",IF(NOT(ISNUMBER($D70)),"Update Date bukan tanggal","")),IF($E70="","Song ID YT kosong",""),IF($F70="","Judul kosong",""),IF(TRIM($G70)="","",IF(ISERROR(MATCH(TRIM($G70),{"TuneCore","DistroKid","TooLost","SoundOn","Ditto","Believe","CD Baby","Amuse","Symphonic Distribution","ONErpm","RouteNote","LANDR","Horus Music","Indie"},0)),"Aggregator di luar daftar","")),IF(TRIM($H70)="","Genre kosong",IF((LEN(SUBSTITUTE(SUBSTITUTE(SUBSTITUTE(TRIM($H70),"/",","),";",",")," ",""))-LEN(SUBSTITUTE(SUBSTITUTE(SUBSTITUTE(SUBSTITUTE(TRIM($H70),"/",","),";",","),"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70),"/",","),";",",")," ","")&amp;",")))&lt;&gt;(LEN(SUBSTITUTE(SUBSTITUTE(SUBSTITUTE(TRIM($H70),"/",","),";",",")," ",""))-LEN(SUBSTITUTE(SUBSTITUTE(SUBSTITUTE(SUBSTITUTE(TRIM($H70),"/",","),";",",")," ",""),",",""))+1),"Genre di luar daftar",""))),IF($I70="","Nama Channel kosong",""),IF($J70="","Link Channel kosong",IF(ISERROR(SEARCH("youtu",$J70)),"Link Channel bukan youtube","")),IF($K70="","Link Video kosong",IF(ISERROR(SEARCH("youtu",$K70)),"Link Video bukan youtube","")),IF($L70="","Tgl Dibuat kosong",IF(NOT(ISNUMBER($L70)),"Tgl Dibuat bukan tanggal","")),IF(AND($M70&lt;&gt;"",NOT(ISNUMBER($M70))),"Tgl Publish bukan tanggal",""),IF(AND(ISNUMBER($L70),ISNUMBER($M70),$M70&lt;$L70),"Tgl Publish &lt; Tgl buat",""),IF(TRIM($N70)="","Status kosong",IF(ISERROR(MATCH(TRIM($N70),{"Draft","Menunggu Review","Revisi","Terjadwal","Upload","Publish","Published","Batal"},0)),"Status di luar daftar","")))),""))</f>
        <v/>
      </c>
      <c r="S70" s="17">
        <f>IF(AND($A70&lt;&gt;"",$C70&lt;&gt;""),IF(COUNTIFS($A$2:$A$1000,$A70,$C$2:$C$1000,$C70)&gt;1,"DUPLICAT",""),"")</f>
        <v/>
      </c>
    </row>
    <row r="71">
      <c r="A71" s="12" t="n"/>
      <c r="B71" s="12" t="n"/>
      <c r="C71" s="12" t="n"/>
      <c r="D71" s="13" t="n"/>
      <c r="E71" s="12" t="n"/>
      <c r="F71" s="14" t="n"/>
      <c r="G71" s="12" t="n"/>
      <c r="H71" s="12" t="n"/>
      <c r="I71" s="12" t="n"/>
      <c r="J71" s="14" t="n"/>
      <c r="K71" s="14" t="n"/>
      <c r="L71" s="15" t="n"/>
      <c r="M71" s="15" t="n"/>
      <c r="N71" s="12" t="n"/>
      <c r="O71" s="12" t="n"/>
      <c r="P71" s="16">
        <f>IF(AND(ISNUMBER($L71),ISNUMBER($M71)),MAX(0,$M71-$L71),"")</f>
        <v/>
      </c>
      <c r="Q71" s="16">
        <f>IF(ISNUMBER($D71),MAX(0,TODAY()-$D71),"")</f>
        <v/>
      </c>
      <c r="R71" s="14">
        <f>IF(COUNTA($A71:$O71)=0,"",IFERROR(TRIM(TEXTJOIN(" | ",TRUE,IF($A71="","PC kosong",""),IF($C71="","Worker ID kosong",""),IF($D71="","Update Date kosong",IF(NOT(ISNUMBER($D71)),"Update Date bukan tanggal","")),IF($E71="","Song ID YT kosong",""),IF($F71="","Judul kosong",""),IF(TRIM($G71)="","",IF(ISERROR(MATCH(TRIM($G71),{"TuneCore","DistroKid","TooLost","SoundOn","Ditto","Believe","CD Baby","Amuse","Symphonic Distribution","ONErpm","RouteNote","LANDR","Horus Music","Indie"},0)),"Aggregator di luar daftar","")),IF(TRIM($H71)="","Genre kosong",IF((LEN(SUBSTITUTE(SUBSTITUTE(SUBSTITUTE(TRIM($H71),"/",","),";",",")," ",""))-LEN(SUBSTITUTE(SUBSTITUTE(SUBSTITUTE(SUBSTITUTE(TRIM($H71),"/",","),";",","),"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71),"/",","),";",",")," ","")&amp;",")))&lt;&gt;(LEN(SUBSTITUTE(SUBSTITUTE(SUBSTITUTE(TRIM($H71),"/",","),";",",")," ",""))-LEN(SUBSTITUTE(SUBSTITUTE(SUBSTITUTE(SUBSTITUTE(TRIM($H71),"/",","),";",",")," ",""),",",""))+1),"Genre di luar daftar",""))),IF($I71="","Nama Channel kosong",""),IF($J71="","Link Channel kosong",IF(ISERROR(SEARCH("youtu",$J71)),"Link Channel bukan youtube","")),IF($K71="","Link Video kosong",IF(ISERROR(SEARCH("youtu",$K71)),"Link Video bukan youtube","")),IF($L71="","Tgl Dibuat kosong",IF(NOT(ISNUMBER($L71)),"Tgl Dibuat bukan tanggal","")),IF(AND($M71&lt;&gt;"",NOT(ISNUMBER($M71))),"Tgl Publish bukan tanggal",""),IF(AND(ISNUMBER($L71),ISNUMBER($M71),$M71&lt;$L71),"Tgl Publish &lt; Tgl buat",""),IF(TRIM($N71)="","Status kosong",IF(ISERROR(MATCH(TRIM($N71),{"Draft","Menunggu Review","Revisi","Terjadwal","Upload","Publish","Published","Batal"},0)),"Status di luar daftar","")))),""))</f>
        <v/>
      </c>
      <c r="S71" s="12">
        <f>IF(AND($A71&lt;&gt;"",$C71&lt;&gt;""),IF(COUNTIFS($A$2:$A$1000,$A71,$C$2:$C$1000,$C71)&gt;1,"DUPLICAT",""),"")</f>
        <v/>
      </c>
    </row>
    <row r="72">
      <c r="A72" s="17" t="n"/>
      <c r="B72" s="17" t="n"/>
      <c r="C72" s="17" t="n"/>
      <c r="D72" s="18" t="n"/>
      <c r="E72" s="17" t="n"/>
      <c r="F72" s="19" t="n"/>
      <c r="G72" s="17" t="n"/>
      <c r="H72" s="17" t="n"/>
      <c r="I72" s="17" t="n"/>
      <c r="J72" s="19" t="n"/>
      <c r="K72" s="19" t="n"/>
      <c r="L72" s="20" t="n"/>
      <c r="M72" s="20" t="n"/>
      <c r="N72" s="17" t="n"/>
      <c r="O72" s="17" t="n"/>
      <c r="P72" s="21">
        <f>IF(AND(ISNUMBER($L72),ISNUMBER($M72)),MAX(0,$M72-$L72),"")</f>
        <v/>
      </c>
      <c r="Q72" s="21">
        <f>IF(ISNUMBER($D72),MAX(0,TODAY()-$D72),"")</f>
        <v/>
      </c>
      <c r="R72" s="19">
        <f>IF(COUNTA($A72:$O72)=0,"",IFERROR(TRIM(TEXTJOIN(" | ",TRUE,IF($A72="","PC kosong",""),IF($C72="","Worker ID kosong",""),IF($D72="","Update Date kosong",IF(NOT(ISNUMBER($D72)),"Update Date bukan tanggal","")),IF($E72="","Song ID YT kosong",""),IF($F72="","Judul kosong",""),IF(TRIM($G72)="","",IF(ISERROR(MATCH(TRIM($G72),{"TuneCore","DistroKid","TooLost","SoundOn","Ditto","Believe","CD Baby","Amuse","Symphonic Distribution","ONErpm","RouteNote","LANDR","Horus Music","Indie"},0)),"Aggregator di luar daftar","")),IF(TRIM($H72)="","Genre kosong",IF((LEN(SUBSTITUTE(SUBSTITUTE(SUBSTITUTE(TRIM($H72),"/",","),";",",")," ",""))-LEN(SUBSTITUTE(SUBSTITUTE(SUBSTITUTE(SUBSTITUTE(TRIM($H72),"/",","),";",","),"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72),"/",","),";",",")," ","")&amp;",")))&lt;&gt;(LEN(SUBSTITUTE(SUBSTITUTE(SUBSTITUTE(TRIM($H72),"/",","),";",",")," ",""))-LEN(SUBSTITUTE(SUBSTITUTE(SUBSTITUTE(SUBSTITUTE(TRIM($H72),"/",","),";",",")," ",""),",",""))+1),"Genre di luar daftar",""))),IF($I72="","Nama Channel kosong",""),IF($J72="","Link Channel kosong",IF(ISERROR(SEARCH("youtu",$J72)),"Link Channel bukan youtube","")),IF($K72="","Link Video kosong",IF(ISERROR(SEARCH("youtu",$K72)),"Link Video bukan youtube","")),IF($L72="","Tgl Dibuat kosong",IF(NOT(ISNUMBER($L72)),"Tgl Dibuat bukan tanggal","")),IF(AND($M72&lt;&gt;"",NOT(ISNUMBER($M72))),"Tgl Publish bukan tanggal",""),IF(AND(ISNUMBER($L72),ISNUMBER($M72),$M72&lt;$L72),"Tgl Publish &lt; Tgl buat",""),IF(TRIM($N72)="","Status kosong",IF(ISERROR(MATCH(TRIM($N72),{"Draft","Menunggu Review","Revisi","Terjadwal","Upload","Publish","Published","Batal"},0)),"Status di luar daftar","")))),""))</f>
        <v/>
      </c>
      <c r="S72" s="17">
        <f>IF(AND($A72&lt;&gt;"",$C72&lt;&gt;""),IF(COUNTIFS($A$2:$A$1000,$A72,$C$2:$C$1000,$C72)&gt;1,"DUPLICAT",""),"")</f>
        <v/>
      </c>
    </row>
    <row r="73">
      <c r="A73" s="12" t="n"/>
      <c r="B73" s="12" t="n"/>
      <c r="C73" s="12" t="n"/>
      <c r="D73" s="13" t="n"/>
      <c r="E73" s="12" t="n"/>
      <c r="F73" s="14" t="n"/>
      <c r="G73" s="12" t="n"/>
      <c r="H73" s="12" t="n"/>
      <c r="I73" s="12" t="n"/>
      <c r="J73" s="14" t="n"/>
      <c r="K73" s="14" t="n"/>
      <c r="L73" s="15" t="n"/>
      <c r="M73" s="15" t="n"/>
      <c r="N73" s="12" t="n"/>
      <c r="O73" s="12" t="n"/>
      <c r="P73" s="16">
        <f>IF(AND(ISNUMBER($L73),ISNUMBER($M73)),MAX(0,$M73-$L73),"")</f>
        <v/>
      </c>
      <c r="Q73" s="16">
        <f>IF(ISNUMBER($D73),MAX(0,TODAY()-$D73),"")</f>
        <v/>
      </c>
      <c r="R73" s="14">
        <f>IF(COUNTA($A73:$O73)=0,"",IFERROR(TRIM(TEXTJOIN(" | ",TRUE,IF($A73="","PC kosong",""),IF($C73="","Worker ID kosong",""),IF($D73="","Update Date kosong",IF(NOT(ISNUMBER($D73)),"Update Date bukan tanggal","")),IF($E73="","Song ID YT kosong",""),IF($F73="","Judul kosong",""),IF(TRIM($G73)="","",IF(ISERROR(MATCH(TRIM($G73),{"TuneCore","DistroKid","TooLost","SoundOn","Ditto","Believe","CD Baby","Amuse","Symphonic Distribution","ONErpm","RouteNote","LANDR","Horus Music","Indie"},0)),"Aggregator di luar daftar","")),IF(TRIM($H73)="","Genre kosong",IF((LEN(SUBSTITUTE(SUBSTITUTE(SUBSTITUTE(TRIM($H73),"/",","),";",",")," ",""))-LEN(SUBSTITUTE(SUBSTITUTE(SUBSTITUTE(SUBSTITUTE(TRIM($H73),"/",","),";",","),"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73),"/",","),";",",")," ","")&amp;",")))&lt;&gt;(LEN(SUBSTITUTE(SUBSTITUTE(SUBSTITUTE(TRIM($H73),"/",","),";",",")," ",""))-LEN(SUBSTITUTE(SUBSTITUTE(SUBSTITUTE(SUBSTITUTE(TRIM($H73),"/",","),";",",")," ",""),",",""))+1),"Genre di luar daftar",""))),IF($I73="","Nama Channel kosong",""),IF($J73="","Link Channel kosong",IF(ISERROR(SEARCH("youtu",$J73)),"Link Channel bukan youtube","")),IF($K73="","Link Video kosong",IF(ISERROR(SEARCH("youtu",$K73)),"Link Video bukan youtube","")),IF($L73="","Tgl Dibuat kosong",IF(NOT(ISNUMBER($L73)),"Tgl Dibuat bukan tanggal","")),IF(AND($M73&lt;&gt;"",NOT(ISNUMBER($M73))),"Tgl Publish bukan tanggal",""),IF(AND(ISNUMBER($L73),ISNUMBER($M73),$M73&lt;$L73),"Tgl Publish &lt; Tgl buat",""),IF(TRIM($N73)="","Status kosong",IF(ISERROR(MATCH(TRIM($N73),{"Draft","Menunggu Review","Revisi","Terjadwal","Upload","Publish","Published","Batal"},0)),"Status di luar daftar","")))),""))</f>
        <v/>
      </c>
      <c r="S73" s="12">
        <f>IF(AND($A73&lt;&gt;"",$C73&lt;&gt;""),IF(COUNTIFS($A$2:$A$1000,$A73,$C$2:$C$1000,$C73)&gt;1,"DUPLICAT",""),"")</f>
        <v/>
      </c>
    </row>
    <row r="74">
      <c r="A74" s="17" t="n"/>
      <c r="B74" s="17" t="n"/>
      <c r="C74" s="17" t="n"/>
      <c r="D74" s="18" t="n"/>
      <c r="E74" s="17" t="n"/>
      <c r="F74" s="19" t="n"/>
      <c r="G74" s="17" t="n"/>
      <c r="H74" s="17" t="n"/>
      <c r="I74" s="17" t="n"/>
      <c r="J74" s="19" t="n"/>
      <c r="K74" s="19" t="n"/>
      <c r="L74" s="20" t="n"/>
      <c r="M74" s="20" t="n"/>
      <c r="N74" s="17" t="n"/>
      <c r="O74" s="17" t="n"/>
      <c r="P74" s="21">
        <f>IF(AND(ISNUMBER($L74),ISNUMBER($M74)),MAX(0,$M74-$L74),"")</f>
        <v/>
      </c>
      <c r="Q74" s="21">
        <f>IF(ISNUMBER($D74),MAX(0,TODAY()-$D74),"")</f>
        <v/>
      </c>
      <c r="R74" s="19">
        <f>IF(COUNTA($A74:$O74)=0,"",IFERROR(TRIM(TEXTJOIN(" | ",TRUE,IF($A74="","PC kosong",""),IF($C74="","Worker ID kosong",""),IF($D74="","Update Date kosong",IF(NOT(ISNUMBER($D74)),"Update Date bukan tanggal","")),IF($E74="","Song ID YT kosong",""),IF($F74="","Judul kosong",""),IF(TRIM($G74)="","",IF(ISERROR(MATCH(TRIM($G74),{"TuneCore","DistroKid","TooLost","SoundOn","Ditto","Believe","CD Baby","Amuse","Symphonic Distribution","ONErpm","RouteNote","LANDR","Horus Music","Indie"},0)),"Aggregator di luar daftar","")),IF(TRIM($H74)="","Genre kosong",IF((LEN(SUBSTITUTE(SUBSTITUTE(SUBSTITUTE(TRIM($H74),"/",","),";",",")," ",""))-LEN(SUBSTITUTE(SUBSTITUTE(SUBSTITUTE(SUBSTITUTE(TRIM($H74),"/",","),";",","),"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74),"/",","),";",",")," ","")&amp;",")))&lt;&gt;(LEN(SUBSTITUTE(SUBSTITUTE(SUBSTITUTE(TRIM($H74),"/",","),";",",")," ",""))-LEN(SUBSTITUTE(SUBSTITUTE(SUBSTITUTE(SUBSTITUTE(TRIM($H74),"/",","),";",",")," ",""),",",""))+1),"Genre di luar daftar",""))),IF($I74="","Nama Channel kosong",""),IF($J74="","Link Channel kosong",IF(ISERROR(SEARCH("youtu",$J74)),"Link Channel bukan youtube","")),IF($K74="","Link Video kosong",IF(ISERROR(SEARCH("youtu",$K74)),"Link Video bukan youtube","")),IF($L74="","Tgl Dibuat kosong",IF(NOT(ISNUMBER($L74)),"Tgl Dibuat bukan tanggal","")),IF(AND($M74&lt;&gt;"",NOT(ISNUMBER($M74))),"Tgl Publish bukan tanggal",""),IF(AND(ISNUMBER($L74),ISNUMBER($M74),$M74&lt;$L74),"Tgl Publish &lt; Tgl buat",""),IF(TRIM($N74)="","Status kosong",IF(ISERROR(MATCH(TRIM($N74),{"Draft","Menunggu Review","Revisi","Terjadwal","Upload","Publish","Published","Batal"},0)),"Status di luar daftar","")))),""))</f>
        <v/>
      </c>
      <c r="S74" s="17">
        <f>IF(AND($A74&lt;&gt;"",$C74&lt;&gt;""),IF(COUNTIFS($A$2:$A$1000,$A74,$C$2:$C$1000,$C74)&gt;1,"DUPLICAT",""),"")</f>
        <v/>
      </c>
    </row>
    <row r="75">
      <c r="A75" s="12" t="n"/>
      <c r="B75" s="12" t="n"/>
      <c r="C75" s="12" t="n"/>
      <c r="D75" s="13" t="n"/>
      <c r="E75" s="12" t="n"/>
      <c r="F75" s="14" t="n"/>
      <c r="G75" s="12" t="n"/>
      <c r="H75" s="12" t="n"/>
      <c r="I75" s="12" t="n"/>
      <c r="J75" s="14" t="n"/>
      <c r="K75" s="14" t="n"/>
      <c r="L75" s="15" t="n"/>
      <c r="M75" s="15" t="n"/>
      <c r="N75" s="12" t="n"/>
      <c r="O75" s="12" t="n"/>
      <c r="P75" s="16">
        <f>IF(AND(ISNUMBER($L75),ISNUMBER($M75)),MAX(0,$M75-$L75),"")</f>
        <v/>
      </c>
      <c r="Q75" s="16">
        <f>IF(ISNUMBER($D75),MAX(0,TODAY()-$D75),"")</f>
        <v/>
      </c>
      <c r="R75" s="14">
        <f>IF(COUNTA($A75:$O75)=0,"",IFERROR(TRIM(TEXTJOIN(" | ",TRUE,IF($A75="","PC kosong",""),IF($C75="","Worker ID kosong",""),IF($D75="","Update Date kosong",IF(NOT(ISNUMBER($D75)),"Update Date bukan tanggal","")),IF($E75="","Song ID YT kosong",""),IF($F75="","Judul kosong",""),IF(TRIM($G75)="","",IF(ISERROR(MATCH(TRIM($G75),{"TuneCore","DistroKid","TooLost","SoundOn","Ditto","Believe","CD Baby","Amuse","Symphonic Distribution","ONErpm","RouteNote","LANDR","Horus Music","Indie"},0)),"Aggregator di luar daftar","")),IF(TRIM($H75)="","Genre kosong",IF((LEN(SUBSTITUTE(SUBSTITUTE(SUBSTITUTE(TRIM($H75),"/",","),";",",")," ",""))-LEN(SUBSTITUTE(SUBSTITUTE(SUBSTITUTE(SUBSTITUTE(TRIM($H75),"/",","),";",","),"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75),"/",","),";",",")," ","")&amp;",")))&lt;&gt;(LEN(SUBSTITUTE(SUBSTITUTE(SUBSTITUTE(TRIM($H75),"/",","),";",",")," ",""))-LEN(SUBSTITUTE(SUBSTITUTE(SUBSTITUTE(SUBSTITUTE(TRIM($H75),"/",","),";",",")," ",""),",",""))+1),"Genre di luar daftar",""))),IF($I75="","Nama Channel kosong",""),IF($J75="","Link Channel kosong",IF(ISERROR(SEARCH("youtu",$J75)),"Link Channel bukan youtube","")),IF($K75="","Link Video kosong",IF(ISERROR(SEARCH("youtu",$K75)),"Link Video bukan youtube","")),IF($L75="","Tgl Dibuat kosong",IF(NOT(ISNUMBER($L75)),"Tgl Dibuat bukan tanggal","")),IF(AND($M75&lt;&gt;"",NOT(ISNUMBER($M75))),"Tgl Publish bukan tanggal",""),IF(AND(ISNUMBER($L75),ISNUMBER($M75),$M75&lt;$L75),"Tgl Publish &lt; Tgl buat",""),IF(TRIM($N75)="","Status kosong",IF(ISERROR(MATCH(TRIM($N75),{"Draft","Menunggu Review","Revisi","Terjadwal","Upload","Publish","Published","Batal"},0)),"Status di luar daftar","")))),""))</f>
        <v/>
      </c>
      <c r="S75" s="12">
        <f>IF(AND($A75&lt;&gt;"",$C75&lt;&gt;""),IF(COUNTIFS($A$2:$A$1000,$A75,$C$2:$C$1000,$C75)&gt;1,"DUPLICAT",""),"")</f>
        <v/>
      </c>
    </row>
    <row r="76">
      <c r="A76" s="17" t="n"/>
      <c r="B76" s="17" t="n"/>
      <c r="C76" s="17" t="n"/>
      <c r="D76" s="18" t="n"/>
      <c r="E76" s="17" t="n"/>
      <c r="F76" s="19" t="n"/>
      <c r="G76" s="17" t="n"/>
      <c r="H76" s="17" t="n"/>
      <c r="I76" s="17" t="n"/>
      <c r="J76" s="19" t="n"/>
      <c r="K76" s="19" t="n"/>
      <c r="L76" s="20" t="n"/>
      <c r="M76" s="20" t="n"/>
      <c r="N76" s="17" t="n"/>
      <c r="O76" s="17" t="n"/>
      <c r="P76" s="21">
        <f>IF(AND(ISNUMBER($L76),ISNUMBER($M76)),MAX(0,$M76-$L76),"")</f>
        <v/>
      </c>
      <c r="Q76" s="21">
        <f>IF(ISNUMBER($D76),MAX(0,TODAY()-$D76),"")</f>
        <v/>
      </c>
      <c r="R76" s="19">
        <f>IF(COUNTA($A76:$O76)=0,"",IFERROR(TRIM(TEXTJOIN(" | ",TRUE,IF($A76="","PC kosong",""),IF($C76="","Worker ID kosong",""),IF($D76="","Update Date kosong",IF(NOT(ISNUMBER($D76)),"Update Date bukan tanggal","")),IF($E76="","Song ID YT kosong",""),IF($F76="","Judul kosong",""),IF(TRIM($G76)="","",IF(ISERROR(MATCH(TRIM($G76),{"TuneCore","DistroKid","TooLost","SoundOn","Ditto","Believe","CD Baby","Amuse","Symphonic Distribution","ONErpm","RouteNote","LANDR","Horus Music","Indie"},0)),"Aggregator di luar daftar","")),IF(TRIM($H76)="","Genre kosong",IF((LEN(SUBSTITUTE(SUBSTITUTE(SUBSTITUTE(TRIM($H76),"/",","),";",",")," ",""))-LEN(SUBSTITUTE(SUBSTITUTE(SUBSTITUTE(SUBSTITUTE(TRIM($H76),"/",","),";",","),"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76),"/",","),";",",")," ","")&amp;",")))&lt;&gt;(LEN(SUBSTITUTE(SUBSTITUTE(SUBSTITUTE(TRIM($H76),"/",","),";",",")," ",""))-LEN(SUBSTITUTE(SUBSTITUTE(SUBSTITUTE(SUBSTITUTE(TRIM($H76),"/",","),";",",")," ",""),",",""))+1),"Genre di luar daftar",""))),IF($I76="","Nama Channel kosong",""),IF($J76="","Link Channel kosong",IF(ISERROR(SEARCH("youtu",$J76)),"Link Channel bukan youtube","")),IF($K76="","Link Video kosong",IF(ISERROR(SEARCH("youtu",$K76)),"Link Video bukan youtube","")),IF($L76="","Tgl Dibuat kosong",IF(NOT(ISNUMBER($L76)),"Tgl Dibuat bukan tanggal","")),IF(AND($M76&lt;&gt;"",NOT(ISNUMBER($M76))),"Tgl Publish bukan tanggal",""),IF(AND(ISNUMBER($L76),ISNUMBER($M76),$M76&lt;$L76),"Tgl Publish &lt; Tgl buat",""),IF(TRIM($N76)="","Status kosong",IF(ISERROR(MATCH(TRIM($N76),{"Draft","Menunggu Review","Revisi","Terjadwal","Upload","Publish","Published","Batal"},0)),"Status di luar daftar","")))),""))</f>
        <v/>
      </c>
      <c r="S76" s="17">
        <f>IF(AND($A76&lt;&gt;"",$C76&lt;&gt;""),IF(COUNTIFS($A$2:$A$1000,$A76,$C$2:$C$1000,$C76)&gt;1,"DUPLICAT",""),"")</f>
        <v/>
      </c>
    </row>
    <row r="77">
      <c r="A77" s="12" t="n"/>
      <c r="B77" s="12" t="n"/>
      <c r="C77" s="12" t="n"/>
      <c r="D77" s="13" t="n"/>
      <c r="E77" s="12" t="n"/>
      <c r="F77" s="14" t="n"/>
      <c r="G77" s="12" t="n"/>
      <c r="H77" s="12" t="n"/>
      <c r="I77" s="12" t="n"/>
      <c r="J77" s="14" t="n"/>
      <c r="K77" s="14" t="n"/>
      <c r="L77" s="15" t="n"/>
      <c r="M77" s="15" t="n"/>
      <c r="N77" s="12" t="n"/>
      <c r="O77" s="12" t="n"/>
      <c r="P77" s="16">
        <f>IF(AND(ISNUMBER($L77),ISNUMBER($M77)),MAX(0,$M77-$L77),"")</f>
        <v/>
      </c>
      <c r="Q77" s="16">
        <f>IF(ISNUMBER($D77),MAX(0,TODAY()-$D77),"")</f>
        <v/>
      </c>
      <c r="R77" s="14">
        <f>IF(COUNTA($A77:$O77)=0,"",IFERROR(TRIM(TEXTJOIN(" | ",TRUE,IF($A77="","PC kosong",""),IF($C77="","Worker ID kosong",""),IF($D77="","Update Date kosong",IF(NOT(ISNUMBER($D77)),"Update Date bukan tanggal","")),IF($E77="","Song ID YT kosong",""),IF($F77="","Judul kosong",""),IF(TRIM($G77)="","",IF(ISERROR(MATCH(TRIM($G77),{"TuneCore","DistroKid","TooLost","SoundOn","Ditto","Believe","CD Baby","Amuse","Symphonic Distribution","ONErpm","RouteNote","LANDR","Horus Music","Indie"},0)),"Aggregator di luar daftar","")),IF(TRIM($H77)="","Genre kosong",IF((LEN(SUBSTITUTE(SUBSTITUTE(SUBSTITUTE(TRIM($H77),"/",","),";",",")," ",""))-LEN(SUBSTITUTE(SUBSTITUTE(SUBSTITUTE(SUBSTITUTE(TRIM($H77),"/",","),";",","),"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77),"/",","),";",",")," ","")&amp;",")))&lt;&gt;(LEN(SUBSTITUTE(SUBSTITUTE(SUBSTITUTE(TRIM($H77),"/",","),";",",")," ",""))-LEN(SUBSTITUTE(SUBSTITUTE(SUBSTITUTE(SUBSTITUTE(TRIM($H77),"/",","),";",",")," ",""),",",""))+1),"Genre di luar daftar",""))),IF($I77="","Nama Channel kosong",""),IF($J77="","Link Channel kosong",IF(ISERROR(SEARCH("youtu",$J77)),"Link Channel bukan youtube","")),IF($K77="","Link Video kosong",IF(ISERROR(SEARCH("youtu",$K77)),"Link Video bukan youtube","")),IF($L77="","Tgl Dibuat kosong",IF(NOT(ISNUMBER($L77)),"Tgl Dibuat bukan tanggal","")),IF(AND($M77&lt;&gt;"",NOT(ISNUMBER($M77))),"Tgl Publish bukan tanggal",""),IF(AND(ISNUMBER($L77),ISNUMBER($M77),$M77&lt;$L77),"Tgl Publish &lt; Tgl buat",""),IF(TRIM($N77)="","Status kosong",IF(ISERROR(MATCH(TRIM($N77),{"Draft","Menunggu Review","Revisi","Terjadwal","Upload","Publish","Published","Batal"},0)),"Status di luar daftar","")))),""))</f>
        <v/>
      </c>
      <c r="S77" s="12">
        <f>IF(AND($A77&lt;&gt;"",$C77&lt;&gt;""),IF(COUNTIFS($A$2:$A$1000,$A77,$C$2:$C$1000,$C77)&gt;1,"DUPLICAT",""),"")</f>
        <v/>
      </c>
    </row>
    <row r="78">
      <c r="A78" s="17" t="n"/>
      <c r="B78" s="17" t="n"/>
      <c r="C78" s="17" t="n"/>
      <c r="D78" s="18" t="n"/>
      <c r="E78" s="17" t="n"/>
      <c r="F78" s="19" t="n"/>
      <c r="G78" s="17" t="n"/>
      <c r="H78" s="17" t="n"/>
      <c r="I78" s="17" t="n"/>
      <c r="J78" s="19" t="n"/>
      <c r="K78" s="19" t="n"/>
      <c r="L78" s="20" t="n"/>
      <c r="M78" s="20" t="n"/>
      <c r="N78" s="17" t="n"/>
      <c r="O78" s="17" t="n"/>
      <c r="P78" s="21">
        <f>IF(AND(ISNUMBER($L78),ISNUMBER($M78)),MAX(0,$M78-$L78),"")</f>
        <v/>
      </c>
      <c r="Q78" s="21">
        <f>IF(ISNUMBER($D78),MAX(0,TODAY()-$D78),"")</f>
        <v/>
      </c>
      <c r="R78" s="19">
        <f>IF(COUNTA($A78:$O78)=0,"",IFERROR(TRIM(TEXTJOIN(" | ",TRUE,IF($A78="","PC kosong",""),IF($C78="","Worker ID kosong",""),IF($D78="","Update Date kosong",IF(NOT(ISNUMBER($D78)),"Update Date bukan tanggal","")),IF($E78="","Song ID YT kosong",""),IF($F78="","Judul kosong",""),IF(TRIM($G78)="","",IF(ISERROR(MATCH(TRIM($G78),{"TuneCore","DistroKid","TooLost","SoundOn","Ditto","Believe","CD Baby","Amuse","Symphonic Distribution","ONErpm","RouteNote","LANDR","Horus Music","Indie"},0)),"Aggregator di luar daftar","")),IF(TRIM($H78)="","Genre kosong",IF((LEN(SUBSTITUTE(SUBSTITUTE(SUBSTITUTE(TRIM($H78),"/",","),";",",")," ",""))-LEN(SUBSTITUTE(SUBSTITUTE(SUBSTITUTE(SUBSTITUTE(TRIM($H78),"/",","),";",","),"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78),"/",","),";",",")," ","")&amp;",")))&lt;&gt;(LEN(SUBSTITUTE(SUBSTITUTE(SUBSTITUTE(TRIM($H78),"/",","),";",",")," ",""))-LEN(SUBSTITUTE(SUBSTITUTE(SUBSTITUTE(SUBSTITUTE(TRIM($H78),"/",","),";",",")," ",""),",",""))+1),"Genre di luar daftar",""))),IF($I78="","Nama Channel kosong",""),IF($J78="","Link Channel kosong",IF(ISERROR(SEARCH("youtu",$J78)),"Link Channel bukan youtube","")),IF($K78="","Link Video kosong",IF(ISERROR(SEARCH("youtu",$K78)),"Link Video bukan youtube","")),IF($L78="","Tgl Dibuat kosong",IF(NOT(ISNUMBER($L78)),"Tgl Dibuat bukan tanggal","")),IF(AND($M78&lt;&gt;"",NOT(ISNUMBER($M78))),"Tgl Publish bukan tanggal",""),IF(AND(ISNUMBER($L78),ISNUMBER($M78),$M78&lt;$L78),"Tgl Publish &lt; Tgl buat",""),IF(TRIM($N78)="","Status kosong",IF(ISERROR(MATCH(TRIM($N78),{"Draft","Menunggu Review","Revisi","Terjadwal","Upload","Publish","Published","Batal"},0)),"Status di luar daftar","")))),""))</f>
        <v/>
      </c>
      <c r="S78" s="17">
        <f>IF(AND($A78&lt;&gt;"",$C78&lt;&gt;""),IF(COUNTIFS($A$2:$A$1000,$A78,$C$2:$C$1000,$C78)&gt;1,"DUPLICAT",""),"")</f>
        <v/>
      </c>
    </row>
    <row r="79">
      <c r="A79" s="12" t="n"/>
      <c r="B79" s="12" t="n"/>
      <c r="C79" s="12" t="n"/>
      <c r="D79" s="13" t="n"/>
      <c r="E79" s="12" t="n"/>
      <c r="F79" s="14" t="n"/>
      <c r="G79" s="12" t="n"/>
      <c r="H79" s="12" t="n"/>
      <c r="I79" s="12" t="n"/>
      <c r="J79" s="14" t="n"/>
      <c r="K79" s="14" t="n"/>
      <c r="L79" s="15" t="n"/>
      <c r="M79" s="15" t="n"/>
      <c r="N79" s="12" t="n"/>
      <c r="O79" s="12" t="n"/>
      <c r="P79" s="16">
        <f>IF(AND(ISNUMBER($L79),ISNUMBER($M79)),MAX(0,$M79-$L79),"")</f>
        <v/>
      </c>
      <c r="Q79" s="16">
        <f>IF(ISNUMBER($D79),MAX(0,TODAY()-$D79),"")</f>
        <v/>
      </c>
      <c r="R79" s="14">
        <f>IF(COUNTA($A79:$O79)=0,"",IFERROR(TRIM(TEXTJOIN(" | ",TRUE,IF($A79="","PC kosong",""),IF($C79="","Worker ID kosong",""),IF($D79="","Update Date kosong",IF(NOT(ISNUMBER($D79)),"Update Date bukan tanggal","")),IF($E79="","Song ID YT kosong",""),IF($F79="","Judul kosong",""),IF(TRIM($G79)="","",IF(ISERROR(MATCH(TRIM($G79),{"TuneCore","DistroKid","TooLost","SoundOn","Ditto","Believe","CD Baby","Amuse","Symphonic Distribution","ONErpm","RouteNote","LANDR","Horus Music","Indie"},0)),"Aggregator di luar daftar","")),IF(TRIM($H79)="","Genre kosong",IF((LEN(SUBSTITUTE(SUBSTITUTE(SUBSTITUTE(TRIM($H79),"/",","),";",",")," ",""))-LEN(SUBSTITUTE(SUBSTITUTE(SUBSTITUTE(SUBSTITUTE(TRIM($H79),"/",","),";",","),"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79),"/",","),";",",")," ","")&amp;",")))&lt;&gt;(LEN(SUBSTITUTE(SUBSTITUTE(SUBSTITUTE(TRIM($H79),"/",","),";",",")," ",""))-LEN(SUBSTITUTE(SUBSTITUTE(SUBSTITUTE(SUBSTITUTE(TRIM($H79),"/",","),";",",")," ",""),",",""))+1),"Genre di luar daftar",""))),IF($I79="","Nama Channel kosong",""),IF($J79="","Link Channel kosong",IF(ISERROR(SEARCH("youtu",$J79)),"Link Channel bukan youtube","")),IF($K79="","Link Video kosong",IF(ISERROR(SEARCH("youtu",$K79)),"Link Video bukan youtube","")),IF($L79="","Tgl Dibuat kosong",IF(NOT(ISNUMBER($L79)),"Tgl Dibuat bukan tanggal","")),IF(AND($M79&lt;&gt;"",NOT(ISNUMBER($M79))),"Tgl Publish bukan tanggal",""),IF(AND(ISNUMBER($L79),ISNUMBER($M79),$M79&lt;$L79),"Tgl Publish &lt; Tgl buat",""),IF(TRIM($N79)="","Status kosong",IF(ISERROR(MATCH(TRIM($N79),{"Draft","Menunggu Review","Revisi","Terjadwal","Upload","Publish","Published","Batal"},0)),"Status di luar daftar","")))),""))</f>
        <v/>
      </c>
      <c r="S79" s="12">
        <f>IF(AND($A79&lt;&gt;"",$C79&lt;&gt;""),IF(COUNTIFS($A$2:$A$1000,$A79,$C$2:$C$1000,$C79)&gt;1,"DUPLICAT",""),"")</f>
        <v/>
      </c>
    </row>
    <row r="80">
      <c r="A80" s="17" t="n"/>
      <c r="B80" s="17" t="n"/>
      <c r="C80" s="17" t="n"/>
      <c r="D80" s="18" t="n"/>
      <c r="E80" s="17" t="n"/>
      <c r="F80" s="19" t="n"/>
      <c r="G80" s="17" t="n"/>
      <c r="H80" s="17" t="n"/>
      <c r="I80" s="17" t="n"/>
      <c r="J80" s="19" t="n"/>
      <c r="K80" s="19" t="n"/>
      <c r="L80" s="20" t="n"/>
      <c r="M80" s="20" t="n"/>
      <c r="N80" s="17" t="n"/>
      <c r="O80" s="17" t="n"/>
      <c r="P80" s="21">
        <f>IF(AND(ISNUMBER($L80),ISNUMBER($M80)),MAX(0,$M80-$L80),"")</f>
        <v/>
      </c>
      <c r="Q80" s="21">
        <f>IF(ISNUMBER($D80),MAX(0,TODAY()-$D80),"")</f>
        <v/>
      </c>
      <c r="R80" s="19">
        <f>IF(COUNTA($A80:$O80)=0,"",IFERROR(TRIM(TEXTJOIN(" | ",TRUE,IF($A80="","PC kosong",""),IF($C80="","Worker ID kosong",""),IF($D80="","Update Date kosong",IF(NOT(ISNUMBER($D80)),"Update Date bukan tanggal","")),IF($E80="","Song ID YT kosong",""),IF($F80="","Judul kosong",""),IF(TRIM($G80)="","",IF(ISERROR(MATCH(TRIM($G80),{"TuneCore","DistroKid","TooLost","SoundOn","Ditto","Believe","CD Baby","Amuse","Symphonic Distribution","ONErpm","RouteNote","LANDR","Horus Music","Indie"},0)),"Aggregator di luar daftar","")),IF(TRIM($H80)="","Genre kosong",IF((LEN(SUBSTITUTE(SUBSTITUTE(SUBSTITUTE(TRIM($H80),"/",","),";",",")," ",""))-LEN(SUBSTITUTE(SUBSTITUTE(SUBSTITUTE(SUBSTITUTE(TRIM($H80),"/",","),";",","),"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80),"/",","),";",",")," ","")&amp;",")))&lt;&gt;(LEN(SUBSTITUTE(SUBSTITUTE(SUBSTITUTE(TRIM($H80),"/",","),";",",")," ",""))-LEN(SUBSTITUTE(SUBSTITUTE(SUBSTITUTE(SUBSTITUTE(TRIM($H80),"/",","),";",",")," ",""),",",""))+1),"Genre di luar daftar",""))),IF($I80="","Nama Channel kosong",""),IF($J80="","Link Channel kosong",IF(ISERROR(SEARCH("youtu",$J80)),"Link Channel bukan youtube","")),IF($K80="","Link Video kosong",IF(ISERROR(SEARCH("youtu",$K80)),"Link Video bukan youtube","")),IF($L80="","Tgl Dibuat kosong",IF(NOT(ISNUMBER($L80)),"Tgl Dibuat bukan tanggal","")),IF(AND($M80&lt;&gt;"",NOT(ISNUMBER($M80))),"Tgl Publish bukan tanggal",""),IF(AND(ISNUMBER($L80),ISNUMBER($M80),$M80&lt;$L80),"Tgl Publish &lt; Tgl buat",""),IF(TRIM($N80)="","Status kosong",IF(ISERROR(MATCH(TRIM($N80),{"Draft","Menunggu Review","Revisi","Terjadwal","Upload","Publish","Published","Batal"},0)),"Status di luar daftar","")))),""))</f>
        <v/>
      </c>
      <c r="S80" s="17">
        <f>IF(AND($A80&lt;&gt;"",$C80&lt;&gt;""),IF(COUNTIFS($A$2:$A$1000,$A80,$C$2:$C$1000,$C80)&gt;1,"DUPLICAT",""),"")</f>
        <v/>
      </c>
    </row>
    <row r="81">
      <c r="A81" s="12" t="n"/>
      <c r="B81" s="12" t="n"/>
      <c r="C81" s="12" t="n"/>
      <c r="D81" s="13" t="n"/>
      <c r="E81" s="12" t="n"/>
      <c r="F81" s="14" t="n"/>
      <c r="G81" s="12" t="n"/>
      <c r="H81" s="12" t="n"/>
      <c r="I81" s="12" t="n"/>
      <c r="J81" s="14" t="n"/>
      <c r="K81" s="14" t="n"/>
      <c r="L81" s="15" t="n"/>
      <c r="M81" s="15" t="n"/>
      <c r="N81" s="12" t="n"/>
      <c r="O81" s="12" t="n"/>
      <c r="P81" s="16">
        <f>IF(AND(ISNUMBER($L81),ISNUMBER($M81)),MAX(0,$M81-$L81),"")</f>
        <v/>
      </c>
      <c r="Q81" s="16">
        <f>IF(ISNUMBER($D81),MAX(0,TODAY()-$D81),"")</f>
        <v/>
      </c>
      <c r="R81" s="14">
        <f>IF(COUNTA($A81:$O81)=0,"",IFERROR(TRIM(TEXTJOIN(" | ",TRUE,IF($A81="","PC kosong",""),IF($C81="","Worker ID kosong",""),IF($D81="","Update Date kosong",IF(NOT(ISNUMBER($D81)),"Update Date bukan tanggal","")),IF($E81="","Song ID YT kosong",""),IF($F81="","Judul kosong",""),IF(TRIM($G81)="","",IF(ISERROR(MATCH(TRIM($G81),{"TuneCore","DistroKid","TooLost","SoundOn","Ditto","Believe","CD Baby","Amuse","Symphonic Distribution","ONErpm","RouteNote","LANDR","Horus Music","Indie"},0)),"Aggregator di luar daftar","")),IF(TRIM($H81)="","Genre kosong",IF((LEN(SUBSTITUTE(SUBSTITUTE(SUBSTITUTE(TRIM($H81),"/",","),";",",")," ",""))-LEN(SUBSTITUTE(SUBSTITUTE(SUBSTITUTE(SUBSTITUTE(TRIM($H81),"/",","),";",","),"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81),"/",","),";",",")," ","")&amp;",")))&lt;&gt;(LEN(SUBSTITUTE(SUBSTITUTE(SUBSTITUTE(TRIM($H81),"/",","),";",",")," ",""))-LEN(SUBSTITUTE(SUBSTITUTE(SUBSTITUTE(SUBSTITUTE(TRIM($H81),"/",","),";",",")," ",""),",",""))+1),"Genre di luar daftar",""))),IF($I81="","Nama Channel kosong",""),IF($J81="","Link Channel kosong",IF(ISERROR(SEARCH("youtu",$J81)),"Link Channel bukan youtube","")),IF($K81="","Link Video kosong",IF(ISERROR(SEARCH("youtu",$K81)),"Link Video bukan youtube","")),IF($L81="","Tgl Dibuat kosong",IF(NOT(ISNUMBER($L81)),"Tgl Dibuat bukan tanggal","")),IF(AND($M81&lt;&gt;"",NOT(ISNUMBER($M81))),"Tgl Publish bukan tanggal",""),IF(AND(ISNUMBER($L81),ISNUMBER($M81),$M81&lt;$L81),"Tgl Publish &lt; Tgl buat",""),IF(TRIM($N81)="","Status kosong",IF(ISERROR(MATCH(TRIM($N81),{"Draft","Menunggu Review","Revisi","Terjadwal","Upload","Publish","Published","Batal"},0)),"Status di luar daftar","")))),""))</f>
        <v/>
      </c>
      <c r="S81" s="12">
        <f>IF(AND($A81&lt;&gt;"",$C81&lt;&gt;""),IF(COUNTIFS($A$2:$A$1000,$A81,$C$2:$C$1000,$C81)&gt;1,"DUPLICAT",""),"")</f>
        <v/>
      </c>
    </row>
    <row r="82">
      <c r="A82" s="17" t="n"/>
      <c r="B82" s="17" t="n"/>
      <c r="C82" s="17" t="n"/>
      <c r="D82" s="18" t="n"/>
      <c r="E82" s="17" t="n"/>
      <c r="F82" s="19" t="n"/>
      <c r="G82" s="17" t="n"/>
      <c r="H82" s="17" t="n"/>
      <c r="I82" s="17" t="n"/>
      <c r="J82" s="19" t="n"/>
      <c r="K82" s="19" t="n"/>
      <c r="L82" s="20" t="n"/>
      <c r="M82" s="20" t="n"/>
      <c r="N82" s="17" t="n"/>
      <c r="O82" s="17" t="n"/>
      <c r="P82" s="21">
        <f>IF(AND(ISNUMBER($L82),ISNUMBER($M82)),MAX(0,$M82-$L82),"")</f>
        <v/>
      </c>
      <c r="Q82" s="21">
        <f>IF(ISNUMBER($D82),MAX(0,TODAY()-$D82),"")</f>
        <v/>
      </c>
      <c r="R82" s="19">
        <f>IF(COUNTA($A82:$O82)=0,"",IFERROR(TRIM(TEXTJOIN(" | ",TRUE,IF($A82="","PC kosong",""),IF($C82="","Worker ID kosong",""),IF($D82="","Update Date kosong",IF(NOT(ISNUMBER($D82)),"Update Date bukan tanggal","")),IF($E82="","Song ID YT kosong",""),IF($F82="","Judul kosong",""),IF(TRIM($G82)="","",IF(ISERROR(MATCH(TRIM($G82),{"TuneCore","DistroKid","TooLost","SoundOn","Ditto","Believe","CD Baby","Amuse","Symphonic Distribution","ONErpm","RouteNote","LANDR","Horus Music","Indie"},0)),"Aggregator di luar daftar","")),IF(TRIM($H82)="","Genre kosong",IF((LEN(SUBSTITUTE(SUBSTITUTE(SUBSTITUTE(TRIM($H82),"/",","),";",",")," ",""))-LEN(SUBSTITUTE(SUBSTITUTE(SUBSTITUTE(SUBSTITUTE(TRIM($H82),"/",","),";",","),"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82),"/",","),";",",")," ","")&amp;",")))&lt;&gt;(LEN(SUBSTITUTE(SUBSTITUTE(SUBSTITUTE(TRIM($H82),"/",","),";",",")," ",""))-LEN(SUBSTITUTE(SUBSTITUTE(SUBSTITUTE(SUBSTITUTE(TRIM($H82),"/",","),";",",")," ",""),",",""))+1),"Genre di luar daftar",""))),IF($I82="","Nama Channel kosong",""),IF($J82="","Link Channel kosong",IF(ISERROR(SEARCH("youtu",$J82)),"Link Channel bukan youtube","")),IF($K82="","Link Video kosong",IF(ISERROR(SEARCH("youtu",$K82)),"Link Video bukan youtube","")),IF($L82="","Tgl Dibuat kosong",IF(NOT(ISNUMBER($L82)),"Tgl Dibuat bukan tanggal","")),IF(AND($M82&lt;&gt;"",NOT(ISNUMBER($M82))),"Tgl Publish bukan tanggal",""),IF(AND(ISNUMBER($L82),ISNUMBER($M82),$M82&lt;$L82),"Tgl Publish &lt; Tgl buat",""),IF(TRIM($N82)="","Status kosong",IF(ISERROR(MATCH(TRIM($N82),{"Draft","Menunggu Review","Revisi","Terjadwal","Upload","Publish","Published","Batal"},0)),"Status di luar daftar","")))),""))</f>
        <v/>
      </c>
      <c r="S82" s="17">
        <f>IF(AND($A82&lt;&gt;"",$C82&lt;&gt;""),IF(COUNTIFS($A$2:$A$1000,$A82,$C$2:$C$1000,$C82)&gt;1,"DUPLICAT",""),"")</f>
        <v/>
      </c>
    </row>
    <row r="83">
      <c r="A83" s="12" t="n"/>
      <c r="B83" s="12" t="n"/>
      <c r="C83" s="12" t="n"/>
      <c r="D83" s="13" t="n"/>
      <c r="E83" s="12" t="n"/>
      <c r="F83" s="14" t="n"/>
      <c r="G83" s="12" t="n"/>
      <c r="H83" s="12" t="n"/>
      <c r="I83" s="12" t="n"/>
      <c r="J83" s="14" t="n"/>
      <c r="K83" s="14" t="n"/>
      <c r="L83" s="15" t="n"/>
      <c r="M83" s="15" t="n"/>
      <c r="N83" s="12" t="n"/>
      <c r="O83" s="12" t="n"/>
      <c r="P83" s="16">
        <f>IF(AND(ISNUMBER($L83),ISNUMBER($M83)),MAX(0,$M83-$L83),"")</f>
        <v/>
      </c>
      <c r="Q83" s="16">
        <f>IF(ISNUMBER($D83),MAX(0,TODAY()-$D83),"")</f>
        <v/>
      </c>
      <c r="R83" s="14">
        <f>IF(COUNTA($A83:$O83)=0,"",IFERROR(TRIM(TEXTJOIN(" | ",TRUE,IF($A83="","PC kosong",""),IF($C83="","Worker ID kosong",""),IF($D83="","Update Date kosong",IF(NOT(ISNUMBER($D83)),"Update Date bukan tanggal","")),IF($E83="","Song ID YT kosong",""),IF($F83="","Judul kosong",""),IF(TRIM($G83)="","",IF(ISERROR(MATCH(TRIM($G83),{"TuneCore","DistroKid","TooLost","SoundOn","Ditto","Believe","CD Baby","Amuse","Symphonic Distribution","ONErpm","RouteNote","LANDR","Horus Music","Indie"},0)),"Aggregator di luar daftar","")),IF(TRIM($H83)="","Genre kosong",IF((LEN(SUBSTITUTE(SUBSTITUTE(SUBSTITUTE(TRIM($H83),"/",","),";",",")," ",""))-LEN(SUBSTITUTE(SUBSTITUTE(SUBSTITUTE(SUBSTITUTE(TRIM($H83),"/",","),";",","),"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83),"/",","),";",",")," ","")&amp;",")))&lt;&gt;(LEN(SUBSTITUTE(SUBSTITUTE(SUBSTITUTE(TRIM($H83),"/",","),";",",")," ",""))-LEN(SUBSTITUTE(SUBSTITUTE(SUBSTITUTE(SUBSTITUTE(TRIM($H83),"/",","),";",",")," ",""),",",""))+1),"Genre di luar daftar",""))),IF($I83="","Nama Channel kosong",""),IF($J83="","Link Channel kosong",IF(ISERROR(SEARCH("youtu",$J83)),"Link Channel bukan youtube","")),IF($K83="","Link Video kosong",IF(ISERROR(SEARCH("youtu",$K83)),"Link Video bukan youtube","")),IF($L83="","Tgl Dibuat kosong",IF(NOT(ISNUMBER($L83)),"Tgl Dibuat bukan tanggal","")),IF(AND($M83&lt;&gt;"",NOT(ISNUMBER($M83))),"Tgl Publish bukan tanggal",""),IF(AND(ISNUMBER($L83),ISNUMBER($M83),$M83&lt;$L83),"Tgl Publish &lt; Tgl buat",""),IF(TRIM($N83)="","Status kosong",IF(ISERROR(MATCH(TRIM($N83),{"Draft","Menunggu Review","Revisi","Terjadwal","Upload","Publish","Published","Batal"},0)),"Status di luar daftar","")))),""))</f>
        <v/>
      </c>
      <c r="S83" s="12">
        <f>IF(AND($A83&lt;&gt;"",$C83&lt;&gt;""),IF(COUNTIFS($A$2:$A$1000,$A83,$C$2:$C$1000,$C83)&gt;1,"DUPLICAT",""),"")</f>
        <v/>
      </c>
    </row>
    <row r="84">
      <c r="A84" s="17" t="n"/>
      <c r="B84" s="17" t="n"/>
      <c r="C84" s="17" t="n"/>
      <c r="D84" s="18" t="n"/>
      <c r="E84" s="17" t="n"/>
      <c r="F84" s="19" t="n"/>
      <c r="G84" s="17" t="n"/>
      <c r="H84" s="17" t="n"/>
      <c r="I84" s="17" t="n"/>
      <c r="J84" s="19" t="n"/>
      <c r="K84" s="19" t="n"/>
      <c r="L84" s="20" t="n"/>
      <c r="M84" s="20" t="n"/>
      <c r="N84" s="17" t="n"/>
      <c r="O84" s="17" t="n"/>
      <c r="P84" s="21">
        <f>IF(AND(ISNUMBER($L84),ISNUMBER($M84)),MAX(0,$M84-$L84),"")</f>
        <v/>
      </c>
      <c r="Q84" s="21">
        <f>IF(ISNUMBER($D84),MAX(0,TODAY()-$D84),"")</f>
        <v/>
      </c>
      <c r="R84" s="19">
        <f>IF(COUNTA($A84:$O84)=0,"",IFERROR(TRIM(TEXTJOIN(" | ",TRUE,IF($A84="","PC kosong",""),IF($C84="","Worker ID kosong",""),IF($D84="","Update Date kosong",IF(NOT(ISNUMBER($D84)),"Update Date bukan tanggal","")),IF($E84="","Song ID YT kosong",""),IF($F84="","Judul kosong",""),IF(TRIM($G84)="","",IF(ISERROR(MATCH(TRIM($G84),{"TuneCore","DistroKid","TooLost","SoundOn","Ditto","Believe","CD Baby","Amuse","Symphonic Distribution","ONErpm","RouteNote","LANDR","Horus Music","Indie"},0)),"Aggregator di luar daftar","")),IF(TRIM($H84)="","Genre kosong",IF((LEN(SUBSTITUTE(SUBSTITUTE(SUBSTITUTE(TRIM($H84),"/",","),";",",")," ",""))-LEN(SUBSTITUTE(SUBSTITUTE(SUBSTITUTE(SUBSTITUTE(TRIM($H84),"/",","),";",","),"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84),"/",","),";",",")," ","")&amp;",")))&lt;&gt;(LEN(SUBSTITUTE(SUBSTITUTE(SUBSTITUTE(TRIM($H84),"/",","),";",",")," ",""))-LEN(SUBSTITUTE(SUBSTITUTE(SUBSTITUTE(SUBSTITUTE(TRIM($H84),"/",","),";",",")," ",""),",",""))+1),"Genre di luar daftar",""))),IF($I84="","Nama Channel kosong",""),IF($J84="","Link Channel kosong",IF(ISERROR(SEARCH("youtu",$J84)),"Link Channel bukan youtube","")),IF($K84="","Link Video kosong",IF(ISERROR(SEARCH("youtu",$K84)),"Link Video bukan youtube","")),IF($L84="","Tgl Dibuat kosong",IF(NOT(ISNUMBER($L84)),"Tgl Dibuat bukan tanggal","")),IF(AND($M84&lt;&gt;"",NOT(ISNUMBER($M84))),"Tgl Publish bukan tanggal",""),IF(AND(ISNUMBER($L84),ISNUMBER($M84),$M84&lt;$L84),"Tgl Publish &lt; Tgl buat",""),IF(TRIM($N84)="","Status kosong",IF(ISERROR(MATCH(TRIM($N84),{"Draft","Menunggu Review","Revisi","Terjadwal","Upload","Publish","Published","Batal"},0)),"Status di luar daftar","")))),""))</f>
        <v/>
      </c>
      <c r="S84" s="17">
        <f>IF(AND($A84&lt;&gt;"",$C84&lt;&gt;""),IF(COUNTIFS($A$2:$A$1000,$A84,$C$2:$C$1000,$C84)&gt;1,"DUPLICAT",""),"")</f>
        <v/>
      </c>
    </row>
    <row r="85">
      <c r="A85" s="12" t="n"/>
      <c r="B85" s="12" t="n"/>
      <c r="C85" s="12" t="n"/>
      <c r="D85" s="13" t="n"/>
      <c r="E85" s="12" t="n"/>
      <c r="F85" s="14" t="n"/>
      <c r="G85" s="12" t="n"/>
      <c r="H85" s="12" t="n"/>
      <c r="I85" s="12" t="n"/>
      <c r="J85" s="14" t="n"/>
      <c r="K85" s="14" t="n"/>
      <c r="L85" s="15" t="n"/>
      <c r="M85" s="15" t="n"/>
      <c r="N85" s="12" t="n"/>
      <c r="O85" s="12" t="n"/>
      <c r="P85" s="16">
        <f>IF(AND(ISNUMBER($L85),ISNUMBER($M85)),MAX(0,$M85-$L85),"")</f>
        <v/>
      </c>
      <c r="Q85" s="16">
        <f>IF(ISNUMBER($D85),MAX(0,TODAY()-$D85),"")</f>
        <v/>
      </c>
      <c r="R85" s="14">
        <f>IF(COUNTA($A85:$O85)=0,"",IFERROR(TRIM(TEXTJOIN(" | ",TRUE,IF($A85="","PC kosong",""),IF($C85="","Worker ID kosong",""),IF($D85="","Update Date kosong",IF(NOT(ISNUMBER($D85)),"Update Date bukan tanggal","")),IF($E85="","Song ID YT kosong",""),IF($F85="","Judul kosong",""),IF(TRIM($G85)="","",IF(ISERROR(MATCH(TRIM($G85),{"TuneCore","DistroKid","TooLost","SoundOn","Ditto","Believe","CD Baby","Amuse","Symphonic Distribution","ONErpm","RouteNote","LANDR","Horus Music","Indie"},0)),"Aggregator di luar daftar","")),IF(TRIM($H85)="","Genre kosong",IF((LEN(SUBSTITUTE(SUBSTITUTE(SUBSTITUTE(TRIM($H85),"/",","),";",",")," ",""))-LEN(SUBSTITUTE(SUBSTITUTE(SUBSTITUTE(SUBSTITUTE(TRIM($H85),"/",","),";",","),"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85),"/",","),";",",")," ","")&amp;",")))&lt;&gt;(LEN(SUBSTITUTE(SUBSTITUTE(SUBSTITUTE(TRIM($H85),"/",","),";",",")," ",""))-LEN(SUBSTITUTE(SUBSTITUTE(SUBSTITUTE(SUBSTITUTE(TRIM($H85),"/",","),";",",")," ",""),",",""))+1),"Genre di luar daftar",""))),IF($I85="","Nama Channel kosong",""),IF($J85="","Link Channel kosong",IF(ISERROR(SEARCH("youtu",$J85)),"Link Channel bukan youtube","")),IF($K85="","Link Video kosong",IF(ISERROR(SEARCH("youtu",$K85)),"Link Video bukan youtube","")),IF($L85="","Tgl Dibuat kosong",IF(NOT(ISNUMBER($L85)),"Tgl Dibuat bukan tanggal","")),IF(AND($M85&lt;&gt;"",NOT(ISNUMBER($M85))),"Tgl Publish bukan tanggal",""),IF(AND(ISNUMBER($L85),ISNUMBER($M85),$M85&lt;$L85),"Tgl Publish &lt; Tgl buat",""),IF(TRIM($N85)="","Status kosong",IF(ISERROR(MATCH(TRIM($N85),{"Draft","Menunggu Review","Revisi","Terjadwal","Upload","Publish","Published","Batal"},0)),"Status di luar daftar","")))),""))</f>
        <v/>
      </c>
      <c r="S85" s="12">
        <f>IF(AND($A85&lt;&gt;"",$C85&lt;&gt;""),IF(COUNTIFS($A$2:$A$1000,$A85,$C$2:$C$1000,$C85)&gt;1,"DUPLICAT",""),"")</f>
        <v/>
      </c>
    </row>
    <row r="86">
      <c r="A86" s="17" t="n"/>
      <c r="B86" s="17" t="n"/>
      <c r="C86" s="17" t="n"/>
      <c r="D86" s="18" t="n"/>
      <c r="E86" s="17" t="n"/>
      <c r="F86" s="19" t="n"/>
      <c r="G86" s="17" t="n"/>
      <c r="H86" s="17" t="n"/>
      <c r="I86" s="17" t="n"/>
      <c r="J86" s="19" t="n"/>
      <c r="K86" s="19" t="n"/>
      <c r="L86" s="20" t="n"/>
      <c r="M86" s="20" t="n"/>
      <c r="N86" s="17" t="n"/>
      <c r="O86" s="17" t="n"/>
      <c r="P86" s="21">
        <f>IF(AND(ISNUMBER($L86),ISNUMBER($M86)),MAX(0,$M86-$L86),"")</f>
        <v/>
      </c>
      <c r="Q86" s="21">
        <f>IF(ISNUMBER($D86),MAX(0,TODAY()-$D86),"")</f>
        <v/>
      </c>
      <c r="R86" s="19">
        <f>IF(COUNTA($A86:$O86)=0,"",IFERROR(TRIM(TEXTJOIN(" | ",TRUE,IF($A86="","PC kosong",""),IF($C86="","Worker ID kosong",""),IF($D86="","Update Date kosong",IF(NOT(ISNUMBER($D86)),"Update Date bukan tanggal","")),IF($E86="","Song ID YT kosong",""),IF($F86="","Judul kosong",""),IF(TRIM($G86)="","",IF(ISERROR(MATCH(TRIM($G86),{"TuneCore","DistroKid","TooLost","SoundOn","Ditto","Believe","CD Baby","Amuse","Symphonic Distribution","ONErpm","RouteNote","LANDR","Horus Music","Indie"},0)),"Aggregator di luar daftar","")),IF(TRIM($H86)="","Genre kosong",IF((LEN(SUBSTITUTE(SUBSTITUTE(SUBSTITUTE(TRIM($H86),"/",","),";",",")," ",""))-LEN(SUBSTITUTE(SUBSTITUTE(SUBSTITUTE(SUBSTITUTE(TRIM($H86),"/",","),";",","),"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86),"/",","),";",",")," ","")&amp;",")))&lt;&gt;(LEN(SUBSTITUTE(SUBSTITUTE(SUBSTITUTE(TRIM($H86),"/",","),";",",")," ",""))-LEN(SUBSTITUTE(SUBSTITUTE(SUBSTITUTE(SUBSTITUTE(TRIM($H86),"/",","),";",",")," ",""),",",""))+1),"Genre di luar daftar",""))),IF($I86="","Nama Channel kosong",""),IF($J86="","Link Channel kosong",IF(ISERROR(SEARCH("youtu",$J86)),"Link Channel bukan youtube","")),IF($K86="","Link Video kosong",IF(ISERROR(SEARCH("youtu",$K86)),"Link Video bukan youtube","")),IF($L86="","Tgl Dibuat kosong",IF(NOT(ISNUMBER($L86)),"Tgl Dibuat bukan tanggal","")),IF(AND($M86&lt;&gt;"",NOT(ISNUMBER($M86))),"Tgl Publish bukan tanggal",""),IF(AND(ISNUMBER($L86),ISNUMBER($M86),$M86&lt;$L86),"Tgl Publish &lt; Tgl buat",""),IF(TRIM($N86)="","Status kosong",IF(ISERROR(MATCH(TRIM($N86),{"Draft","Menunggu Review","Revisi","Terjadwal","Upload","Publish","Published","Batal"},0)),"Status di luar daftar","")))),""))</f>
        <v/>
      </c>
      <c r="S86" s="17">
        <f>IF(AND($A86&lt;&gt;"",$C86&lt;&gt;""),IF(COUNTIFS($A$2:$A$1000,$A86,$C$2:$C$1000,$C86)&gt;1,"DUPLICAT",""),"")</f>
        <v/>
      </c>
    </row>
    <row r="87">
      <c r="A87" s="12" t="n"/>
      <c r="B87" s="12" t="n"/>
      <c r="C87" s="12" t="n"/>
      <c r="D87" s="13" t="n"/>
      <c r="E87" s="12" t="n"/>
      <c r="F87" s="14" t="n"/>
      <c r="G87" s="12" t="n"/>
      <c r="H87" s="12" t="n"/>
      <c r="I87" s="12" t="n"/>
      <c r="J87" s="14" t="n"/>
      <c r="K87" s="14" t="n"/>
      <c r="L87" s="15" t="n"/>
      <c r="M87" s="15" t="n"/>
      <c r="N87" s="12" t="n"/>
      <c r="O87" s="12" t="n"/>
      <c r="P87" s="16">
        <f>IF(AND(ISNUMBER($L87),ISNUMBER($M87)),MAX(0,$M87-$L87),"")</f>
        <v/>
      </c>
      <c r="Q87" s="16">
        <f>IF(ISNUMBER($D87),MAX(0,TODAY()-$D87),"")</f>
        <v/>
      </c>
      <c r="R87" s="14">
        <f>IF(COUNTA($A87:$O87)=0,"",IFERROR(TRIM(TEXTJOIN(" | ",TRUE,IF($A87="","PC kosong",""),IF($C87="","Worker ID kosong",""),IF($D87="","Update Date kosong",IF(NOT(ISNUMBER($D87)),"Update Date bukan tanggal","")),IF($E87="","Song ID YT kosong",""),IF($F87="","Judul kosong",""),IF(TRIM($G87)="","",IF(ISERROR(MATCH(TRIM($G87),{"TuneCore","DistroKid","TooLost","SoundOn","Ditto","Believe","CD Baby","Amuse","Symphonic Distribution","ONErpm","RouteNote","LANDR","Horus Music","Indie"},0)),"Aggregator di luar daftar","")),IF(TRIM($H87)="","Genre kosong",IF((LEN(SUBSTITUTE(SUBSTITUTE(SUBSTITUTE(TRIM($H87),"/",","),";",",")," ",""))-LEN(SUBSTITUTE(SUBSTITUTE(SUBSTITUTE(SUBSTITUTE(TRIM($H87),"/",","),";",","),"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87),"/",","),";",",")," ","")&amp;",")))&lt;&gt;(LEN(SUBSTITUTE(SUBSTITUTE(SUBSTITUTE(TRIM($H87),"/",","),";",",")," ",""))-LEN(SUBSTITUTE(SUBSTITUTE(SUBSTITUTE(SUBSTITUTE(TRIM($H87),"/",","),";",",")," ",""),",",""))+1),"Genre di luar daftar",""))),IF($I87="","Nama Channel kosong",""),IF($J87="","Link Channel kosong",IF(ISERROR(SEARCH("youtu",$J87)),"Link Channel bukan youtube","")),IF($K87="","Link Video kosong",IF(ISERROR(SEARCH("youtu",$K87)),"Link Video bukan youtube","")),IF($L87="","Tgl Dibuat kosong",IF(NOT(ISNUMBER($L87)),"Tgl Dibuat bukan tanggal","")),IF(AND($M87&lt;&gt;"",NOT(ISNUMBER($M87))),"Tgl Publish bukan tanggal",""),IF(AND(ISNUMBER($L87),ISNUMBER($M87),$M87&lt;$L87),"Tgl Publish &lt; Tgl buat",""),IF(TRIM($N87)="","Status kosong",IF(ISERROR(MATCH(TRIM($N87),{"Draft","Menunggu Review","Revisi","Terjadwal","Upload","Publish","Published","Batal"},0)),"Status di luar daftar","")))),""))</f>
        <v/>
      </c>
      <c r="S87" s="12">
        <f>IF(AND($A87&lt;&gt;"",$C87&lt;&gt;""),IF(COUNTIFS($A$2:$A$1000,$A87,$C$2:$C$1000,$C87)&gt;1,"DUPLICAT",""),"")</f>
        <v/>
      </c>
    </row>
    <row r="88">
      <c r="A88" s="17" t="n"/>
      <c r="B88" s="17" t="n"/>
      <c r="C88" s="17" t="n"/>
      <c r="D88" s="18" t="n"/>
      <c r="E88" s="17" t="n"/>
      <c r="F88" s="19" t="n"/>
      <c r="G88" s="17" t="n"/>
      <c r="H88" s="17" t="n"/>
      <c r="I88" s="17" t="n"/>
      <c r="J88" s="19" t="n"/>
      <c r="K88" s="19" t="n"/>
      <c r="L88" s="20" t="n"/>
      <c r="M88" s="20" t="n"/>
      <c r="N88" s="17" t="n"/>
      <c r="O88" s="17" t="n"/>
      <c r="P88" s="21">
        <f>IF(AND(ISNUMBER($L88),ISNUMBER($M88)),MAX(0,$M88-$L88),"")</f>
        <v/>
      </c>
      <c r="Q88" s="21">
        <f>IF(ISNUMBER($D88),MAX(0,TODAY()-$D88),"")</f>
        <v/>
      </c>
      <c r="R88" s="19">
        <f>IF(COUNTA($A88:$O88)=0,"",IFERROR(TRIM(TEXTJOIN(" | ",TRUE,IF($A88="","PC kosong",""),IF($C88="","Worker ID kosong",""),IF($D88="","Update Date kosong",IF(NOT(ISNUMBER($D88)),"Update Date bukan tanggal","")),IF($E88="","Song ID YT kosong",""),IF($F88="","Judul kosong",""),IF(TRIM($G88)="","",IF(ISERROR(MATCH(TRIM($G88),{"TuneCore","DistroKid","TooLost","SoundOn","Ditto","Believe","CD Baby","Amuse","Symphonic Distribution","ONErpm","RouteNote","LANDR","Horus Music","Indie"},0)),"Aggregator di luar daftar","")),IF(TRIM($H88)="","Genre kosong",IF((LEN(SUBSTITUTE(SUBSTITUTE(SUBSTITUTE(TRIM($H88),"/",","),";",",")," ",""))-LEN(SUBSTITUTE(SUBSTITUTE(SUBSTITUTE(SUBSTITUTE(TRIM($H88),"/",","),";",","),"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88),"/",","),";",",")," ","")&amp;",")))&lt;&gt;(LEN(SUBSTITUTE(SUBSTITUTE(SUBSTITUTE(TRIM($H88),"/",","),";",",")," ",""))-LEN(SUBSTITUTE(SUBSTITUTE(SUBSTITUTE(SUBSTITUTE(TRIM($H88),"/",","),";",",")," ",""),",",""))+1),"Genre di luar daftar",""))),IF($I88="","Nama Channel kosong",""),IF($J88="","Link Channel kosong",IF(ISERROR(SEARCH("youtu",$J88)),"Link Channel bukan youtube","")),IF($K88="","Link Video kosong",IF(ISERROR(SEARCH("youtu",$K88)),"Link Video bukan youtube","")),IF($L88="","Tgl Dibuat kosong",IF(NOT(ISNUMBER($L88)),"Tgl Dibuat bukan tanggal","")),IF(AND($M88&lt;&gt;"",NOT(ISNUMBER($M88))),"Tgl Publish bukan tanggal",""),IF(AND(ISNUMBER($L88),ISNUMBER($M88),$M88&lt;$L88),"Tgl Publish &lt; Tgl buat",""),IF(TRIM($N88)="","Status kosong",IF(ISERROR(MATCH(TRIM($N88),{"Draft","Menunggu Review","Revisi","Terjadwal","Upload","Publish","Published","Batal"},0)),"Status di luar daftar","")))),""))</f>
        <v/>
      </c>
      <c r="S88" s="17">
        <f>IF(AND($A88&lt;&gt;"",$C88&lt;&gt;""),IF(COUNTIFS($A$2:$A$1000,$A88,$C$2:$C$1000,$C88)&gt;1,"DUPLICAT",""),"")</f>
        <v/>
      </c>
    </row>
    <row r="89">
      <c r="A89" s="12" t="n"/>
      <c r="B89" s="12" t="n"/>
      <c r="C89" s="12" t="n"/>
      <c r="D89" s="13" t="n"/>
      <c r="E89" s="12" t="n"/>
      <c r="F89" s="14" t="n"/>
      <c r="G89" s="12" t="n"/>
      <c r="H89" s="12" t="n"/>
      <c r="I89" s="12" t="n"/>
      <c r="J89" s="14" t="n"/>
      <c r="K89" s="14" t="n"/>
      <c r="L89" s="15" t="n"/>
      <c r="M89" s="15" t="n"/>
      <c r="N89" s="12" t="n"/>
      <c r="O89" s="12" t="n"/>
      <c r="P89" s="16">
        <f>IF(AND(ISNUMBER($L89),ISNUMBER($M89)),MAX(0,$M89-$L89),"")</f>
        <v/>
      </c>
      <c r="Q89" s="16">
        <f>IF(ISNUMBER($D89),MAX(0,TODAY()-$D89),"")</f>
        <v/>
      </c>
      <c r="R89" s="14">
        <f>IF(COUNTA($A89:$O89)=0,"",IFERROR(TRIM(TEXTJOIN(" | ",TRUE,IF($A89="","PC kosong",""),IF($C89="","Worker ID kosong",""),IF($D89="","Update Date kosong",IF(NOT(ISNUMBER($D89)),"Update Date bukan tanggal","")),IF($E89="","Song ID YT kosong",""),IF($F89="","Judul kosong",""),IF(TRIM($G89)="","",IF(ISERROR(MATCH(TRIM($G89),{"TuneCore","DistroKid","TooLost","SoundOn","Ditto","Believe","CD Baby","Amuse","Symphonic Distribution","ONErpm","RouteNote","LANDR","Horus Music","Indie"},0)),"Aggregator di luar daftar","")),IF(TRIM($H89)="","Genre kosong",IF((LEN(SUBSTITUTE(SUBSTITUTE(SUBSTITUTE(TRIM($H89),"/",","),";",",")," ",""))-LEN(SUBSTITUTE(SUBSTITUTE(SUBSTITUTE(SUBSTITUTE(TRIM($H89),"/",","),";",","),"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89),"/",","),";",",")," ","")&amp;",")))&lt;&gt;(LEN(SUBSTITUTE(SUBSTITUTE(SUBSTITUTE(TRIM($H89),"/",","),";",",")," ",""))-LEN(SUBSTITUTE(SUBSTITUTE(SUBSTITUTE(SUBSTITUTE(TRIM($H89),"/",","),";",",")," ",""),",",""))+1),"Genre di luar daftar",""))),IF($I89="","Nama Channel kosong",""),IF($J89="","Link Channel kosong",IF(ISERROR(SEARCH("youtu",$J89)),"Link Channel bukan youtube","")),IF($K89="","Link Video kosong",IF(ISERROR(SEARCH("youtu",$K89)),"Link Video bukan youtube","")),IF($L89="","Tgl Dibuat kosong",IF(NOT(ISNUMBER($L89)),"Tgl Dibuat bukan tanggal","")),IF(AND($M89&lt;&gt;"",NOT(ISNUMBER($M89))),"Tgl Publish bukan tanggal",""),IF(AND(ISNUMBER($L89),ISNUMBER($M89),$M89&lt;$L89),"Tgl Publish &lt; Tgl buat",""),IF(TRIM($N89)="","Status kosong",IF(ISERROR(MATCH(TRIM($N89),{"Draft","Menunggu Review","Revisi","Terjadwal","Upload","Publish","Published","Batal"},0)),"Status di luar daftar","")))),""))</f>
        <v/>
      </c>
      <c r="S89" s="12">
        <f>IF(AND($A89&lt;&gt;"",$C89&lt;&gt;""),IF(COUNTIFS($A$2:$A$1000,$A89,$C$2:$C$1000,$C89)&gt;1,"DUPLICAT",""),"")</f>
        <v/>
      </c>
    </row>
    <row r="90">
      <c r="A90" s="17" t="n"/>
      <c r="B90" s="17" t="n"/>
      <c r="C90" s="17" t="n"/>
      <c r="D90" s="18" t="n"/>
      <c r="E90" s="17" t="n"/>
      <c r="F90" s="19" t="n"/>
      <c r="G90" s="17" t="n"/>
      <c r="H90" s="17" t="n"/>
      <c r="I90" s="17" t="n"/>
      <c r="J90" s="19" t="n"/>
      <c r="K90" s="19" t="n"/>
      <c r="L90" s="20" t="n"/>
      <c r="M90" s="20" t="n"/>
      <c r="N90" s="17" t="n"/>
      <c r="O90" s="17" t="n"/>
      <c r="P90" s="21">
        <f>IF(AND(ISNUMBER($L90),ISNUMBER($M90)),MAX(0,$M90-$L90),"")</f>
        <v/>
      </c>
      <c r="Q90" s="21">
        <f>IF(ISNUMBER($D90),MAX(0,TODAY()-$D90),"")</f>
        <v/>
      </c>
      <c r="R90" s="19">
        <f>IF(COUNTA($A90:$O90)=0,"",IFERROR(TRIM(TEXTJOIN(" | ",TRUE,IF($A90="","PC kosong",""),IF($C90="","Worker ID kosong",""),IF($D90="","Update Date kosong",IF(NOT(ISNUMBER($D90)),"Update Date bukan tanggal","")),IF($E90="","Song ID YT kosong",""),IF($F90="","Judul kosong",""),IF(TRIM($G90)="","",IF(ISERROR(MATCH(TRIM($G90),{"TuneCore","DistroKid","TooLost","SoundOn","Ditto","Believe","CD Baby","Amuse","Symphonic Distribution","ONErpm","RouteNote","LANDR","Horus Music","Indie"},0)),"Aggregator di luar daftar","")),IF(TRIM($H90)="","Genre kosong",IF((LEN(SUBSTITUTE(SUBSTITUTE(SUBSTITUTE(TRIM($H90),"/",","),";",",")," ",""))-LEN(SUBSTITUTE(SUBSTITUTE(SUBSTITUTE(SUBSTITUTE(TRIM($H90),"/",","),";",","),"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90),"/",","),";",",")," ","")&amp;",")))&lt;&gt;(LEN(SUBSTITUTE(SUBSTITUTE(SUBSTITUTE(TRIM($H90),"/",","),";",",")," ",""))-LEN(SUBSTITUTE(SUBSTITUTE(SUBSTITUTE(SUBSTITUTE(TRIM($H90),"/",","),";",",")," ",""),",",""))+1),"Genre di luar daftar",""))),IF($I90="","Nama Channel kosong",""),IF($J90="","Link Channel kosong",IF(ISERROR(SEARCH("youtu",$J90)),"Link Channel bukan youtube","")),IF($K90="","Link Video kosong",IF(ISERROR(SEARCH("youtu",$K90)),"Link Video bukan youtube","")),IF($L90="","Tgl Dibuat kosong",IF(NOT(ISNUMBER($L90)),"Tgl Dibuat bukan tanggal","")),IF(AND($M90&lt;&gt;"",NOT(ISNUMBER($M90))),"Tgl Publish bukan tanggal",""),IF(AND(ISNUMBER($L90),ISNUMBER($M90),$M90&lt;$L90),"Tgl Publish &lt; Tgl buat",""),IF(TRIM($N90)="","Status kosong",IF(ISERROR(MATCH(TRIM($N90),{"Draft","Menunggu Review","Revisi","Terjadwal","Upload","Publish","Published","Batal"},0)),"Status di luar daftar","")))),""))</f>
        <v/>
      </c>
      <c r="S90" s="17">
        <f>IF(AND($A90&lt;&gt;"",$C90&lt;&gt;""),IF(COUNTIFS($A$2:$A$1000,$A90,$C$2:$C$1000,$C90)&gt;1,"DUPLICAT",""),"")</f>
        <v/>
      </c>
    </row>
    <row r="91">
      <c r="A91" s="12" t="n"/>
      <c r="B91" s="12" t="n"/>
      <c r="C91" s="12" t="n"/>
      <c r="D91" s="13" t="n"/>
      <c r="E91" s="12" t="n"/>
      <c r="F91" s="14" t="n"/>
      <c r="G91" s="12" t="n"/>
      <c r="H91" s="12" t="n"/>
      <c r="I91" s="12" t="n"/>
      <c r="J91" s="14" t="n"/>
      <c r="K91" s="14" t="n"/>
      <c r="L91" s="15" t="n"/>
      <c r="M91" s="15" t="n"/>
      <c r="N91" s="12" t="n"/>
      <c r="O91" s="12" t="n"/>
      <c r="P91" s="16">
        <f>IF(AND(ISNUMBER($L91),ISNUMBER($M91)),MAX(0,$M91-$L91),"")</f>
        <v/>
      </c>
      <c r="Q91" s="16">
        <f>IF(ISNUMBER($D91),MAX(0,TODAY()-$D91),"")</f>
        <v/>
      </c>
      <c r="R91" s="14">
        <f>IF(COUNTA($A91:$O91)=0,"",IFERROR(TRIM(TEXTJOIN(" | ",TRUE,IF($A91="","PC kosong",""),IF($C91="","Worker ID kosong",""),IF($D91="","Update Date kosong",IF(NOT(ISNUMBER($D91)),"Update Date bukan tanggal","")),IF($E91="","Song ID YT kosong",""),IF($F91="","Judul kosong",""),IF(TRIM($G91)="","",IF(ISERROR(MATCH(TRIM($G91),{"TuneCore","DistroKid","TooLost","SoundOn","Ditto","Believe","CD Baby","Amuse","Symphonic Distribution","ONErpm","RouteNote","LANDR","Horus Music","Indie"},0)),"Aggregator di luar daftar","")),IF(TRIM($H91)="","Genre kosong",IF((LEN(SUBSTITUTE(SUBSTITUTE(SUBSTITUTE(TRIM($H91),"/",","),";",",")," ",""))-LEN(SUBSTITUTE(SUBSTITUTE(SUBSTITUTE(SUBSTITUTE(TRIM($H91),"/",","),";",","),"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91),"/",","),";",",")," ","")&amp;",")))&lt;&gt;(LEN(SUBSTITUTE(SUBSTITUTE(SUBSTITUTE(TRIM($H91),"/",","),";",",")," ",""))-LEN(SUBSTITUTE(SUBSTITUTE(SUBSTITUTE(SUBSTITUTE(TRIM($H91),"/",","),";",",")," ",""),",",""))+1),"Genre di luar daftar",""))),IF($I91="","Nama Channel kosong",""),IF($J91="","Link Channel kosong",IF(ISERROR(SEARCH("youtu",$J91)),"Link Channel bukan youtube","")),IF($K91="","Link Video kosong",IF(ISERROR(SEARCH("youtu",$K91)),"Link Video bukan youtube","")),IF($L91="","Tgl Dibuat kosong",IF(NOT(ISNUMBER($L91)),"Tgl Dibuat bukan tanggal","")),IF(AND($M91&lt;&gt;"",NOT(ISNUMBER($M91))),"Tgl Publish bukan tanggal",""),IF(AND(ISNUMBER($L91),ISNUMBER($M91),$M91&lt;$L91),"Tgl Publish &lt; Tgl buat",""),IF(TRIM($N91)="","Status kosong",IF(ISERROR(MATCH(TRIM($N91),{"Draft","Menunggu Review","Revisi","Terjadwal","Upload","Publish","Published","Batal"},0)),"Status di luar daftar","")))),""))</f>
        <v/>
      </c>
      <c r="S91" s="12">
        <f>IF(AND($A91&lt;&gt;"",$C91&lt;&gt;""),IF(COUNTIFS($A$2:$A$1000,$A91,$C$2:$C$1000,$C91)&gt;1,"DUPLICAT",""),"")</f>
        <v/>
      </c>
    </row>
    <row r="92">
      <c r="A92" s="17" t="n"/>
      <c r="B92" s="17" t="n"/>
      <c r="C92" s="17" t="n"/>
      <c r="D92" s="18" t="n"/>
      <c r="E92" s="17" t="n"/>
      <c r="F92" s="19" t="n"/>
      <c r="G92" s="17" t="n"/>
      <c r="H92" s="17" t="n"/>
      <c r="I92" s="17" t="n"/>
      <c r="J92" s="19" t="n"/>
      <c r="K92" s="19" t="n"/>
      <c r="L92" s="20" t="n"/>
      <c r="M92" s="20" t="n"/>
      <c r="N92" s="17" t="n"/>
      <c r="O92" s="17" t="n"/>
      <c r="P92" s="21">
        <f>IF(AND(ISNUMBER($L92),ISNUMBER($M92)),MAX(0,$M92-$L92),"")</f>
        <v/>
      </c>
      <c r="Q92" s="21">
        <f>IF(ISNUMBER($D92),MAX(0,TODAY()-$D92),"")</f>
        <v/>
      </c>
      <c r="R92" s="19">
        <f>IF(COUNTA($A92:$O92)=0,"",IFERROR(TRIM(TEXTJOIN(" | ",TRUE,IF($A92="","PC kosong",""),IF($C92="","Worker ID kosong",""),IF($D92="","Update Date kosong",IF(NOT(ISNUMBER($D92)),"Update Date bukan tanggal","")),IF($E92="","Song ID YT kosong",""),IF($F92="","Judul kosong",""),IF(TRIM($G92)="","",IF(ISERROR(MATCH(TRIM($G92),{"TuneCore","DistroKid","TooLost","SoundOn","Ditto","Believe","CD Baby","Amuse","Symphonic Distribution","ONErpm","RouteNote","LANDR","Horus Music","Indie"},0)),"Aggregator di luar daftar","")),IF(TRIM($H92)="","Genre kosong",IF((LEN(SUBSTITUTE(SUBSTITUTE(SUBSTITUTE(TRIM($H92),"/",","),";",",")," ",""))-LEN(SUBSTITUTE(SUBSTITUTE(SUBSTITUTE(SUBSTITUTE(TRIM($H92),"/",","),";",","),"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92),"/",","),";",",")," ","")&amp;",")))&lt;&gt;(LEN(SUBSTITUTE(SUBSTITUTE(SUBSTITUTE(TRIM($H92),"/",","),";",",")," ",""))-LEN(SUBSTITUTE(SUBSTITUTE(SUBSTITUTE(SUBSTITUTE(TRIM($H92),"/",","),";",",")," ",""),",",""))+1),"Genre di luar daftar",""))),IF($I92="","Nama Channel kosong",""),IF($J92="","Link Channel kosong",IF(ISERROR(SEARCH("youtu",$J92)),"Link Channel bukan youtube","")),IF($K92="","Link Video kosong",IF(ISERROR(SEARCH("youtu",$K92)),"Link Video bukan youtube","")),IF($L92="","Tgl Dibuat kosong",IF(NOT(ISNUMBER($L92)),"Tgl Dibuat bukan tanggal","")),IF(AND($M92&lt;&gt;"",NOT(ISNUMBER($M92))),"Tgl Publish bukan tanggal",""),IF(AND(ISNUMBER($L92),ISNUMBER($M92),$M92&lt;$L92),"Tgl Publish &lt; Tgl buat",""),IF(TRIM($N92)="","Status kosong",IF(ISERROR(MATCH(TRIM($N92),{"Draft","Menunggu Review","Revisi","Terjadwal","Upload","Publish","Published","Batal"},0)),"Status di luar daftar","")))),""))</f>
        <v/>
      </c>
      <c r="S92" s="17">
        <f>IF(AND($A92&lt;&gt;"",$C92&lt;&gt;""),IF(COUNTIFS($A$2:$A$1000,$A92,$C$2:$C$1000,$C92)&gt;1,"DUPLICAT",""),"")</f>
        <v/>
      </c>
    </row>
    <row r="93">
      <c r="A93" s="12" t="n"/>
      <c r="B93" s="12" t="n"/>
      <c r="C93" s="12" t="n"/>
      <c r="D93" s="13" t="n"/>
      <c r="E93" s="12" t="n"/>
      <c r="F93" s="14" t="n"/>
      <c r="G93" s="12" t="n"/>
      <c r="H93" s="12" t="n"/>
      <c r="I93" s="12" t="n"/>
      <c r="J93" s="14" t="n"/>
      <c r="K93" s="14" t="n"/>
      <c r="L93" s="15" t="n"/>
      <c r="M93" s="15" t="n"/>
      <c r="N93" s="12" t="n"/>
      <c r="O93" s="12" t="n"/>
      <c r="P93" s="16">
        <f>IF(AND(ISNUMBER($L93),ISNUMBER($M93)),MAX(0,$M93-$L93),"")</f>
        <v/>
      </c>
      <c r="Q93" s="16">
        <f>IF(ISNUMBER($D93),MAX(0,TODAY()-$D93),"")</f>
        <v/>
      </c>
      <c r="R93" s="14">
        <f>IF(COUNTA($A93:$O93)=0,"",IFERROR(TRIM(TEXTJOIN(" | ",TRUE,IF($A93="","PC kosong",""),IF($C93="","Worker ID kosong",""),IF($D93="","Update Date kosong",IF(NOT(ISNUMBER($D93)),"Update Date bukan tanggal","")),IF($E93="","Song ID YT kosong",""),IF($F93="","Judul kosong",""),IF(TRIM($G93)="","",IF(ISERROR(MATCH(TRIM($G93),{"TuneCore","DistroKid","TooLost","SoundOn","Ditto","Believe","CD Baby","Amuse","Symphonic Distribution","ONErpm","RouteNote","LANDR","Horus Music","Indie"},0)),"Aggregator di luar daftar","")),IF(TRIM($H93)="","Genre kosong",IF((LEN(SUBSTITUTE(SUBSTITUTE(SUBSTITUTE(TRIM($H93),"/",","),";",",")," ",""))-LEN(SUBSTITUTE(SUBSTITUTE(SUBSTITUTE(SUBSTITUTE(TRIM($H93),"/",","),";",","),"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93),"/",","),";",",")," ","")&amp;",")))&lt;&gt;(LEN(SUBSTITUTE(SUBSTITUTE(SUBSTITUTE(TRIM($H93),"/",","),";",",")," ",""))-LEN(SUBSTITUTE(SUBSTITUTE(SUBSTITUTE(SUBSTITUTE(TRIM($H93),"/",","),";",",")," ",""),",",""))+1),"Genre di luar daftar",""))),IF($I93="","Nama Channel kosong",""),IF($J93="","Link Channel kosong",IF(ISERROR(SEARCH("youtu",$J93)),"Link Channel bukan youtube","")),IF($K93="","Link Video kosong",IF(ISERROR(SEARCH("youtu",$K93)),"Link Video bukan youtube","")),IF($L93="","Tgl Dibuat kosong",IF(NOT(ISNUMBER($L93)),"Tgl Dibuat bukan tanggal","")),IF(AND($M93&lt;&gt;"",NOT(ISNUMBER($M93))),"Tgl Publish bukan tanggal",""),IF(AND(ISNUMBER($L93),ISNUMBER($M93),$M93&lt;$L93),"Tgl Publish &lt; Tgl buat",""),IF(TRIM($N93)="","Status kosong",IF(ISERROR(MATCH(TRIM($N93),{"Draft","Menunggu Review","Revisi","Terjadwal","Upload","Publish","Published","Batal"},0)),"Status di luar daftar","")))),""))</f>
        <v/>
      </c>
      <c r="S93" s="12">
        <f>IF(AND($A93&lt;&gt;"",$C93&lt;&gt;""),IF(COUNTIFS($A$2:$A$1000,$A93,$C$2:$C$1000,$C93)&gt;1,"DUPLICAT",""),"")</f>
        <v/>
      </c>
    </row>
    <row r="94">
      <c r="A94" s="17" t="n"/>
      <c r="B94" s="17" t="n"/>
      <c r="C94" s="17" t="n"/>
      <c r="D94" s="18" t="n"/>
      <c r="E94" s="17" t="n"/>
      <c r="F94" s="19" t="n"/>
      <c r="G94" s="17" t="n"/>
      <c r="H94" s="17" t="n"/>
      <c r="I94" s="17" t="n"/>
      <c r="J94" s="19" t="n"/>
      <c r="K94" s="19" t="n"/>
      <c r="L94" s="20" t="n"/>
      <c r="M94" s="20" t="n"/>
      <c r="N94" s="17" t="n"/>
      <c r="O94" s="17" t="n"/>
      <c r="P94" s="21">
        <f>IF(AND(ISNUMBER($L94),ISNUMBER($M94)),MAX(0,$M94-$L94),"")</f>
        <v/>
      </c>
      <c r="Q94" s="21">
        <f>IF(ISNUMBER($D94),MAX(0,TODAY()-$D94),"")</f>
        <v/>
      </c>
      <c r="R94" s="19">
        <f>IF(COUNTA($A94:$O94)=0,"",IFERROR(TRIM(TEXTJOIN(" | ",TRUE,IF($A94="","PC kosong",""),IF($C94="","Worker ID kosong",""),IF($D94="","Update Date kosong",IF(NOT(ISNUMBER($D94)),"Update Date bukan tanggal","")),IF($E94="","Song ID YT kosong",""),IF($F94="","Judul kosong",""),IF(TRIM($G94)="","",IF(ISERROR(MATCH(TRIM($G94),{"TuneCore","DistroKid","TooLost","SoundOn","Ditto","Believe","CD Baby","Amuse","Symphonic Distribution","ONErpm","RouteNote","LANDR","Horus Music","Indie"},0)),"Aggregator di luar daftar","")),IF(TRIM($H94)="","Genre kosong",IF((LEN(SUBSTITUTE(SUBSTITUTE(SUBSTITUTE(TRIM($H94),"/",","),";",",")," ",""))-LEN(SUBSTITUTE(SUBSTITUTE(SUBSTITUTE(SUBSTITUTE(TRIM($H94),"/",","),";",","),"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94),"/",","),";",",")," ","")&amp;",")))&lt;&gt;(LEN(SUBSTITUTE(SUBSTITUTE(SUBSTITUTE(TRIM($H94),"/",","),";",",")," ",""))-LEN(SUBSTITUTE(SUBSTITUTE(SUBSTITUTE(SUBSTITUTE(TRIM($H94),"/",","),";",",")," ",""),",",""))+1),"Genre di luar daftar",""))),IF($I94="","Nama Channel kosong",""),IF($J94="","Link Channel kosong",IF(ISERROR(SEARCH("youtu",$J94)),"Link Channel bukan youtube","")),IF($K94="","Link Video kosong",IF(ISERROR(SEARCH("youtu",$K94)),"Link Video bukan youtube","")),IF($L94="","Tgl Dibuat kosong",IF(NOT(ISNUMBER($L94)),"Tgl Dibuat bukan tanggal","")),IF(AND($M94&lt;&gt;"",NOT(ISNUMBER($M94))),"Tgl Publish bukan tanggal",""),IF(AND(ISNUMBER($L94),ISNUMBER($M94),$M94&lt;$L94),"Tgl Publish &lt; Tgl buat",""),IF(TRIM($N94)="","Status kosong",IF(ISERROR(MATCH(TRIM($N94),{"Draft","Menunggu Review","Revisi","Terjadwal","Upload","Publish","Published","Batal"},0)),"Status di luar daftar","")))),""))</f>
        <v/>
      </c>
      <c r="S94" s="17">
        <f>IF(AND($A94&lt;&gt;"",$C94&lt;&gt;""),IF(COUNTIFS($A$2:$A$1000,$A94,$C$2:$C$1000,$C94)&gt;1,"DUPLICAT",""),"")</f>
        <v/>
      </c>
    </row>
    <row r="95">
      <c r="A95" s="12" t="n"/>
      <c r="B95" s="12" t="n"/>
      <c r="C95" s="12" t="n"/>
      <c r="D95" s="13" t="n"/>
      <c r="E95" s="12" t="n"/>
      <c r="F95" s="14" t="n"/>
      <c r="G95" s="12" t="n"/>
      <c r="H95" s="12" t="n"/>
      <c r="I95" s="12" t="n"/>
      <c r="J95" s="14" t="n"/>
      <c r="K95" s="14" t="n"/>
      <c r="L95" s="15" t="n"/>
      <c r="M95" s="15" t="n"/>
      <c r="N95" s="12" t="n"/>
      <c r="O95" s="12" t="n"/>
      <c r="P95" s="16">
        <f>IF(AND(ISNUMBER($L95),ISNUMBER($M95)),MAX(0,$M95-$L95),"")</f>
        <v/>
      </c>
      <c r="Q95" s="16">
        <f>IF(ISNUMBER($D95),MAX(0,TODAY()-$D95),"")</f>
        <v/>
      </c>
      <c r="R95" s="14">
        <f>IF(COUNTA($A95:$O95)=0,"",IFERROR(TRIM(TEXTJOIN(" | ",TRUE,IF($A95="","PC kosong",""),IF($C95="","Worker ID kosong",""),IF($D95="","Update Date kosong",IF(NOT(ISNUMBER($D95)),"Update Date bukan tanggal","")),IF($E95="","Song ID YT kosong",""),IF($F95="","Judul kosong",""),IF(TRIM($G95)="","",IF(ISERROR(MATCH(TRIM($G95),{"TuneCore","DistroKid","TooLost","SoundOn","Ditto","Believe","CD Baby","Amuse","Symphonic Distribution","ONErpm","RouteNote","LANDR","Horus Music","Indie"},0)),"Aggregator di luar daftar","")),IF(TRIM($H95)="","Genre kosong",IF((LEN(SUBSTITUTE(SUBSTITUTE(SUBSTITUTE(TRIM($H95),"/",","),";",",")," ",""))-LEN(SUBSTITUTE(SUBSTITUTE(SUBSTITUTE(SUBSTITUTE(TRIM($H95),"/",","),";",","),"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95),"/",","),";",",")," ","")&amp;",")))&lt;&gt;(LEN(SUBSTITUTE(SUBSTITUTE(SUBSTITUTE(TRIM($H95),"/",","),";",",")," ",""))-LEN(SUBSTITUTE(SUBSTITUTE(SUBSTITUTE(SUBSTITUTE(TRIM($H95),"/",","),";",",")," ",""),",",""))+1),"Genre di luar daftar",""))),IF($I95="","Nama Channel kosong",""),IF($J95="","Link Channel kosong",IF(ISERROR(SEARCH("youtu",$J95)),"Link Channel bukan youtube","")),IF($K95="","Link Video kosong",IF(ISERROR(SEARCH("youtu",$K95)),"Link Video bukan youtube","")),IF($L95="","Tgl Dibuat kosong",IF(NOT(ISNUMBER($L95)),"Tgl Dibuat bukan tanggal","")),IF(AND($M95&lt;&gt;"",NOT(ISNUMBER($M95))),"Tgl Publish bukan tanggal",""),IF(AND(ISNUMBER($L95),ISNUMBER($M95),$M95&lt;$L95),"Tgl Publish &lt; Tgl buat",""),IF(TRIM($N95)="","Status kosong",IF(ISERROR(MATCH(TRIM($N95),{"Draft","Menunggu Review","Revisi","Terjadwal","Upload","Publish","Published","Batal"},0)),"Status di luar daftar","")))),""))</f>
        <v/>
      </c>
      <c r="S95" s="12">
        <f>IF(AND($A95&lt;&gt;"",$C95&lt;&gt;""),IF(COUNTIFS($A$2:$A$1000,$A95,$C$2:$C$1000,$C95)&gt;1,"DUPLICAT",""),"")</f>
        <v/>
      </c>
    </row>
    <row r="96">
      <c r="A96" s="17" t="n"/>
      <c r="B96" s="17" t="n"/>
      <c r="C96" s="17" t="n"/>
      <c r="D96" s="18" t="n"/>
      <c r="E96" s="17" t="n"/>
      <c r="F96" s="19" t="n"/>
      <c r="G96" s="17" t="n"/>
      <c r="H96" s="17" t="n"/>
      <c r="I96" s="17" t="n"/>
      <c r="J96" s="19" t="n"/>
      <c r="K96" s="19" t="n"/>
      <c r="L96" s="20" t="n"/>
      <c r="M96" s="20" t="n"/>
      <c r="N96" s="17" t="n"/>
      <c r="O96" s="17" t="n"/>
      <c r="P96" s="21">
        <f>IF(AND(ISNUMBER($L96),ISNUMBER($M96)),MAX(0,$M96-$L96),"")</f>
        <v/>
      </c>
      <c r="Q96" s="21">
        <f>IF(ISNUMBER($D96),MAX(0,TODAY()-$D96),"")</f>
        <v/>
      </c>
      <c r="R96" s="19">
        <f>IF(COUNTA($A96:$O96)=0,"",IFERROR(TRIM(TEXTJOIN(" | ",TRUE,IF($A96="","PC kosong",""),IF($C96="","Worker ID kosong",""),IF($D96="","Update Date kosong",IF(NOT(ISNUMBER($D96)),"Update Date bukan tanggal","")),IF($E96="","Song ID YT kosong",""),IF($F96="","Judul kosong",""),IF(TRIM($G96)="","",IF(ISERROR(MATCH(TRIM($G96),{"TuneCore","DistroKid","TooLost","SoundOn","Ditto","Believe","CD Baby","Amuse","Symphonic Distribution","ONErpm","RouteNote","LANDR","Horus Music","Indie"},0)),"Aggregator di luar daftar","")),IF(TRIM($H96)="","Genre kosong",IF((LEN(SUBSTITUTE(SUBSTITUTE(SUBSTITUTE(TRIM($H96),"/",","),";",",")," ",""))-LEN(SUBSTITUTE(SUBSTITUTE(SUBSTITUTE(SUBSTITUTE(TRIM($H96),"/",","),";",","),"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96),"/",","),";",",")," ","")&amp;",")))&lt;&gt;(LEN(SUBSTITUTE(SUBSTITUTE(SUBSTITUTE(TRIM($H96),"/",","),";",",")," ",""))-LEN(SUBSTITUTE(SUBSTITUTE(SUBSTITUTE(SUBSTITUTE(TRIM($H96),"/",","),";",",")," ",""),",",""))+1),"Genre di luar daftar",""))),IF($I96="","Nama Channel kosong",""),IF($J96="","Link Channel kosong",IF(ISERROR(SEARCH("youtu",$J96)),"Link Channel bukan youtube","")),IF($K96="","Link Video kosong",IF(ISERROR(SEARCH("youtu",$K96)),"Link Video bukan youtube","")),IF($L96="","Tgl Dibuat kosong",IF(NOT(ISNUMBER($L96)),"Tgl Dibuat bukan tanggal","")),IF(AND($M96&lt;&gt;"",NOT(ISNUMBER($M96))),"Tgl Publish bukan tanggal",""),IF(AND(ISNUMBER($L96),ISNUMBER($M96),$M96&lt;$L96),"Tgl Publish &lt; Tgl buat",""),IF(TRIM($N96)="","Status kosong",IF(ISERROR(MATCH(TRIM($N96),{"Draft","Menunggu Review","Revisi","Terjadwal","Upload","Publish","Published","Batal"},0)),"Status di luar daftar","")))),""))</f>
        <v/>
      </c>
      <c r="S96" s="17">
        <f>IF(AND($A96&lt;&gt;"",$C96&lt;&gt;""),IF(COUNTIFS($A$2:$A$1000,$A96,$C$2:$C$1000,$C96)&gt;1,"DUPLICAT",""),"")</f>
        <v/>
      </c>
    </row>
    <row r="97">
      <c r="A97" s="12" t="n"/>
      <c r="B97" s="12" t="n"/>
      <c r="C97" s="12" t="n"/>
      <c r="D97" s="13" t="n"/>
      <c r="E97" s="12" t="n"/>
      <c r="F97" s="14" t="n"/>
      <c r="G97" s="12" t="n"/>
      <c r="H97" s="12" t="n"/>
      <c r="I97" s="12" t="n"/>
      <c r="J97" s="14" t="n"/>
      <c r="K97" s="14" t="n"/>
      <c r="L97" s="15" t="n"/>
      <c r="M97" s="15" t="n"/>
      <c r="N97" s="12" t="n"/>
      <c r="O97" s="12" t="n"/>
      <c r="P97" s="16">
        <f>IF(AND(ISNUMBER($L97),ISNUMBER($M97)),MAX(0,$M97-$L97),"")</f>
        <v/>
      </c>
      <c r="Q97" s="16">
        <f>IF(ISNUMBER($D97),MAX(0,TODAY()-$D97),"")</f>
        <v/>
      </c>
      <c r="R97" s="14">
        <f>IF(COUNTA($A97:$O97)=0,"",IFERROR(TRIM(TEXTJOIN(" | ",TRUE,IF($A97="","PC kosong",""),IF($C97="","Worker ID kosong",""),IF($D97="","Update Date kosong",IF(NOT(ISNUMBER($D97)),"Update Date bukan tanggal","")),IF($E97="","Song ID YT kosong",""),IF($F97="","Judul kosong",""),IF(TRIM($G97)="","",IF(ISERROR(MATCH(TRIM($G97),{"TuneCore","DistroKid","TooLost","SoundOn","Ditto","Believe","CD Baby","Amuse","Symphonic Distribution","ONErpm","RouteNote","LANDR","Horus Music","Indie"},0)),"Aggregator di luar daftar","")),IF(TRIM($H97)="","Genre kosong",IF((LEN(SUBSTITUTE(SUBSTITUTE(SUBSTITUTE(TRIM($H97),"/",","),";",",")," ",""))-LEN(SUBSTITUTE(SUBSTITUTE(SUBSTITUTE(SUBSTITUTE(TRIM($H97),"/",","),";",","),"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97),"/",","),";",",")," ","")&amp;",")))&lt;&gt;(LEN(SUBSTITUTE(SUBSTITUTE(SUBSTITUTE(TRIM($H97),"/",","),";",",")," ",""))-LEN(SUBSTITUTE(SUBSTITUTE(SUBSTITUTE(SUBSTITUTE(TRIM($H97),"/",","),";",",")," ",""),",",""))+1),"Genre di luar daftar",""))),IF($I97="","Nama Channel kosong",""),IF($J97="","Link Channel kosong",IF(ISERROR(SEARCH("youtu",$J97)),"Link Channel bukan youtube","")),IF($K97="","Link Video kosong",IF(ISERROR(SEARCH("youtu",$K97)),"Link Video bukan youtube","")),IF($L97="","Tgl Dibuat kosong",IF(NOT(ISNUMBER($L97)),"Tgl Dibuat bukan tanggal","")),IF(AND($M97&lt;&gt;"",NOT(ISNUMBER($M97))),"Tgl Publish bukan tanggal",""),IF(AND(ISNUMBER($L97),ISNUMBER($M97),$M97&lt;$L97),"Tgl Publish &lt; Tgl buat",""),IF(TRIM($N97)="","Status kosong",IF(ISERROR(MATCH(TRIM($N97),{"Draft","Menunggu Review","Revisi","Terjadwal","Upload","Publish","Published","Batal"},0)),"Status di luar daftar","")))),""))</f>
        <v/>
      </c>
      <c r="S97" s="12">
        <f>IF(AND($A97&lt;&gt;"",$C97&lt;&gt;""),IF(COUNTIFS($A$2:$A$1000,$A97,$C$2:$C$1000,$C97)&gt;1,"DUPLICAT",""),"")</f>
        <v/>
      </c>
    </row>
    <row r="98">
      <c r="A98" s="17" t="n"/>
      <c r="B98" s="17" t="n"/>
      <c r="C98" s="17" t="n"/>
      <c r="D98" s="18" t="n"/>
      <c r="E98" s="17" t="n"/>
      <c r="F98" s="19" t="n"/>
      <c r="G98" s="17" t="n"/>
      <c r="H98" s="17" t="n"/>
      <c r="I98" s="17" t="n"/>
      <c r="J98" s="19" t="n"/>
      <c r="K98" s="19" t="n"/>
      <c r="L98" s="20" t="n"/>
      <c r="M98" s="20" t="n"/>
      <c r="N98" s="17" t="n"/>
      <c r="O98" s="17" t="n"/>
      <c r="P98" s="21">
        <f>IF(AND(ISNUMBER($L98),ISNUMBER($M98)),MAX(0,$M98-$L98),"")</f>
        <v/>
      </c>
      <c r="Q98" s="21">
        <f>IF(ISNUMBER($D98),MAX(0,TODAY()-$D98),"")</f>
        <v/>
      </c>
      <c r="R98" s="19">
        <f>IF(COUNTA($A98:$O98)=0,"",IFERROR(TRIM(TEXTJOIN(" | ",TRUE,IF($A98="","PC kosong",""),IF($C98="","Worker ID kosong",""),IF($D98="","Update Date kosong",IF(NOT(ISNUMBER($D98)),"Update Date bukan tanggal","")),IF($E98="","Song ID YT kosong",""),IF($F98="","Judul kosong",""),IF(TRIM($G98)="","",IF(ISERROR(MATCH(TRIM($G98),{"TuneCore","DistroKid","TooLost","SoundOn","Ditto","Believe","CD Baby","Amuse","Symphonic Distribution","ONErpm","RouteNote","LANDR","Horus Music","Indie"},0)),"Aggregator di luar daftar","")),IF(TRIM($H98)="","Genre kosong",IF((LEN(SUBSTITUTE(SUBSTITUTE(SUBSTITUTE(TRIM($H98),"/",","),";",",")," ",""))-LEN(SUBSTITUTE(SUBSTITUTE(SUBSTITUTE(SUBSTITUTE(TRIM($H98),"/",","),";",","),"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98),"/",","),";",",")," ","")&amp;",")))&lt;&gt;(LEN(SUBSTITUTE(SUBSTITUTE(SUBSTITUTE(TRIM($H98),"/",","),";",",")," ",""))-LEN(SUBSTITUTE(SUBSTITUTE(SUBSTITUTE(SUBSTITUTE(TRIM($H98),"/",","),";",",")," ",""),",",""))+1),"Genre di luar daftar",""))),IF($I98="","Nama Channel kosong",""),IF($J98="","Link Channel kosong",IF(ISERROR(SEARCH("youtu",$J98)),"Link Channel bukan youtube","")),IF($K98="","Link Video kosong",IF(ISERROR(SEARCH("youtu",$K98)),"Link Video bukan youtube","")),IF($L98="","Tgl Dibuat kosong",IF(NOT(ISNUMBER($L98)),"Tgl Dibuat bukan tanggal","")),IF(AND($M98&lt;&gt;"",NOT(ISNUMBER($M98))),"Tgl Publish bukan tanggal",""),IF(AND(ISNUMBER($L98),ISNUMBER($M98),$M98&lt;$L98),"Tgl Publish &lt; Tgl buat",""),IF(TRIM($N98)="","Status kosong",IF(ISERROR(MATCH(TRIM($N98),{"Draft","Menunggu Review","Revisi","Terjadwal","Upload","Publish","Published","Batal"},0)),"Status di luar daftar","")))),""))</f>
        <v/>
      </c>
      <c r="S98" s="17">
        <f>IF(AND($A98&lt;&gt;"",$C98&lt;&gt;""),IF(COUNTIFS($A$2:$A$1000,$A98,$C$2:$C$1000,$C98)&gt;1,"DUPLICAT",""),"")</f>
        <v/>
      </c>
    </row>
    <row r="99">
      <c r="A99" s="12" t="n"/>
      <c r="B99" s="12" t="n"/>
      <c r="C99" s="12" t="n"/>
      <c r="D99" s="13" t="n"/>
      <c r="E99" s="12" t="n"/>
      <c r="F99" s="14" t="n"/>
      <c r="G99" s="12" t="n"/>
      <c r="H99" s="12" t="n"/>
      <c r="I99" s="12" t="n"/>
      <c r="J99" s="14" t="n"/>
      <c r="K99" s="14" t="n"/>
      <c r="L99" s="15" t="n"/>
      <c r="M99" s="15" t="n"/>
      <c r="N99" s="12" t="n"/>
      <c r="O99" s="12" t="n"/>
      <c r="P99" s="16">
        <f>IF(AND(ISNUMBER($L99),ISNUMBER($M99)),MAX(0,$M99-$L99),"")</f>
        <v/>
      </c>
      <c r="Q99" s="16">
        <f>IF(ISNUMBER($D99),MAX(0,TODAY()-$D99),"")</f>
        <v/>
      </c>
      <c r="R99" s="14">
        <f>IF(COUNTA($A99:$O99)=0,"",IFERROR(TRIM(TEXTJOIN(" | ",TRUE,IF($A99="","PC kosong",""),IF($C99="","Worker ID kosong",""),IF($D99="","Update Date kosong",IF(NOT(ISNUMBER($D99)),"Update Date bukan tanggal","")),IF($E99="","Song ID YT kosong",""),IF($F99="","Judul kosong",""),IF(TRIM($G99)="","",IF(ISERROR(MATCH(TRIM($G99),{"TuneCore","DistroKid","TooLost","SoundOn","Ditto","Believe","CD Baby","Amuse","Symphonic Distribution","ONErpm","RouteNote","LANDR","Horus Music","Indie"},0)),"Aggregator di luar daftar","")),IF(TRIM($H99)="","Genre kosong",IF((LEN(SUBSTITUTE(SUBSTITUTE(SUBSTITUTE(TRIM($H99),"/",","),";",",")," ",""))-LEN(SUBSTITUTE(SUBSTITUTE(SUBSTITUTE(SUBSTITUTE(TRIM($H99),"/",","),";",","),"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99),"/",","),";",",")," ","")&amp;",")))&lt;&gt;(LEN(SUBSTITUTE(SUBSTITUTE(SUBSTITUTE(TRIM($H99),"/",","),";",",")," ",""))-LEN(SUBSTITUTE(SUBSTITUTE(SUBSTITUTE(SUBSTITUTE(TRIM($H99),"/",","),";",",")," ",""),",",""))+1),"Genre di luar daftar",""))),IF($I99="","Nama Channel kosong",""),IF($J99="","Link Channel kosong",IF(ISERROR(SEARCH("youtu",$J99)),"Link Channel bukan youtube","")),IF($K99="","Link Video kosong",IF(ISERROR(SEARCH("youtu",$K99)),"Link Video bukan youtube","")),IF($L99="","Tgl Dibuat kosong",IF(NOT(ISNUMBER($L99)),"Tgl Dibuat bukan tanggal","")),IF(AND($M99&lt;&gt;"",NOT(ISNUMBER($M99))),"Tgl Publish bukan tanggal",""),IF(AND(ISNUMBER($L99),ISNUMBER($M99),$M99&lt;$L99),"Tgl Publish &lt; Tgl buat",""),IF(TRIM($N99)="","Status kosong",IF(ISERROR(MATCH(TRIM($N99),{"Draft","Menunggu Review","Revisi","Terjadwal","Upload","Publish","Published","Batal"},0)),"Status di luar daftar","")))),""))</f>
        <v/>
      </c>
      <c r="S99" s="12">
        <f>IF(AND($A99&lt;&gt;"",$C99&lt;&gt;""),IF(COUNTIFS($A$2:$A$1000,$A99,$C$2:$C$1000,$C99)&gt;1,"DUPLICAT",""),"")</f>
        <v/>
      </c>
    </row>
    <row r="100">
      <c r="A100" s="17" t="n"/>
      <c r="B100" s="17" t="n"/>
      <c r="C100" s="17" t="n"/>
      <c r="D100" s="18" t="n"/>
      <c r="E100" s="17" t="n"/>
      <c r="F100" s="19" t="n"/>
      <c r="G100" s="17" t="n"/>
      <c r="H100" s="17" t="n"/>
      <c r="I100" s="17" t="n"/>
      <c r="J100" s="19" t="n"/>
      <c r="K100" s="19" t="n"/>
      <c r="L100" s="20" t="n"/>
      <c r="M100" s="20" t="n"/>
      <c r="N100" s="17" t="n"/>
      <c r="O100" s="17" t="n"/>
      <c r="P100" s="21">
        <f>IF(AND(ISNUMBER($L100),ISNUMBER($M100)),MAX(0,$M100-$L100),"")</f>
        <v/>
      </c>
      <c r="Q100" s="21">
        <f>IF(ISNUMBER($D100),MAX(0,TODAY()-$D100),"")</f>
        <v/>
      </c>
      <c r="R100" s="19">
        <f>IF(COUNTA($A100:$O100)=0,"",IFERROR(TRIM(TEXTJOIN(" | ",TRUE,IF($A100="","PC kosong",""),IF($C100="","Worker ID kosong",""),IF($D100="","Update Date kosong",IF(NOT(ISNUMBER($D100)),"Update Date bukan tanggal","")),IF($E100="","Song ID YT kosong",""),IF($F100="","Judul kosong",""),IF(TRIM($G100)="","",IF(ISERROR(MATCH(TRIM($G100),{"TuneCore","DistroKid","TooLost","SoundOn","Ditto","Believe","CD Baby","Amuse","Symphonic Distribution","ONErpm","RouteNote","LANDR","Horus Music","Indie"},0)),"Aggregator di luar daftar","")),IF(TRIM($H100)="","Genre kosong",IF((LEN(SUBSTITUTE(SUBSTITUTE(SUBSTITUTE(TRIM($H100),"/",","),";",",")," ",""))-LEN(SUBSTITUTE(SUBSTITUTE(SUBSTITUTE(SUBSTITUTE(TRIM($H100),"/",","),";",","),"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100),"/",","),";",",")," ","")&amp;",")))&lt;&gt;(LEN(SUBSTITUTE(SUBSTITUTE(SUBSTITUTE(TRIM($H100),"/",","),";",",")," ",""))-LEN(SUBSTITUTE(SUBSTITUTE(SUBSTITUTE(SUBSTITUTE(TRIM($H100),"/",","),";",",")," ",""),",",""))+1),"Genre di luar daftar",""))),IF($I100="","Nama Channel kosong",""),IF($J100="","Link Channel kosong",IF(ISERROR(SEARCH("youtu",$J100)),"Link Channel bukan youtube","")),IF($K100="","Link Video kosong",IF(ISERROR(SEARCH("youtu",$K100)),"Link Video bukan youtube","")),IF($L100="","Tgl Dibuat kosong",IF(NOT(ISNUMBER($L100)),"Tgl Dibuat bukan tanggal","")),IF(AND($M100&lt;&gt;"",NOT(ISNUMBER($M100))),"Tgl Publish bukan tanggal",""),IF(AND(ISNUMBER($L100),ISNUMBER($M100),$M100&lt;$L100),"Tgl Publish &lt; Tgl buat",""),IF(TRIM($N100)="","Status kosong",IF(ISERROR(MATCH(TRIM($N100),{"Draft","Menunggu Review","Revisi","Terjadwal","Upload","Publish","Published","Batal"},0)),"Status di luar daftar","")))),""))</f>
        <v/>
      </c>
      <c r="S100" s="17">
        <f>IF(AND($A100&lt;&gt;"",$C100&lt;&gt;""),IF(COUNTIFS($A$2:$A$1000,$A100,$C$2:$C$1000,$C100)&gt;1,"DUPLICAT",""),"")</f>
        <v/>
      </c>
    </row>
    <row r="101">
      <c r="A101" s="12" t="n"/>
      <c r="B101" s="12" t="n"/>
      <c r="C101" s="12" t="n"/>
      <c r="D101" s="13" t="n"/>
      <c r="E101" s="12" t="n"/>
      <c r="F101" s="14" t="n"/>
      <c r="G101" s="12" t="n"/>
      <c r="H101" s="12" t="n"/>
      <c r="I101" s="12" t="n"/>
      <c r="J101" s="14" t="n"/>
      <c r="K101" s="14" t="n"/>
      <c r="L101" s="15" t="n"/>
      <c r="M101" s="15" t="n"/>
      <c r="N101" s="12" t="n"/>
      <c r="O101" s="12" t="n"/>
      <c r="P101" s="16">
        <f>IF(AND(ISNUMBER($L101),ISNUMBER($M101)),MAX(0,$M101-$L101),"")</f>
        <v/>
      </c>
      <c r="Q101" s="16">
        <f>IF(ISNUMBER($D101),MAX(0,TODAY()-$D101),"")</f>
        <v/>
      </c>
      <c r="R101" s="14">
        <f>IF(COUNTA($A101:$O101)=0,"",IFERROR(TRIM(TEXTJOIN(" | ",TRUE,IF($A101="","PC kosong",""),IF($C101="","Worker ID kosong",""),IF($D101="","Update Date kosong",IF(NOT(ISNUMBER($D101)),"Update Date bukan tanggal","")),IF($E101="","Song ID YT kosong",""),IF($F101="","Judul kosong",""),IF(TRIM($G101)="","",IF(ISERROR(MATCH(TRIM($G101),{"TuneCore","DistroKid","TooLost","SoundOn","Ditto","Believe","CD Baby","Amuse","Symphonic Distribution","ONErpm","RouteNote","LANDR","Horus Music","Indie"},0)),"Aggregator di luar daftar","")),IF(TRIM($H101)="","Genre kosong",IF((LEN(SUBSTITUTE(SUBSTITUTE(SUBSTITUTE(TRIM($H101),"/",","),";",",")," ",""))-LEN(SUBSTITUTE(SUBSTITUTE(SUBSTITUTE(SUBSTITUTE(TRIM($H101),"/",","),";",","),"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101),"/",","),";",",")," ","")&amp;",")))&lt;&gt;(LEN(SUBSTITUTE(SUBSTITUTE(SUBSTITUTE(TRIM($H101),"/",","),";",",")," ",""))-LEN(SUBSTITUTE(SUBSTITUTE(SUBSTITUTE(SUBSTITUTE(TRIM($H101),"/",","),";",",")," ",""),",",""))+1),"Genre di luar daftar",""))),IF($I101="","Nama Channel kosong",""),IF($J101="","Link Channel kosong",IF(ISERROR(SEARCH("youtu",$J101)),"Link Channel bukan youtube","")),IF($K101="","Link Video kosong",IF(ISERROR(SEARCH("youtu",$K101)),"Link Video bukan youtube","")),IF($L101="","Tgl Dibuat kosong",IF(NOT(ISNUMBER($L101)),"Tgl Dibuat bukan tanggal","")),IF(AND($M101&lt;&gt;"",NOT(ISNUMBER($M101))),"Tgl Publish bukan tanggal",""),IF(AND(ISNUMBER($L101),ISNUMBER($M101),$M101&lt;$L101),"Tgl Publish &lt; Tgl buat",""),IF(TRIM($N101)="","Status kosong",IF(ISERROR(MATCH(TRIM($N101),{"Draft","Menunggu Review","Revisi","Terjadwal","Upload","Publish","Published","Batal"},0)),"Status di luar daftar","")))),""))</f>
        <v/>
      </c>
      <c r="S101" s="12">
        <f>IF(AND($A101&lt;&gt;"",$C101&lt;&gt;""),IF(COUNTIFS($A$2:$A$1000,$A101,$C$2:$C$1000,$C101)&gt;1,"DUPLICAT",""),"")</f>
        <v/>
      </c>
    </row>
    <row r="102">
      <c r="A102" s="17" t="n"/>
      <c r="B102" s="17" t="n"/>
      <c r="C102" s="17" t="n"/>
      <c r="D102" s="18" t="n"/>
      <c r="E102" s="17" t="n"/>
      <c r="F102" s="19" t="n"/>
      <c r="G102" s="17" t="n"/>
      <c r="H102" s="17" t="n"/>
      <c r="I102" s="17" t="n"/>
      <c r="J102" s="19" t="n"/>
      <c r="K102" s="19" t="n"/>
      <c r="L102" s="20" t="n"/>
      <c r="M102" s="20" t="n"/>
      <c r="N102" s="17" t="n"/>
      <c r="O102" s="17" t="n"/>
      <c r="P102" s="21">
        <f>IF(AND(ISNUMBER($L102),ISNUMBER($M102)),MAX(0,$M102-$L102),"")</f>
        <v/>
      </c>
      <c r="Q102" s="21">
        <f>IF(ISNUMBER($D102),MAX(0,TODAY()-$D102),"")</f>
        <v/>
      </c>
      <c r="R102" s="19">
        <f>IF(COUNTA($A102:$O102)=0,"",IFERROR(TRIM(TEXTJOIN(" | ",TRUE,IF($A102="","PC kosong",""),IF($C102="","Worker ID kosong",""),IF($D102="","Update Date kosong",IF(NOT(ISNUMBER($D102)),"Update Date bukan tanggal","")),IF($E102="","Song ID YT kosong",""),IF($F102="","Judul kosong",""),IF(TRIM($G102)="","",IF(ISERROR(MATCH(TRIM($G102),{"TuneCore","DistroKid","TooLost","SoundOn","Ditto","Believe","CD Baby","Amuse","Symphonic Distribution","ONErpm","RouteNote","LANDR","Horus Music","Indie"},0)),"Aggregator di luar daftar","")),IF(TRIM($H102)="","Genre kosong",IF((LEN(SUBSTITUTE(SUBSTITUTE(SUBSTITUTE(TRIM($H102),"/",","),";",",")," ",""))-LEN(SUBSTITUTE(SUBSTITUTE(SUBSTITUTE(SUBSTITUTE(TRIM($H102),"/",","),";",","),"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102),"/",","),";",",")," ","")&amp;",")))&lt;&gt;(LEN(SUBSTITUTE(SUBSTITUTE(SUBSTITUTE(TRIM($H102),"/",","),";",",")," ",""))-LEN(SUBSTITUTE(SUBSTITUTE(SUBSTITUTE(SUBSTITUTE(TRIM($H102),"/",","),";",",")," ",""),",",""))+1),"Genre di luar daftar",""))),IF($I102="","Nama Channel kosong",""),IF($J102="","Link Channel kosong",IF(ISERROR(SEARCH("youtu",$J102)),"Link Channel bukan youtube","")),IF($K102="","Link Video kosong",IF(ISERROR(SEARCH("youtu",$K102)),"Link Video bukan youtube","")),IF($L102="","Tgl Dibuat kosong",IF(NOT(ISNUMBER($L102)),"Tgl Dibuat bukan tanggal","")),IF(AND($M102&lt;&gt;"",NOT(ISNUMBER($M102))),"Tgl Publish bukan tanggal",""),IF(AND(ISNUMBER($L102),ISNUMBER($M102),$M102&lt;$L102),"Tgl Publish &lt; Tgl buat",""),IF(TRIM($N102)="","Status kosong",IF(ISERROR(MATCH(TRIM($N102),{"Draft","Menunggu Review","Revisi","Terjadwal","Upload","Publish","Published","Batal"},0)),"Status di luar daftar","")))),""))</f>
        <v/>
      </c>
      <c r="S102" s="17">
        <f>IF(AND($A102&lt;&gt;"",$C102&lt;&gt;""),IF(COUNTIFS($A$2:$A$1000,$A102,$C$2:$C$1000,$C102)&gt;1,"DUPLICAT",""),"")</f>
        <v/>
      </c>
    </row>
    <row r="103">
      <c r="A103" s="12" t="n"/>
      <c r="B103" s="12" t="n"/>
      <c r="C103" s="12" t="n"/>
      <c r="D103" s="13" t="n"/>
      <c r="E103" s="12" t="n"/>
      <c r="F103" s="14" t="n"/>
      <c r="G103" s="12" t="n"/>
      <c r="H103" s="12" t="n"/>
      <c r="I103" s="12" t="n"/>
      <c r="J103" s="14" t="n"/>
      <c r="K103" s="14" t="n"/>
      <c r="L103" s="15" t="n"/>
      <c r="M103" s="15" t="n"/>
      <c r="N103" s="12" t="n"/>
      <c r="O103" s="12" t="n"/>
      <c r="P103" s="16">
        <f>IF(AND(ISNUMBER($L103),ISNUMBER($M103)),MAX(0,$M103-$L103),"")</f>
        <v/>
      </c>
      <c r="Q103" s="16">
        <f>IF(ISNUMBER($D103),MAX(0,TODAY()-$D103),"")</f>
        <v/>
      </c>
      <c r="R103" s="14">
        <f>IF(COUNTA($A103:$O103)=0,"",IFERROR(TRIM(TEXTJOIN(" | ",TRUE,IF($A103="","PC kosong",""),IF($C103="","Worker ID kosong",""),IF($D103="","Update Date kosong",IF(NOT(ISNUMBER($D103)),"Update Date bukan tanggal","")),IF($E103="","Song ID YT kosong",""),IF($F103="","Judul kosong",""),IF(TRIM($G103)="","",IF(ISERROR(MATCH(TRIM($G103),{"TuneCore","DistroKid","TooLost","SoundOn","Ditto","Believe","CD Baby","Amuse","Symphonic Distribution","ONErpm","RouteNote","LANDR","Horus Music","Indie"},0)),"Aggregator di luar daftar","")),IF(TRIM($H103)="","Genre kosong",IF((LEN(SUBSTITUTE(SUBSTITUTE(SUBSTITUTE(TRIM($H103),"/",","),";",",")," ",""))-LEN(SUBSTITUTE(SUBSTITUTE(SUBSTITUTE(SUBSTITUTE(TRIM($H103),"/",","),";",","),"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103),"/",","),";",",")," ","")&amp;",")))&lt;&gt;(LEN(SUBSTITUTE(SUBSTITUTE(SUBSTITUTE(TRIM($H103),"/",","),";",",")," ",""))-LEN(SUBSTITUTE(SUBSTITUTE(SUBSTITUTE(SUBSTITUTE(TRIM($H103),"/",","),";",",")," ",""),",",""))+1),"Genre di luar daftar",""))),IF($I103="","Nama Channel kosong",""),IF($J103="","Link Channel kosong",IF(ISERROR(SEARCH("youtu",$J103)),"Link Channel bukan youtube","")),IF($K103="","Link Video kosong",IF(ISERROR(SEARCH("youtu",$K103)),"Link Video bukan youtube","")),IF($L103="","Tgl Dibuat kosong",IF(NOT(ISNUMBER($L103)),"Tgl Dibuat bukan tanggal","")),IF(AND($M103&lt;&gt;"",NOT(ISNUMBER($M103))),"Tgl Publish bukan tanggal",""),IF(AND(ISNUMBER($L103),ISNUMBER($M103),$M103&lt;$L103),"Tgl Publish &lt; Tgl buat",""),IF(TRIM($N103)="","Status kosong",IF(ISERROR(MATCH(TRIM($N103),{"Draft","Menunggu Review","Revisi","Terjadwal","Upload","Publish","Published","Batal"},0)),"Status di luar daftar","")))),""))</f>
        <v/>
      </c>
      <c r="S103" s="12">
        <f>IF(AND($A103&lt;&gt;"",$C103&lt;&gt;""),IF(COUNTIFS($A$2:$A$1000,$A103,$C$2:$C$1000,$C103)&gt;1,"DUPLICAT",""),"")</f>
        <v/>
      </c>
    </row>
    <row r="104">
      <c r="A104" s="17" t="n"/>
      <c r="B104" s="17" t="n"/>
      <c r="C104" s="17" t="n"/>
      <c r="D104" s="18" t="n"/>
      <c r="E104" s="17" t="n"/>
      <c r="F104" s="19" t="n"/>
      <c r="G104" s="17" t="n"/>
      <c r="H104" s="17" t="n"/>
      <c r="I104" s="17" t="n"/>
      <c r="J104" s="19" t="n"/>
      <c r="K104" s="19" t="n"/>
      <c r="L104" s="20" t="n"/>
      <c r="M104" s="20" t="n"/>
      <c r="N104" s="17" t="n"/>
      <c r="O104" s="17" t="n"/>
      <c r="P104" s="21">
        <f>IF(AND(ISNUMBER($L104),ISNUMBER($M104)),MAX(0,$M104-$L104),"")</f>
        <v/>
      </c>
      <c r="Q104" s="21">
        <f>IF(ISNUMBER($D104),MAX(0,TODAY()-$D104),"")</f>
        <v/>
      </c>
      <c r="R104" s="19">
        <f>IF(COUNTA($A104:$O104)=0,"",IFERROR(TRIM(TEXTJOIN(" | ",TRUE,IF($A104="","PC kosong",""),IF($C104="","Worker ID kosong",""),IF($D104="","Update Date kosong",IF(NOT(ISNUMBER($D104)),"Update Date bukan tanggal","")),IF($E104="","Song ID YT kosong",""),IF($F104="","Judul kosong",""),IF(TRIM($G104)="","",IF(ISERROR(MATCH(TRIM($G104),{"TuneCore","DistroKid","TooLost","SoundOn","Ditto","Believe","CD Baby","Amuse","Symphonic Distribution","ONErpm","RouteNote","LANDR","Horus Music","Indie"},0)),"Aggregator di luar daftar","")),IF(TRIM($H104)="","Genre kosong",IF((LEN(SUBSTITUTE(SUBSTITUTE(SUBSTITUTE(TRIM($H104),"/",","),";",",")," ",""))-LEN(SUBSTITUTE(SUBSTITUTE(SUBSTITUTE(SUBSTITUTE(TRIM($H104),"/",","),";",","),"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104),"/",","),";",",")," ","")&amp;",")))&lt;&gt;(LEN(SUBSTITUTE(SUBSTITUTE(SUBSTITUTE(TRIM($H104),"/",","),";",",")," ",""))-LEN(SUBSTITUTE(SUBSTITUTE(SUBSTITUTE(SUBSTITUTE(TRIM($H104),"/",","),";",",")," ",""),",",""))+1),"Genre di luar daftar",""))),IF($I104="","Nama Channel kosong",""),IF($J104="","Link Channel kosong",IF(ISERROR(SEARCH("youtu",$J104)),"Link Channel bukan youtube","")),IF($K104="","Link Video kosong",IF(ISERROR(SEARCH("youtu",$K104)),"Link Video bukan youtube","")),IF($L104="","Tgl Dibuat kosong",IF(NOT(ISNUMBER($L104)),"Tgl Dibuat bukan tanggal","")),IF(AND($M104&lt;&gt;"",NOT(ISNUMBER($M104))),"Tgl Publish bukan tanggal",""),IF(AND(ISNUMBER($L104),ISNUMBER($M104),$M104&lt;$L104),"Tgl Publish &lt; Tgl buat",""),IF(TRIM($N104)="","Status kosong",IF(ISERROR(MATCH(TRIM($N104),{"Draft","Menunggu Review","Revisi","Terjadwal","Upload","Publish","Published","Batal"},0)),"Status di luar daftar","")))),""))</f>
        <v/>
      </c>
      <c r="S104" s="17">
        <f>IF(AND($A104&lt;&gt;"",$C104&lt;&gt;""),IF(COUNTIFS($A$2:$A$1000,$A104,$C$2:$C$1000,$C104)&gt;1,"DUPLICAT",""),"")</f>
        <v/>
      </c>
    </row>
    <row r="105">
      <c r="A105" s="12" t="n"/>
      <c r="B105" s="12" t="n"/>
      <c r="C105" s="12" t="n"/>
      <c r="D105" s="13" t="n"/>
      <c r="E105" s="12" t="n"/>
      <c r="F105" s="14" t="n"/>
      <c r="G105" s="12" t="n"/>
      <c r="H105" s="12" t="n"/>
      <c r="I105" s="12" t="n"/>
      <c r="J105" s="14" t="n"/>
      <c r="K105" s="14" t="n"/>
      <c r="L105" s="15" t="n"/>
      <c r="M105" s="15" t="n"/>
      <c r="N105" s="12" t="n"/>
      <c r="O105" s="12" t="n"/>
      <c r="P105" s="16">
        <f>IF(AND(ISNUMBER($L105),ISNUMBER($M105)),MAX(0,$M105-$L105),"")</f>
        <v/>
      </c>
      <c r="Q105" s="16">
        <f>IF(ISNUMBER($D105),MAX(0,TODAY()-$D105),"")</f>
        <v/>
      </c>
      <c r="R105" s="14">
        <f>IF(COUNTA($A105:$O105)=0,"",IFERROR(TRIM(TEXTJOIN(" | ",TRUE,IF($A105="","PC kosong",""),IF($C105="","Worker ID kosong",""),IF($D105="","Update Date kosong",IF(NOT(ISNUMBER($D105)),"Update Date bukan tanggal","")),IF($E105="","Song ID YT kosong",""),IF($F105="","Judul kosong",""),IF(TRIM($G105)="","",IF(ISERROR(MATCH(TRIM($G105),{"TuneCore","DistroKid","TooLost","SoundOn","Ditto","Believe","CD Baby","Amuse","Symphonic Distribution","ONErpm","RouteNote","LANDR","Horus Music","Indie"},0)),"Aggregator di luar daftar","")),IF(TRIM($H105)="","Genre kosong",IF((LEN(SUBSTITUTE(SUBSTITUTE(SUBSTITUTE(TRIM($H105),"/",","),";",",")," ",""))-LEN(SUBSTITUTE(SUBSTITUTE(SUBSTITUTE(SUBSTITUTE(TRIM($H105),"/",","),";",","),"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105),"/",","),";",",")," ","")&amp;",")))&lt;&gt;(LEN(SUBSTITUTE(SUBSTITUTE(SUBSTITUTE(TRIM($H105),"/",","),";",",")," ",""))-LEN(SUBSTITUTE(SUBSTITUTE(SUBSTITUTE(SUBSTITUTE(TRIM($H105),"/",","),";",",")," ",""),",",""))+1),"Genre di luar daftar",""))),IF($I105="","Nama Channel kosong",""),IF($J105="","Link Channel kosong",IF(ISERROR(SEARCH("youtu",$J105)),"Link Channel bukan youtube","")),IF($K105="","Link Video kosong",IF(ISERROR(SEARCH("youtu",$K105)),"Link Video bukan youtube","")),IF($L105="","Tgl Dibuat kosong",IF(NOT(ISNUMBER($L105)),"Tgl Dibuat bukan tanggal","")),IF(AND($M105&lt;&gt;"",NOT(ISNUMBER($M105))),"Tgl Publish bukan tanggal",""),IF(AND(ISNUMBER($L105),ISNUMBER($M105),$M105&lt;$L105),"Tgl Publish &lt; Tgl buat",""),IF(TRIM($N105)="","Status kosong",IF(ISERROR(MATCH(TRIM($N105),{"Draft","Menunggu Review","Revisi","Terjadwal","Upload","Publish","Published","Batal"},0)),"Status di luar daftar","")))),""))</f>
        <v/>
      </c>
      <c r="S105" s="12">
        <f>IF(AND($A105&lt;&gt;"",$C105&lt;&gt;""),IF(COUNTIFS($A$2:$A$1000,$A105,$C$2:$C$1000,$C105)&gt;1,"DUPLICAT",""),"")</f>
        <v/>
      </c>
    </row>
    <row r="106">
      <c r="A106" s="17" t="n"/>
      <c r="B106" s="17" t="n"/>
      <c r="C106" s="17" t="n"/>
      <c r="D106" s="18" t="n"/>
      <c r="E106" s="17" t="n"/>
      <c r="F106" s="19" t="n"/>
      <c r="G106" s="17" t="n"/>
      <c r="H106" s="17" t="n"/>
      <c r="I106" s="17" t="n"/>
      <c r="J106" s="19" t="n"/>
      <c r="K106" s="19" t="n"/>
      <c r="L106" s="20" t="n"/>
      <c r="M106" s="20" t="n"/>
      <c r="N106" s="17" t="n"/>
      <c r="O106" s="17" t="n"/>
      <c r="P106" s="21">
        <f>IF(AND(ISNUMBER($L106),ISNUMBER($M106)),MAX(0,$M106-$L106),"")</f>
        <v/>
      </c>
      <c r="Q106" s="21">
        <f>IF(ISNUMBER($D106),MAX(0,TODAY()-$D106),"")</f>
        <v/>
      </c>
      <c r="R106" s="19">
        <f>IF(COUNTA($A106:$O106)=0,"",IFERROR(TRIM(TEXTJOIN(" | ",TRUE,IF($A106="","PC kosong",""),IF($C106="","Worker ID kosong",""),IF($D106="","Update Date kosong",IF(NOT(ISNUMBER($D106)),"Update Date bukan tanggal","")),IF($E106="","Song ID YT kosong",""),IF($F106="","Judul kosong",""),IF(TRIM($G106)="","",IF(ISERROR(MATCH(TRIM($G106),{"TuneCore","DistroKid","TooLost","SoundOn","Ditto","Believe","CD Baby","Amuse","Symphonic Distribution","ONErpm","RouteNote","LANDR","Horus Music","Indie"},0)),"Aggregator di luar daftar","")),IF(TRIM($H106)="","Genre kosong",IF((LEN(SUBSTITUTE(SUBSTITUTE(SUBSTITUTE(TRIM($H106),"/",","),";",",")," ",""))-LEN(SUBSTITUTE(SUBSTITUTE(SUBSTITUTE(SUBSTITUTE(TRIM($H106),"/",","),";",","),"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106),"/",","),";",",")," ","")&amp;",")))&lt;&gt;(LEN(SUBSTITUTE(SUBSTITUTE(SUBSTITUTE(TRIM($H106),"/",","),";",",")," ",""))-LEN(SUBSTITUTE(SUBSTITUTE(SUBSTITUTE(SUBSTITUTE(TRIM($H106),"/",","),";",",")," ",""),",",""))+1),"Genre di luar daftar",""))),IF($I106="","Nama Channel kosong",""),IF($J106="","Link Channel kosong",IF(ISERROR(SEARCH("youtu",$J106)),"Link Channel bukan youtube","")),IF($K106="","Link Video kosong",IF(ISERROR(SEARCH("youtu",$K106)),"Link Video bukan youtube","")),IF($L106="","Tgl Dibuat kosong",IF(NOT(ISNUMBER($L106)),"Tgl Dibuat bukan tanggal","")),IF(AND($M106&lt;&gt;"",NOT(ISNUMBER($M106))),"Tgl Publish bukan tanggal",""),IF(AND(ISNUMBER($L106),ISNUMBER($M106),$M106&lt;$L106),"Tgl Publish &lt; Tgl buat",""),IF(TRIM($N106)="","Status kosong",IF(ISERROR(MATCH(TRIM($N106),{"Draft","Menunggu Review","Revisi","Terjadwal","Upload","Publish","Published","Batal"},0)),"Status di luar daftar","")))),""))</f>
        <v/>
      </c>
      <c r="S106" s="17">
        <f>IF(AND($A106&lt;&gt;"",$C106&lt;&gt;""),IF(COUNTIFS($A$2:$A$1000,$A106,$C$2:$C$1000,$C106)&gt;1,"DUPLICAT",""),"")</f>
        <v/>
      </c>
    </row>
    <row r="107">
      <c r="A107" s="12" t="n"/>
      <c r="B107" s="12" t="n"/>
      <c r="C107" s="12" t="n"/>
      <c r="D107" s="13" t="n"/>
      <c r="E107" s="12" t="n"/>
      <c r="F107" s="14" t="n"/>
      <c r="G107" s="12" t="n"/>
      <c r="H107" s="12" t="n"/>
      <c r="I107" s="12" t="n"/>
      <c r="J107" s="14" t="n"/>
      <c r="K107" s="14" t="n"/>
      <c r="L107" s="15" t="n"/>
      <c r="M107" s="15" t="n"/>
      <c r="N107" s="12" t="n"/>
      <c r="O107" s="12" t="n"/>
      <c r="P107" s="16">
        <f>IF(AND(ISNUMBER($L107),ISNUMBER($M107)),MAX(0,$M107-$L107),"")</f>
        <v/>
      </c>
      <c r="Q107" s="16">
        <f>IF(ISNUMBER($D107),MAX(0,TODAY()-$D107),"")</f>
        <v/>
      </c>
      <c r="R107" s="14">
        <f>IF(COUNTA($A107:$O107)=0,"",IFERROR(TRIM(TEXTJOIN(" | ",TRUE,IF($A107="","PC kosong",""),IF($C107="","Worker ID kosong",""),IF($D107="","Update Date kosong",IF(NOT(ISNUMBER($D107)),"Update Date bukan tanggal","")),IF($E107="","Song ID YT kosong",""),IF($F107="","Judul kosong",""),IF(TRIM($G107)="","",IF(ISERROR(MATCH(TRIM($G107),{"TuneCore","DistroKid","TooLost","SoundOn","Ditto","Believe","CD Baby","Amuse","Symphonic Distribution","ONErpm","RouteNote","LANDR","Horus Music","Indie"},0)),"Aggregator di luar daftar","")),IF(TRIM($H107)="","Genre kosong",IF((LEN(SUBSTITUTE(SUBSTITUTE(SUBSTITUTE(TRIM($H107),"/",","),";",",")," ",""))-LEN(SUBSTITUTE(SUBSTITUTE(SUBSTITUTE(SUBSTITUTE(TRIM($H107),"/",","),";",","),"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107),"/",","),";",",")," ","")&amp;",")))&lt;&gt;(LEN(SUBSTITUTE(SUBSTITUTE(SUBSTITUTE(TRIM($H107),"/",","),";",",")," ",""))-LEN(SUBSTITUTE(SUBSTITUTE(SUBSTITUTE(SUBSTITUTE(TRIM($H107),"/",","),";",",")," ",""),",",""))+1),"Genre di luar daftar",""))),IF($I107="","Nama Channel kosong",""),IF($J107="","Link Channel kosong",IF(ISERROR(SEARCH("youtu",$J107)),"Link Channel bukan youtube","")),IF($K107="","Link Video kosong",IF(ISERROR(SEARCH("youtu",$K107)),"Link Video bukan youtube","")),IF($L107="","Tgl Dibuat kosong",IF(NOT(ISNUMBER($L107)),"Tgl Dibuat bukan tanggal","")),IF(AND($M107&lt;&gt;"",NOT(ISNUMBER($M107))),"Tgl Publish bukan tanggal",""),IF(AND(ISNUMBER($L107),ISNUMBER($M107),$M107&lt;$L107),"Tgl Publish &lt; Tgl buat",""),IF(TRIM($N107)="","Status kosong",IF(ISERROR(MATCH(TRIM($N107),{"Draft","Menunggu Review","Revisi","Terjadwal","Upload","Publish","Published","Batal"},0)),"Status di luar daftar","")))),""))</f>
        <v/>
      </c>
      <c r="S107" s="12">
        <f>IF(AND($A107&lt;&gt;"",$C107&lt;&gt;""),IF(COUNTIFS($A$2:$A$1000,$A107,$C$2:$C$1000,$C107)&gt;1,"DUPLICAT",""),"")</f>
        <v/>
      </c>
    </row>
    <row r="108">
      <c r="A108" s="17" t="n"/>
      <c r="B108" s="17" t="n"/>
      <c r="C108" s="17" t="n"/>
      <c r="D108" s="18" t="n"/>
      <c r="E108" s="17" t="n"/>
      <c r="F108" s="19" t="n"/>
      <c r="G108" s="17" t="n"/>
      <c r="H108" s="17" t="n"/>
      <c r="I108" s="17" t="n"/>
      <c r="J108" s="19" t="n"/>
      <c r="K108" s="19" t="n"/>
      <c r="L108" s="20" t="n"/>
      <c r="M108" s="20" t="n"/>
      <c r="N108" s="17" t="n"/>
      <c r="O108" s="17" t="n"/>
      <c r="P108" s="21">
        <f>IF(AND(ISNUMBER($L108),ISNUMBER($M108)),MAX(0,$M108-$L108),"")</f>
        <v/>
      </c>
      <c r="Q108" s="21">
        <f>IF(ISNUMBER($D108),MAX(0,TODAY()-$D108),"")</f>
        <v/>
      </c>
      <c r="R108" s="19">
        <f>IF(COUNTA($A108:$O108)=0,"",IFERROR(TRIM(TEXTJOIN(" | ",TRUE,IF($A108="","PC kosong",""),IF($C108="","Worker ID kosong",""),IF($D108="","Update Date kosong",IF(NOT(ISNUMBER($D108)),"Update Date bukan tanggal","")),IF($E108="","Song ID YT kosong",""),IF($F108="","Judul kosong",""),IF(TRIM($G108)="","",IF(ISERROR(MATCH(TRIM($G108),{"TuneCore","DistroKid","TooLost","SoundOn","Ditto","Believe","CD Baby","Amuse","Symphonic Distribution","ONErpm","RouteNote","LANDR","Horus Music","Indie"},0)),"Aggregator di luar daftar","")),IF(TRIM($H108)="","Genre kosong",IF((LEN(SUBSTITUTE(SUBSTITUTE(SUBSTITUTE(TRIM($H108),"/",","),";",",")," ",""))-LEN(SUBSTITUTE(SUBSTITUTE(SUBSTITUTE(SUBSTITUTE(TRIM($H108),"/",","),";",","),"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108),"/",","),";",",")," ","")&amp;",")))&lt;&gt;(LEN(SUBSTITUTE(SUBSTITUTE(SUBSTITUTE(TRIM($H108),"/",","),";",",")," ",""))-LEN(SUBSTITUTE(SUBSTITUTE(SUBSTITUTE(SUBSTITUTE(TRIM($H108),"/",","),";",",")," ",""),",",""))+1),"Genre di luar daftar",""))),IF($I108="","Nama Channel kosong",""),IF($J108="","Link Channel kosong",IF(ISERROR(SEARCH("youtu",$J108)),"Link Channel bukan youtube","")),IF($K108="","Link Video kosong",IF(ISERROR(SEARCH("youtu",$K108)),"Link Video bukan youtube","")),IF($L108="","Tgl Dibuat kosong",IF(NOT(ISNUMBER($L108)),"Tgl Dibuat bukan tanggal","")),IF(AND($M108&lt;&gt;"",NOT(ISNUMBER($M108))),"Tgl Publish bukan tanggal",""),IF(AND(ISNUMBER($L108),ISNUMBER($M108),$M108&lt;$L108),"Tgl Publish &lt; Tgl buat",""),IF(TRIM($N108)="","Status kosong",IF(ISERROR(MATCH(TRIM($N108),{"Draft","Menunggu Review","Revisi","Terjadwal","Upload","Publish","Published","Batal"},0)),"Status di luar daftar","")))),""))</f>
        <v/>
      </c>
      <c r="S108" s="17">
        <f>IF(AND($A108&lt;&gt;"",$C108&lt;&gt;""),IF(COUNTIFS($A$2:$A$1000,$A108,$C$2:$C$1000,$C108)&gt;1,"DUPLICAT",""),"")</f>
        <v/>
      </c>
    </row>
    <row r="109">
      <c r="A109" s="12" t="n"/>
      <c r="B109" s="12" t="n"/>
      <c r="C109" s="12" t="n"/>
      <c r="D109" s="13" t="n"/>
      <c r="E109" s="12" t="n"/>
      <c r="F109" s="14" t="n"/>
      <c r="G109" s="12" t="n"/>
      <c r="H109" s="12" t="n"/>
      <c r="I109" s="12" t="n"/>
      <c r="J109" s="14" t="n"/>
      <c r="K109" s="14" t="n"/>
      <c r="L109" s="15" t="n"/>
      <c r="M109" s="15" t="n"/>
      <c r="N109" s="12" t="n"/>
      <c r="O109" s="12" t="n"/>
      <c r="P109" s="16">
        <f>IF(AND(ISNUMBER($L109),ISNUMBER($M109)),MAX(0,$M109-$L109),"")</f>
        <v/>
      </c>
      <c r="Q109" s="16">
        <f>IF(ISNUMBER($D109),MAX(0,TODAY()-$D109),"")</f>
        <v/>
      </c>
      <c r="R109" s="14">
        <f>IF(COUNTA($A109:$O109)=0,"",IFERROR(TRIM(TEXTJOIN(" | ",TRUE,IF($A109="","PC kosong",""),IF($C109="","Worker ID kosong",""),IF($D109="","Update Date kosong",IF(NOT(ISNUMBER($D109)),"Update Date bukan tanggal","")),IF($E109="","Song ID YT kosong",""),IF($F109="","Judul kosong",""),IF(TRIM($G109)="","",IF(ISERROR(MATCH(TRIM($G109),{"TuneCore","DistroKid","TooLost","SoundOn","Ditto","Believe","CD Baby","Amuse","Symphonic Distribution","ONErpm","RouteNote","LANDR","Horus Music","Indie"},0)),"Aggregator di luar daftar","")),IF(TRIM($H109)="","Genre kosong",IF((LEN(SUBSTITUTE(SUBSTITUTE(SUBSTITUTE(TRIM($H109),"/",","),";",",")," ",""))-LEN(SUBSTITUTE(SUBSTITUTE(SUBSTITUTE(SUBSTITUTE(TRIM($H109),"/",","),";",","),"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109),"/",","),";",",")," ","")&amp;",")))&lt;&gt;(LEN(SUBSTITUTE(SUBSTITUTE(SUBSTITUTE(TRIM($H109),"/",","),";",",")," ",""))-LEN(SUBSTITUTE(SUBSTITUTE(SUBSTITUTE(SUBSTITUTE(TRIM($H109),"/",","),";",",")," ",""),",",""))+1),"Genre di luar daftar",""))),IF($I109="","Nama Channel kosong",""),IF($J109="","Link Channel kosong",IF(ISERROR(SEARCH("youtu",$J109)),"Link Channel bukan youtube","")),IF($K109="","Link Video kosong",IF(ISERROR(SEARCH("youtu",$K109)),"Link Video bukan youtube","")),IF($L109="","Tgl Dibuat kosong",IF(NOT(ISNUMBER($L109)),"Tgl Dibuat bukan tanggal","")),IF(AND($M109&lt;&gt;"",NOT(ISNUMBER($M109))),"Tgl Publish bukan tanggal",""),IF(AND(ISNUMBER($L109),ISNUMBER($M109),$M109&lt;$L109),"Tgl Publish &lt; Tgl buat",""),IF(TRIM($N109)="","Status kosong",IF(ISERROR(MATCH(TRIM($N109),{"Draft","Menunggu Review","Revisi","Terjadwal","Upload","Publish","Published","Batal"},0)),"Status di luar daftar","")))),""))</f>
        <v/>
      </c>
      <c r="S109" s="12">
        <f>IF(AND($A109&lt;&gt;"",$C109&lt;&gt;""),IF(COUNTIFS($A$2:$A$1000,$A109,$C$2:$C$1000,$C109)&gt;1,"DUPLICAT",""),"")</f>
        <v/>
      </c>
    </row>
    <row r="110">
      <c r="A110" s="17" t="n"/>
      <c r="B110" s="17" t="n"/>
      <c r="C110" s="17" t="n"/>
      <c r="D110" s="18" t="n"/>
      <c r="E110" s="17" t="n"/>
      <c r="F110" s="19" t="n"/>
      <c r="G110" s="17" t="n"/>
      <c r="H110" s="17" t="n"/>
      <c r="I110" s="17" t="n"/>
      <c r="J110" s="19" t="n"/>
      <c r="K110" s="19" t="n"/>
      <c r="L110" s="20" t="n"/>
      <c r="M110" s="20" t="n"/>
      <c r="N110" s="17" t="n"/>
      <c r="O110" s="17" t="n"/>
      <c r="P110" s="21">
        <f>IF(AND(ISNUMBER($L110),ISNUMBER($M110)),MAX(0,$M110-$L110),"")</f>
        <v/>
      </c>
      <c r="Q110" s="21">
        <f>IF(ISNUMBER($D110),MAX(0,TODAY()-$D110),"")</f>
        <v/>
      </c>
      <c r="R110" s="19">
        <f>IF(COUNTA($A110:$O110)=0,"",IFERROR(TRIM(TEXTJOIN(" | ",TRUE,IF($A110="","PC kosong",""),IF($C110="","Worker ID kosong",""),IF($D110="","Update Date kosong",IF(NOT(ISNUMBER($D110)),"Update Date bukan tanggal","")),IF($E110="","Song ID YT kosong",""),IF($F110="","Judul kosong",""),IF(TRIM($G110)="","",IF(ISERROR(MATCH(TRIM($G110),{"TuneCore","DistroKid","TooLost","SoundOn","Ditto","Believe","CD Baby","Amuse","Symphonic Distribution","ONErpm","RouteNote","LANDR","Horus Music","Indie"},0)),"Aggregator di luar daftar","")),IF(TRIM($H110)="","Genre kosong",IF((LEN(SUBSTITUTE(SUBSTITUTE(SUBSTITUTE(TRIM($H110),"/",","),";",",")," ",""))-LEN(SUBSTITUTE(SUBSTITUTE(SUBSTITUTE(SUBSTITUTE(TRIM($H110),"/",","),";",","),"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110),"/",","),";",",")," ","")&amp;",")))&lt;&gt;(LEN(SUBSTITUTE(SUBSTITUTE(SUBSTITUTE(TRIM($H110),"/",","),";",",")," ",""))-LEN(SUBSTITUTE(SUBSTITUTE(SUBSTITUTE(SUBSTITUTE(TRIM($H110),"/",","),";",",")," ",""),",",""))+1),"Genre di luar daftar",""))),IF($I110="","Nama Channel kosong",""),IF($J110="","Link Channel kosong",IF(ISERROR(SEARCH("youtu",$J110)),"Link Channel bukan youtube","")),IF($K110="","Link Video kosong",IF(ISERROR(SEARCH("youtu",$K110)),"Link Video bukan youtube","")),IF($L110="","Tgl Dibuat kosong",IF(NOT(ISNUMBER($L110)),"Tgl Dibuat bukan tanggal","")),IF(AND($M110&lt;&gt;"",NOT(ISNUMBER($M110))),"Tgl Publish bukan tanggal",""),IF(AND(ISNUMBER($L110),ISNUMBER($M110),$M110&lt;$L110),"Tgl Publish &lt; Tgl buat",""),IF(TRIM($N110)="","Status kosong",IF(ISERROR(MATCH(TRIM($N110),{"Draft","Menunggu Review","Revisi","Terjadwal","Upload","Publish","Published","Batal"},0)),"Status di luar daftar","")))),""))</f>
        <v/>
      </c>
      <c r="S110" s="17">
        <f>IF(AND($A110&lt;&gt;"",$C110&lt;&gt;""),IF(COUNTIFS($A$2:$A$1000,$A110,$C$2:$C$1000,$C110)&gt;1,"DUPLICAT",""),"")</f>
        <v/>
      </c>
    </row>
    <row r="111">
      <c r="A111" s="12" t="n"/>
      <c r="B111" s="12" t="n"/>
      <c r="C111" s="12" t="n"/>
      <c r="D111" s="13" t="n"/>
      <c r="E111" s="12" t="n"/>
      <c r="F111" s="14" t="n"/>
      <c r="G111" s="12" t="n"/>
      <c r="H111" s="12" t="n"/>
      <c r="I111" s="12" t="n"/>
      <c r="J111" s="14" t="n"/>
      <c r="K111" s="14" t="n"/>
      <c r="L111" s="15" t="n"/>
      <c r="M111" s="15" t="n"/>
      <c r="N111" s="12" t="n"/>
      <c r="O111" s="12" t="n"/>
      <c r="P111" s="16">
        <f>IF(AND(ISNUMBER($L111),ISNUMBER($M111)),MAX(0,$M111-$L111),"")</f>
        <v/>
      </c>
      <c r="Q111" s="16">
        <f>IF(ISNUMBER($D111),MAX(0,TODAY()-$D111),"")</f>
        <v/>
      </c>
      <c r="R111" s="14">
        <f>IF(COUNTA($A111:$O111)=0,"",IFERROR(TRIM(TEXTJOIN(" | ",TRUE,IF($A111="","PC kosong",""),IF($C111="","Worker ID kosong",""),IF($D111="","Update Date kosong",IF(NOT(ISNUMBER($D111)),"Update Date bukan tanggal","")),IF($E111="","Song ID YT kosong",""),IF($F111="","Judul kosong",""),IF(TRIM($G111)="","",IF(ISERROR(MATCH(TRIM($G111),{"TuneCore","DistroKid","TooLost","SoundOn","Ditto","Believe","CD Baby","Amuse","Symphonic Distribution","ONErpm","RouteNote","LANDR","Horus Music","Indie"},0)),"Aggregator di luar daftar","")),IF(TRIM($H111)="","Genre kosong",IF((LEN(SUBSTITUTE(SUBSTITUTE(SUBSTITUTE(TRIM($H111),"/",","),";",",")," ",""))-LEN(SUBSTITUTE(SUBSTITUTE(SUBSTITUTE(SUBSTITUTE(TRIM($H111),"/",","),";",","),"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111),"/",","),";",",")," ","")&amp;",")))&lt;&gt;(LEN(SUBSTITUTE(SUBSTITUTE(SUBSTITUTE(TRIM($H111),"/",","),";",",")," ",""))-LEN(SUBSTITUTE(SUBSTITUTE(SUBSTITUTE(SUBSTITUTE(TRIM($H111),"/",","),";",",")," ",""),",",""))+1),"Genre di luar daftar",""))),IF($I111="","Nama Channel kosong",""),IF($J111="","Link Channel kosong",IF(ISERROR(SEARCH("youtu",$J111)),"Link Channel bukan youtube","")),IF($K111="","Link Video kosong",IF(ISERROR(SEARCH("youtu",$K111)),"Link Video bukan youtube","")),IF($L111="","Tgl Dibuat kosong",IF(NOT(ISNUMBER($L111)),"Tgl Dibuat bukan tanggal","")),IF(AND($M111&lt;&gt;"",NOT(ISNUMBER($M111))),"Tgl Publish bukan tanggal",""),IF(AND(ISNUMBER($L111),ISNUMBER($M111),$M111&lt;$L111),"Tgl Publish &lt; Tgl buat",""),IF(TRIM($N111)="","Status kosong",IF(ISERROR(MATCH(TRIM($N111),{"Draft","Menunggu Review","Revisi","Terjadwal","Upload","Publish","Published","Batal"},0)),"Status di luar daftar","")))),""))</f>
        <v/>
      </c>
      <c r="S111" s="12">
        <f>IF(AND($A111&lt;&gt;"",$C111&lt;&gt;""),IF(COUNTIFS($A$2:$A$1000,$A111,$C$2:$C$1000,$C111)&gt;1,"DUPLICAT",""),"")</f>
        <v/>
      </c>
    </row>
    <row r="112">
      <c r="A112" s="17" t="n"/>
      <c r="B112" s="17" t="n"/>
      <c r="C112" s="17" t="n"/>
      <c r="D112" s="18" t="n"/>
      <c r="E112" s="17" t="n"/>
      <c r="F112" s="19" t="n"/>
      <c r="G112" s="17" t="n"/>
      <c r="H112" s="17" t="n"/>
      <c r="I112" s="17" t="n"/>
      <c r="J112" s="19" t="n"/>
      <c r="K112" s="19" t="n"/>
      <c r="L112" s="20" t="n"/>
      <c r="M112" s="20" t="n"/>
      <c r="N112" s="17" t="n"/>
      <c r="O112" s="17" t="n"/>
      <c r="P112" s="21">
        <f>IF(AND(ISNUMBER($L112),ISNUMBER($M112)),MAX(0,$M112-$L112),"")</f>
        <v/>
      </c>
      <c r="Q112" s="21">
        <f>IF(ISNUMBER($D112),MAX(0,TODAY()-$D112),"")</f>
        <v/>
      </c>
      <c r="R112" s="19">
        <f>IF(COUNTA($A112:$O112)=0,"",IFERROR(TRIM(TEXTJOIN(" | ",TRUE,IF($A112="","PC kosong",""),IF($C112="","Worker ID kosong",""),IF($D112="","Update Date kosong",IF(NOT(ISNUMBER($D112)),"Update Date bukan tanggal","")),IF($E112="","Song ID YT kosong",""),IF($F112="","Judul kosong",""),IF(TRIM($G112)="","",IF(ISERROR(MATCH(TRIM($G112),{"TuneCore","DistroKid","TooLost","SoundOn","Ditto","Believe","CD Baby","Amuse","Symphonic Distribution","ONErpm","RouteNote","LANDR","Horus Music","Indie"},0)),"Aggregator di luar daftar","")),IF(TRIM($H112)="","Genre kosong",IF((LEN(SUBSTITUTE(SUBSTITUTE(SUBSTITUTE(TRIM($H112),"/",","),";",",")," ",""))-LEN(SUBSTITUTE(SUBSTITUTE(SUBSTITUTE(SUBSTITUTE(TRIM($H112),"/",","),";",","),"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112),"/",","),";",",")," ","")&amp;",")))&lt;&gt;(LEN(SUBSTITUTE(SUBSTITUTE(SUBSTITUTE(TRIM($H112),"/",","),";",",")," ",""))-LEN(SUBSTITUTE(SUBSTITUTE(SUBSTITUTE(SUBSTITUTE(TRIM($H112),"/",","),";",",")," ",""),",",""))+1),"Genre di luar daftar",""))),IF($I112="","Nama Channel kosong",""),IF($J112="","Link Channel kosong",IF(ISERROR(SEARCH("youtu",$J112)),"Link Channel bukan youtube","")),IF($K112="","Link Video kosong",IF(ISERROR(SEARCH("youtu",$K112)),"Link Video bukan youtube","")),IF($L112="","Tgl Dibuat kosong",IF(NOT(ISNUMBER($L112)),"Tgl Dibuat bukan tanggal","")),IF(AND($M112&lt;&gt;"",NOT(ISNUMBER($M112))),"Tgl Publish bukan tanggal",""),IF(AND(ISNUMBER($L112),ISNUMBER($M112),$M112&lt;$L112),"Tgl Publish &lt; Tgl buat",""),IF(TRIM($N112)="","Status kosong",IF(ISERROR(MATCH(TRIM($N112),{"Draft","Menunggu Review","Revisi","Terjadwal","Upload","Publish","Published","Batal"},0)),"Status di luar daftar","")))),""))</f>
        <v/>
      </c>
      <c r="S112" s="17">
        <f>IF(AND($A112&lt;&gt;"",$C112&lt;&gt;""),IF(COUNTIFS($A$2:$A$1000,$A112,$C$2:$C$1000,$C112)&gt;1,"DUPLICAT",""),"")</f>
        <v/>
      </c>
    </row>
    <row r="113">
      <c r="A113" s="12" t="n"/>
      <c r="B113" s="12" t="n"/>
      <c r="C113" s="12" t="n"/>
      <c r="D113" s="13" t="n"/>
      <c r="E113" s="12" t="n"/>
      <c r="F113" s="14" t="n"/>
      <c r="G113" s="12" t="n"/>
      <c r="H113" s="12" t="n"/>
      <c r="I113" s="12" t="n"/>
      <c r="J113" s="14" t="n"/>
      <c r="K113" s="14" t="n"/>
      <c r="L113" s="15" t="n"/>
      <c r="M113" s="15" t="n"/>
      <c r="N113" s="12" t="n"/>
      <c r="O113" s="12" t="n"/>
      <c r="P113" s="16">
        <f>IF(AND(ISNUMBER($L113),ISNUMBER($M113)),MAX(0,$M113-$L113),"")</f>
        <v/>
      </c>
      <c r="Q113" s="16">
        <f>IF(ISNUMBER($D113),MAX(0,TODAY()-$D113),"")</f>
        <v/>
      </c>
      <c r="R113" s="14">
        <f>IF(COUNTA($A113:$O113)=0,"",IFERROR(TRIM(TEXTJOIN(" | ",TRUE,IF($A113="","PC kosong",""),IF($C113="","Worker ID kosong",""),IF($D113="","Update Date kosong",IF(NOT(ISNUMBER($D113)),"Update Date bukan tanggal","")),IF($E113="","Song ID YT kosong",""),IF($F113="","Judul kosong",""),IF(TRIM($G113)="","",IF(ISERROR(MATCH(TRIM($G113),{"TuneCore","DistroKid","TooLost","SoundOn","Ditto","Believe","CD Baby","Amuse","Symphonic Distribution","ONErpm","RouteNote","LANDR","Horus Music","Indie"},0)),"Aggregator di luar daftar","")),IF(TRIM($H113)="","Genre kosong",IF((LEN(SUBSTITUTE(SUBSTITUTE(SUBSTITUTE(TRIM($H113),"/",","),";",",")," ",""))-LEN(SUBSTITUTE(SUBSTITUTE(SUBSTITUTE(SUBSTITUTE(TRIM($H113),"/",","),";",","),"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113),"/",","),";",",")," ","")&amp;",")))&lt;&gt;(LEN(SUBSTITUTE(SUBSTITUTE(SUBSTITUTE(TRIM($H113),"/",","),";",",")," ",""))-LEN(SUBSTITUTE(SUBSTITUTE(SUBSTITUTE(SUBSTITUTE(TRIM($H113),"/",","),";",",")," ",""),",",""))+1),"Genre di luar daftar",""))),IF($I113="","Nama Channel kosong",""),IF($J113="","Link Channel kosong",IF(ISERROR(SEARCH("youtu",$J113)),"Link Channel bukan youtube","")),IF($K113="","Link Video kosong",IF(ISERROR(SEARCH("youtu",$K113)),"Link Video bukan youtube","")),IF($L113="","Tgl Dibuat kosong",IF(NOT(ISNUMBER($L113)),"Tgl Dibuat bukan tanggal","")),IF(AND($M113&lt;&gt;"",NOT(ISNUMBER($M113))),"Tgl Publish bukan tanggal",""),IF(AND(ISNUMBER($L113),ISNUMBER($M113),$M113&lt;$L113),"Tgl Publish &lt; Tgl buat",""),IF(TRIM($N113)="","Status kosong",IF(ISERROR(MATCH(TRIM($N113),{"Draft","Menunggu Review","Revisi","Terjadwal","Upload","Publish","Published","Batal"},0)),"Status di luar daftar","")))),""))</f>
        <v/>
      </c>
      <c r="S113" s="12">
        <f>IF(AND($A113&lt;&gt;"",$C113&lt;&gt;""),IF(COUNTIFS($A$2:$A$1000,$A113,$C$2:$C$1000,$C113)&gt;1,"DUPLICAT",""),"")</f>
        <v/>
      </c>
    </row>
    <row r="114">
      <c r="A114" s="17" t="n"/>
      <c r="B114" s="17" t="n"/>
      <c r="C114" s="17" t="n"/>
      <c r="D114" s="18" t="n"/>
      <c r="E114" s="17" t="n"/>
      <c r="F114" s="19" t="n"/>
      <c r="G114" s="17" t="n"/>
      <c r="H114" s="17" t="n"/>
      <c r="I114" s="17" t="n"/>
      <c r="J114" s="19" t="n"/>
      <c r="K114" s="19" t="n"/>
      <c r="L114" s="20" t="n"/>
      <c r="M114" s="20" t="n"/>
      <c r="N114" s="17" t="n"/>
      <c r="O114" s="17" t="n"/>
      <c r="P114" s="21">
        <f>IF(AND(ISNUMBER($L114),ISNUMBER($M114)),MAX(0,$M114-$L114),"")</f>
        <v/>
      </c>
      <c r="Q114" s="21">
        <f>IF(ISNUMBER($D114),MAX(0,TODAY()-$D114),"")</f>
        <v/>
      </c>
      <c r="R114" s="19">
        <f>IF(COUNTA($A114:$O114)=0,"",IFERROR(TRIM(TEXTJOIN(" | ",TRUE,IF($A114="","PC kosong",""),IF($C114="","Worker ID kosong",""),IF($D114="","Update Date kosong",IF(NOT(ISNUMBER($D114)),"Update Date bukan tanggal","")),IF($E114="","Song ID YT kosong",""),IF($F114="","Judul kosong",""),IF(TRIM($G114)="","",IF(ISERROR(MATCH(TRIM($G114),{"TuneCore","DistroKid","TooLost","SoundOn","Ditto","Believe","CD Baby","Amuse","Symphonic Distribution","ONErpm","RouteNote","LANDR","Horus Music","Indie"},0)),"Aggregator di luar daftar","")),IF(TRIM($H114)="","Genre kosong",IF((LEN(SUBSTITUTE(SUBSTITUTE(SUBSTITUTE(TRIM($H114),"/",","),";",",")," ",""))-LEN(SUBSTITUTE(SUBSTITUTE(SUBSTITUTE(SUBSTITUTE(TRIM($H114),"/",","),";",","),"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114),"/",","),";",",")," ","")&amp;",")))&lt;&gt;(LEN(SUBSTITUTE(SUBSTITUTE(SUBSTITUTE(TRIM($H114),"/",","),";",",")," ",""))-LEN(SUBSTITUTE(SUBSTITUTE(SUBSTITUTE(SUBSTITUTE(TRIM($H114),"/",","),";",",")," ",""),",",""))+1),"Genre di luar daftar",""))),IF($I114="","Nama Channel kosong",""),IF($J114="","Link Channel kosong",IF(ISERROR(SEARCH("youtu",$J114)),"Link Channel bukan youtube","")),IF($K114="","Link Video kosong",IF(ISERROR(SEARCH("youtu",$K114)),"Link Video bukan youtube","")),IF($L114="","Tgl Dibuat kosong",IF(NOT(ISNUMBER($L114)),"Tgl Dibuat bukan tanggal","")),IF(AND($M114&lt;&gt;"",NOT(ISNUMBER($M114))),"Tgl Publish bukan tanggal",""),IF(AND(ISNUMBER($L114),ISNUMBER($M114),$M114&lt;$L114),"Tgl Publish &lt; Tgl buat",""),IF(TRIM($N114)="","Status kosong",IF(ISERROR(MATCH(TRIM($N114),{"Draft","Menunggu Review","Revisi","Terjadwal","Upload","Publish","Published","Batal"},0)),"Status di luar daftar","")))),""))</f>
        <v/>
      </c>
      <c r="S114" s="17">
        <f>IF(AND($A114&lt;&gt;"",$C114&lt;&gt;""),IF(COUNTIFS($A$2:$A$1000,$A114,$C$2:$C$1000,$C114)&gt;1,"DUPLICAT",""),"")</f>
        <v/>
      </c>
    </row>
    <row r="115">
      <c r="A115" s="12" t="n"/>
      <c r="B115" s="12" t="n"/>
      <c r="C115" s="12" t="n"/>
      <c r="D115" s="13" t="n"/>
      <c r="E115" s="12" t="n"/>
      <c r="F115" s="14" t="n"/>
      <c r="G115" s="12" t="n"/>
      <c r="H115" s="12" t="n"/>
      <c r="I115" s="12" t="n"/>
      <c r="J115" s="14" t="n"/>
      <c r="K115" s="14" t="n"/>
      <c r="L115" s="15" t="n"/>
      <c r="M115" s="15" t="n"/>
      <c r="N115" s="12" t="n"/>
      <c r="O115" s="12" t="n"/>
      <c r="P115" s="16">
        <f>IF(AND(ISNUMBER($L115),ISNUMBER($M115)),MAX(0,$M115-$L115),"")</f>
        <v/>
      </c>
      <c r="Q115" s="16">
        <f>IF(ISNUMBER($D115),MAX(0,TODAY()-$D115),"")</f>
        <v/>
      </c>
      <c r="R115" s="14">
        <f>IF(COUNTA($A115:$O115)=0,"",IFERROR(TRIM(TEXTJOIN(" | ",TRUE,IF($A115="","PC kosong",""),IF($C115="","Worker ID kosong",""),IF($D115="","Update Date kosong",IF(NOT(ISNUMBER($D115)),"Update Date bukan tanggal","")),IF($E115="","Song ID YT kosong",""),IF($F115="","Judul kosong",""),IF(TRIM($G115)="","",IF(ISERROR(MATCH(TRIM($G115),{"TuneCore","DistroKid","TooLost","SoundOn","Ditto","Believe","CD Baby","Amuse","Symphonic Distribution","ONErpm","RouteNote","LANDR","Horus Music","Indie"},0)),"Aggregator di luar daftar","")),IF(TRIM($H115)="","Genre kosong",IF((LEN(SUBSTITUTE(SUBSTITUTE(SUBSTITUTE(TRIM($H115),"/",","),";",",")," ",""))-LEN(SUBSTITUTE(SUBSTITUTE(SUBSTITUTE(SUBSTITUTE(TRIM($H115),"/",","),";",","),"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115),"/",","),";",",")," ","")&amp;",")))&lt;&gt;(LEN(SUBSTITUTE(SUBSTITUTE(SUBSTITUTE(TRIM($H115),"/",","),";",",")," ",""))-LEN(SUBSTITUTE(SUBSTITUTE(SUBSTITUTE(SUBSTITUTE(TRIM($H115),"/",","),";",",")," ",""),",",""))+1),"Genre di luar daftar",""))),IF($I115="","Nama Channel kosong",""),IF($J115="","Link Channel kosong",IF(ISERROR(SEARCH("youtu",$J115)),"Link Channel bukan youtube","")),IF($K115="","Link Video kosong",IF(ISERROR(SEARCH("youtu",$K115)),"Link Video bukan youtube","")),IF($L115="","Tgl Dibuat kosong",IF(NOT(ISNUMBER($L115)),"Tgl Dibuat bukan tanggal","")),IF(AND($M115&lt;&gt;"",NOT(ISNUMBER($M115))),"Tgl Publish bukan tanggal",""),IF(AND(ISNUMBER($L115),ISNUMBER($M115),$M115&lt;$L115),"Tgl Publish &lt; Tgl buat",""),IF(TRIM($N115)="","Status kosong",IF(ISERROR(MATCH(TRIM($N115),{"Draft","Menunggu Review","Revisi","Terjadwal","Upload","Publish","Published","Batal"},0)),"Status di luar daftar","")))),""))</f>
        <v/>
      </c>
      <c r="S115" s="12">
        <f>IF(AND($A115&lt;&gt;"",$C115&lt;&gt;""),IF(COUNTIFS($A$2:$A$1000,$A115,$C$2:$C$1000,$C115)&gt;1,"DUPLICAT",""),"")</f>
        <v/>
      </c>
    </row>
    <row r="116">
      <c r="A116" s="17" t="n"/>
      <c r="B116" s="17" t="n"/>
      <c r="C116" s="17" t="n"/>
      <c r="D116" s="18" t="n"/>
      <c r="E116" s="17" t="n"/>
      <c r="F116" s="19" t="n"/>
      <c r="G116" s="17" t="n"/>
      <c r="H116" s="17" t="n"/>
      <c r="I116" s="17" t="n"/>
      <c r="J116" s="19" t="n"/>
      <c r="K116" s="19" t="n"/>
      <c r="L116" s="20" t="n"/>
      <c r="M116" s="20" t="n"/>
      <c r="N116" s="17" t="n"/>
      <c r="O116" s="17" t="n"/>
      <c r="P116" s="21">
        <f>IF(AND(ISNUMBER($L116),ISNUMBER($M116)),MAX(0,$M116-$L116),"")</f>
        <v/>
      </c>
      <c r="Q116" s="21">
        <f>IF(ISNUMBER($D116),MAX(0,TODAY()-$D116),"")</f>
        <v/>
      </c>
      <c r="R116" s="19">
        <f>IF(COUNTA($A116:$O116)=0,"",IFERROR(TRIM(TEXTJOIN(" | ",TRUE,IF($A116="","PC kosong",""),IF($C116="","Worker ID kosong",""),IF($D116="","Update Date kosong",IF(NOT(ISNUMBER($D116)),"Update Date bukan tanggal","")),IF($E116="","Song ID YT kosong",""),IF($F116="","Judul kosong",""),IF(TRIM($G116)="","",IF(ISERROR(MATCH(TRIM($G116),{"TuneCore","DistroKid","TooLost","SoundOn","Ditto","Believe","CD Baby","Amuse","Symphonic Distribution","ONErpm","RouteNote","LANDR","Horus Music","Indie"},0)),"Aggregator di luar daftar","")),IF(TRIM($H116)="","Genre kosong",IF((LEN(SUBSTITUTE(SUBSTITUTE(SUBSTITUTE(TRIM($H116),"/",","),";",",")," ",""))-LEN(SUBSTITUTE(SUBSTITUTE(SUBSTITUTE(SUBSTITUTE(TRIM($H116),"/",","),";",","),"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116),"/",","),";",",")," ","")&amp;",")))&lt;&gt;(LEN(SUBSTITUTE(SUBSTITUTE(SUBSTITUTE(TRIM($H116),"/",","),";",",")," ",""))-LEN(SUBSTITUTE(SUBSTITUTE(SUBSTITUTE(SUBSTITUTE(TRIM($H116),"/",","),";",",")," ",""),",",""))+1),"Genre di luar daftar",""))),IF($I116="","Nama Channel kosong",""),IF($J116="","Link Channel kosong",IF(ISERROR(SEARCH("youtu",$J116)),"Link Channel bukan youtube","")),IF($K116="","Link Video kosong",IF(ISERROR(SEARCH("youtu",$K116)),"Link Video bukan youtube","")),IF($L116="","Tgl Dibuat kosong",IF(NOT(ISNUMBER($L116)),"Tgl Dibuat bukan tanggal","")),IF(AND($M116&lt;&gt;"",NOT(ISNUMBER($M116))),"Tgl Publish bukan tanggal",""),IF(AND(ISNUMBER($L116),ISNUMBER($M116),$M116&lt;$L116),"Tgl Publish &lt; Tgl buat",""),IF(TRIM($N116)="","Status kosong",IF(ISERROR(MATCH(TRIM($N116),{"Draft","Menunggu Review","Revisi","Terjadwal","Upload","Publish","Published","Batal"},0)),"Status di luar daftar","")))),""))</f>
        <v/>
      </c>
      <c r="S116" s="17">
        <f>IF(AND($A116&lt;&gt;"",$C116&lt;&gt;""),IF(COUNTIFS($A$2:$A$1000,$A116,$C$2:$C$1000,$C116)&gt;1,"DUPLICAT",""),"")</f>
        <v/>
      </c>
    </row>
    <row r="117">
      <c r="A117" s="12" t="n"/>
      <c r="B117" s="12" t="n"/>
      <c r="C117" s="12" t="n"/>
      <c r="D117" s="13" t="n"/>
      <c r="E117" s="12" t="n"/>
      <c r="F117" s="14" t="n"/>
      <c r="G117" s="12" t="n"/>
      <c r="H117" s="12" t="n"/>
      <c r="I117" s="12" t="n"/>
      <c r="J117" s="14" t="n"/>
      <c r="K117" s="14" t="n"/>
      <c r="L117" s="15" t="n"/>
      <c r="M117" s="15" t="n"/>
      <c r="N117" s="12" t="n"/>
      <c r="O117" s="12" t="n"/>
      <c r="P117" s="16">
        <f>IF(AND(ISNUMBER($L117),ISNUMBER($M117)),MAX(0,$M117-$L117),"")</f>
        <v/>
      </c>
      <c r="Q117" s="16">
        <f>IF(ISNUMBER($D117),MAX(0,TODAY()-$D117),"")</f>
        <v/>
      </c>
      <c r="R117" s="14">
        <f>IF(COUNTA($A117:$O117)=0,"",IFERROR(TRIM(TEXTJOIN(" | ",TRUE,IF($A117="","PC kosong",""),IF($C117="","Worker ID kosong",""),IF($D117="","Update Date kosong",IF(NOT(ISNUMBER($D117)),"Update Date bukan tanggal","")),IF($E117="","Song ID YT kosong",""),IF($F117="","Judul kosong",""),IF(TRIM($G117)="","",IF(ISERROR(MATCH(TRIM($G117),{"TuneCore","DistroKid","TooLost","SoundOn","Ditto","Believe","CD Baby","Amuse","Symphonic Distribution","ONErpm","RouteNote","LANDR","Horus Music","Indie"},0)),"Aggregator di luar daftar","")),IF(TRIM($H117)="","Genre kosong",IF((LEN(SUBSTITUTE(SUBSTITUTE(SUBSTITUTE(TRIM($H117),"/",","),";",",")," ",""))-LEN(SUBSTITUTE(SUBSTITUTE(SUBSTITUTE(SUBSTITUTE(TRIM($H117),"/",","),";",","),"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117),"/",","),";",",")," ","")&amp;",")))&lt;&gt;(LEN(SUBSTITUTE(SUBSTITUTE(SUBSTITUTE(TRIM($H117),"/",","),";",",")," ",""))-LEN(SUBSTITUTE(SUBSTITUTE(SUBSTITUTE(SUBSTITUTE(TRIM($H117),"/",","),";",",")," ",""),",",""))+1),"Genre di luar daftar",""))),IF($I117="","Nama Channel kosong",""),IF($J117="","Link Channel kosong",IF(ISERROR(SEARCH("youtu",$J117)),"Link Channel bukan youtube","")),IF($K117="","Link Video kosong",IF(ISERROR(SEARCH("youtu",$K117)),"Link Video bukan youtube","")),IF($L117="","Tgl Dibuat kosong",IF(NOT(ISNUMBER($L117)),"Tgl Dibuat bukan tanggal","")),IF(AND($M117&lt;&gt;"",NOT(ISNUMBER($M117))),"Tgl Publish bukan tanggal",""),IF(AND(ISNUMBER($L117),ISNUMBER($M117),$M117&lt;$L117),"Tgl Publish &lt; Tgl buat",""),IF(TRIM($N117)="","Status kosong",IF(ISERROR(MATCH(TRIM($N117),{"Draft","Menunggu Review","Revisi","Terjadwal","Upload","Publish","Published","Batal"},0)),"Status di luar daftar","")))),""))</f>
        <v/>
      </c>
      <c r="S117" s="12">
        <f>IF(AND($A117&lt;&gt;"",$C117&lt;&gt;""),IF(COUNTIFS($A$2:$A$1000,$A117,$C$2:$C$1000,$C117)&gt;1,"DUPLICAT",""),"")</f>
        <v/>
      </c>
    </row>
    <row r="118">
      <c r="A118" s="17" t="n"/>
      <c r="B118" s="17" t="n"/>
      <c r="C118" s="17" t="n"/>
      <c r="D118" s="18" t="n"/>
      <c r="E118" s="17" t="n"/>
      <c r="F118" s="19" t="n"/>
      <c r="G118" s="17" t="n"/>
      <c r="H118" s="17" t="n"/>
      <c r="I118" s="17" t="n"/>
      <c r="J118" s="19" t="n"/>
      <c r="K118" s="19" t="n"/>
      <c r="L118" s="20" t="n"/>
      <c r="M118" s="20" t="n"/>
      <c r="N118" s="17" t="n"/>
      <c r="O118" s="17" t="n"/>
      <c r="P118" s="21">
        <f>IF(AND(ISNUMBER($L118),ISNUMBER($M118)),MAX(0,$M118-$L118),"")</f>
        <v/>
      </c>
      <c r="Q118" s="21">
        <f>IF(ISNUMBER($D118),MAX(0,TODAY()-$D118),"")</f>
        <v/>
      </c>
      <c r="R118" s="19">
        <f>IF(COUNTA($A118:$O118)=0,"",IFERROR(TRIM(TEXTJOIN(" | ",TRUE,IF($A118="","PC kosong",""),IF($C118="","Worker ID kosong",""),IF($D118="","Update Date kosong",IF(NOT(ISNUMBER($D118)),"Update Date bukan tanggal","")),IF($E118="","Song ID YT kosong",""),IF($F118="","Judul kosong",""),IF(TRIM($G118)="","",IF(ISERROR(MATCH(TRIM($G118),{"TuneCore","DistroKid","TooLost","SoundOn","Ditto","Believe","CD Baby","Amuse","Symphonic Distribution","ONErpm","RouteNote","LANDR","Horus Music","Indie"},0)),"Aggregator di luar daftar","")),IF(TRIM($H118)="","Genre kosong",IF((LEN(SUBSTITUTE(SUBSTITUTE(SUBSTITUTE(TRIM($H118),"/",","),";",",")," ",""))-LEN(SUBSTITUTE(SUBSTITUTE(SUBSTITUTE(SUBSTITUTE(TRIM($H118),"/",","),";",","),"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118),"/",","),";",",")," ","")&amp;",")))&lt;&gt;(LEN(SUBSTITUTE(SUBSTITUTE(SUBSTITUTE(TRIM($H118),"/",","),";",",")," ",""))-LEN(SUBSTITUTE(SUBSTITUTE(SUBSTITUTE(SUBSTITUTE(TRIM($H118),"/",","),";",",")," ",""),",",""))+1),"Genre di luar daftar",""))),IF($I118="","Nama Channel kosong",""),IF($J118="","Link Channel kosong",IF(ISERROR(SEARCH("youtu",$J118)),"Link Channel bukan youtube","")),IF($K118="","Link Video kosong",IF(ISERROR(SEARCH("youtu",$K118)),"Link Video bukan youtube","")),IF($L118="","Tgl Dibuat kosong",IF(NOT(ISNUMBER($L118)),"Tgl Dibuat bukan tanggal","")),IF(AND($M118&lt;&gt;"",NOT(ISNUMBER($M118))),"Tgl Publish bukan tanggal",""),IF(AND(ISNUMBER($L118),ISNUMBER($M118),$M118&lt;$L118),"Tgl Publish &lt; Tgl buat",""),IF(TRIM($N118)="","Status kosong",IF(ISERROR(MATCH(TRIM($N118),{"Draft","Menunggu Review","Revisi","Terjadwal","Upload","Publish","Published","Batal"},0)),"Status di luar daftar","")))),""))</f>
        <v/>
      </c>
      <c r="S118" s="17">
        <f>IF(AND($A118&lt;&gt;"",$C118&lt;&gt;""),IF(COUNTIFS($A$2:$A$1000,$A118,$C$2:$C$1000,$C118)&gt;1,"DUPLICAT",""),"")</f>
        <v/>
      </c>
    </row>
    <row r="119">
      <c r="A119" s="12" t="n"/>
      <c r="B119" s="12" t="n"/>
      <c r="C119" s="12" t="n"/>
      <c r="D119" s="13" t="n"/>
      <c r="E119" s="12" t="n"/>
      <c r="F119" s="14" t="n"/>
      <c r="G119" s="12" t="n"/>
      <c r="H119" s="12" t="n"/>
      <c r="I119" s="12" t="n"/>
      <c r="J119" s="14" t="n"/>
      <c r="K119" s="14" t="n"/>
      <c r="L119" s="15" t="n"/>
      <c r="M119" s="15" t="n"/>
      <c r="N119" s="12" t="n"/>
      <c r="O119" s="12" t="n"/>
      <c r="P119" s="16">
        <f>IF(AND(ISNUMBER($L119),ISNUMBER($M119)),MAX(0,$M119-$L119),"")</f>
        <v/>
      </c>
      <c r="Q119" s="16">
        <f>IF(ISNUMBER($D119),MAX(0,TODAY()-$D119),"")</f>
        <v/>
      </c>
      <c r="R119" s="14">
        <f>IF(COUNTA($A119:$O119)=0,"",IFERROR(TRIM(TEXTJOIN(" | ",TRUE,IF($A119="","PC kosong",""),IF($C119="","Worker ID kosong",""),IF($D119="","Update Date kosong",IF(NOT(ISNUMBER($D119)),"Update Date bukan tanggal","")),IF($E119="","Song ID YT kosong",""),IF($F119="","Judul kosong",""),IF(TRIM($G119)="","",IF(ISERROR(MATCH(TRIM($G119),{"TuneCore","DistroKid","TooLost","SoundOn","Ditto","Believe","CD Baby","Amuse","Symphonic Distribution","ONErpm","RouteNote","LANDR","Horus Music","Indie"},0)),"Aggregator di luar daftar","")),IF(TRIM($H119)="","Genre kosong",IF((LEN(SUBSTITUTE(SUBSTITUTE(SUBSTITUTE(TRIM($H119),"/",","),";",",")," ",""))-LEN(SUBSTITUTE(SUBSTITUTE(SUBSTITUTE(SUBSTITUTE(TRIM($H119),"/",","),";",","),"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119),"/",","),";",",")," ","")&amp;",")))&lt;&gt;(LEN(SUBSTITUTE(SUBSTITUTE(SUBSTITUTE(TRIM($H119),"/",","),";",",")," ",""))-LEN(SUBSTITUTE(SUBSTITUTE(SUBSTITUTE(SUBSTITUTE(TRIM($H119),"/",","),";",",")," ",""),",",""))+1),"Genre di luar daftar",""))),IF($I119="","Nama Channel kosong",""),IF($J119="","Link Channel kosong",IF(ISERROR(SEARCH("youtu",$J119)),"Link Channel bukan youtube","")),IF($K119="","Link Video kosong",IF(ISERROR(SEARCH("youtu",$K119)),"Link Video bukan youtube","")),IF($L119="","Tgl Dibuat kosong",IF(NOT(ISNUMBER($L119)),"Tgl Dibuat bukan tanggal","")),IF(AND($M119&lt;&gt;"",NOT(ISNUMBER($M119))),"Tgl Publish bukan tanggal",""),IF(AND(ISNUMBER($L119),ISNUMBER($M119),$M119&lt;$L119),"Tgl Publish &lt; Tgl buat",""),IF(TRIM($N119)="","Status kosong",IF(ISERROR(MATCH(TRIM($N119),{"Draft","Menunggu Review","Revisi","Terjadwal","Upload","Publish","Published","Batal"},0)),"Status di luar daftar","")))),""))</f>
        <v/>
      </c>
      <c r="S119" s="12">
        <f>IF(AND($A119&lt;&gt;"",$C119&lt;&gt;""),IF(COUNTIFS($A$2:$A$1000,$A119,$C$2:$C$1000,$C119)&gt;1,"DUPLICAT",""),"")</f>
        <v/>
      </c>
    </row>
    <row r="120">
      <c r="A120" s="17" t="n"/>
      <c r="B120" s="17" t="n"/>
      <c r="C120" s="17" t="n"/>
      <c r="D120" s="18" t="n"/>
      <c r="E120" s="17" t="n"/>
      <c r="F120" s="19" t="n"/>
      <c r="G120" s="17" t="n"/>
      <c r="H120" s="17" t="n"/>
      <c r="I120" s="17" t="n"/>
      <c r="J120" s="19" t="n"/>
      <c r="K120" s="19" t="n"/>
      <c r="L120" s="20" t="n"/>
      <c r="M120" s="20" t="n"/>
      <c r="N120" s="17" t="n"/>
      <c r="O120" s="17" t="n"/>
      <c r="P120" s="21">
        <f>IF(AND(ISNUMBER($L120),ISNUMBER($M120)),MAX(0,$M120-$L120),"")</f>
        <v/>
      </c>
      <c r="Q120" s="21">
        <f>IF(ISNUMBER($D120),MAX(0,TODAY()-$D120),"")</f>
        <v/>
      </c>
      <c r="R120" s="19">
        <f>IF(COUNTA($A120:$O120)=0,"",IFERROR(TRIM(TEXTJOIN(" | ",TRUE,IF($A120="","PC kosong",""),IF($C120="","Worker ID kosong",""),IF($D120="","Update Date kosong",IF(NOT(ISNUMBER($D120)),"Update Date bukan tanggal","")),IF($E120="","Song ID YT kosong",""),IF($F120="","Judul kosong",""),IF(TRIM($G120)="","",IF(ISERROR(MATCH(TRIM($G120),{"TuneCore","DistroKid","TooLost","SoundOn","Ditto","Believe","CD Baby","Amuse","Symphonic Distribution","ONErpm","RouteNote","LANDR","Horus Music","Indie"},0)),"Aggregator di luar daftar","")),IF(TRIM($H120)="","Genre kosong",IF((LEN(SUBSTITUTE(SUBSTITUTE(SUBSTITUTE(TRIM($H120),"/",","),";",",")," ",""))-LEN(SUBSTITUTE(SUBSTITUTE(SUBSTITUTE(SUBSTITUTE(TRIM($H120),"/",","),";",","),"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120),"/",","),";",",")," ","")&amp;",")))&lt;&gt;(LEN(SUBSTITUTE(SUBSTITUTE(SUBSTITUTE(TRIM($H120),"/",","),";",",")," ",""))-LEN(SUBSTITUTE(SUBSTITUTE(SUBSTITUTE(SUBSTITUTE(TRIM($H120),"/",","),";",",")," ",""),",",""))+1),"Genre di luar daftar",""))),IF($I120="","Nama Channel kosong",""),IF($J120="","Link Channel kosong",IF(ISERROR(SEARCH("youtu",$J120)),"Link Channel bukan youtube","")),IF($K120="","Link Video kosong",IF(ISERROR(SEARCH("youtu",$K120)),"Link Video bukan youtube","")),IF($L120="","Tgl Dibuat kosong",IF(NOT(ISNUMBER($L120)),"Tgl Dibuat bukan tanggal","")),IF(AND($M120&lt;&gt;"",NOT(ISNUMBER($M120))),"Tgl Publish bukan tanggal",""),IF(AND(ISNUMBER($L120),ISNUMBER($M120),$M120&lt;$L120),"Tgl Publish &lt; Tgl buat",""),IF(TRIM($N120)="","Status kosong",IF(ISERROR(MATCH(TRIM($N120),{"Draft","Menunggu Review","Revisi","Terjadwal","Upload","Publish","Published","Batal"},0)),"Status di luar daftar","")))),""))</f>
        <v/>
      </c>
      <c r="S120" s="17">
        <f>IF(AND($A120&lt;&gt;"",$C120&lt;&gt;""),IF(COUNTIFS($A$2:$A$1000,$A120,$C$2:$C$1000,$C120)&gt;1,"DUPLICAT",""),"")</f>
        <v/>
      </c>
    </row>
    <row r="121">
      <c r="A121" s="12" t="n"/>
      <c r="B121" s="12" t="n"/>
      <c r="C121" s="12" t="n"/>
      <c r="D121" s="13" t="n"/>
      <c r="E121" s="12" t="n"/>
      <c r="F121" s="14" t="n"/>
      <c r="G121" s="12" t="n"/>
      <c r="H121" s="12" t="n"/>
      <c r="I121" s="12" t="n"/>
      <c r="J121" s="14" t="n"/>
      <c r="K121" s="14" t="n"/>
      <c r="L121" s="15" t="n"/>
      <c r="M121" s="15" t="n"/>
      <c r="N121" s="12" t="n"/>
      <c r="O121" s="12" t="n"/>
      <c r="P121" s="16">
        <f>IF(AND(ISNUMBER($L121),ISNUMBER($M121)),MAX(0,$M121-$L121),"")</f>
        <v/>
      </c>
      <c r="Q121" s="16">
        <f>IF(ISNUMBER($D121),MAX(0,TODAY()-$D121),"")</f>
        <v/>
      </c>
      <c r="R121" s="14">
        <f>IF(COUNTA($A121:$O121)=0,"",IFERROR(TRIM(TEXTJOIN(" | ",TRUE,IF($A121="","PC kosong",""),IF($C121="","Worker ID kosong",""),IF($D121="","Update Date kosong",IF(NOT(ISNUMBER($D121)),"Update Date bukan tanggal","")),IF($E121="","Song ID YT kosong",""),IF($F121="","Judul kosong",""),IF(TRIM($G121)="","",IF(ISERROR(MATCH(TRIM($G121),{"TuneCore","DistroKid","TooLost","SoundOn","Ditto","Believe","CD Baby","Amuse","Symphonic Distribution","ONErpm","RouteNote","LANDR","Horus Music","Indie"},0)),"Aggregator di luar daftar","")),IF(TRIM($H121)="","Genre kosong",IF((LEN(SUBSTITUTE(SUBSTITUTE(SUBSTITUTE(TRIM($H121),"/",","),";",",")," ",""))-LEN(SUBSTITUTE(SUBSTITUTE(SUBSTITUTE(SUBSTITUTE(TRIM($H121),"/",","),";",","),"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121),"/",","),";",",")," ","")&amp;",")))&lt;&gt;(LEN(SUBSTITUTE(SUBSTITUTE(SUBSTITUTE(TRIM($H121),"/",","),";",",")," ",""))-LEN(SUBSTITUTE(SUBSTITUTE(SUBSTITUTE(SUBSTITUTE(TRIM($H121),"/",","),";",",")," ",""),",",""))+1),"Genre di luar daftar",""))),IF($I121="","Nama Channel kosong",""),IF($J121="","Link Channel kosong",IF(ISERROR(SEARCH("youtu",$J121)),"Link Channel bukan youtube","")),IF($K121="","Link Video kosong",IF(ISERROR(SEARCH("youtu",$K121)),"Link Video bukan youtube","")),IF($L121="","Tgl Dibuat kosong",IF(NOT(ISNUMBER($L121)),"Tgl Dibuat bukan tanggal","")),IF(AND($M121&lt;&gt;"",NOT(ISNUMBER($M121))),"Tgl Publish bukan tanggal",""),IF(AND(ISNUMBER($L121),ISNUMBER($M121),$M121&lt;$L121),"Tgl Publish &lt; Tgl buat",""),IF(TRIM($N121)="","Status kosong",IF(ISERROR(MATCH(TRIM($N121),{"Draft","Menunggu Review","Revisi","Terjadwal","Upload","Publish","Published","Batal"},0)),"Status di luar daftar","")))),""))</f>
        <v/>
      </c>
      <c r="S121" s="12">
        <f>IF(AND($A121&lt;&gt;"",$C121&lt;&gt;""),IF(COUNTIFS($A$2:$A$1000,$A121,$C$2:$C$1000,$C121)&gt;1,"DUPLICAT",""),"")</f>
        <v/>
      </c>
    </row>
    <row r="122">
      <c r="A122" s="17" t="n"/>
      <c r="B122" s="17" t="n"/>
      <c r="C122" s="17" t="n"/>
      <c r="D122" s="18" t="n"/>
      <c r="E122" s="17" t="n"/>
      <c r="F122" s="19" t="n"/>
      <c r="G122" s="17" t="n"/>
      <c r="H122" s="17" t="n"/>
      <c r="I122" s="17" t="n"/>
      <c r="J122" s="19" t="n"/>
      <c r="K122" s="19" t="n"/>
      <c r="L122" s="20" t="n"/>
      <c r="M122" s="20" t="n"/>
      <c r="N122" s="17" t="n"/>
      <c r="O122" s="17" t="n"/>
      <c r="P122" s="21">
        <f>IF(AND(ISNUMBER($L122),ISNUMBER($M122)),MAX(0,$M122-$L122),"")</f>
        <v/>
      </c>
      <c r="Q122" s="21">
        <f>IF(ISNUMBER($D122),MAX(0,TODAY()-$D122),"")</f>
        <v/>
      </c>
      <c r="R122" s="19">
        <f>IF(COUNTA($A122:$O122)=0,"",IFERROR(TRIM(TEXTJOIN(" | ",TRUE,IF($A122="","PC kosong",""),IF($C122="","Worker ID kosong",""),IF($D122="","Update Date kosong",IF(NOT(ISNUMBER($D122)),"Update Date bukan tanggal","")),IF($E122="","Song ID YT kosong",""),IF($F122="","Judul kosong",""),IF(TRIM($G122)="","",IF(ISERROR(MATCH(TRIM($G122),{"TuneCore","DistroKid","TooLost","SoundOn","Ditto","Believe","CD Baby","Amuse","Symphonic Distribution","ONErpm","RouteNote","LANDR","Horus Music","Indie"},0)),"Aggregator di luar daftar","")),IF(TRIM($H122)="","Genre kosong",IF((LEN(SUBSTITUTE(SUBSTITUTE(SUBSTITUTE(TRIM($H122),"/",","),";",",")," ",""))-LEN(SUBSTITUTE(SUBSTITUTE(SUBSTITUTE(SUBSTITUTE(TRIM($H122),"/",","),";",","),"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122),"/",","),";",",")," ","")&amp;",")))&lt;&gt;(LEN(SUBSTITUTE(SUBSTITUTE(SUBSTITUTE(TRIM($H122),"/",","),";",",")," ",""))-LEN(SUBSTITUTE(SUBSTITUTE(SUBSTITUTE(SUBSTITUTE(TRIM($H122),"/",","),";",",")," ",""),",",""))+1),"Genre di luar daftar",""))),IF($I122="","Nama Channel kosong",""),IF($J122="","Link Channel kosong",IF(ISERROR(SEARCH("youtu",$J122)),"Link Channel bukan youtube","")),IF($K122="","Link Video kosong",IF(ISERROR(SEARCH("youtu",$K122)),"Link Video bukan youtube","")),IF($L122="","Tgl Dibuat kosong",IF(NOT(ISNUMBER($L122)),"Tgl Dibuat bukan tanggal","")),IF(AND($M122&lt;&gt;"",NOT(ISNUMBER($M122))),"Tgl Publish bukan tanggal",""),IF(AND(ISNUMBER($L122),ISNUMBER($M122),$M122&lt;$L122),"Tgl Publish &lt; Tgl buat",""),IF(TRIM($N122)="","Status kosong",IF(ISERROR(MATCH(TRIM($N122),{"Draft","Menunggu Review","Revisi","Terjadwal","Upload","Publish","Published","Batal"},0)),"Status di luar daftar","")))),""))</f>
        <v/>
      </c>
      <c r="S122" s="17">
        <f>IF(AND($A122&lt;&gt;"",$C122&lt;&gt;""),IF(COUNTIFS($A$2:$A$1000,$A122,$C$2:$C$1000,$C122)&gt;1,"DUPLICAT",""),"")</f>
        <v/>
      </c>
    </row>
    <row r="123">
      <c r="A123" s="12" t="n"/>
      <c r="B123" s="12" t="n"/>
      <c r="C123" s="12" t="n"/>
      <c r="D123" s="13" t="n"/>
      <c r="E123" s="12" t="n"/>
      <c r="F123" s="14" t="n"/>
      <c r="G123" s="12" t="n"/>
      <c r="H123" s="12" t="n"/>
      <c r="I123" s="12" t="n"/>
      <c r="J123" s="14" t="n"/>
      <c r="K123" s="14" t="n"/>
      <c r="L123" s="15" t="n"/>
      <c r="M123" s="15" t="n"/>
      <c r="N123" s="12" t="n"/>
      <c r="O123" s="12" t="n"/>
      <c r="P123" s="16">
        <f>IF(AND(ISNUMBER($L123),ISNUMBER($M123)),MAX(0,$M123-$L123),"")</f>
        <v/>
      </c>
      <c r="Q123" s="16">
        <f>IF(ISNUMBER($D123),MAX(0,TODAY()-$D123),"")</f>
        <v/>
      </c>
      <c r="R123" s="14">
        <f>IF(COUNTA($A123:$O123)=0,"",IFERROR(TRIM(TEXTJOIN(" | ",TRUE,IF($A123="","PC kosong",""),IF($C123="","Worker ID kosong",""),IF($D123="","Update Date kosong",IF(NOT(ISNUMBER($D123)),"Update Date bukan tanggal","")),IF($E123="","Song ID YT kosong",""),IF($F123="","Judul kosong",""),IF(TRIM($G123)="","",IF(ISERROR(MATCH(TRIM($G123),{"TuneCore","DistroKid","TooLost","SoundOn","Ditto","Believe","CD Baby","Amuse","Symphonic Distribution","ONErpm","RouteNote","LANDR","Horus Music","Indie"},0)),"Aggregator di luar daftar","")),IF(TRIM($H123)="","Genre kosong",IF((LEN(SUBSTITUTE(SUBSTITUTE(SUBSTITUTE(TRIM($H123),"/",","),";",",")," ",""))-LEN(SUBSTITUTE(SUBSTITUTE(SUBSTITUTE(SUBSTITUTE(TRIM($H123),"/",","),";",","),"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123),"/",","),";",",")," ","")&amp;",")))&lt;&gt;(LEN(SUBSTITUTE(SUBSTITUTE(SUBSTITUTE(TRIM($H123),"/",","),";",",")," ",""))-LEN(SUBSTITUTE(SUBSTITUTE(SUBSTITUTE(SUBSTITUTE(TRIM($H123),"/",","),";",",")," ",""),",",""))+1),"Genre di luar daftar",""))),IF($I123="","Nama Channel kosong",""),IF($J123="","Link Channel kosong",IF(ISERROR(SEARCH("youtu",$J123)),"Link Channel bukan youtube","")),IF($K123="","Link Video kosong",IF(ISERROR(SEARCH("youtu",$K123)),"Link Video bukan youtube","")),IF($L123="","Tgl Dibuat kosong",IF(NOT(ISNUMBER($L123)),"Tgl Dibuat bukan tanggal","")),IF(AND($M123&lt;&gt;"",NOT(ISNUMBER($M123))),"Tgl Publish bukan tanggal",""),IF(AND(ISNUMBER($L123),ISNUMBER($M123),$M123&lt;$L123),"Tgl Publish &lt; Tgl buat",""),IF(TRIM($N123)="","Status kosong",IF(ISERROR(MATCH(TRIM($N123),{"Draft","Menunggu Review","Revisi","Terjadwal","Upload","Publish","Published","Batal"},0)),"Status di luar daftar","")))),""))</f>
        <v/>
      </c>
      <c r="S123" s="12">
        <f>IF(AND($A123&lt;&gt;"",$C123&lt;&gt;""),IF(COUNTIFS($A$2:$A$1000,$A123,$C$2:$C$1000,$C123)&gt;1,"DUPLICAT",""),"")</f>
        <v/>
      </c>
    </row>
    <row r="124">
      <c r="A124" s="17" t="n"/>
      <c r="B124" s="17" t="n"/>
      <c r="C124" s="17" t="n"/>
      <c r="D124" s="18" t="n"/>
      <c r="E124" s="17" t="n"/>
      <c r="F124" s="19" t="n"/>
      <c r="G124" s="17" t="n"/>
      <c r="H124" s="17" t="n"/>
      <c r="I124" s="17" t="n"/>
      <c r="J124" s="19" t="n"/>
      <c r="K124" s="19" t="n"/>
      <c r="L124" s="20" t="n"/>
      <c r="M124" s="20" t="n"/>
      <c r="N124" s="17" t="n"/>
      <c r="O124" s="17" t="n"/>
      <c r="P124" s="21">
        <f>IF(AND(ISNUMBER($L124),ISNUMBER($M124)),MAX(0,$M124-$L124),"")</f>
        <v/>
      </c>
      <c r="Q124" s="21">
        <f>IF(ISNUMBER($D124),MAX(0,TODAY()-$D124),"")</f>
        <v/>
      </c>
      <c r="R124" s="19">
        <f>IF(COUNTA($A124:$O124)=0,"",IFERROR(TRIM(TEXTJOIN(" | ",TRUE,IF($A124="","PC kosong",""),IF($C124="","Worker ID kosong",""),IF($D124="","Update Date kosong",IF(NOT(ISNUMBER($D124)),"Update Date bukan tanggal","")),IF($E124="","Song ID YT kosong",""),IF($F124="","Judul kosong",""),IF(TRIM($G124)="","",IF(ISERROR(MATCH(TRIM($G124),{"TuneCore","DistroKid","TooLost","SoundOn","Ditto","Believe","CD Baby","Amuse","Symphonic Distribution","ONErpm","RouteNote","LANDR","Horus Music","Indie"},0)),"Aggregator di luar daftar","")),IF(TRIM($H124)="","Genre kosong",IF((LEN(SUBSTITUTE(SUBSTITUTE(SUBSTITUTE(TRIM($H124),"/",","),";",",")," ",""))-LEN(SUBSTITUTE(SUBSTITUTE(SUBSTITUTE(SUBSTITUTE(TRIM($H124),"/",","),";",","),"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124),"/",","),";",",")," ","")&amp;",")))&lt;&gt;(LEN(SUBSTITUTE(SUBSTITUTE(SUBSTITUTE(TRIM($H124),"/",","),";",",")," ",""))-LEN(SUBSTITUTE(SUBSTITUTE(SUBSTITUTE(SUBSTITUTE(TRIM($H124),"/",","),";",",")," ",""),",",""))+1),"Genre di luar daftar",""))),IF($I124="","Nama Channel kosong",""),IF($J124="","Link Channel kosong",IF(ISERROR(SEARCH("youtu",$J124)),"Link Channel bukan youtube","")),IF($K124="","Link Video kosong",IF(ISERROR(SEARCH("youtu",$K124)),"Link Video bukan youtube","")),IF($L124="","Tgl Dibuat kosong",IF(NOT(ISNUMBER($L124)),"Tgl Dibuat bukan tanggal","")),IF(AND($M124&lt;&gt;"",NOT(ISNUMBER($M124))),"Tgl Publish bukan tanggal",""),IF(AND(ISNUMBER($L124),ISNUMBER($M124),$M124&lt;$L124),"Tgl Publish &lt; Tgl buat",""),IF(TRIM($N124)="","Status kosong",IF(ISERROR(MATCH(TRIM($N124),{"Draft","Menunggu Review","Revisi","Terjadwal","Upload","Publish","Published","Batal"},0)),"Status di luar daftar","")))),""))</f>
        <v/>
      </c>
      <c r="S124" s="17">
        <f>IF(AND($A124&lt;&gt;"",$C124&lt;&gt;""),IF(COUNTIFS($A$2:$A$1000,$A124,$C$2:$C$1000,$C124)&gt;1,"DUPLICAT",""),"")</f>
        <v/>
      </c>
    </row>
    <row r="125">
      <c r="A125" s="12" t="n"/>
      <c r="B125" s="12" t="n"/>
      <c r="C125" s="12" t="n"/>
      <c r="D125" s="13" t="n"/>
      <c r="E125" s="12" t="n"/>
      <c r="F125" s="14" t="n"/>
      <c r="G125" s="12" t="n"/>
      <c r="H125" s="12" t="n"/>
      <c r="I125" s="12" t="n"/>
      <c r="J125" s="14" t="n"/>
      <c r="K125" s="14" t="n"/>
      <c r="L125" s="15" t="n"/>
      <c r="M125" s="15" t="n"/>
      <c r="N125" s="12" t="n"/>
      <c r="O125" s="12" t="n"/>
      <c r="P125" s="16">
        <f>IF(AND(ISNUMBER($L125),ISNUMBER($M125)),MAX(0,$M125-$L125),"")</f>
        <v/>
      </c>
      <c r="Q125" s="16">
        <f>IF(ISNUMBER($D125),MAX(0,TODAY()-$D125),"")</f>
        <v/>
      </c>
      <c r="R125" s="14">
        <f>IF(COUNTA($A125:$O125)=0,"",IFERROR(TRIM(TEXTJOIN(" | ",TRUE,IF($A125="","PC kosong",""),IF($C125="","Worker ID kosong",""),IF($D125="","Update Date kosong",IF(NOT(ISNUMBER($D125)),"Update Date bukan tanggal","")),IF($E125="","Song ID YT kosong",""),IF($F125="","Judul kosong",""),IF(TRIM($G125)="","",IF(ISERROR(MATCH(TRIM($G125),{"TuneCore","DistroKid","TooLost","SoundOn","Ditto","Believe","CD Baby","Amuse","Symphonic Distribution","ONErpm","RouteNote","LANDR","Horus Music","Indie"},0)),"Aggregator di luar daftar","")),IF(TRIM($H125)="","Genre kosong",IF((LEN(SUBSTITUTE(SUBSTITUTE(SUBSTITUTE(TRIM($H125),"/",","),";",",")," ",""))-LEN(SUBSTITUTE(SUBSTITUTE(SUBSTITUTE(SUBSTITUTE(TRIM($H125),"/",","),";",","),"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125),"/",","),";",",")," ","")&amp;",")))&lt;&gt;(LEN(SUBSTITUTE(SUBSTITUTE(SUBSTITUTE(TRIM($H125),"/",","),";",",")," ",""))-LEN(SUBSTITUTE(SUBSTITUTE(SUBSTITUTE(SUBSTITUTE(TRIM($H125),"/",","),";",",")," ",""),",",""))+1),"Genre di luar daftar",""))),IF($I125="","Nama Channel kosong",""),IF($J125="","Link Channel kosong",IF(ISERROR(SEARCH("youtu",$J125)),"Link Channel bukan youtube","")),IF($K125="","Link Video kosong",IF(ISERROR(SEARCH("youtu",$K125)),"Link Video bukan youtube","")),IF($L125="","Tgl Dibuat kosong",IF(NOT(ISNUMBER($L125)),"Tgl Dibuat bukan tanggal","")),IF(AND($M125&lt;&gt;"",NOT(ISNUMBER($M125))),"Tgl Publish bukan tanggal",""),IF(AND(ISNUMBER($L125),ISNUMBER($M125),$M125&lt;$L125),"Tgl Publish &lt; Tgl buat",""),IF(TRIM($N125)="","Status kosong",IF(ISERROR(MATCH(TRIM($N125),{"Draft","Menunggu Review","Revisi","Terjadwal","Upload","Publish","Published","Batal"},0)),"Status di luar daftar","")))),""))</f>
        <v/>
      </c>
      <c r="S125" s="12">
        <f>IF(AND($A125&lt;&gt;"",$C125&lt;&gt;""),IF(COUNTIFS($A$2:$A$1000,$A125,$C$2:$C$1000,$C125)&gt;1,"DUPLICAT",""),"")</f>
        <v/>
      </c>
    </row>
    <row r="126">
      <c r="A126" s="17" t="n"/>
      <c r="B126" s="17" t="n"/>
      <c r="C126" s="17" t="n"/>
      <c r="D126" s="18" t="n"/>
      <c r="E126" s="17" t="n"/>
      <c r="F126" s="19" t="n"/>
      <c r="G126" s="17" t="n"/>
      <c r="H126" s="17" t="n"/>
      <c r="I126" s="17" t="n"/>
      <c r="J126" s="19" t="n"/>
      <c r="K126" s="19" t="n"/>
      <c r="L126" s="20" t="n"/>
      <c r="M126" s="20" t="n"/>
      <c r="N126" s="17" t="n"/>
      <c r="O126" s="17" t="n"/>
      <c r="P126" s="21">
        <f>IF(AND(ISNUMBER($L126),ISNUMBER($M126)),MAX(0,$M126-$L126),"")</f>
        <v/>
      </c>
      <c r="Q126" s="21">
        <f>IF(ISNUMBER($D126),MAX(0,TODAY()-$D126),"")</f>
        <v/>
      </c>
      <c r="R126" s="19">
        <f>IF(COUNTA($A126:$O126)=0,"",IFERROR(TRIM(TEXTJOIN(" | ",TRUE,IF($A126="","PC kosong",""),IF($C126="","Worker ID kosong",""),IF($D126="","Update Date kosong",IF(NOT(ISNUMBER($D126)),"Update Date bukan tanggal","")),IF($E126="","Song ID YT kosong",""),IF($F126="","Judul kosong",""),IF(TRIM($G126)="","",IF(ISERROR(MATCH(TRIM($G126),{"TuneCore","DistroKid","TooLost","SoundOn","Ditto","Believe","CD Baby","Amuse","Symphonic Distribution","ONErpm","RouteNote","LANDR","Horus Music","Indie"},0)),"Aggregator di luar daftar","")),IF(TRIM($H126)="","Genre kosong",IF((LEN(SUBSTITUTE(SUBSTITUTE(SUBSTITUTE(TRIM($H126),"/",","),";",",")," ",""))-LEN(SUBSTITUTE(SUBSTITUTE(SUBSTITUTE(SUBSTITUTE(TRIM($H126),"/",","),";",","),"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126),"/",","),";",",")," ","")&amp;",")))&lt;&gt;(LEN(SUBSTITUTE(SUBSTITUTE(SUBSTITUTE(TRIM($H126),"/",","),";",",")," ",""))-LEN(SUBSTITUTE(SUBSTITUTE(SUBSTITUTE(SUBSTITUTE(TRIM($H126),"/",","),";",",")," ",""),",",""))+1),"Genre di luar daftar",""))),IF($I126="","Nama Channel kosong",""),IF($J126="","Link Channel kosong",IF(ISERROR(SEARCH("youtu",$J126)),"Link Channel bukan youtube","")),IF($K126="","Link Video kosong",IF(ISERROR(SEARCH("youtu",$K126)),"Link Video bukan youtube","")),IF($L126="","Tgl Dibuat kosong",IF(NOT(ISNUMBER($L126)),"Tgl Dibuat bukan tanggal","")),IF(AND($M126&lt;&gt;"",NOT(ISNUMBER($M126))),"Tgl Publish bukan tanggal",""),IF(AND(ISNUMBER($L126),ISNUMBER($M126),$M126&lt;$L126),"Tgl Publish &lt; Tgl buat",""),IF(TRIM($N126)="","Status kosong",IF(ISERROR(MATCH(TRIM($N126),{"Draft","Menunggu Review","Revisi","Terjadwal","Upload","Publish","Published","Batal"},0)),"Status di luar daftar","")))),""))</f>
        <v/>
      </c>
      <c r="S126" s="17">
        <f>IF(AND($A126&lt;&gt;"",$C126&lt;&gt;""),IF(COUNTIFS($A$2:$A$1000,$A126,$C$2:$C$1000,$C126)&gt;1,"DUPLICAT",""),"")</f>
        <v/>
      </c>
    </row>
    <row r="127">
      <c r="A127" s="12" t="n"/>
      <c r="B127" s="12" t="n"/>
      <c r="C127" s="12" t="n"/>
      <c r="D127" s="13" t="n"/>
      <c r="E127" s="12" t="n"/>
      <c r="F127" s="14" t="n"/>
      <c r="G127" s="12" t="n"/>
      <c r="H127" s="12" t="n"/>
      <c r="I127" s="12" t="n"/>
      <c r="J127" s="14" t="n"/>
      <c r="K127" s="14" t="n"/>
      <c r="L127" s="15" t="n"/>
      <c r="M127" s="15" t="n"/>
      <c r="N127" s="12" t="n"/>
      <c r="O127" s="12" t="n"/>
      <c r="P127" s="16">
        <f>IF(AND(ISNUMBER($L127),ISNUMBER($M127)),MAX(0,$M127-$L127),"")</f>
        <v/>
      </c>
      <c r="Q127" s="16">
        <f>IF(ISNUMBER($D127),MAX(0,TODAY()-$D127),"")</f>
        <v/>
      </c>
      <c r="R127" s="14">
        <f>IF(COUNTA($A127:$O127)=0,"",IFERROR(TRIM(TEXTJOIN(" | ",TRUE,IF($A127="","PC kosong",""),IF($C127="","Worker ID kosong",""),IF($D127="","Update Date kosong",IF(NOT(ISNUMBER($D127)),"Update Date bukan tanggal","")),IF($E127="","Song ID YT kosong",""),IF($F127="","Judul kosong",""),IF(TRIM($G127)="","",IF(ISERROR(MATCH(TRIM($G127),{"TuneCore","DistroKid","TooLost","SoundOn","Ditto","Believe","CD Baby","Amuse","Symphonic Distribution","ONErpm","RouteNote","LANDR","Horus Music","Indie"},0)),"Aggregator di luar daftar","")),IF(TRIM($H127)="","Genre kosong",IF((LEN(SUBSTITUTE(SUBSTITUTE(SUBSTITUTE(TRIM($H127),"/",","),";",",")," ",""))-LEN(SUBSTITUTE(SUBSTITUTE(SUBSTITUTE(SUBSTITUTE(TRIM($H127),"/",","),";",","),"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127),"/",","),";",",")," ","")&amp;",")))&lt;&gt;(LEN(SUBSTITUTE(SUBSTITUTE(SUBSTITUTE(TRIM($H127),"/",","),";",",")," ",""))-LEN(SUBSTITUTE(SUBSTITUTE(SUBSTITUTE(SUBSTITUTE(TRIM($H127),"/",","),";",",")," ",""),",",""))+1),"Genre di luar daftar",""))),IF($I127="","Nama Channel kosong",""),IF($J127="","Link Channel kosong",IF(ISERROR(SEARCH("youtu",$J127)),"Link Channel bukan youtube","")),IF($K127="","Link Video kosong",IF(ISERROR(SEARCH("youtu",$K127)),"Link Video bukan youtube","")),IF($L127="","Tgl Dibuat kosong",IF(NOT(ISNUMBER($L127)),"Tgl Dibuat bukan tanggal","")),IF(AND($M127&lt;&gt;"",NOT(ISNUMBER($M127))),"Tgl Publish bukan tanggal",""),IF(AND(ISNUMBER($L127),ISNUMBER($M127),$M127&lt;$L127),"Tgl Publish &lt; Tgl buat",""),IF(TRIM($N127)="","Status kosong",IF(ISERROR(MATCH(TRIM($N127),{"Draft","Menunggu Review","Revisi","Terjadwal","Upload","Publish","Published","Batal"},0)),"Status di luar daftar","")))),""))</f>
        <v/>
      </c>
      <c r="S127" s="12">
        <f>IF(AND($A127&lt;&gt;"",$C127&lt;&gt;""),IF(COUNTIFS($A$2:$A$1000,$A127,$C$2:$C$1000,$C127)&gt;1,"DUPLICAT",""),"")</f>
        <v/>
      </c>
    </row>
    <row r="128">
      <c r="A128" s="17" t="n"/>
      <c r="B128" s="17" t="n"/>
      <c r="C128" s="17" t="n"/>
      <c r="D128" s="18" t="n"/>
      <c r="E128" s="17" t="n"/>
      <c r="F128" s="19" t="n"/>
      <c r="G128" s="17" t="n"/>
      <c r="H128" s="17" t="n"/>
      <c r="I128" s="17" t="n"/>
      <c r="J128" s="19" t="n"/>
      <c r="K128" s="19" t="n"/>
      <c r="L128" s="20" t="n"/>
      <c r="M128" s="20" t="n"/>
      <c r="N128" s="17" t="n"/>
      <c r="O128" s="17" t="n"/>
      <c r="P128" s="21">
        <f>IF(AND(ISNUMBER($L128),ISNUMBER($M128)),MAX(0,$M128-$L128),"")</f>
        <v/>
      </c>
      <c r="Q128" s="21">
        <f>IF(ISNUMBER($D128),MAX(0,TODAY()-$D128),"")</f>
        <v/>
      </c>
      <c r="R128" s="19">
        <f>IF(COUNTA($A128:$O128)=0,"",IFERROR(TRIM(TEXTJOIN(" | ",TRUE,IF($A128="","PC kosong",""),IF($C128="","Worker ID kosong",""),IF($D128="","Update Date kosong",IF(NOT(ISNUMBER($D128)),"Update Date bukan tanggal","")),IF($E128="","Song ID YT kosong",""),IF($F128="","Judul kosong",""),IF(TRIM($G128)="","",IF(ISERROR(MATCH(TRIM($G128),{"TuneCore","DistroKid","TooLost","SoundOn","Ditto","Believe","CD Baby","Amuse","Symphonic Distribution","ONErpm","RouteNote","LANDR","Horus Music","Indie"},0)),"Aggregator di luar daftar","")),IF(TRIM($H128)="","Genre kosong",IF((LEN(SUBSTITUTE(SUBSTITUTE(SUBSTITUTE(TRIM($H128),"/",","),";",",")," ",""))-LEN(SUBSTITUTE(SUBSTITUTE(SUBSTITUTE(SUBSTITUTE(TRIM($H128),"/",","),";",","),"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128),"/",","),";",",")," ","")&amp;",")))&lt;&gt;(LEN(SUBSTITUTE(SUBSTITUTE(SUBSTITUTE(TRIM($H128),"/",","),";",",")," ",""))-LEN(SUBSTITUTE(SUBSTITUTE(SUBSTITUTE(SUBSTITUTE(TRIM($H128),"/",","),";",",")," ",""),",",""))+1),"Genre di luar daftar",""))),IF($I128="","Nama Channel kosong",""),IF($J128="","Link Channel kosong",IF(ISERROR(SEARCH("youtu",$J128)),"Link Channel bukan youtube","")),IF($K128="","Link Video kosong",IF(ISERROR(SEARCH("youtu",$K128)),"Link Video bukan youtube","")),IF($L128="","Tgl Dibuat kosong",IF(NOT(ISNUMBER($L128)),"Tgl Dibuat bukan tanggal","")),IF(AND($M128&lt;&gt;"",NOT(ISNUMBER($M128))),"Tgl Publish bukan tanggal",""),IF(AND(ISNUMBER($L128),ISNUMBER($M128),$M128&lt;$L128),"Tgl Publish &lt; Tgl buat",""),IF(TRIM($N128)="","Status kosong",IF(ISERROR(MATCH(TRIM($N128),{"Draft","Menunggu Review","Revisi","Terjadwal","Upload","Publish","Published","Batal"},0)),"Status di luar daftar","")))),""))</f>
        <v/>
      </c>
      <c r="S128" s="17">
        <f>IF(AND($A128&lt;&gt;"",$C128&lt;&gt;""),IF(COUNTIFS($A$2:$A$1000,$A128,$C$2:$C$1000,$C128)&gt;1,"DUPLICAT",""),"")</f>
        <v/>
      </c>
    </row>
    <row r="129">
      <c r="A129" s="12" t="n"/>
      <c r="B129" s="12" t="n"/>
      <c r="C129" s="12" t="n"/>
      <c r="D129" s="13" t="n"/>
      <c r="E129" s="12" t="n"/>
      <c r="F129" s="14" t="n"/>
      <c r="G129" s="12" t="n"/>
      <c r="H129" s="12" t="n"/>
      <c r="I129" s="12" t="n"/>
      <c r="J129" s="14" t="n"/>
      <c r="K129" s="14" t="n"/>
      <c r="L129" s="15" t="n"/>
      <c r="M129" s="15" t="n"/>
      <c r="N129" s="12" t="n"/>
      <c r="O129" s="12" t="n"/>
      <c r="P129" s="16">
        <f>IF(AND(ISNUMBER($L129),ISNUMBER($M129)),MAX(0,$M129-$L129),"")</f>
        <v/>
      </c>
      <c r="Q129" s="16">
        <f>IF(ISNUMBER($D129),MAX(0,TODAY()-$D129),"")</f>
        <v/>
      </c>
      <c r="R129" s="14">
        <f>IF(COUNTA($A129:$O129)=0,"",IFERROR(TRIM(TEXTJOIN(" | ",TRUE,IF($A129="","PC kosong",""),IF($C129="","Worker ID kosong",""),IF($D129="","Update Date kosong",IF(NOT(ISNUMBER($D129)),"Update Date bukan tanggal","")),IF($E129="","Song ID YT kosong",""),IF($F129="","Judul kosong",""),IF(TRIM($G129)="","",IF(ISERROR(MATCH(TRIM($G129),{"TuneCore","DistroKid","TooLost","SoundOn","Ditto","Believe","CD Baby","Amuse","Symphonic Distribution","ONErpm","RouteNote","LANDR","Horus Music","Indie"},0)),"Aggregator di luar daftar","")),IF(TRIM($H129)="","Genre kosong",IF((LEN(SUBSTITUTE(SUBSTITUTE(SUBSTITUTE(TRIM($H129),"/",","),";",",")," ",""))-LEN(SUBSTITUTE(SUBSTITUTE(SUBSTITUTE(SUBSTITUTE(TRIM($H129),"/",","),";",","),"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129),"/",","),";",",")," ","")&amp;",")))&lt;&gt;(LEN(SUBSTITUTE(SUBSTITUTE(SUBSTITUTE(TRIM($H129),"/",","),";",",")," ",""))-LEN(SUBSTITUTE(SUBSTITUTE(SUBSTITUTE(SUBSTITUTE(TRIM($H129),"/",","),";",",")," ",""),",",""))+1),"Genre di luar daftar",""))),IF($I129="","Nama Channel kosong",""),IF($J129="","Link Channel kosong",IF(ISERROR(SEARCH("youtu",$J129)),"Link Channel bukan youtube","")),IF($K129="","Link Video kosong",IF(ISERROR(SEARCH("youtu",$K129)),"Link Video bukan youtube","")),IF($L129="","Tgl Dibuat kosong",IF(NOT(ISNUMBER($L129)),"Tgl Dibuat bukan tanggal","")),IF(AND($M129&lt;&gt;"",NOT(ISNUMBER($M129))),"Tgl Publish bukan tanggal",""),IF(AND(ISNUMBER($L129),ISNUMBER($M129),$M129&lt;$L129),"Tgl Publish &lt; Tgl buat",""),IF(TRIM($N129)="","Status kosong",IF(ISERROR(MATCH(TRIM($N129),{"Draft","Menunggu Review","Revisi","Terjadwal","Upload","Publish","Published","Batal"},0)),"Status di luar daftar","")))),""))</f>
        <v/>
      </c>
      <c r="S129" s="12">
        <f>IF(AND($A129&lt;&gt;"",$C129&lt;&gt;""),IF(COUNTIFS($A$2:$A$1000,$A129,$C$2:$C$1000,$C129)&gt;1,"DUPLICAT",""),"")</f>
        <v/>
      </c>
    </row>
    <row r="130">
      <c r="A130" s="17" t="n"/>
      <c r="B130" s="17" t="n"/>
      <c r="C130" s="17" t="n"/>
      <c r="D130" s="18" t="n"/>
      <c r="E130" s="17" t="n"/>
      <c r="F130" s="19" t="n"/>
      <c r="G130" s="17" t="n"/>
      <c r="H130" s="17" t="n"/>
      <c r="I130" s="17" t="n"/>
      <c r="J130" s="19" t="n"/>
      <c r="K130" s="19" t="n"/>
      <c r="L130" s="20" t="n"/>
      <c r="M130" s="20" t="n"/>
      <c r="N130" s="17" t="n"/>
      <c r="O130" s="17" t="n"/>
      <c r="P130" s="21">
        <f>IF(AND(ISNUMBER($L130),ISNUMBER($M130)),MAX(0,$M130-$L130),"")</f>
        <v/>
      </c>
      <c r="Q130" s="21">
        <f>IF(ISNUMBER($D130),MAX(0,TODAY()-$D130),"")</f>
        <v/>
      </c>
      <c r="R130" s="19">
        <f>IF(COUNTA($A130:$O130)=0,"",IFERROR(TRIM(TEXTJOIN(" | ",TRUE,IF($A130="","PC kosong",""),IF($C130="","Worker ID kosong",""),IF($D130="","Update Date kosong",IF(NOT(ISNUMBER($D130)),"Update Date bukan tanggal","")),IF($E130="","Song ID YT kosong",""),IF($F130="","Judul kosong",""),IF(TRIM($G130)="","",IF(ISERROR(MATCH(TRIM($G130),{"TuneCore","DistroKid","TooLost","SoundOn","Ditto","Believe","CD Baby","Amuse","Symphonic Distribution","ONErpm","RouteNote","LANDR","Horus Music","Indie"},0)),"Aggregator di luar daftar","")),IF(TRIM($H130)="","Genre kosong",IF((LEN(SUBSTITUTE(SUBSTITUTE(SUBSTITUTE(TRIM($H130),"/",","),";",",")," ",""))-LEN(SUBSTITUTE(SUBSTITUTE(SUBSTITUTE(SUBSTITUTE(TRIM($H130),"/",","),";",","),"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130),"/",","),";",",")," ","")&amp;",")))&lt;&gt;(LEN(SUBSTITUTE(SUBSTITUTE(SUBSTITUTE(TRIM($H130),"/",","),";",",")," ",""))-LEN(SUBSTITUTE(SUBSTITUTE(SUBSTITUTE(SUBSTITUTE(TRIM($H130),"/",","),";",",")," ",""),",",""))+1),"Genre di luar daftar",""))),IF($I130="","Nama Channel kosong",""),IF($J130="","Link Channel kosong",IF(ISERROR(SEARCH("youtu",$J130)),"Link Channel bukan youtube","")),IF($K130="","Link Video kosong",IF(ISERROR(SEARCH("youtu",$K130)),"Link Video bukan youtube","")),IF($L130="","Tgl Dibuat kosong",IF(NOT(ISNUMBER($L130)),"Tgl Dibuat bukan tanggal","")),IF(AND($M130&lt;&gt;"",NOT(ISNUMBER($M130))),"Tgl Publish bukan tanggal",""),IF(AND(ISNUMBER($L130),ISNUMBER($M130),$M130&lt;$L130),"Tgl Publish &lt; Tgl buat",""),IF(TRIM($N130)="","Status kosong",IF(ISERROR(MATCH(TRIM($N130),{"Draft","Menunggu Review","Revisi","Terjadwal","Upload","Publish","Published","Batal"},0)),"Status di luar daftar","")))),""))</f>
        <v/>
      </c>
      <c r="S130" s="17">
        <f>IF(AND($A130&lt;&gt;"",$C130&lt;&gt;""),IF(COUNTIFS($A$2:$A$1000,$A130,$C$2:$C$1000,$C130)&gt;1,"DUPLICAT",""),"")</f>
        <v/>
      </c>
    </row>
    <row r="131">
      <c r="A131" s="12" t="n"/>
      <c r="B131" s="12" t="n"/>
      <c r="C131" s="12" t="n"/>
      <c r="D131" s="13" t="n"/>
      <c r="E131" s="12" t="n"/>
      <c r="F131" s="14" t="n"/>
      <c r="G131" s="12" t="n"/>
      <c r="H131" s="12" t="n"/>
      <c r="I131" s="12" t="n"/>
      <c r="J131" s="14" t="n"/>
      <c r="K131" s="14" t="n"/>
      <c r="L131" s="15" t="n"/>
      <c r="M131" s="15" t="n"/>
      <c r="N131" s="12" t="n"/>
      <c r="O131" s="12" t="n"/>
      <c r="P131" s="16">
        <f>IF(AND(ISNUMBER($L131),ISNUMBER($M131)),MAX(0,$M131-$L131),"")</f>
        <v/>
      </c>
      <c r="Q131" s="16">
        <f>IF(ISNUMBER($D131),MAX(0,TODAY()-$D131),"")</f>
        <v/>
      </c>
      <c r="R131" s="14">
        <f>IF(COUNTA($A131:$O131)=0,"",IFERROR(TRIM(TEXTJOIN(" | ",TRUE,IF($A131="","PC kosong",""),IF($C131="","Worker ID kosong",""),IF($D131="","Update Date kosong",IF(NOT(ISNUMBER($D131)),"Update Date bukan tanggal","")),IF($E131="","Song ID YT kosong",""),IF($F131="","Judul kosong",""),IF(TRIM($G131)="","",IF(ISERROR(MATCH(TRIM($G131),{"TuneCore","DistroKid","TooLost","SoundOn","Ditto","Believe","CD Baby","Amuse","Symphonic Distribution","ONErpm","RouteNote","LANDR","Horus Music","Indie"},0)),"Aggregator di luar daftar","")),IF(TRIM($H131)="","Genre kosong",IF((LEN(SUBSTITUTE(SUBSTITUTE(SUBSTITUTE(TRIM($H131),"/",","),";",",")," ",""))-LEN(SUBSTITUTE(SUBSTITUTE(SUBSTITUTE(SUBSTITUTE(TRIM($H131),"/",","),";",","),"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131),"/",","),";",",")," ","")&amp;",")))&lt;&gt;(LEN(SUBSTITUTE(SUBSTITUTE(SUBSTITUTE(TRIM($H131),"/",","),";",",")," ",""))-LEN(SUBSTITUTE(SUBSTITUTE(SUBSTITUTE(SUBSTITUTE(TRIM($H131),"/",","),";",",")," ",""),",",""))+1),"Genre di luar daftar",""))),IF($I131="","Nama Channel kosong",""),IF($J131="","Link Channel kosong",IF(ISERROR(SEARCH("youtu",$J131)),"Link Channel bukan youtube","")),IF($K131="","Link Video kosong",IF(ISERROR(SEARCH("youtu",$K131)),"Link Video bukan youtube","")),IF($L131="","Tgl Dibuat kosong",IF(NOT(ISNUMBER($L131)),"Tgl Dibuat bukan tanggal","")),IF(AND($M131&lt;&gt;"",NOT(ISNUMBER($M131))),"Tgl Publish bukan tanggal",""),IF(AND(ISNUMBER($L131),ISNUMBER($M131),$M131&lt;$L131),"Tgl Publish &lt; Tgl buat",""),IF(TRIM($N131)="","Status kosong",IF(ISERROR(MATCH(TRIM($N131),{"Draft","Menunggu Review","Revisi","Terjadwal","Upload","Publish","Published","Batal"},0)),"Status di luar daftar","")))),""))</f>
        <v/>
      </c>
      <c r="S131" s="12">
        <f>IF(AND($A131&lt;&gt;"",$C131&lt;&gt;""),IF(COUNTIFS($A$2:$A$1000,$A131,$C$2:$C$1000,$C131)&gt;1,"DUPLICAT",""),"")</f>
        <v/>
      </c>
    </row>
    <row r="132">
      <c r="A132" s="17" t="n"/>
      <c r="B132" s="17" t="n"/>
      <c r="C132" s="17" t="n"/>
      <c r="D132" s="18" t="n"/>
      <c r="E132" s="17" t="n"/>
      <c r="F132" s="19" t="n"/>
      <c r="G132" s="17" t="n"/>
      <c r="H132" s="17" t="n"/>
      <c r="I132" s="17" t="n"/>
      <c r="J132" s="19" t="n"/>
      <c r="K132" s="19" t="n"/>
      <c r="L132" s="20" t="n"/>
      <c r="M132" s="20" t="n"/>
      <c r="N132" s="17" t="n"/>
      <c r="O132" s="17" t="n"/>
      <c r="P132" s="21">
        <f>IF(AND(ISNUMBER($L132),ISNUMBER($M132)),MAX(0,$M132-$L132),"")</f>
        <v/>
      </c>
      <c r="Q132" s="21">
        <f>IF(ISNUMBER($D132),MAX(0,TODAY()-$D132),"")</f>
        <v/>
      </c>
      <c r="R132" s="19">
        <f>IF(COUNTA($A132:$O132)=0,"",IFERROR(TRIM(TEXTJOIN(" | ",TRUE,IF($A132="","PC kosong",""),IF($C132="","Worker ID kosong",""),IF($D132="","Update Date kosong",IF(NOT(ISNUMBER($D132)),"Update Date bukan tanggal","")),IF($E132="","Song ID YT kosong",""),IF($F132="","Judul kosong",""),IF(TRIM($G132)="","",IF(ISERROR(MATCH(TRIM($G132),{"TuneCore","DistroKid","TooLost","SoundOn","Ditto","Believe","CD Baby","Amuse","Symphonic Distribution","ONErpm","RouteNote","LANDR","Horus Music","Indie"},0)),"Aggregator di luar daftar","")),IF(TRIM($H132)="","Genre kosong",IF((LEN(SUBSTITUTE(SUBSTITUTE(SUBSTITUTE(TRIM($H132),"/",","),";",",")," ",""))-LEN(SUBSTITUTE(SUBSTITUTE(SUBSTITUTE(SUBSTITUTE(TRIM($H132),"/",","),";",","),"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132),"/",","),";",",")," ","")&amp;",")))&lt;&gt;(LEN(SUBSTITUTE(SUBSTITUTE(SUBSTITUTE(TRIM($H132),"/",","),";",",")," ",""))-LEN(SUBSTITUTE(SUBSTITUTE(SUBSTITUTE(SUBSTITUTE(TRIM($H132),"/",","),";",",")," ",""),",",""))+1),"Genre di luar daftar",""))),IF($I132="","Nama Channel kosong",""),IF($J132="","Link Channel kosong",IF(ISERROR(SEARCH("youtu",$J132)),"Link Channel bukan youtube","")),IF($K132="","Link Video kosong",IF(ISERROR(SEARCH("youtu",$K132)),"Link Video bukan youtube","")),IF($L132="","Tgl Dibuat kosong",IF(NOT(ISNUMBER($L132)),"Tgl Dibuat bukan tanggal","")),IF(AND($M132&lt;&gt;"",NOT(ISNUMBER($M132))),"Tgl Publish bukan tanggal",""),IF(AND(ISNUMBER($L132),ISNUMBER($M132),$M132&lt;$L132),"Tgl Publish &lt; Tgl buat",""),IF(TRIM($N132)="","Status kosong",IF(ISERROR(MATCH(TRIM($N132),{"Draft","Menunggu Review","Revisi","Terjadwal","Upload","Publish","Published","Batal"},0)),"Status di luar daftar","")))),""))</f>
        <v/>
      </c>
      <c r="S132" s="17">
        <f>IF(AND($A132&lt;&gt;"",$C132&lt;&gt;""),IF(COUNTIFS($A$2:$A$1000,$A132,$C$2:$C$1000,$C132)&gt;1,"DUPLICAT",""),"")</f>
        <v/>
      </c>
    </row>
    <row r="133">
      <c r="A133" s="12" t="n"/>
      <c r="B133" s="12" t="n"/>
      <c r="C133" s="12" t="n"/>
      <c r="D133" s="13" t="n"/>
      <c r="E133" s="12" t="n"/>
      <c r="F133" s="14" t="n"/>
      <c r="G133" s="12" t="n"/>
      <c r="H133" s="12" t="n"/>
      <c r="I133" s="12" t="n"/>
      <c r="J133" s="14" t="n"/>
      <c r="K133" s="14" t="n"/>
      <c r="L133" s="15" t="n"/>
      <c r="M133" s="15" t="n"/>
      <c r="N133" s="12" t="n"/>
      <c r="O133" s="12" t="n"/>
      <c r="P133" s="16">
        <f>IF(AND(ISNUMBER($L133),ISNUMBER($M133)),MAX(0,$M133-$L133),"")</f>
        <v/>
      </c>
      <c r="Q133" s="16">
        <f>IF(ISNUMBER($D133),MAX(0,TODAY()-$D133),"")</f>
        <v/>
      </c>
      <c r="R133" s="14">
        <f>IF(COUNTA($A133:$O133)=0,"",IFERROR(TRIM(TEXTJOIN(" | ",TRUE,IF($A133="","PC kosong",""),IF($C133="","Worker ID kosong",""),IF($D133="","Update Date kosong",IF(NOT(ISNUMBER($D133)),"Update Date bukan tanggal","")),IF($E133="","Song ID YT kosong",""),IF($F133="","Judul kosong",""),IF(TRIM($G133)="","",IF(ISERROR(MATCH(TRIM($G133),{"TuneCore","DistroKid","TooLost","SoundOn","Ditto","Believe","CD Baby","Amuse","Symphonic Distribution","ONErpm","RouteNote","LANDR","Horus Music","Indie"},0)),"Aggregator di luar daftar","")),IF(TRIM($H133)="","Genre kosong",IF((LEN(SUBSTITUTE(SUBSTITUTE(SUBSTITUTE(TRIM($H133),"/",","),";",",")," ",""))-LEN(SUBSTITUTE(SUBSTITUTE(SUBSTITUTE(SUBSTITUTE(TRIM($H133),"/",","),";",","),"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133),"/",","),";",",")," ","")&amp;",")))&lt;&gt;(LEN(SUBSTITUTE(SUBSTITUTE(SUBSTITUTE(TRIM($H133),"/",","),";",",")," ",""))-LEN(SUBSTITUTE(SUBSTITUTE(SUBSTITUTE(SUBSTITUTE(TRIM($H133),"/",","),";",",")," ",""),",",""))+1),"Genre di luar daftar",""))),IF($I133="","Nama Channel kosong",""),IF($J133="","Link Channel kosong",IF(ISERROR(SEARCH("youtu",$J133)),"Link Channel bukan youtube","")),IF($K133="","Link Video kosong",IF(ISERROR(SEARCH("youtu",$K133)),"Link Video bukan youtube","")),IF($L133="","Tgl Dibuat kosong",IF(NOT(ISNUMBER($L133)),"Tgl Dibuat bukan tanggal","")),IF(AND($M133&lt;&gt;"",NOT(ISNUMBER($M133))),"Tgl Publish bukan tanggal",""),IF(AND(ISNUMBER($L133),ISNUMBER($M133),$M133&lt;$L133),"Tgl Publish &lt; Tgl buat",""),IF(TRIM($N133)="","Status kosong",IF(ISERROR(MATCH(TRIM($N133),{"Draft","Menunggu Review","Revisi","Terjadwal","Upload","Publish","Published","Batal"},0)),"Status di luar daftar","")))),""))</f>
        <v/>
      </c>
      <c r="S133" s="12">
        <f>IF(AND($A133&lt;&gt;"",$C133&lt;&gt;""),IF(COUNTIFS($A$2:$A$1000,$A133,$C$2:$C$1000,$C133)&gt;1,"DUPLICAT",""),"")</f>
        <v/>
      </c>
    </row>
    <row r="134">
      <c r="A134" s="17" t="n"/>
      <c r="B134" s="17" t="n"/>
      <c r="C134" s="17" t="n"/>
      <c r="D134" s="18" t="n"/>
      <c r="E134" s="17" t="n"/>
      <c r="F134" s="19" t="n"/>
      <c r="G134" s="17" t="n"/>
      <c r="H134" s="17" t="n"/>
      <c r="I134" s="17" t="n"/>
      <c r="J134" s="19" t="n"/>
      <c r="K134" s="19" t="n"/>
      <c r="L134" s="20" t="n"/>
      <c r="M134" s="20" t="n"/>
      <c r="N134" s="17" t="n"/>
      <c r="O134" s="17" t="n"/>
      <c r="P134" s="21">
        <f>IF(AND(ISNUMBER($L134),ISNUMBER($M134)),MAX(0,$M134-$L134),"")</f>
        <v/>
      </c>
      <c r="Q134" s="21">
        <f>IF(ISNUMBER($D134),MAX(0,TODAY()-$D134),"")</f>
        <v/>
      </c>
      <c r="R134" s="19">
        <f>IF(COUNTA($A134:$O134)=0,"",IFERROR(TRIM(TEXTJOIN(" | ",TRUE,IF($A134="","PC kosong",""),IF($C134="","Worker ID kosong",""),IF($D134="","Update Date kosong",IF(NOT(ISNUMBER($D134)),"Update Date bukan tanggal","")),IF($E134="","Song ID YT kosong",""),IF($F134="","Judul kosong",""),IF(TRIM($G134)="","",IF(ISERROR(MATCH(TRIM($G134),{"TuneCore","DistroKid","TooLost","SoundOn","Ditto","Believe","CD Baby","Amuse","Symphonic Distribution","ONErpm","RouteNote","LANDR","Horus Music","Indie"},0)),"Aggregator di luar daftar","")),IF(TRIM($H134)="","Genre kosong",IF((LEN(SUBSTITUTE(SUBSTITUTE(SUBSTITUTE(TRIM($H134),"/",","),";",",")," ",""))-LEN(SUBSTITUTE(SUBSTITUTE(SUBSTITUTE(SUBSTITUTE(TRIM($H134),"/",","),";",","),"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134),"/",","),";",",")," ","")&amp;",")))&lt;&gt;(LEN(SUBSTITUTE(SUBSTITUTE(SUBSTITUTE(TRIM($H134),"/",","),";",",")," ",""))-LEN(SUBSTITUTE(SUBSTITUTE(SUBSTITUTE(SUBSTITUTE(TRIM($H134),"/",","),";",",")," ",""),",",""))+1),"Genre di luar daftar",""))),IF($I134="","Nama Channel kosong",""),IF($J134="","Link Channel kosong",IF(ISERROR(SEARCH("youtu",$J134)),"Link Channel bukan youtube","")),IF($K134="","Link Video kosong",IF(ISERROR(SEARCH("youtu",$K134)),"Link Video bukan youtube","")),IF($L134="","Tgl Dibuat kosong",IF(NOT(ISNUMBER($L134)),"Tgl Dibuat bukan tanggal","")),IF(AND($M134&lt;&gt;"",NOT(ISNUMBER($M134))),"Tgl Publish bukan tanggal",""),IF(AND(ISNUMBER($L134),ISNUMBER($M134),$M134&lt;$L134),"Tgl Publish &lt; Tgl buat",""),IF(TRIM($N134)="","Status kosong",IF(ISERROR(MATCH(TRIM($N134),{"Draft","Menunggu Review","Revisi","Terjadwal","Upload","Publish","Published","Batal"},0)),"Status di luar daftar","")))),""))</f>
        <v/>
      </c>
      <c r="S134" s="17">
        <f>IF(AND($A134&lt;&gt;"",$C134&lt;&gt;""),IF(COUNTIFS($A$2:$A$1000,$A134,$C$2:$C$1000,$C134)&gt;1,"DUPLICAT",""),"")</f>
        <v/>
      </c>
    </row>
    <row r="135">
      <c r="A135" s="12" t="n"/>
      <c r="B135" s="12" t="n"/>
      <c r="C135" s="12" t="n"/>
      <c r="D135" s="13" t="n"/>
      <c r="E135" s="12" t="n"/>
      <c r="F135" s="14" t="n"/>
      <c r="G135" s="12" t="n"/>
      <c r="H135" s="12" t="n"/>
      <c r="I135" s="12" t="n"/>
      <c r="J135" s="14" t="n"/>
      <c r="K135" s="14" t="n"/>
      <c r="L135" s="15" t="n"/>
      <c r="M135" s="15" t="n"/>
      <c r="N135" s="12" t="n"/>
      <c r="O135" s="12" t="n"/>
      <c r="P135" s="16">
        <f>IF(AND(ISNUMBER($L135),ISNUMBER($M135)),MAX(0,$M135-$L135),"")</f>
        <v/>
      </c>
      <c r="Q135" s="16">
        <f>IF(ISNUMBER($D135),MAX(0,TODAY()-$D135),"")</f>
        <v/>
      </c>
      <c r="R135" s="14">
        <f>IF(COUNTA($A135:$O135)=0,"",IFERROR(TRIM(TEXTJOIN(" | ",TRUE,IF($A135="","PC kosong",""),IF($C135="","Worker ID kosong",""),IF($D135="","Update Date kosong",IF(NOT(ISNUMBER($D135)),"Update Date bukan tanggal","")),IF($E135="","Song ID YT kosong",""),IF($F135="","Judul kosong",""),IF(TRIM($G135)="","",IF(ISERROR(MATCH(TRIM($G135),{"TuneCore","DistroKid","TooLost","SoundOn","Ditto","Believe","CD Baby","Amuse","Symphonic Distribution","ONErpm","RouteNote","LANDR","Horus Music","Indie"},0)),"Aggregator di luar daftar","")),IF(TRIM($H135)="","Genre kosong",IF((LEN(SUBSTITUTE(SUBSTITUTE(SUBSTITUTE(TRIM($H135),"/",","),";",",")," ",""))-LEN(SUBSTITUTE(SUBSTITUTE(SUBSTITUTE(SUBSTITUTE(TRIM($H135),"/",","),";",","),"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135),"/",","),";",",")," ","")&amp;",")))&lt;&gt;(LEN(SUBSTITUTE(SUBSTITUTE(SUBSTITUTE(TRIM($H135),"/",","),";",",")," ",""))-LEN(SUBSTITUTE(SUBSTITUTE(SUBSTITUTE(SUBSTITUTE(TRIM($H135),"/",","),";",",")," ",""),",",""))+1),"Genre di luar daftar",""))),IF($I135="","Nama Channel kosong",""),IF($J135="","Link Channel kosong",IF(ISERROR(SEARCH("youtu",$J135)),"Link Channel bukan youtube","")),IF($K135="","Link Video kosong",IF(ISERROR(SEARCH("youtu",$K135)),"Link Video bukan youtube","")),IF($L135="","Tgl Dibuat kosong",IF(NOT(ISNUMBER($L135)),"Tgl Dibuat bukan tanggal","")),IF(AND($M135&lt;&gt;"",NOT(ISNUMBER($M135))),"Tgl Publish bukan tanggal",""),IF(AND(ISNUMBER($L135),ISNUMBER($M135),$M135&lt;$L135),"Tgl Publish &lt; Tgl buat",""),IF(TRIM($N135)="","Status kosong",IF(ISERROR(MATCH(TRIM($N135),{"Draft","Menunggu Review","Revisi","Terjadwal","Upload","Publish","Published","Batal"},0)),"Status di luar daftar","")))),""))</f>
        <v/>
      </c>
      <c r="S135" s="12">
        <f>IF(AND($A135&lt;&gt;"",$C135&lt;&gt;""),IF(COUNTIFS($A$2:$A$1000,$A135,$C$2:$C$1000,$C135)&gt;1,"DUPLICAT",""),"")</f>
        <v/>
      </c>
    </row>
    <row r="136">
      <c r="A136" s="17" t="n"/>
      <c r="B136" s="17" t="n"/>
      <c r="C136" s="17" t="n"/>
      <c r="D136" s="18" t="n"/>
      <c r="E136" s="17" t="n"/>
      <c r="F136" s="19" t="n"/>
      <c r="G136" s="17" t="n"/>
      <c r="H136" s="17" t="n"/>
      <c r="I136" s="17" t="n"/>
      <c r="J136" s="19" t="n"/>
      <c r="K136" s="19" t="n"/>
      <c r="L136" s="20" t="n"/>
      <c r="M136" s="20" t="n"/>
      <c r="N136" s="17" t="n"/>
      <c r="O136" s="17" t="n"/>
      <c r="P136" s="21">
        <f>IF(AND(ISNUMBER($L136),ISNUMBER($M136)),MAX(0,$M136-$L136),"")</f>
        <v/>
      </c>
      <c r="Q136" s="21">
        <f>IF(ISNUMBER($D136),MAX(0,TODAY()-$D136),"")</f>
        <v/>
      </c>
      <c r="R136" s="19">
        <f>IF(COUNTA($A136:$O136)=0,"",IFERROR(TRIM(TEXTJOIN(" | ",TRUE,IF($A136="","PC kosong",""),IF($C136="","Worker ID kosong",""),IF($D136="","Update Date kosong",IF(NOT(ISNUMBER($D136)),"Update Date bukan tanggal","")),IF($E136="","Song ID YT kosong",""),IF($F136="","Judul kosong",""),IF(TRIM($G136)="","",IF(ISERROR(MATCH(TRIM($G136),{"TuneCore","DistroKid","TooLost","SoundOn","Ditto","Believe","CD Baby","Amuse","Symphonic Distribution","ONErpm","RouteNote","LANDR","Horus Music","Indie"},0)),"Aggregator di luar daftar","")),IF(TRIM($H136)="","Genre kosong",IF((LEN(SUBSTITUTE(SUBSTITUTE(SUBSTITUTE(TRIM($H136),"/",","),";",",")," ",""))-LEN(SUBSTITUTE(SUBSTITUTE(SUBSTITUTE(SUBSTITUTE(TRIM($H136),"/",","),";",","),"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136),"/",","),";",",")," ","")&amp;",")))&lt;&gt;(LEN(SUBSTITUTE(SUBSTITUTE(SUBSTITUTE(TRIM($H136),"/",","),";",",")," ",""))-LEN(SUBSTITUTE(SUBSTITUTE(SUBSTITUTE(SUBSTITUTE(TRIM($H136),"/",","),";",",")," ",""),",",""))+1),"Genre di luar daftar",""))),IF($I136="","Nama Channel kosong",""),IF($J136="","Link Channel kosong",IF(ISERROR(SEARCH("youtu",$J136)),"Link Channel bukan youtube","")),IF($K136="","Link Video kosong",IF(ISERROR(SEARCH("youtu",$K136)),"Link Video bukan youtube","")),IF($L136="","Tgl Dibuat kosong",IF(NOT(ISNUMBER($L136)),"Tgl Dibuat bukan tanggal","")),IF(AND($M136&lt;&gt;"",NOT(ISNUMBER($M136))),"Tgl Publish bukan tanggal",""),IF(AND(ISNUMBER($L136),ISNUMBER($M136),$M136&lt;$L136),"Tgl Publish &lt; Tgl buat",""),IF(TRIM($N136)="","Status kosong",IF(ISERROR(MATCH(TRIM($N136),{"Draft","Menunggu Review","Revisi","Terjadwal","Upload","Publish","Published","Batal"},0)),"Status di luar daftar","")))),""))</f>
        <v/>
      </c>
      <c r="S136" s="17">
        <f>IF(AND($A136&lt;&gt;"",$C136&lt;&gt;""),IF(COUNTIFS($A$2:$A$1000,$A136,$C$2:$C$1000,$C136)&gt;1,"DUPLICAT",""),"")</f>
        <v/>
      </c>
    </row>
    <row r="137">
      <c r="A137" s="12" t="n"/>
      <c r="B137" s="12" t="n"/>
      <c r="C137" s="12" t="n"/>
      <c r="D137" s="13" t="n"/>
      <c r="E137" s="12" t="n"/>
      <c r="F137" s="14" t="n"/>
      <c r="G137" s="12" t="n"/>
      <c r="H137" s="12" t="n"/>
      <c r="I137" s="12" t="n"/>
      <c r="J137" s="14" t="n"/>
      <c r="K137" s="14" t="n"/>
      <c r="L137" s="15" t="n"/>
      <c r="M137" s="15" t="n"/>
      <c r="N137" s="12" t="n"/>
      <c r="O137" s="12" t="n"/>
      <c r="P137" s="16">
        <f>IF(AND(ISNUMBER($L137),ISNUMBER($M137)),MAX(0,$M137-$L137),"")</f>
        <v/>
      </c>
      <c r="Q137" s="16">
        <f>IF(ISNUMBER($D137),MAX(0,TODAY()-$D137),"")</f>
        <v/>
      </c>
      <c r="R137" s="14">
        <f>IF(COUNTA($A137:$O137)=0,"",IFERROR(TRIM(TEXTJOIN(" | ",TRUE,IF($A137="","PC kosong",""),IF($C137="","Worker ID kosong",""),IF($D137="","Update Date kosong",IF(NOT(ISNUMBER($D137)),"Update Date bukan tanggal","")),IF($E137="","Song ID YT kosong",""),IF($F137="","Judul kosong",""),IF(TRIM($G137)="","",IF(ISERROR(MATCH(TRIM($G137),{"TuneCore","DistroKid","TooLost","SoundOn","Ditto","Believe","CD Baby","Amuse","Symphonic Distribution","ONErpm","RouteNote","LANDR","Horus Music","Indie"},0)),"Aggregator di luar daftar","")),IF(TRIM($H137)="","Genre kosong",IF((LEN(SUBSTITUTE(SUBSTITUTE(SUBSTITUTE(TRIM($H137),"/",","),";",",")," ",""))-LEN(SUBSTITUTE(SUBSTITUTE(SUBSTITUTE(SUBSTITUTE(TRIM($H137),"/",","),";",","),"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137),"/",","),";",",")," ","")&amp;",")))&lt;&gt;(LEN(SUBSTITUTE(SUBSTITUTE(SUBSTITUTE(TRIM($H137),"/",","),";",",")," ",""))-LEN(SUBSTITUTE(SUBSTITUTE(SUBSTITUTE(SUBSTITUTE(TRIM($H137),"/",","),";",",")," ",""),",",""))+1),"Genre di luar daftar",""))),IF($I137="","Nama Channel kosong",""),IF($J137="","Link Channel kosong",IF(ISERROR(SEARCH("youtu",$J137)),"Link Channel bukan youtube","")),IF($K137="","Link Video kosong",IF(ISERROR(SEARCH("youtu",$K137)),"Link Video bukan youtube","")),IF($L137="","Tgl Dibuat kosong",IF(NOT(ISNUMBER($L137)),"Tgl Dibuat bukan tanggal","")),IF(AND($M137&lt;&gt;"",NOT(ISNUMBER($M137))),"Tgl Publish bukan tanggal",""),IF(AND(ISNUMBER($L137),ISNUMBER($M137),$M137&lt;$L137),"Tgl Publish &lt; Tgl buat",""),IF(TRIM($N137)="","Status kosong",IF(ISERROR(MATCH(TRIM($N137),{"Draft","Menunggu Review","Revisi","Terjadwal","Upload","Publish","Published","Batal"},0)),"Status di luar daftar","")))),""))</f>
        <v/>
      </c>
      <c r="S137" s="12">
        <f>IF(AND($A137&lt;&gt;"",$C137&lt;&gt;""),IF(COUNTIFS($A$2:$A$1000,$A137,$C$2:$C$1000,$C137)&gt;1,"DUPLICAT",""),"")</f>
        <v/>
      </c>
    </row>
    <row r="138">
      <c r="A138" s="17" t="n"/>
      <c r="B138" s="17" t="n"/>
      <c r="C138" s="17" t="n"/>
      <c r="D138" s="18" t="n"/>
      <c r="E138" s="17" t="n"/>
      <c r="F138" s="19" t="n"/>
      <c r="G138" s="17" t="n"/>
      <c r="H138" s="17" t="n"/>
      <c r="I138" s="17" t="n"/>
      <c r="J138" s="19" t="n"/>
      <c r="K138" s="19" t="n"/>
      <c r="L138" s="20" t="n"/>
      <c r="M138" s="20" t="n"/>
      <c r="N138" s="17" t="n"/>
      <c r="O138" s="17" t="n"/>
      <c r="P138" s="21">
        <f>IF(AND(ISNUMBER($L138),ISNUMBER($M138)),MAX(0,$M138-$L138),"")</f>
        <v/>
      </c>
      <c r="Q138" s="21">
        <f>IF(ISNUMBER($D138),MAX(0,TODAY()-$D138),"")</f>
        <v/>
      </c>
      <c r="R138" s="19">
        <f>IF(COUNTA($A138:$O138)=0,"",IFERROR(TRIM(TEXTJOIN(" | ",TRUE,IF($A138="","PC kosong",""),IF($C138="","Worker ID kosong",""),IF($D138="","Update Date kosong",IF(NOT(ISNUMBER($D138)),"Update Date bukan tanggal","")),IF($E138="","Song ID YT kosong",""),IF($F138="","Judul kosong",""),IF(TRIM($G138)="","",IF(ISERROR(MATCH(TRIM($G138),{"TuneCore","DistroKid","TooLost","SoundOn","Ditto","Believe","CD Baby","Amuse","Symphonic Distribution","ONErpm","RouteNote","LANDR","Horus Music","Indie"},0)),"Aggregator di luar daftar","")),IF(TRIM($H138)="","Genre kosong",IF((LEN(SUBSTITUTE(SUBSTITUTE(SUBSTITUTE(TRIM($H138),"/",","),";",",")," ",""))-LEN(SUBSTITUTE(SUBSTITUTE(SUBSTITUTE(SUBSTITUTE(TRIM($H138),"/",","),";",","),"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138),"/",","),";",",")," ","")&amp;",")))&lt;&gt;(LEN(SUBSTITUTE(SUBSTITUTE(SUBSTITUTE(TRIM($H138),"/",","),";",",")," ",""))-LEN(SUBSTITUTE(SUBSTITUTE(SUBSTITUTE(SUBSTITUTE(TRIM($H138),"/",","),";",",")," ",""),",",""))+1),"Genre di luar daftar",""))),IF($I138="","Nama Channel kosong",""),IF($J138="","Link Channel kosong",IF(ISERROR(SEARCH("youtu",$J138)),"Link Channel bukan youtube","")),IF($K138="","Link Video kosong",IF(ISERROR(SEARCH("youtu",$K138)),"Link Video bukan youtube","")),IF($L138="","Tgl Dibuat kosong",IF(NOT(ISNUMBER($L138)),"Tgl Dibuat bukan tanggal","")),IF(AND($M138&lt;&gt;"",NOT(ISNUMBER($M138))),"Tgl Publish bukan tanggal",""),IF(AND(ISNUMBER($L138),ISNUMBER($M138),$M138&lt;$L138),"Tgl Publish &lt; Tgl buat",""),IF(TRIM($N138)="","Status kosong",IF(ISERROR(MATCH(TRIM($N138),{"Draft","Menunggu Review","Revisi","Terjadwal","Upload","Publish","Published","Batal"},0)),"Status di luar daftar","")))),""))</f>
        <v/>
      </c>
      <c r="S138" s="17">
        <f>IF(AND($A138&lt;&gt;"",$C138&lt;&gt;""),IF(COUNTIFS($A$2:$A$1000,$A138,$C$2:$C$1000,$C138)&gt;1,"DUPLICAT",""),"")</f>
        <v/>
      </c>
    </row>
    <row r="139">
      <c r="A139" s="12" t="n"/>
      <c r="B139" s="12" t="n"/>
      <c r="C139" s="12" t="n"/>
      <c r="D139" s="13" t="n"/>
      <c r="E139" s="12" t="n"/>
      <c r="F139" s="14" t="n"/>
      <c r="G139" s="12" t="n"/>
      <c r="H139" s="12" t="n"/>
      <c r="I139" s="12" t="n"/>
      <c r="J139" s="14" t="n"/>
      <c r="K139" s="14" t="n"/>
      <c r="L139" s="15" t="n"/>
      <c r="M139" s="15" t="n"/>
      <c r="N139" s="12" t="n"/>
      <c r="O139" s="12" t="n"/>
      <c r="P139" s="16">
        <f>IF(AND(ISNUMBER($L139),ISNUMBER($M139)),MAX(0,$M139-$L139),"")</f>
        <v/>
      </c>
      <c r="Q139" s="16">
        <f>IF(ISNUMBER($D139),MAX(0,TODAY()-$D139),"")</f>
        <v/>
      </c>
      <c r="R139" s="14">
        <f>IF(COUNTA($A139:$O139)=0,"",IFERROR(TRIM(TEXTJOIN(" | ",TRUE,IF($A139="","PC kosong",""),IF($C139="","Worker ID kosong",""),IF($D139="","Update Date kosong",IF(NOT(ISNUMBER($D139)),"Update Date bukan tanggal","")),IF($E139="","Song ID YT kosong",""),IF($F139="","Judul kosong",""),IF(TRIM($G139)="","",IF(ISERROR(MATCH(TRIM($G139),{"TuneCore","DistroKid","TooLost","SoundOn","Ditto","Believe","CD Baby","Amuse","Symphonic Distribution","ONErpm","RouteNote","LANDR","Horus Music","Indie"},0)),"Aggregator di luar daftar","")),IF(TRIM($H139)="","Genre kosong",IF((LEN(SUBSTITUTE(SUBSTITUTE(SUBSTITUTE(TRIM($H139),"/",","),";",",")," ",""))-LEN(SUBSTITUTE(SUBSTITUTE(SUBSTITUTE(SUBSTITUTE(TRIM($H139),"/",","),";",","),"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139),"/",","),";",",")," ","")&amp;",")))&lt;&gt;(LEN(SUBSTITUTE(SUBSTITUTE(SUBSTITUTE(TRIM($H139),"/",","),";",",")," ",""))-LEN(SUBSTITUTE(SUBSTITUTE(SUBSTITUTE(SUBSTITUTE(TRIM($H139),"/",","),";",",")," ",""),",",""))+1),"Genre di luar daftar",""))),IF($I139="","Nama Channel kosong",""),IF($J139="","Link Channel kosong",IF(ISERROR(SEARCH("youtu",$J139)),"Link Channel bukan youtube","")),IF($K139="","Link Video kosong",IF(ISERROR(SEARCH("youtu",$K139)),"Link Video bukan youtube","")),IF($L139="","Tgl Dibuat kosong",IF(NOT(ISNUMBER($L139)),"Tgl Dibuat bukan tanggal","")),IF(AND($M139&lt;&gt;"",NOT(ISNUMBER($M139))),"Tgl Publish bukan tanggal",""),IF(AND(ISNUMBER($L139),ISNUMBER($M139),$M139&lt;$L139),"Tgl Publish &lt; Tgl buat",""),IF(TRIM($N139)="","Status kosong",IF(ISERROR(MATCH(TRIM($N139),{"Draft","Menunggu Review","Revisi","Terjadwal","Upload","Publish","Published","Batal"},0)),"Status di luar daftar","")))),""))</f>
        <v/>
      </c>
      <c r="S139" s="12">
        <f>IF(AND($A139&lt;&gt;"",$C139&lt;&gt;""),IF(COUNTIFS($A$2:$A$1000,$A139,$C$2:$C$1000,$C139)&gt;1,"DUPLICAT",""),"")</f>
        <v/>
      </c>
    </row>
    <row r="140">
      <c r="A140" s="17" t="n"/>
      <c r="B140" s="17" t="n"/>
      <c r="C140" s="17" t="n"/>
      <c r="D140" s="18" t="n"/>
      <c r="E140" s="17" t="n"/>
      <c r="F140" s="19" t="n"/>
      <c r="G140" s="17" t="n"/>
      <c r="H140" s="17" t="n"/>
      <c r="I140" s="17" t="n"/>
      <c r="J140" s="19" t="n"/>
      <c r="K140" s="19" t="n"/>
      <c r="L140" s="20" t="n"/>
      <c r="M140" s="20" t="n"/>
      <c r="N140" s="17" t="n"/>
      <c r="O140" s="17" t="n"/>
      <c r="P140" s="21">
        <f>IF(AND(ISNUMBER($L140),ISNUMBER($M140)),MAX(0,$M140-$L140),"")</f>
        <v/>
      </c>
      <c r="Q140" s="21">
        <f>IF(ISNUMBER($D140),MAX(0,TODAY()-$D140),"")</f>
        <v/>
      </c>
      <c r="R140" s="19">
        <f>IF(COUNTA($A140:$O140)=0,"",IFERROR(TRIM(TEXTJOIN(" | ",TRUE,IF($A140="","PC kosong",""),IF($C140="","Worker ID kosong",""),IF($D140="","Update Date kosong",IF(NOT(ISNUMBER($D140)),"Update Date bukan tanggal","")),IF($E140="","Song ID YT kosong",""),IF($F140="","Judul kosong",""),IF(TRIM($G140)="","",IF(ISERROR(MATCH(TRIM($G140),{"TuneCore","DistroKid","TooLost","SoundOn","Ditto","Believe","CD Baby","Amuse","Symphonic Distribution","ONErpm","RouteNote","LANDR","Horus Music","Indie"},0)),"Aggregator di luar daftar","")),IF(TRIM($H140)="","Genre kosong",IF((LEN(SUBSTITUTE(SUBSTITUTE(SUBSTITUTE(TRIM($H140),"/",","),";",",")," ",""))-LEN(SUBSTITUTE(SUBSTITUTE(SUBSTITUTE(SUBSTITUTE(TRIM($H140),"/",","),";",","),"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140),"/",","),";",",")," ","")&amp;",")))&lt;&gt;(LEN(SUBSTITUTE(SUBSTITUTE(SUBSTITUTE(TRIM($H140),"/",","),";",",")," ",""))-LEN(SUBSTITUTE(SUBSTITUTE(SUBSTITUTE(SUBSTITUTE(TRIM($H140),"/",","),";",",")," ",""),",",""))+1),"Genre di luar daftar",""))),IF($I140="","Nama Channel kosong",""),IF($J140="","Link Channel kosong",IF(ISERROR(SEARCH("youtu",$J140)),"Link Channel bukan youtube","")),IF($K140="","Link Video kosong",IF(ISERROR(SEARCH("youtu",$K140)),"Link Video bukan youtube","")),IF($L140="","Tgl Dibuat kosong",IF(NOT(ISNUMBER($L140)),"Tgl Dibuat bukan tanggal","")),IF(AND($M140&lt;&gt;"",NOT(ISNUMBER($M140))),"Tgl Publish bukan tanggal",""),IF(AND(ISNUMBER($L140),ISNUMBER($M140),$M140&lt;$L140),"Tgl Publish &lt; Tgl buat",""),IF(TRIM($N140)="","Status kosong",IF(ISERROR(MATCH(TRIM($N140),{"Draft","Menunggu Review","Revisi","Terjadwal","Upload","Publish","Published","Batal"},0)),"Status di luar daftar","")))),""))</f>
        <v/>
      </c>
      <c r="S140" s="17">
        <f>IF(AND($A140&lt;&gt;"",$C140&lt;&gt;""),IF(COUNTIFS($A$2:$A$1000,$A140,$C$2:$C$1000,$C140)&gt;1,"DUPLICAT",""),"")</f>
        <v/>
      </c>
    </row>
    <row r="141">
      <c r="A141" s="12" t="n"/>
      <c r="B141" s="12" t="n"/>
      <c r="C141" s="12" t="n"/>
      <c r="D141" s="13" t="n"/>
      <c r="E141" s="12" t="n"/>
      <c r="F141" s="14" t="n"/>
      <c r="G141" s="12" t="n"/>
      <c r="H141" s="12" t="n"/>
      <c r="I141" s="12" t="n"/>
      <c r="J141" s="14" t="n"/>
      <c r="K141" s="14" t="n"/>
      <c r="L141" s="15" t="n"/>
      <c r="M141" s="15" t="n"/>
      <c r="N141" s="12" t="n"/>
      <c r="O141" s="12" t="n"/>
      <c r="P141" s="16">
        <f>IF(AND(ISNUMBER($L141),ISNUMBER($M141)),MAX(0,$M141-$L141),"")</f>
        <v/>
      </c>
      <c r="Q141" s="16">
        <f>IF(ISNUMBER($D141),MAX(0,TODAY()-$D141),"")</f>
        <v/>
      </c>
      <c r="R141" s="14">
        <f>IF(COUNTA($A141:$O141)=0,"",IFERROR(TRIM(TEXTJOIN(" | ",TRUE,IF($A141="","PC kosong",""),IF($C141="","Worker ID kosong",""),IF($D141="","Update Date kosong",IF(NOT(ISNUMBER($D141)),"Update Date bukan tanggal","")),IF($E141="","Song ID YT kosong",""),IF($F141="","Judul kosong",""),IF(TRIM($G141)="","",IF(ISERROR(MATCH(TRIM($G141),{"TuneCore","DistroKid","TooLost","SoundOn","Ditto","Believe","CD Baby","Amuse","Symphonic Distribution","ONErpm","RouteNote","LANDR","Horus Music","Indie"},0)),"Aggregator di luar daftar","")),IF(TRIM($H141)="","Genre kosong",IF((LEN(SUBSTITUTE(SUBSTITUTE(SUBSTITUTE(TRIM($H141),"/",","),";",",")," ",""))-LEN(SUBSTITUTE(SUBSTITUTE(SUBSTITUTE(SUBSTITUTE(TRIM($H141),"/",","),";",","),"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141),"/",","),";",",")," ","")&amp;",")))&lt;&gt;(LEN(SUBSTITUTE(SUBSTITUTE(SUBSTITUTE(TRIM($H141),"/",","),";",",")," ",""))-LEN(SUBSTITUTE(SUBSTITUTE(SUBSTITUTE(SUBSTITUTE(TRIM($H141),"/",","),";",",")," ",""),",",""))+1),"Genre di luar daftar",""))),IF($I141="","Nama Channel kosong",""),IF($J141="","Link Channel kosong",IF(ISERROR(SEARCH("youtu",$J141)),"Link Channel bukan youtube","")),IF($K141="","Link Video kosong",IF(ISERROR(SEARCH("youtu",$K141)),"Link Video bukan youtube","")),IF($L141="","Tgl Dibuat kosong",IF(NOT(ISNUMBER($L141)),"Tgl Dibuat bukan tanggal","")),IF(AND($M141&lt;&gt;"",NOT(ISNUMBER($M141))),"Tgl Publish bukan tanggal",""),IF(AND(ISNUMBER($L141),ISNUMBER($M141),$M141&lt;$L141),"Tgl Publish &lt; Tgl buat",""),IF(TRIM($N141)="","Status kosong",IF(ISERROR(MATCH(TRIM($N141),{"Draft","Menunggu Review","Revisi","Terjadwal","Upload","Publish","Published","Batal"},0)),"Status di luar daftar","")))),""))</f>
        <v/>
      </c>
      <c r="S141" s="12">
        <f>IF(AND($A141&lt;&gt;"",$C141&lt;&gt;""),IF(COUNTIFS($A$2:$A$1000,$A141,$C$2:$C$1000,$C141)&gt;1,"DUPLICAT",""),"")</f>
        <v/>
      </c>
    </row>
    <row r="142">
      <c r="A142" s="17" t="n"/>
      <c r="B142" s="17" t="n"/>
      <c r="C142" s="17" t="n"/>
      <c r="D142" s="18" t="n"/>
      <c r="E142" s="17" t="n"/>
      <c r="F142" s="19" t="n"/>
      <c r="G142" s="17" t="n"/>
      <c r="H142" s="17" t="n"/>
      <c r="I142" s="17" t="n"/>
      <c r="J142" s="19" t="n"/>
      <c r="K142" s="19" t="n"/>
      <c r="L142" s="20" t="n"/>
      <c r="M142" s="20" t="n"/>
      <c r="N142" s="17" t="n"/>
      <c r="O142" s="17" t="n"/>
      <c r="P142" s="21">
        <f>IF(AND(ISNUMBER($L142),ISNUMBER($M142)),MAX(0,$M142-$L142),"")</f>
        <v/>
      </c>
      <c r="Q142" s="21">
        <f>IF(ISNUMBER($D142),MAX(0,TODAY()-$D142),"")</f>
        <v/>
      </c>
      <c r="R142" s="19">
        <f>IF(COUNTA($A142:$O142)=0,"",IFERROR(TRIM(TEXTJOIN(" | ",TRUE,IF($A142="","PC kosong",""),IF($C142="","Worker ID kosong",""),IF($D142="","Update Date kosong",IF(NOT(ISNUMBER($D142)),"Update Date bukan tanggal","")),IF($E142="","Song ID YT kosong",""),IF($F142="","Judul kosong",""),IF(TRIM($G142)="","",IF(ISERROR(MATCH(TRIM($G142),{"TuneCore","DistroKid","TooLost","SoundOn","Ditto","Believe","CD Baby","Amuse","Symphonic Distribution","ONErpm","RouteNote","LANDR","Horus Music","Indie"},0)),"Aggregator di luar daftar","")),IF(TRIM($H142)="","Genre kosong",IF((LEN(SUBSTITUTE(SUBSTITUTE(SUBSTITUTE(TRIM($H142),"/",","),";",",")," ",""))-LEN(SUBSTITUTE(SUBSTITUTE(SUBSTITUTE(SUBSTITUTE(TRIM($H142),"/",","),";",","),"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142),"/",","),";",",")," ","")&amp;",")))&lt;&gt;(LEN(SUBSTITUTE(SUBSTITUTE(SUBSTITUTE(TRIM($H142),"/",","),";",",")," ",""))-LEN(SUBSTITUTE(SUBSTITUTE(SUBSTITUTE(SUBSTITUTE(TRIM($H142),"/",","),";",",")," ",""),",",""))+1),"Genre di luar daftar",""))),IF($I142="","Nama Channel kosong",""),IF($J142="","Link Channel kosong",IF(ISERROR(SEARCH("youtu",$J142)),"Link Channel bukan youtube","")),IF($K142="","Link Video kosong",IF(ISERROR(SEARCH("youtu",$K142)),"Link Video bukan youtube","")),IF($L142="","Tgl Dibuat kosong",IF(NOT(ISNUMBER($L142)),"Tgl Dibuat bukan tanggal","")),IF(AND($M142&lt;&gt;"",NOT(ISNUMBER($M142))),"Tgl Publish bukan tanggal",""),IF(AND(ISNUMBER($L142),ISNUMBER($M142),$M142&lt;$L142),"Tgl Publish &lt; Tgl buat",""),IF(TRIM($N142)="","Status kosong",IF(ISERROR(MATCH(TRIM($N142),{"Draft","Menunggu Review","Revisi","Terjadwal","Upload","Publish","Published","Batal"},0)),"Status di luar daftar","")))),""))</f>
        <v/>
      </c>
      <c r="S142" s="17">
        <f>IF(AND($A142&lt;&gt;"",$C142&lt;&gt;""),IF(COUNTIFS($A$2:$A$1000,$A142,$C$2:$C$1000,$C142)&gt;1,"DUPLICAT",""),"")</f>
        <v/>
      </c>
    </row>
    <row r="143">
      <c r="A143" s="12" t="n"/>
      <c r="B143" s="12" t="n"/>
      <c r="C143" s="12" t="n"/>
      <c r="D143" s="13" t="n"/>
      <c r="E143" s="12" t="n"/>
      <c r="F143" s="14" t="n"/>
      <c r="G143" s="12" t="n"/>
      <c r="H143" s="12" t="n"/>
      <c r="I143" s="12" t="n"/>
      <c r="J143" s="14" t="n"/>
      <c r="K143" s="14" t="n"/>
      <c r="L143" s="15" t="n"/>
      <c r="M143" s="15" t="n"/>
      <c r="N143" s="12" t="n"/>
      <c r="O143" s="12" t="n"/>
      <c r="P143" s="16">
        <f>IF(AND(ISNUMBER($L143),ISNUMBER($M143)),MAX(0,$M143-$L143),"")</f>
        <v/>
      </c>
      <c r="Q143" s="16">
        <f>IF(ISNUMBER($D143),MAX(0,TODAY()-$D143),"")</f>
        <v/>
      </c>
      <c r="R143" s="14">
        <f>IF(COUNTA($A143:$O143)=0,"",IFERROR(TRIM(TEXTJOIN(" | ",TRUE,IF($A143="","PC kosong",""),IF($C143="","Worker ID kosong",""),IF($D143="","Update Date kosong",IF(NOT(ISNUMBER($D143)),"Update Date bukan tanggal","")),IF($E143="","Song ID YT kosong",""),IF($F143="","Judul kosong",""),IF(TRIM($G143)="","",IF(ISERROR(MATCH(TRIM($G143),{"TuneCore","DistroKid","TooLost","SoundOn","Ditto","Believe","CD Baby","Amuse","Symphonic Distribution","ONErpm","RouteNote","LANDR","Horus Music","Indie"},0)),"Aggregator di luar daftar","")),IF(TRIM($H143)="","Genre kosong",IF((LEN(SUBSTITUTE(SUBSTITUTE(SUBSTITUTE(TRIM($H143),"/",","),";",",")," ",""))-LEN(SUBSTITUTE(SUBSTITUTE(SUBSTITUTE(SUBSTITUTE(TRIM($H143),"/",","),";",","),"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143),"/",","),";",",")," ","")&amp;",")))&lt;&gt;(LEN(SUBSTITUTE(SUBSTITUTE(SUBSTITUTE(TRIM($H143),"/",","),";",",")," ",""))-LEN(SUBSTITUTE(SUBSTITUTE(SUBSTITUTE(SUBSTITUTE(TRIM($H143),"/",","),";",",")," ",""),",",""))+1),"Genre di luar daftar",""))),IF($I143="","Nama Channel kosong",""),IF($J143="","Link Channel kosong",IF(ISERROR(SEARCH("youtu",$J143)),"Link Channel bukan youtube","")),IF($K143="","Link Video kosong",IF(ISERROR(SEARCH("youtu",$K143)),"Link Video bukan youtube","")),IF($L143="","Tgl Dibuat kosong",IF(NOT(ISNUMBER($L143)),"Tgl Dibuat bukan tanggal","")),IF(AND($M143&lt;&gt;"",NOT(ISNUMBER($M143))),"Tgl Publish bukan tanggal",""),IF(AND(ISNUMBER($L143),ISNUMBER($M143),$M143&lt;$L143),"Tgl Publish &lt; Tgl buat",""),IF(TRIM($N143)="","Status kosong",IF(ISERROR(MATCH(TRIM($N143),{"Draft","Menunggu Review","Revisi","Terjadwal","Upload","Publish","Published","Batal"},0)),"Status di luar daftar","")))),""))</f>
        <v/>
      </c>
      <c r="S143" s="12">
        <f>IF(AND($A143&lt;&gt;"",$C143&lt;&gt;""),IF(COUNTIFS($A$2:$A$1000,$A143,$C$2:$C$1000,$C143)&gt;1,"DUPLICAT",""),"")</f>
        <v/>
      </c>
    </row>
    <row r="144">
      <c r="A144" s="17" t="n"/>
      <c r="B144" s="17" t="n"/>
      <c r="C144" s="17" t="n"/>
      <c r="D144" s="18" t="n"/>
      <c r="E144" s="17" t="n"/>
      <c r="F144" s="19" t="n"/>
      <c r="G144" s="17" t="n"/>
      <c r="H144" s="17" t="n"/>
      <c r="I144" s="17" t="n"/>
      <c r="J144" s="19" t="n"/>
      <c r="K144" s="19" t="n"/>
      <c r="L144" s="20" t="n"/>
      <c r="M144" s="20" t="n"/>
      <c r="N144" s="17" t="n"/>
      <c r="O144" s="17" t="n"/>
      <c r="P144" s="21">
        <f>IF(AND(ISNUMBER($L144),ISNUMBER($M144)),MAX(0,$M144-$L144),"")</f>
        <v/>
      </c>
      <c r="Q144" s="21">
        <f>IF(ISNUMBER($D144),MAX(0,TODAY()-$D144),"")</f>
        <v/>
      </c>
      <c r="R144" s="19">
        <f>IF(COUNTA($A144:$O144)=0,"",IFERROR(TRIM(TEXTJOIN(" | ",TRUE,IF($A144="","PC kosong",""),IF($C144="","Worker ID kosong",""),IF($D144="","Update Date kosong",IF(NOT(ISNUMBER($D144)),"Update Date bukan tanggal","")),IF($E144="","Song ID YT kosong",""),IF($F144="","Judul kosong",""),IF(TRIM($G144)="","",IF(ISERROR(MATCH(TRIM($G144),{"TuneCore","DistroKid","TooLost","SoundOn","Ditto","Believe","CD Baby","Amuse","Symphonic Distribution","ONErpm","RouteNote","LANDR","Horus Music","Indie"},0)),"Aggregator di luar daftar","")),IF(TRIM($H144)="","Genre kosong",IF((LEN(SUBSTITUTE(SUBSTITUTE(SUBSTITUTE(TRIM($H144),"/",","),";",",")," ",""))-LEN(SUBSTITUTE(SUBSTITUTE(SUBSTITUTE(SUBSTITUTE(TRIM($H144),"/",","),";",","),"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144),"/",","),";",",")," ","")&amp;",")))&lt;&gt;(LEN(SUBSTITUTE(SUBSTITUTE(SUBSTITUTE(TRIM($H144),"/",","),";",",")," ",""))-LEN(SUBSTITUTE(SUBSTITUTE(SUBSTITUTE(SUBSTITUTE(TRIM($H144),"/",","),";",",")," ",""),",",""))+1),"Genre di luar daftar",""))),IF($I144="","Nama Channel kosong",""),IF($J144="","Link Channel kosong",IF(ISERROR(SEARCH("youtu",$J144)),"Link Channel bukan youtube","")),IF($K144="","Link Video kosong",IF(ISERROR(SEARCH("youtu",$K144)),"Link Video bukan youtube","")),IF($L144="","Tgl Dibuat kosong",IF(NOT(ISNUMBER($L144)),"Tgl Dibuat bukan tanggal","")),IF(AND($M144&lt;&gt;"",NOT(ISNUMBER($M144))),"Tgl Publish bukan tanggal",""),IF(AND(ISNUMBER($L144),ISNUMBER($M144),$M144&lt;$L144),"Tgl Publish &lt; Tgl buat",""),IF(TRIM($N144)="","Status kosong",IF(ISERROR(MATCH(TRIM($N144),{"Draft","Menunggu Review","Revisi","Terjadwal","Upload","Publish","Published","Batal"},0)),"Status di luar daftar","")))),""))</f>
        <v/>
      </c>
      <c r="S144" s="17">
        <f>IF(AND($A144&lt;&gt;"",$C144&lt;&gt;""),IF(COUNTIFS($A$2:$A$1000,$A144,$C$2:$C$1000,$C144)&gt;1,"DUPLICAT",""),"")</f>
        <v/>
      </c>
    </row>
    <row r="145">
      <c r="A145" s="12" t="n"/>
      <c r="B145" s="12" t="n"/>
      <c r="C145" s="12" t="n"/>
      <c r="D145" s="13" t="n"/>
      <c r="E145" s="12" t="n"/>
      <c r="F145" s="14" t="n"/>
      <c r="G145" s="12" t="n"/>
      <c r="H145" s="12" t="n"/>
      <c r="I145" s="12" t="n"/>
      <c r="J145" s="14" t="n"/>
      <c r="K145" s="14" t="n"/>
      <c r="L145" s="15" t="n"/>
      <c r="M145" s="15" t="n"/>
      <c r="N145" s="12" t="n"/>
      <c r="O145" s="12" t="n"/>
      <c r="P145" s="16">
        <f>IF(AND(ISNUMBER($L145),ISNUMBER($M145)),MAX(0,$M145-$L145),"")</f>
        <v/>
      </c>
      <c r="Q145" s="16">
        <f>IF(ISNUMBER($D145),MAX(0,TODAY()-$D145),"")</f>
        <v/>
      </c>
      <c r="R145" s="14">
        <f>IF(COUNTA($A145:$O145)=0,"",IFERROR(TRIM(TEXTJOIN(" | ",TRUE,IF($A145="","PC kosong",""),IF($C145="","Worker ID kosong",""),IF($D145="","Update Date kosong",IF(NOT(ISNUMBER($D145)),"Update Date bukan tanggal","")),IF($E145="","Song ID YT kosong",""),IF($F145="","Judul kosong",""),IF(TRIM($G145)="","",IF(ISERROR(MATCH(TRIM($G145),{"TuneCore","DistroKid","TooLost","SoundOn","Ditto","Believe","CD Baby","Amuse","Symphonic Distribution","ONErpm","RouteNote","LANDR","Horus Music","Indie"},0)),"Aggregator di luar daftar","")),IF(TRIM($H145)="","Genre kosong",IF((LEN(SUBSTITUTE(SUBSTITUTE(SUBSTITUTE(TRIM($H145),"/",","),";",",")," ",""))-LEN(SUBSTITUTE(SUBSTITUTE(SUBSTITUTE(SUBSTITUTE(TRIM($H145),"/",","),";",","),"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145),"/",","),";",",")," ","")&amp;",")))&lt;&gt;(LEN(SUBSTITUTE(SUBSTITUTE(SUBSTITUTE(TRIM($H145),"/",","),";",",")," ",""))-LEN(SUBSTITUTE(SUBSTITUTE(SUBSTITUTE(SUBSTITUTE(TRIM($H145),"/",","),";",",")," ",""),",",""))+1),"Genre di luar daftar",""))),IF($I145="","Nama Channel kosong",""),IF($J145="","Link Channel kosong",IF(ISERROR(SEARCH("youtu",$J145)),"Link Channel bukan youtube","")),IF($K145="","Link Video kosong",IF(ISERROR(SEARCH("youtu",$K145)),"Link Video bukan youtube","")),IF($L145="","Tgl Dibuat kosong",IF(NOT(ISNUMBER($L145)),"Tgl Dibuat bukan tanggal","")),IF(AND($M145&lt;&gt;"",NOT(ISNUMBER($M145))),"Tgl Publish bukan tanggal",""),IF(AND(ISNUMBER($L145),ISNUMBER($M145),$M145&lt;$L145),"Tgl Publish &lt; Tgl buat",""),IF(TRIM($N145)="","Status kosong",IF(ISERROR(MATCH(TRIM($N145),{"Draft","Menunggu Review","Revisi","Terjadwal","Upload","Publish","Published","Batal"},0)),"Status di luar daftar","")))),""))</f>
        <v/>
      </c>
      <c r="S145" s="12">
        <f>IF(AND($A145&lt;&gt;"",$C145&lt;&gt;""),IF(COUNTIFS($A$2:$A$1000,$A145,$C$2:$C$1000,$C145)&gt;1,"DUPLICAT",""),"")</f>
        <v/>
      </c>
    </row>
    <row r="146">
      <c r="A146" s="17" t="n"/>
      <c r="B146" s="17" t="n"/>
      <c r="C146" s="17" t="n"/>
      <c r="D146" s="18" t="n"/>
      <c r="E146" s="17" t="n"/>
      <c r="F146" s="19" t="n"/>
      <c r="G146" s="17" t="n"/>
      <c r="H146" s="17" t="n"/>
      <c r="I146" s="17" t="n"/>
      <c r="J146" s="19" t="n"/>
      <c r="K146" s="19" t="n"/>
      <c r="L146" s="20" t="n"/>
      <c r="M146" s="20" t="n"/>
      <c r="N146" s="17" t="n"/>
      <c r="O146" s="17" t="n"/>
      <c r="P146" s="21">
        <f>IF(AND(ISNUMBER($L146),ISNUMBER($M146)),MAX(0,$M146-$L146),"")</f>
        <v/>
      </c>
      <c r="Q146" s="21">
        <f>IF(ISNUMBER($D146),MAX(0,TODAY()-$D146),"")</f>
        <v/>
      </c>
      <c r="R146" s="19">
        <f>IF(COUNTA($A146:$O146)=0,"",IFERROR(TRIM(TEXTJOIN(" | ",TRUE,IF($A146="","PC kosong",""),IF($C146="","Worker ID kosong",""),IF($D146="","Update Date kosong",IF(NOT(ISNUMBER($D146)),"Update Date bukan tanggal","")),IF($E146="","Song ID YT kosong",""),IF($F146="","Judul kosong",""),IF(TRIM($G146)="","",IF(ISERROR(MATCH(TRIM($G146),{"TuneCore","DistroKid","TooLost","SoundOn","Ditto","Believe","CD Baby","Amuse","Symphonic Distribution","ONErpm","RouteNote","LANDR","Horus Music","Indie"},0)),"Aggregator di luar daftar","")),IF(TRIM($H146)="","Genre kosong",IF((LEN(SUBSTITUTE(SUBSTITUTE(SUBSTITUTE(TRIM($H146),"/",","),";",",")," ",""))-LEN(SUBSTITUTE(SUBSTITUTE(SUBSTITUTE(SUBSTITUTE(TRIM($H146),"/",","),";",","),"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146),"/",","),";",",")," ","")&amp;",")))&lt;&gt;(LEN(SUBSTITUTE(SUBSTITUTE(SUBSTITUTE(TRIM($H146),"/",","),";",",")," ",""))-LEN(SUBSTITUTE(SUBSTITUTE(SUBSTITUTE(SUBSTITUTE(TRIM($H146),"/",","),";",",")," ",""),",",""))+1),"Genre di luar daftar",""))),IF($I146="","Nama Channel kosong",""),IF($J146="","Link Channel kosong",IF(ISERROR(SEARCH("youtu",$J146)),"Link Channel bukan youtube","")),IF($K146="","Link Video kosong",IF(ISERROR(SEARCH("youtu",$K146)),"Link Video bukan youtube","")),IF($L146="","Tgl Dibuat kosong",IF(NOT(ISNUMBER($L146)),"Tgl Dibuat bukan tanggal","")),IF(AND($M146&lt;&gt;"",NOT(ISNUMBER($M146))),"Tgl Publish bukan tanggal",""),IF(AND(ISNUMBER($L146),ISNUMBER($M146),$M146&lt;$L146),"Tgl Publish &lt; Tgl buat",""),IF(TRIM($N146)="","Status kosong",IF(ISERROR(MATCH(TRIM($N146),{"Draft","Menunggu Review","Revisi","Terjadwal","Upload","Publish","Published","Batal"},0)),"Status di luar daftar","")))),""))</f>
        <v/>
      </c>
      <c r="S146" s="17">
        <f>IF(AND($A146&lt;&gt;"",$C146&lt;&gt;""),IF(COUNTIFS($A$2:$A$1000,$A146,$C$2:$C$1000,$C146)&gt;1,"DUPLICAT",""),"")</f>
        <v/>
      </c>
    </row>
    <row r="147">
      <c r="A147" s="12" t="n"/>
      <c r="B147" s="12" t="n"/>
      <c r="C147" s="12" t="n"/>
      <c r="D147" s="13" t="n"/>
      <c r="E147" s="12" t="n"/>
      <c r="F147" s="14" t="n"/>
      <c r="G147" s="12" t="n"/>
      <c r="H147" s="12" t="n"/>
      <c r="I147" s="12" t="n"/>
      <c r="J147" s="14" t="n"/>
      <c r="K147" s="14" t="n"/>
      <c r="L147" s="15" t="n"/>
      <c r="M147" s="15" t="n"/>
      <c r="N147" s="12" t="n"/>
      <c r="O147" s="12" t="n"/>
      <c r="P147" s="16">
        <f>IF(AND(ISNUMBER($L147),ISNUMBER($M147)),MAX(0,$M147-$L147),"")</f>
        <v/>
      </c>
      <c r="Q147" s="16">
        <f>IF(ISNUMBER($D147),MAX(0,TODAY()-$D147),"")</f>
        <v/>
      </c>
      <c r="R147" s="14">
        <f>IF(COUNTA($A147:$O147)=0,"",IFERROR(TRIM(TEXTJOIN(" | ",TRUE,IF($A147="","PC kosong",""),IF($C147="","Worker ID kosong",""),IF($D147="","Update Date kosong",IF(NOT(ISNUMBER($D147)),"Update Date bukan tanggal","")),IF($E147="","Song ID YT kosong",""),IF($F147="","Judul kosong",""),IF(TRIM($G147)="","",IF(ISERROR(MATCH(TRIM($G147),{"TuneCore","DistroKid","TooLost","SoundOn","Ditto","Believe","CD Baby","Amuse","Symphonic Distribution","ONErpm","RouteNote","LANDR","Horus Music","Indie"},0)),"Aggregator di luar daftar","")),IF(TRIM($H147)="","Genre kosong",IF((LEN(SUBSTITUTE(SUBSTITUTE(SUBSTITUTE(TRIM($H147),"/",","),";",",")," ",""))-LEN(SUBSTITUTE(SUBSTITUTE(SUBSTITUTE(SUBSTITUTE(TRIM($H147),"/",","),";",","),"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147),"/",","),";",",")," ","")&amp;",")))&lt;&gt;(LEN(SUBSTITUTE(SUBSTITUTE(SUBSTITUTE(TRIM($H147),"/",","),";",",")," ",""))-LEN(SUBSTITUTE(SUBSTITUTE(SUBSTITUTE(SUBSTITUTE(TRIM($H147),"/",","),";",",")," ",""),",",""))+1),"Genre di luar daftar",""))),IF($I147="","Nama Channel kosong",""),IF($J147="","Link Channel kosong",IF(ISERROR(SEARCH("youtu",$J147)),"Link Channel bukan youtube","")),IF($K147="","Link Video kosong",IF(ISERROR(SEARCH("youtu",$K147)),"Link Video bukan youtube","")),IF($L147="","Tgl Dibuat kosong",IF(NOT(ISNUMBER($L147)),"Tgl Dibuat bukan tanggal","")),IF(AND($M147&lt;&gt;"",NOT(ISNUMBER($M147))),"Tgl Publish bukan tanggal",""),IF(AND(ISNUMBER($L147),ISNUMBER($M147),$M147&lt;$L147),"Tgl Publish &lt; Tgl buat",""),IF(TRIM($N147)="","Status kosong",IF(ISERROR(MATCH(TRIM($N147),{"Draft","Menunggu Review","Revisi","Terjadwal","Upload","Publish","Published","Batal"},0)),"Status di luar daftar","")))),""))</f>
        <v/>
      </c>
      <c r="S147" s="12">
        <f>IF(AND($A147&lt;&gt;"",$C147&lt;&gt;""),IF(COUNTIFS($A$2:$A$1000,$A147,$C$2:$C$1000,$C147)&gt;1,"DUPLICAT",""),"")</f>
        <v/>
      </c>
    </row>
    <row r="148">
      <c r="A148" s="17" t="n"/>
      <c r="B148" s="17" t="n"/>
      <c r="C148" s="17" t="n"/>
      <c r="D148" s="18" t="n"/>
      <c r="E148" s="17" t="n"/>
      <c r="F148" s="19" t="n"/>
      <c r="G148" s="17" t="n"/>
      <c r="H148" s="17" t="n"/>
      <c r="I148" s="17" t="n"/>
      <c r="J148" s="19" t="n"/>
      <c r="K148" s="19" t="n"/>
      <c r="L148" s="20" t="n"/>
      <c r="M148" s="20" t="n"/>
      <c r="N148" s="17" t="n"/>
      <c r="O148" s="17" t="n"/>
      <c r="P148" s="21">
        <f>IF(AND(ISNUMBER($L148),ISNUMBER($M148)),MAX(0,$M148-$L148),"")</f>
        <v/>
      </c>
      <c r="Q148" s="21">
        <f>IF(ISNUMBER($D148),MAX(0,TODAY()-$D148),"")</f>
        <v/>
      </c>
      <c r="R148" s="19">
        <f>IF(COUNTA($A148:$O148)=0,"",IFERROR(TRIM(TEXTJOIN(" | ",TRUE,IF($A148="","PC kosong",""),IF($C148="","Worker ID kosong",""),IF($D148="","Update Date kosong",IF(NOT(ISNUMBER($D148)),"Update Date bukan tanggal","")),IF($E148="","Song ID YT kosong",""),IF($F148="","Judul kosong",""),IF(TRIM($G148)="","",IF(ISERROR(MATCH(TRIM($G148),{"TuneCore","DistroKid","TooLost","SoundOn","Ditto","Believe","CD Baby","Amuse","Symphonic Distribution","ONErpm","RouteNote","LANDR","Horus Music","Indie"},0)),"Aggregator di luar daftar","")),IF(TRIM($H148)="","Genre kosong",IF((LEN(SUBSTITUTE(SUBSTITUTE(SUBSTITUTE(TRIM($H148),"/",","),";",",")," ",""))-LEN(SUBSTITUTE(SUBSTITUTE(SUBSTITUTE(SUBSTITUTE(TRIM($H148),"/",","),";",","),"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148),"/",","),";",",")," ","")&amp;",")))&lt;&gt;(LEN(SUBSTITUTE(SUBSTITUTE(SUBSTITUTE(TRIM($H148),"/",","),";",",")," ",""))-LEN(SUBSTITUTE(SUBSTITUTE(SUBSTITUTE(SUBSTITUTE(TRIM($H148),"/",","),";",",")," ",""),",",""))+1),"Genre di luar daftar",""))),IF($I148="","Nama Channel kosong",""),IF($J148="","Link Channel kosong",IF(ISERROR(SEARCH("youtu",$J148)),"Link Channel bukan youtube","")),IF($K148="","Link Video kosong",IF(ISERROR(SEARCH("youtu",$K148)),"Link Video bukan youtube","")),IF($L148="","Tgl Dibuat kosong",IF(NOT(ISNUMBER($L148)),"Tgl Dibuat bukan tanggal","")),IF(AND($M148&lt;&gt;"",NOT(ISNUMBER($M148))),"Tgl Publish bukan tanggal",""),IF(AND(ISNUMBER($L148),ISNUMBER($M148),$M148&lt;$L148),"Tgl Publish &lt; Tgl buat",""),IF(TRIM($N148)="","Status kosong",IF(ISERROR(MATCH(TRIM($N148),{"Draft","Menunggu Review","Revisi","Terjadwal","Upload","Publish","Published","Batal"},0)),"Status di luar daftar","")))),""))</f>
        <v/>
      </c>
      <c r="S148" s="17">
        <f>IF(AND($A148&lt;&gt;"",$C148&lt;&gt;""),IF(COUNTIFS($A$2:$A$1000,$A148,$C$2:$C$1000,$C148)&gt;1,"DUPLICAT",""),"")</f>
        <v/>
      </c>
    </row>
    <row r="149">
      <c r="A149" s="12" t="n"/>
      <c r="B149" s="12" t="n"/>
      <c r="C149" s="12" t="n"/>
      <c r="D149" s="13" t="n"/>
      <c r="E149" s="12" t="n"/>
      <c r="F149" s="14" t="n"/>
      <c r="G149" s="12" t="n"/>
      <c r="H149" s="12" t="n"/>
      <c r="I149" s="12" t="n"/>
      <c r="J149" s="14" t="n"/>
      <c r="K149" s="14" t="n"/>
      <c r="L149" s="15" t="n"/>
      <c r="M149" s="15" t="n"/>
      <c r="N149" s="12" t="n"/>
      <c r="O149" s="12" t="n"/>
      <c r="P149" s="16">
        <f>IF(AND(ISNUMBER($L149),ISNUMBER($M149)),MAX(0,$M149-$L149),"")</f>
        <v/>
      </c>
      <c r="Q149" s="16">
        <f>IF(ISNUMBER($D149),MAX(0,TODAY()-$D149),"")</f>
        <v/>
      </c>
      <c r="R149" s="14">
        <f>IF(COUNTA($A149:$O149)=0,"",IFERROR(TRIM(TEXTJOIN(" | ",TRUE,IF($A149="","PC kosong",""),IF($C149="","Worker ID kosong",""),IF($D149="","Update Date kosong",IF(NOT(ISNUMBER($D149)),"Update Date bukan tanggal","")),IF($E149="","Song ID YT kosong",""),IF($F149="","Judul kosong",""),IF(TRIM($G149)="","",IF(ISERROR(MATCH(TRIM($G149),{"TuneCore","DistroKid","TooLost","SoundOn","Ditto","Believe","CD Baby","Amuse","Symphonic Distribution","ONErpm","RouteNote","LANDR","Horus Music","Indie"},0)),"Aggregator di luar daftar","")),IF(TRIM($H149)="","Genre kosong",IF((LEN(SUBSTITUTE(SUBSTITUTE(SUBSTITUTE(TRIM($H149),"/",","),";",",")," ",""))-LEN(SUBSTITUTE(SUBSTITUTE(SUBSTITUTE(SUBSTITUTE(TRIM($H149),"/",","),";",","),"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149),"/",","),";",",")," ","")&amp;",")))&lt;&gt;(LEN(SUBSTITUTE(SUBSTITUTE(SUBSTITUTE(TRIM($H149),"/",","),";",",")," ",""))-LEN(SUBSTITUTE(SUBSTITUTE(SUBSTITUTE(SUBSTITUTE(TRIM($H149),"/",","),";",",")," ",""),",",""))+1),"Genre di luar daftar",""))),IF($I149="","Nama Channel kosong",""),IF($J149="","Link Channel kosong",IF(ISERROR(SEARCH("youtu",$J149)),"Link Channel bukan youtube","")),IF($K149="","Link Video kosong",IF(ISERROR(SEARCH("youtu",$K149)),"Link Video bukan youtube","")),IF($L149="","Tgl Dibuat kosong",IF(NOT(ISNUMBER($L149)),"Tgl Dibuat bukan tanggal","")),IF(AND($M149&lt;&gt;"",NOT(ISNUMBER($M149))),"Tgl Publish bukan tanggal",""),IF(AND(ISNUMBER($L149),ISNUMBER($M149),$M149&lt;$L149),"Tgl Publish &lt; Tgl buat",""),IF(TRIM($N149)="","Status kosong",IF(ISERROR(MATCH(TRIM($N149),{"Draft","Menunggu Review","Revisi","Terjadwal","Upload","Publish","Published","Batal"},0)),"Status di luar daftar","")))),""))</f>
        <v/>
      </c>
      <c r="S149" s="12">
        <f>IF(AND($A149&lt;&gt;"",$C149&lt;&gt;""),IF(COUNTIFS($A$2:$A$1000,$A149,$C$2:$C$1000,$C149)&gt;1,"DUPLICAT",""),"")</f>
        <v/>
      </c>
    </row>
    <row r="150">
      <c r="A150" s="17" t="n"/>
      <c r="B150" s="17" t="n"/>
      <c r="C150" s="17" t="n"/>
      <c r="D150" s="18" t="n"/>
      <c r="E150" s="17" t="n"/>
      <c r="F150" s="19" t="n"/>
      <c r="G150" s="17" t="n"/>
      <c r="H150" s="17" t="n"/>
      <c r="I150" s="17" t="n"/>
      <c r="J150" s="19" t="n"/>
      <c r="K150" s="19" t="n"/>
      <c r="L150" s="20" t="n"/>
      <c r="M150" s="20" t="n"/>
      <c r="N150" s="17" t="n"/>
      <c r="O150" s="17" t="n"/>
      <c r="P150" s="21">
        <f>IF(AND(ISNUMBER($L150),ISNUMBER($M150)),MAX(0,$M150-$L150),"")</f>
        <v/>
      </c>
      <c r="Q150" s="21">
        <f>IF(ISNUMBER($D150),MAX(0,TODAY()-$D150),"")</f>
        <v/>
      </c>
      <c r="R150" s="19">
        <f>IF(COUNTA($A150:$O150)=0,"",IFERROR(TRIM(TEXTJOIN(" | ",TRUE,IF($A150="","PC kosong",""),IF($C150="","Worker ID kosong",""),IF($D150="","Update Date kosong",IF(NOT(ISNUMBER($D150)),"Update Date bukan tanggal","")),IF($E150="","Song ID YT kosong",""),IF($F150="","Judul kosong",""),IF(TRIM($G150)="","",IF(ISERROR(MATCH(TRIM($G150),{"TuneCore","DistroKid","TooLost","SoundOn","Ditto","Believe","CD Baby","Amuse","Symphonic Distribution","ONErpm","RouteNote","LANDR","Horus Music","Indie"},0)),"Aggregator di luar daftar","")),IF(TRIM($H150)="","Genre kosong",IF((LEN(SUBSTITUTE(SUBSTITUTE(SUBSTITUTE(TRIM($H150),"/",","),";",",")," ",""))-LEN(SUBSTITUTE(SUBSTITUTE(SUBSTITUTE(SUBSTITUTE(TRIM($H150),"/",","),";",","),"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150),"/",","),";",",")," ","")&amp;",")))&lt;&gt;(LEN(SUBSTITUTE(SUBSTITUTE(SUBSTITUTE(TRIM($H150),"/",","),";",",")," ",""))-LEN(SUBSTITUTE(SUBSTITUTE(SUBSTITUTE(SUBSTITUTE(TRIM($H150),"/",","),";",",")," ",""),",",""))+1),"Genre di luar daftar",""))),IF($I150="","Nama Channel kosong",""),IF($J150="","Link Channel kosong",IF(ISERROR(SEARCH("youtu",$J150)),"Link Channel bukan youtube","")),IF($K150="","Link Video kosong",IF(ISERROR(SEARCH("youtu",$K150)),"Link Video bukan youtube","")),IF($L150="","Tgl Dibuat kosong",IF(NOT(ISNUMBER($L150)),"Tgl Dibuat bukan tanggal","")),IF(AND($M150&lt;&gt;"",NOT(ISNUMBER($M150))),"Tgl Publish bukan tanggal",""),IF(AND(ISNUMBER($L150),ISNUMBER($M150),$M150&lt;$L150),"Tgl Publish &lt; Tgl buat",""),IF(TRIM($N150)="","Status kosong",IF(ISERROR(MATCH(TRIM($N150),{"Draft","Menunggu Review","Revisi","Terjadwal","Upload","Publish","Published","Batal"},0)),"Status di luar daftar","")))),""))</f>
        <v/>
      </c>
      <c r="S150" s="17">
        <f>IF(AND($A150&lt;&gt;"",$C150&lt;&gt;""),IF(COUNTIFS($A$2:$A$1000,$A150,$C$2:$C$1000,$C150)&gt;1,"DUPLICAT",""),"")</f>
        <v/>
      </c>
    </row>
    <row r="151">
      <c r="A151" s="12" t="n"/>
      <c r="B151" s="12" t="n"/>
      <c r="C151" s="12" t="n"/>
      <c r="D151" s="13" t="n"/>
      <c r="E151" s="12" t="n"/>
      <c r="F151" s="14" t="n"/>
      <c r="G151" s="12" t="n"/>
      <c r="H151" s="12" t="n"/>
      <c r="I151" s="12" t="n"/>
      <c r="J151" s="14" t="n"/>
      <c r="K151" s="14" t="n"/>
      <c r="L151" s="15" t="n"/>
      <c r="M151" s="15" t="n"/>
      <c r="N151" s="12" t="n"/>
      <c r="O151" s="12" t="n"/>
      <c r="P151" s="16">
        <f>IF(AND(ISNUMBER($L151),ISNUMBER($M151)),MAX(0,$M151-$L151),"")</f>
        <v/>
      </c>
      <c r="Q151" s="16">
        <f>IF(ISNUMBER($D151),MAX(0,TODAY()-$D151),"")</f>
        <v/>
      </c>
      <c r="R151" s="14">
        <f>IF(COUNTA($A151:$O151)=0,"",IFERROR(TRIM(TEXTJOIN(" | ",TRUE,IF($A151="","PC kosong",""),IF($C151="","Worker ID kosong",""),IF($D151="","Update Date kosong",IF(NOT(ISNUMBER($D151)),"Update Date bukan tanggal","")),IF($E151="","Song ID YT kosong",""),IF($F151="","Judul kosong",""),IF(TRIM($G151)="","",IF(ISERROR(MATCH(TRIM($G151),{"TuneCore","DistroKid","TooLost","SoundOn","Ditto","Believe","CD Baby","Amuse","Symphonic Distribution","ONErpm","RouteNote","LANDR","Horus Music","Indie"},0)),"Aggregator di luar daftar","")),IF(TRIM($H151)="","Genre kosong",IF((LEN(SUBSTITUTE(SUBSTITUTE(SUBSTITUTE(TRIM($H151),"/",","),";",",")," ",""))-LEN(SUBSTITUTE(SUBSTITUTE(SUBSTITUTE(SUBSTITUTE(TRIM($H151),"/",","),";",","),"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151),"/",","),";",",")," ","")&amp;",")))&lt;&gt;(LEN(SUBSTITUTE(SUBSTITUTE(SUBSTITUTE(TRIM($H151),"/",","),";",",")," ",""))-LEN(SUBSTITUTE(SUBSTITUTE(SUBSTITUTE(SUBSTITUTE(TRIM($H151),"/",","),";",",")," ",""),",",""))+1),"Genre di luar daftar",""))),IF($I151="","Nama Channel kosong",""),IF($J151="","Link Channel kosong",IF(ISERROR(SEARCH("youtu",$J151)),"Link Channel bukan youtube","")),IF($K151="","Link Video kosong",IF(ISERROR(SEARCH("youtu",$K151)),"Link Video bukan youtube","")),IF($L151="","Tgl Dibuat kosong",IF(NOT(ISNUMBER($L151)),"Tgl Dibuat bukan tanggal","")),IF(AND($M151&lt;&gt;"",NOT(ISNUMBER($M151))),"Tgl Publish bukan tanggal",""),IF(AND(ISNUMBER($L151),ISNUMBER($M151),$M151&lt;$L151),"Tgl Publish &lt; Tgl buat",""),IF(TRIM($N151)="","Status kosong",IF(ISERROR(MATCH(TRIM($N151),{"Draft","Menunggu Review","Revisi","Terjadwal","Upload","Publish","Published","Batal"},0)),"Status di luar daftar","")))),""))</f>
        <v/>
      </c>
      <c r="S151" s="12">
        <f>IF(AND($A151&lt;&gt;"",$C151&lt;&gt;""),IF(COUNTIFS($A$2:$A$1000,$A151,$C$2:$C$1000,$C151)&gt;1,"DUPLICAT",""),"")</f>
        <v/>
      </c>
    </row>
    <row r="152">
      <c r="A152" s="17" t="n"/>
      <c r="B152" s="17" t="n"/>
      <c r="C152" s="17" t="n"/>
      <c r="D152" s="18" t="n"/>
      <c r="E152" s="17" t="n"/>
      <c r="F152" s="19" t="n"/>
      <c r="G152" s="17" t="n"/>
      <c r="H152" s="17" t="n"/>
      <c r="I152" s="17" t="n"/>
      <c r="J152" s="19" t="n"/>
      <c r="K152" s="19" t="n"/>
      <c r="L152" s="20" t="n"/>
      <c r="M152" s="20" t="n"/>
      <c r="N152" s="17" t="n"/>
      <c r="O152" s="17" t="n"/>
      <c r="P152" s="21">
        <f>IF(AND(ISNUMBER($L152),ISNUMBER($M152)),MAX(0,$M152-$L152),"")</f>
        <v/>
      </c>
      <c r="Q152" s="21">
        <f>IF(ISNUMBER($D152),MAX(0,TODAY()-$D152),"")</f>
        <v/>
      </c>
      <c r="R152" s="19">
        <f>IF(COUNTA($A152:$O152)=0,"",IFERROR(TRIM(TEXTJOIN(" | ",TRUE,IF($A152="","PC kosong",""),IF($C152="","Worker ID kosong",""),IF($D152="","Update Date kosong",IF(NOT(ISNUMBER($D152)),"Update Date bukan tanggal","")),IF($E152="","Song ID YT kosong",""),IF($F152="","Judul kosong",""),IF(TRIM($G152)="","",IF(ISERROR(MATCH(TRIM($G152),{"TuneCore","DistroKid","TooLost","SoundOn","Ditto","Believe","CD Baby","Amuse","Symphonic Distribution","ONErpm","RouteNote","LANDR","Horus Music","Indie"},0)),"Aggregator di luar daftar","")),IF(TRIM($H152)="","Genre kosong",IF((LEN(SUBSTITUTE(SUBSTITUTE(SUBSTITUTE(TRIM($H152),"/",","),";",",")," ",""))-LEN(SUBSTITUTE(SUBSTITUTE(SUBSTITUTE(SUBSTITUTE(TRIM($H152),"/",","),";",","),"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152),"/",","),";",",")," ","")&amp;",")))&lt;&gt;(LEN(SUBSTITUTE(SUBSTITUTE(SUBSTITUTE(TRIM($H152),"/",","),";",",")," ",""))-LEN(SUBSTITUTE(SUBSTITUTE(SUBSTITUTE(SUBSTITUTE(TRIM($H152),"/",","),";",",")," ",""),",",""))+1),"Genre di luar daftar",""))),IF($I152="","Nama Channel kosong",""),IF($J152="","Link Channel kosong",IF(ISERROR(SEARCH("youtu",$J152)),"Link Channel bukan youtube","")),IF($K152="","Link Video kosong",IF(ISERROR(SEARCH("youtu",$K152)),"Link Video bukan youtube","")),IF($L152="","Tgl Dibuat kosong",IF(NOT(ISNUMBER($L152)),"Tgl Dibuat bukan tanggal","")),IF(AND($M152&lt;&gt;"",NOT(ISNUMBER($M152))),"Tgl Publish bukan tanggal",""),IF(AND(ISNUMBER($L152),ISNUMBER($M152),$M152&lt;$L152),"Tgl Publish &lt; Tgl buat",""),IF(TRIM($N152)="","Status kosong",IF(ISERROR(MATCH(TRIM($N152),{"Draft","Menunggu Review","Revisi","Terjadwal","Upload","Publish","Published","Batal"},0)),"Status di luar daftar","")))),""))</f>
        <v/>
      </c>
      <c r="S152" s="17">
        <f>IF(AND($A152&lt;&gt;"",$C152&lt;&gt;""),IF(COUNTIFS($A$2:$A$1000,$A152,$C$2:$C$1000,$C152)&gt;1,"DUPLICAT",""),"")</f>
        <v/>
      </c>
    </row>
    <row r="153">
      <c r="A153" s="12" t="n"/>
      <c r="B153" s="12" t="n"/>
      <c r="C153" s="12" t="n"/>
      <c r="D153" s="13" t="n"/>
      <c r="E153" s="12" t="n"/>
      <c r="F153" s="14" t="n"/>
      <c r="G153" s="12" t="n"/>
      <c r="H153" s="12" t="n"/>
      <c r="I153" s="12" t="n"/>
      <c r="J153" s="14" t="n"/>
      <c r="K153" s="14" t="n"/>
      <c r="L153" s="15" t="n"/>
      <c r="M153" s="15" t="n"/>
      <c r="N153" s="12" t="n"/>
      <c r="O153" s="12" t="n"/>
      <c r="P153" s="16">
        <f>IF(AND(ISNUMBER($L153),ISNUMBER($M153)),MAX(0,$M153-$L153),"")</f>
        <v/>
      </c>
      <c r="Q153" s="16">
        <f>IF(ISNUMBER($D153),MAX(0,TODAY()-$D153),"")</f>
        <v/>
      </c>
      <c r="R153" s="14">
        <f>IF(COUNTA($A153:$O153)=0,"",IFERROR(TRIM(TEXTJOIN(" | ",TRUE,IF($A153="","PC kosong",""),IF($C153="","Worker ID kosong",""),IF($D153="","Update Date kosong",IF(NOT(ISNUMBER($D153)),"Update Date bukan tanggal","")),IF($E153="","Song ID YT kosong",""),IF($F153="","Judul kosong",""),IF(TRIM($G153)="","",IF(ISERROR(MATCH(TRIM($G153),{"TuneCore","DistroKid","TooLost","SoundOn","Ditto","Believe","CD Baby","Amuse","Symphonic Distribution","ONErpm","RouteNote","LANDR","Horus Music","Indie"},0)),"Aggregator di luar daftar","")),IF(TRIM($H153)="","Genre kosong",IF((LEN(SUBSTITUTE(SUBSTITUTE(SUBSTITUTE(TRIM($H153),"/",","),";",",")," ",""))-LEN(SUBSTITUTE(SUBSTITUTE(SUBSTITUTE(SUBSTITUTE(TRIM($H153),"/",","),";",","),"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153),"/",","),";",",")," ","")&amp;",")))&lt;&gt;(LEN(SUBSTITUTE(SUBSTITUTE(SUBSTITUTE(TRIM($H153),"/",","),";",",")," ",""))-LEN(SUBSTITUTE(SUBSTITUTE(SUBSTITUTE(SUBSTITUTE(TRIM($H153),"/",","),";",",")," ",""),",",""))+1),"Genre di luar daftar",""))),IF($I153="","Nama Channel kosong",""),IF($J153="","Link Channel kosong",IF(ISERROR(SEARCH("youtu",$J153)),"Link Channel bukan youtube","")),IF($K153="","Link Video kosong",IF(ISERROR(SEARCH("youtu",$K153)),"Link Video bukan youtube","")),IF($L153="","Tgl Dibuat kosong",IF(NOT(ISNUMBER($L153)),"Tgl Dibuat bukan tanggal","")),IF(AND($M153&lt;&gt;"",NOT(ISNUMBER($M153))),"Tgl Publish bukan tanggal",""),IF(AND(ISNUMBER($L153),ISNUMBER($M153),$M153&lt;$L153),"Tgl Publish &lt; Tgl buat",""),IF(TRIM($N153)="","Status kosong",IF(ISERROR(MATCH(TRIM($N153),{"Draft","Menunggu Review","Revisi","Terjadwal","Upload","Publish","Published","Batal"},0)),"Status di luar daftar","")))),""))</f>
        <v/>
      </c>
      <c r="S153" s="12">
        <f>IF(AND($A153&lt;&gt;"",$C153&lt;&gt;""),IF(COUNTIFS($A$2:$A$1000,$A153,$C$2:$C$1000,$C153)&gt;1,"DUPLICAT",""),"")</f>
        <v/>
      </c>
    </row>
    <row r="154">
      <c r="A154" s="17" t="n"/>
      <c r="B154" s="17" t="n"/>
      <c r="C154" s="17" t="n"/>
      <c r="D154" s="18" t="n"/>
      <c r="E154" s="17" t="n"/>
      <c r="F154" s="19" t="n"/>
      <c r="G154" s="17" t="n"/>
      <c r="H154" s="17" t="n"/>
      <c r="I154" s="17" t="n"/>
      <c r="J154" s="19" t="n"/>
      <c r="K154" s="19" t="n"/>
      <c r="L154" s="20" t="n"/>
      <c r="M154" s="20" t="n"/>
      <c r="N154" s="17" t="n"/>
      <c r="O154" s="17" t="n"/>
      <c r="P154" s="21">
        <f>IF(AND(ISNUMBER($L154),ISNUMBER($M154)),MAX(0,$M154-$L154),"")</f>
        <v/>
      </c>
      <c r="Q154" s="21">
        <f>IF(ISNUMBER($D154),MAX(0,TODAY()-$D154),"")</f>
        <v/>
      </c>
      <c r="R154" s="19">
        <f>IF(COUNTA($A154:$O154)=0,"",IFERROR(TRIM(TEXTJOIN(" | ",TRUE,IF($A154="","PC kosong",""),IF($C154="","Worker ID kosong",""),IF($D154="","Update Date kosong",IF(NOT(ISNUMBER($D154)),"Update Date bukan tanggal","")),IF($E154="","Song ID YT kosong",""),IF($F154="","Judul kosong",""),IF(TRIM($G154)="","",IF(ISERROR(MATCH(TRIM($G154),{"TuneCore","DistroKid","TooLost","SoundOn","Ditto","Believe","CD Baby","Amuse","Symphonic Distribution","ONErpm","RouteNote","LANDR","Horus Music","Indie"},0)),"Aggregator di luar daftar","")),IF(TRIM($H154)="","Genre kosong",IF((LEN(SUBSTITUTE(SUBSTITUTE(SUBSTITUTE(TRIM($H154),"/",","),";",",")," ",""))-LEN(SUBSTITUTE(SUBSTITUTE(SUBSTITUTE(SUBSTITUTE(TRIM($H154),"/",","),";",","),"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154),"/",","),";",",")," ","")&amp;",")))&lt;&gt;(LEN(SUBSTITUTE(SUBSTITUTE(SUBSTITUTE(TRIM($H154),"/",","),";",",")," ",""))-LEN(SUBSTITUTE(SUBSTITUTE(SUBSTITUTE(SUBSTITUTE(TRIM($H154),"/",","),";",",")," ",""),",",""))+1),"Genre di luar daftar",""))),IF($I154="","Nama Channel kosong",""),IF($J154="","Link Channel kosong",IF(ISERROR(SEARCH("youtu",$J154)),"Link Channel bukan youtube","")),IF($K154="","Link Video kosong",IF(ISERROR(SEARCH("youtu",$K154)),"Link Video bukan youtube","")),IF($L154="","Tgl Dibuat kosong",IF(NOT(ISNUMBER($L154)),"Tgl Dibuat bukan tanggal","")),IF(AND($M154&lt;&gt;"",NOT(ISNUMBER($M154))),"Tgl Publish bukan tanggal",""),IF(AND(ISNUMBER($L154),ISNUMBER($M154),$M154&lt;$L154),"Tgl Publish &lt; Tgl buat",""),IF(TRIM($N154)="","Status kosong",IF(ISERROR(MATCH(TRIM($N154),{"Draft","Menunggu Review","Revisi","Terjadwal","Upload","Publish","Published","Batal"},0)),"Status di luar daftar","")))),""))</f>
        <v/>
      </c>
      <c r="S154" s="17">
        <f>IF(AND($A154&lt;&gt;"",$C154&lt;&gt;""),IF(COUNTIFS($A$2:$A$1000,$A154,$C$2:$C$1000,$C154)&gt;1,"DUPLICAT",""),"")</f>
        <v/>
      </c>
    </row>
    <row r="155">
      <c r="A155" s="12" t="n"/>
      <c r="B155" s="12" t="n"/>
      <c r="C155" s="12" t="n"/>
      <c r="D155" s="13" t="n"/>
      <c r="E155" s="12" t="n"/>
      <c r="F155" s="14" t="n"/>
      <c r="G155" s="12" t="n"/>
      <c r="H155" s="12" t="n"/>
      <c r="I155" s="12" t="n"/>
      <c r="J155" s="14" t="n"/>
      <c r="K155" s="14" t="n"/>
      <c r="L155" s="15" t="n"/>
      <c r="M155" s="15" t="n"/>
      <c r="N155" s="12" t="n"/>
      <c r="O155" s="12" t="n"/>
      <c r="P155" s="16">
        <f>IF(AND(ISNUMBER($L155),ISNUMBER($M155)),MAX(0,$M155-$L155),"")</f>
        <v/>
      </c>
      <c r="Q155" s="16">
        <f>IF(ISNUMBER($D155),MAX(0,TODAY()-$D155),"")</f>
        <v/>
      </c>
      <c r="R155" s="14">
        <f>IF(COUNTA($A155:$O155)=0,"",IFERROR(TRIM(TEXTJOIN(" | ",TRUE,IF($A155="","PC kosong",""),IF($C155="","Worker ID kosong",""),IF($D155="","Update Date kosong",IF(NOT(ISNUMBER($D155)),"Update Date bukan tanggal","")),IF($E155="","Song ID YT kosong",""),IF($F155="","Judul kosong",""),IF(TRIM($G155)="","",IF(ISERROR(MATCH(TRIM($G155),{"TuneCore","DistroKid","TooLost","SoundOn","Ditto","Believe","CD Baby","Amuse","Symphonic Distribution","ONErpm","RouteNote","LANDR","Horus Music","Indie"},0)),"Aggregator di luar daftar","")),IF(TRIM($H155)="","Genre kosong",IF((LEN(SUBSTITUTE(SUBSTITUTE(SUBSTITUTE(TRIM($H155),"/",","),";",",")," ",""))-LEN(SUBSTITUTE(SUBSTITUTE(SUBSTITUTE(SUBSTITUTE(TRIM($H155),"/",","),";",","),"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155),"/",","),";",",")," ","")&amp;",")))&lt;&gt;(LEN(SUBSTITUTE(SUBSTITUTE(SUBSTITUTE(TRIM($H155),"/",","),";",",")," ",""))-LEN(SUBSTITUTE(SUBSTITUTE(SUBSTITUTE(SUBSTITUTE(TRIM($H155),"/",","),";",",")," ",""),",",""))+1),"Genre di luar daftar",""))),IF($I155="","Nama Channel kosong",""),IF($J155="","Link Channel kosong",IF(ISERROR(SEARCH("youtu",$J155)),"Link Channel bukan youtube","")),IF($K155="","Link Video kosong",IF(ISERROR(SEARCH("youtu",$K155)),"Link Video bukan youtube","")),IF($L155="","Tgl Dibuat kosong",IF(NOT(ISNUMBER($L155)),"Tgl Dibuat bukan tanggal","")),IF(AND($M155&lt;&gt;"",NOT(ISNUMBER($M155))),"Tgl Publish bukan tanggal",""),IF(AND(ISNUMBER($L155),ISNUMBER($M155),$M155&lt;$L155),"Tgl Publish &lt; Tgl buat",""),IF(TRIM($N155)="","Status kosong",IF(ISERROR(MATCH(TRIM($N155),{"Draft","Menunggu Review","Revisi","Terjadwal","Upload","Publish","Published","Batal"},0)),"Status di luar daftar","")))),""))</f>
        <v/>
      </c>
      <c r="S155" s="12">
        <f>IF(AND($A155&lt;&gt;"",$C155&lt;&gt;""),IF(COUNTIFS($A$2:$A$1000,$A155,$C$2:$C$1000,$C155)&gt;1,"DUPLICAT",""),"")</f>
        <v/>
      </c>
    </row>
    <row r="156">
      <c r="A156" s="17" t="n"/>
      <c r="B156" s="17" t="n"/>
      <c r="C156" s="17" t="n"/>
      <c r="D156" s="18" t="n"/>
      <c r="E156" s="17" t="n"/>
      <c r="F156" s="19" t="n"/>
      <c r="G156" s="17" t="n"/>
      <c r="H156" s="17" t="n"/>
      <c r="I156" s="17" t="n"/>
      <c r="J156" s="19" t="n"/>
      <c r="K156" s="19" t="n"/>
      <c r="L156" s="20" t="n"/>
      <c r="M156" s="20" t="n"/>
      <c r="N156" s="17" t="n"/>
      <c r="O156" s="17" t="n"/>
      <c r="P156" s="21">
        <f>IF(AND(ISNUMBER($L156),ISNUMBER($M156)),MAX(0,$M156-$L156),"")</f>
        <v/>
      </c>
      <c r="Q156" s="21">
        <f>IF(ISNUMBER($D156),MAX(0,TODAY()-$D156),"")</f>
        <v/>
      </c>
      <c r="R156" s="19">
        <f>IF(COUNTA($A156:$O156)=0,"",IFERROR(TRIM(TEXTJOIN(" | ",TRUE,IF($A156="","PC kosong",""),IF($C156="","Worker ID kosong",""),IF($D156="","Update Date kosong",IF(NOT(ISNUMBER($D156)),"Update Date bukan tanggal","")),IF($E156="","Song ID YT kosong",""),IF($F156="","Judul kosong",""),IF(TRIM($G156)="","",IF(ISERROR(MATCH(TRIM($G156),{"TuneCore","DistroKid","TooLost","SoundOn","Ditto","Believe","CD Baby","Amuse","Symphonic Distribution","ONErpm","RouteNote","LANDR","Horus Music","Indie"},0)),"Aggregator di luar daftar","")),IF(TRIM($H156)="","Genre kosong",IF((LEN(SUBSTITUTE(SUBSTITUTE(SUBSTITUTE(TRIM($H156),"/",","),";",",")," ",""))-LEN(SUBSTITUTE(SUBSTITUTE(SUBSTITUTE(SUBSTITUTE(TRIM($H156),"/",","),";",","),"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156),"/",","),";",",")," ","")&amp;",")))&lt;&gt;(LEN(SUBSTITUTE(SUBSTITUTE(SUBSTITUTE(TRIM($H156),"/",","),";",",")," ",""))-LEN(SUBSTITUTE(SUBSTITUTE(SUBSTITUTE(SUBSTITUTE(TRIM($H156),"/",","),";",",")," ",""),",",""))+1),"Genre di luar daftar",""))),IF($I156="","Nama Channel kosong",""),IF($J156="","Link Channel kosong",IF(ISERROR(SEARCH("youtu",$J156)),"Link Channel bukan youtube","")),IF($K156="","Link Video kosong",IF(ISERROR(SEARCH("youtu",$K156)),"Link Video bukan youtube","")),IF($L156="","Tgl Dibuat kosong",IF(NOT(ISNUMBER($L156)),"Tgl Dibuat bukan tanggal","")),IF(AND($M156&lt;&gt;"",NOT(ISNUMBER($M156))),"Tgl Publish bukan tanggal",""),IF(AND(ISNUMBER($L156),ISNUMBER($M156),$M156&lt;$L156),"Tgl Publish &lt; Tgl buat",""),IF(TRIM($N156)="","Status kosong",IF(ISERROR(MATCH(TRIM($N156),{"Draft","Menunggu Review","Revisi","Terjadwal","Upload","Publish","Published","Batal"},0)),"Status di luar daftar","")))),""))</f>
        <v/>
      </c>
      <c r="S156" s="17">
        <f>IF(AND($A156&lt;&gt;"",$C156&lt;&gt;""),IF(COUNTIFS($A$2:$A$1000,$A156,$C$2:$C$1000,$C156)&gt;1,"DUPLICAT",""),"")</f>
        <v/>
      </c>
    </row>
    <row r="157">
      <c r="A157" s="12" t="n"/>
      <c r="B157" s="12" t="n"/>
      <c r="C157" s="12" t="n"/>
      <c r="D157" s="13" t="n"/>
      <c r="E157" s="12" t="n"/>
      <c r="F157" s="14" t="n"/>
      <c r="G157" s="12" t="n"/>
      <c r="H157" s="12" t="n"/>
      <c r="I157" s="12" t="n"/>
      <c r="J157" s="14" t="n"/>
      <c r="K157" s="14" t="n"/>
      <c r="L157" s="15" t="n"/>
      <c r="M157" s="15" t="n"/>
      <c r="N157" s="12" t="n"/>
      <c r="O157" s="12" t="n"/>
      <c r="P157" s="16">
        <f>IF(AND(ISNUMBER($L157),ISNUMBER($M157)),MAX(0,$M157-$L157),"")</f>
        <v/>
      </c>
      <c r="Q157" s="16">
        <f>IF(ISNUMBER($D157),MAX(0,TODAY()-$D157),"")</f>
        <v/>
      </c>
      <c r="R157" s="14">
        <f>IF(COUNTA($A157:$O157)=0,"",IFERROR(TRIM(TEXTJOIN(" | ",TRUE,IF($A157="","PC kosong",""),IF($C157="","Worker ID kosong",""),IF($D157="","Update Date kosong",IF(NOT(ISNUMBER($D157)),"Update Date bukan tanggal","")),IF($E157="","Song ID YT kosong",""),IF($F157="","Judul kosong",""),IF(TRIM($G157)="","",IF(ISERROR(MATCH(TRIM($G157),{"TuneCore","DistroKid","TooLost","SoundOn","Ditto","Believe","CD Baby","Amuse","Symphonic Distribution","ONErpm","RouteNote","LANDR","Horus Music","Indie"},0)),"Aggregator di luar daftar","")),IF(TRIM($H157)="","Genre kosong",IF((LEN(SUBSTITUTE(SUBSTITUTE(SUBSTITUTE(TRIM($H157),"/",","),";",",")," ",""))-LEN(SUBSTITUTE(SUBSTITUTE(SUBSTITUTE(SUBSTITUTE(TRIM($H157),"/",","),";",","),"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157),"/",","),";",",")," ","")&amp;",")))&lt;&gt;(LEN(SUBSTITUTE(SUBSTITUTE(SUBSTITUTE(TRIM($H157),"/",","),";",",")," ",""))-LEN(SUBSTITUTE(SUBSTITUTE(SUBSTITUTE(SUBSTITUTE(TRIM($H157),"/",","),";",",")," ",""),",",""))+1),"Genre di luar daftar",""))),IF($I157="","Nama Channel kosong",""),IF($J157="","Link Channel kosong",IF(ISERROR(SEARCH("youtu",$J157)),"Link Channel bukan youtube","")),IF($K157="","Link Video kosong",IF(ISERROR(SEARCH("youtu",$K157)),"Link Video bukan youtube","")),IF($L157="","Tgl Dibuat kosong",IF(NOT(ISNUMBER($L157)),"Tgl Dibuat bukan tanggal","")),IF(AND($M157&lt;&gt;"",NOT(ISNUMBER($M157))),"Tgl Publish bukan tanggal",""),IF(AND(ISNUMBER($L157),ISNUMBER($M157),$M157&lt;$L157),"Tgl Publish &lt; Tgl buat",""),IF(TRIM($N157)="","Status kosong",IF(ISERROR(MATCH(TRIM($N157),{"Draft","Menunggu Review","Revisi","Terjadwal","Upload","Publish","Published","Batal"},0)),"Status di luar daftar","")))),""))</f>
        <v/>
      </c>
      <c r="S157" s="12">
        <f>IF(AND($A157&lt;&gt;"",$C157&lt;&gt;""),IF(COUNTIFS($A$2:$A$1000,$A157,$C$2:$C$1000,$C157)&gt;1,"DUPLICAT",""),"")</f>
        <v/>
      </c>
    </row>
    <row r="158">
      <c r="A158" s="17" t="n"/>
      <c r="B158" s="17" t="n"/>
      <c r="C158" s="17" t="n"/>
      <c r="D158" s="18" t="n"/>
      <c r="E158" s="17" t="n"/>
      <c r="F158" s="19" t="n"/>
      <c r="G158" s="17" t="n"/>
      <c r="H158" s="17" t="n"/>
      <c r="I158" s="17" t="n"/>
      <c r="J158" s="19" t="n"/>
      <c r="K158" s="19" t="n"/>
      <c r="L158" s="20" t="n"/>
      <c r="M158" s="20" t="n"/>
      <c r="N158" s="17" t="n"/>
      <c r="O158" s="17" t="n"/>
      <c r="P158" s="21">
        <f>IF(AND(ISNUMBER($L158),ISNUMBER($M158)),MAX(0,$M158-$L158),"")</f>
        <v/>
      </c>
      <c r="Q158" s="21">
        <f>IF(ISNUMBER($D158),MAX(0,TODAY()-$D158),"")</f>
        <v/>
      </c>
      <c r="R158" s="19">
        <f>IF(COUNTA($A158:$O158)=0,"",IFERROR(TRIM(TEXTJOIN(" | ",TRUE,IF($A158="","PC kosong",""),IF($C158="","Worker ID kosong",""),IF($D158="","Update Date kosong",IF(NOT(ISNUMBER($D158)),"Update Date bukan tanggal","")),IF($E158="","Song ID YT kosong",""),IF($F158="","Judul kosong",""),IF(TRIM($G158)="","",IF(ISERROR(MATCH(TRIM($G158),{"TuneCore","DistroKid","TooLost","SoundOn","Ditto","Believe","CD Baby","Amuse","Symphonic Distribution","ONErpm","RouteNote","LANDR","Horus Music","Indie"},0)),"Aggregator di luar daftar","")),IF(TRIM($H158)="","Genre kosong",IF((LEN(SUBSTITUTE(SUBSTITUTE(SUBSTITUTE(TRIM($H158),"/",","),";",",")," ",""))-LEN(SUBSTITUTE(SUBSTITUTE(SUBSTITUTE(SUBSTITUTE(TRIM($H158),"/",","),";",","),"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158),"/",","),";",",")," ","")&amp;",")))&lt;&gt;(LEN(SUBSTITUTE(SUBSTITUTE(SUBSTITUTE(TRIM($H158),"/",","),";",",")," ",""))-LEN(SUBSTITUTE(SUBSTITUTE(SUBSTITUTE(SUBSTITUTE(TRIM($H158),"/",","),";",",")," ",""),",",""))+1),"Genre di luar daftar",""))),IF($I158="","Nama Channel kosong",""),IF($J158="","Link Channel kosong",IF(ISERROR(SEARCH("youtu",$J158)),"Link Channel bukan youtube","")),IF($K158="","Link Video kosong",IF(ISERROR(SEARCH("youtu",$K158)),"Link Video bukan youtube","")),IF($L158="","Tgl Dibuat kosong",IF(NOT(ISNUMBER($L158)),"Tgl Dibuat bukan tanggal","")),IF(AND($M158&lt;&gt;"",NOT(ISNUMBER($M158))),"Tgl Publish bukan tanggal",""),IF(AND(ISNUMBER($L158),ISNUMBER($M158),$M158&lt;$L158),"Tgl Publish &lt; Tgl buat",""),IF(TRIM($N158)="","Status kosong",IF(ISERROR(MATCH(TRIM($N158),{"Draft","Menunggu Review","Revisi","Terjadwal","Upload","Publish","Published","Batal"},0)),"Status di luar daftar","")))),""))</f>
        <v/>
      </c>
      <c r="S158" s="17">
        <f>IF(AND($A158&lt;&gt;"",$C158&lt;&gt;""),IF(COUNTIFS($A$2:$A$1000,$A158,$C$2:$C$1000,$C158)&gt;1,"DUPLICAT",""),"")</f>
        <v/>
      </c>
    </row>
    <row r="159">
      <c r="A159" s="12" t="n"/>
      <c r="B159" s="12" t="n"/>
      <c r="C159" s="12" t="n"/>
      <c r="D159" s="13" t="n"/>
      <c r="E159" s="12" t="n"/>
      <c r="F159" s="14" t="n"/>
      <c r="G159" s="12" t="n"/>
      <c r="H159" s="12" t="n"/>
      <c r="I159" s="12" t="n"/>
      <c r="J159" s="14" t="n"/>
      <c r="K159" s="14" t="n"/>
      <c r="L159" s="15" t="n"/>
      <c r="M159" s="15" t="n"/>
      <c r="N159" s="12" t="n"/>
      <c r="O159" s="12" t="n"/>
      <c r="P159" s="16">
        <f>IF(AND(ISNUMBER($L159),ISNUMBER($M159)),MAX(0,$M159-$L159),"")</f>
        <v/>
      </c>
      <c r="Q159" s="16">
        <f>IF(ISNUMBER($D159),MAX(0,TODAY()-$D159),"")</f>
        <v/>
      </c>
      <c r="R159" s="14">
        <f>IF(COUNTA($A159:$O159)=0,"",IFERROR(TRIM(TEXTJOIN(" | ",TRUE,IF($A159="","PC kosong",""),IF($C159="","Worker ID kosong",""),IF($D159="","Update Date kosong",IF(NOT(ISNUMBER($D159)),"Update Date bukan tanggal","")),IF($E159="","Song ID YT kosong",""),IF($F159="","Judul kosong",""),IF(TRIM($G159)="","",IF(ISERROR(MATCH(TRIM($G159),{"TuneCore","DistroKid","TooLost","SoundOn","Ditto","Believe","CD Baby","Amuse","Symphonic Distribution","ONErpm","RouteNote","LANDR","Horus Music","Indie"},0)),"Aggregator di luar daftar","")),IF(TRIM($H159)="","Genre kosong",IF((LEN(SUBSTITUTE(SUBSTITUTE(SUBSTITUTE(TRIM($H159),"/",","),";",",")," ",""))-LEN(SUBSTITUTE(SUBSTITUTE(SUBSTITUTE(SUBSTITUTE(TRIM($H159),"/",","),";",","),"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159),"/",","),";",",")," ","")&amp;",")))&lt;&gt;(LEN(SUBSTITUTE(SUBSTITUTE(SUBSTITUTE(TRIM($H159),"/",","),";",",")," ",""))-LEN(SUBSTITUTE(SUBSTITUTE(SUBSTITUTE(SUBSTITUTE(TRIM($H159),"/",","),";",",")," ",""),",",""))+1),"Genre di luar daftar",""))),IF($I159="","Nama Channel kosong",""),IF($J159="","Link Channel kosong",IF(ISERROR(SEARCH("youtu",$J159)),"Link Channel bukan youtube","")),IF($K159="","Link Video kosong",IF(ISERROR(SEARCH("youtu",$K159)),"Link Video bukan youtube","")),IF($L159="","Tgl Dibuat kosong",IF(NOT(ISNUMBER($L159)),"Tgl Dibuat bukan tanggal","")),IF(AND($M159&lt;&gt;"",NOT(ISNUMBER($M159))),"Tgl Publish bukan tanggal",""),IF(AND(ISNUMBER($L159),ISNUMBER($M159),$M159&lt;$L159),"Tgl Publish &lt; Tgl buat",""),IF(TRIM($N159)="","Status kosong",IF(ISERROR(MATCH(TRIM($N159),{"Draft","Menunggu Review","Revisi","Terjadwal","Upload","Publish","Published","Batal"},0)),"Status di luar daftar","")))),""))</f>
        <v/>
      </c>
      <c r="S159" s="12">
        <f>IF(AND($A159&lt;&gt;"",$C159&lt;&gt;""),IF(COUNTIFS($A$2:$A$1000,$A159,$C$2:$C$1000,$C159)&gt;1,"DUPLICAT",""),"")</f>
        <v/>
      </c>
    </row>
    <row r="160">
      <c r="A160" s="17" t="n"/>
      <c r="B160" s="17" t="n"/>
      <c r="C160" s="17" t="n"/>
      <c r="D160" s="18" t="n"/>
      <c r="E160" s="17" t="n"/>
      <c r="F160" s="19" t="n"/>
      <c r="G160" s="17" t="n"/>
      <c r="H160" s="17" t="n"/>
      <c r="I160" s="17" t="n"/>
      <c r="J160" s="19" t="n"/>
      <c r="K160" s="19" t="n"/>
      <c r="L160" s="20" t="n"/>
      <c r="M160" s="20" t="n"/>
      <c r="N160" s="17" t="n"/>
      <c r="O160" s="17" t="n"/>
      <c r="P160" s="21">
        <f>IF(AND(ISNUMBER($L160),ISNUMBER($M160)),MAX(0,$M160-$L160),"")</f>
        <v/>
      </c>
      <c r="Q160" s="21">
        <f>IF(ISNUMBER($D160),MAX(0,TODAY()-$D160),"")</f>
        <v/>
      </c>
      <c r="R160" s="19">
        <f>IF(COUNTA($A160:$O160)=0,"",IFERROR(TRIM(TEXTJOIN(" | ",TRUE,IF($A160="","PC kosong",""),IF($C160="","Worker ID kosong",""),IF($D160="","Update Date kosong",IF(NOT(ISNUMBER($D160)),"Update Date bukan tanggal","")),IF($E160="","Song ID YT kosong",""),IF($F160="","Judul kosong",""),IF(TRIM($G160)="","",IF(ISERROR(MATCH(TRIM($G160),{"TuneCore","DistroKid","TooLost","SoundOn","Ditto","Believe","CD Baby","Amuse","Symphonic Distribution","ONErpm","RouteNote","LANDR","Horus Music","Indie"},0)),"Aggregator di luar daftar","")),IF(TRIM($H160)="","Genre kosong",IF((LEN(SUBSTITUTE(SUBSTITUTE(SUBSTITUTE(TRIM($H160),"/",","),";",",")," ",""))-LEN(SUBSTITUTE(SUBSTITUTE(SUBSTITUTE(SUBSTITUTE(TRIM($H160),"/",","),";",","),"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160),"/",","),";",",")," ","")&amp;",")))&lt;&gt;(LEN(SUBSTITUTE(SUBSTITUTE(SUBSTITUTE(TRIM($H160),"/",","),";",",")," ",""))-LEN(SUBSTITUTE(SUBSTITUTE(SUBSTITUTE(SUBSTITUTE(TRIM($H160),"/",","),";",",")," ",""),",",""))+1),"Genre di luar daftar",""))),IF($I160="","Nama Channel kosong",""),IF($J160="","Link Channel kosong",IF(ISERROR(SEARCH("youtu",$J160)),"Link Channel bukan youtube","")),IF($K160="","Link Video kosong",IF(ISERROR(SEARCH("youtu",$K160)),"Link Video bukan youtube","")),IF($L160="","Tgl Dibuat kosong",IF(NOT(ISNUMBER($L160)),"Tgl Dibuat bukan tanggal","")),IF(AND($M160&lt;&gt;"",NOT(ISNUMBER($M160))),"Tgl Publish bukan tanggal",""),IF(AND(ISNUMBER($L160),ISNUMBER($M160),$M160&lt;$L160),"Tgl Publish &lt; Tgl buat",""),IF(TRIM($N160)="","Status kosong",IF(ISERROR(MATCH(TRIM($N160),{"Draft","Menunggu Review","Revisi","Terjadwal","Upload","Publish","Published","Batal"},0)),"Status di luar daftar","")))),""))</f>
        <v/>
      </c>
      <c r="S160" s="17">
        <f>IF(AND($A160&lt;&gt;"",$C160&lt;&gt;""),IF(COUNTIFS($A$2:$A$1000,$A160,$C$2:$C$1000,$C160)&gt;1,"DUPLICAT",""),"")</f>
        <v/>
      </c>
    </row>
    <row r="161">
      <c r="A161" s="12" t="n"/>
      <c r="B161" s="12" t="n"/>
      <c r="C161" s="12" t="n"/>
      <c r="D161" s="13" t="n"/>
      <c r="E161" s="12" t="n"/>
      <c r="F161" s="14" t="n"/>
      <c r="G161" s="12" t="n"/>
      <c r="H161" s="12" t="n"/>
      <c r="I161" s="12" t="n"/>
      <c r="J161" s="14" t="n"/>
      <c r="K161" s="14" t="n"/>
      <c r="L161" s="15" t="n"/>
      <c r="M161" s="15" t="n"/>
      <c r="N161" s="12" t="n"/>
      <c r="O161" s="12" t="n"/>
      <c r="P161" s="16">
        <f>IF(AND(ISNUMBER($L161),ISNUMBER($M161)),MAX(0,$M161-$L161),"")</f>
        <v/>
      </c>
      <c r="Q161" s="16">
        <f>IF(ISNUMBER($D161),MAX(0,TODAY()-$D161),"")</f>
        <v/>
      </c>
      <c r="R161" s="14">
        <f>IF(COUNTA($A161:$O161)=0,"",IFERROR(TRIM(TEXTJOIN(" | ",TRUE,IF($A161="","PC kosong",""),IF($C161="","Worker ID kosong",""),IF($D161="","Update Date kosong",IF(NOT(ISNUMBER($D161)),"Update Date bukan tanggal","")),IF($E161="","Song ID YT kosong",""),IF($F161="","Judul kosong",""),IF(TRIM($G161)="","",IF(ISERROR(MATCH(TRIM($G161),{"TuneCore","DistroKid","TooLost","SoundOn","Ditto","Believe","CD Baby","Amuse","Symphonic Distribution","ONErpm","RouteNote","LANDR","Horus Music","Indie"},0)),"Aggregator di luar daftar","")),IF(TRIM($H161)="","Genre kosong",IF((LEN(SUBSTITUTE(SUBSTITUTE(SUBSTITUTE(TRIM($H161),"/",","),";",",")," ",""))-LEN(SUBSTITUTE(SUBSTITUTE(SUBSTITUTE(SUBSTITUTE(TRIM($H161),"/",","),";",","),"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161),"/",","),";",",")," ","")&amp;",")))&lt;&gt;(LEN(SUBSTITUTE(SUBSTITUTE(SUBSTITUTE(TRIM($H161),"/",","),";",",")," ",""))-LEN(SUBSTITUTE(SUBSTITUTE(SUBSTITUTE(SUBSTITUTE(TRIM($H161),"/",","),";",",")," ",""),",",""))+1),"Genre di luar daftar",""))),IF($I161="","Nama Channel kosong",""),IF($J161="","Link Channel kosong",IF(ISERROR(SEARCH("youtu",$J161)),"Link Channel bukan youtube","")),IF($K161="","Link Video kosong",IF(ISERROR(SEARCH("youtu",$K161)),"Link Video bukan youtube","")),IF($L161="","Tgl Dibuat kosong",IF(NOT(ISNUMBER($L161)),"Tgl Dibuat bukan tanggal","")),IF(AND($M161&lt;&gt;"",NOT(ISNUMBER($M161))),"Tgl Publish bukan tanggal",""),IF(AND(ISNUMBER($L161),ISNUMBER($M161),$M161&lt;$L161),"Tgl Publish &lt; Tgl buat",""),IF(TRIM($N161)="","Status kosong",IF(ISERROR(MATCH(TRIM($N161),{"Draft","Menunggu Review","Revisi","Terjadwal","Upload","Publish","Published","Batal"},0)),"Status di luar daftar","")))),""))</f>
        <v/>
      </c>
      <c r="S161" s="12">
        <f>IF(AND($A161&lt;&gt;"",$C161&lt;&gt;""),IF(COUNTIFS($A$2:$A$1000,$A161,$C$2:$C$1000,$C161)&gt;1,"DUPLICAT",""),"")</f>
        <v/>
      </c>
    </row>
    <row r="162">
      <c r="A162" s="17" t="n"/>
      <c r="B162" s="17" t="n"/>
      <c r="C162" s="17" t="n"/>
      <c r="D162" s="18" t="n"/>
      <c r="E162" s="17" t="n"/>
      <c r="F162" s="19" t="n"/>
      <c r="G162" s="17" t="n"/>
      <c r="H162" s="17" t="n"/>
      <c r="I162" s="17" t="n"/>
      <c r="J162" s="19" t="n"/>
      <c r="K162" s="19" t="n"/>
      <c r="L162" s="20" t="n"/>
      <c r="M162" s="20" t="n"/>
      <c r="N162" s="17" t="n"/>
      <c r="O162" s="17" t="n"/>
      <c r="P162" s="21">
        <f>IF(AND(ISNUMBER($L162),ISNUMBER($M162)),MAX(0,$M162-$L162),"")</f>
        <v/>
      </c>
      <c r="Q162" s="21">
        <f>IF(ISNUMBER($D162),MAX(0,TODAY()-$D162),"")</f>
        <v/>
      </c>
      <c r="R162" s="19">
        <f>IF(COUNTA($A162:$O162)=0,"",IFERROR(TRIM(TEXTJOIN(" | ",TRUE,IF($A162="","PC kosong",""),IF($C162="","Worker ID kosong",""),IF($D162="","Update Date kosong",IF(NOT(ISNUMBER($D162)),"Update Date bukan tanggal","")),IF($E162="","Song ID YT kosong",""),IF($F162="","Judul kosong",""),IF(TRIM($G162)="","",IF(ISERROR(MATCH(TRIM($G162),{"TuneCore","DistroKid","TooLost","SoundOn","Ditto","Believe","CD Baby","Amuse","Symphonic Distribution","ONErpm","RouteNote","LANDR","Horus Music","Indie"},0)),"Aggregator di luar daftar","")),IF(TRIM($H162)="","Genre kosong",IF((LEN(SUBSTITUTE(SUBSTITUTE(SUBSTITUTE(TRIM($H162),"/",","),";",",")," ",""))-LEN(SUBSTITUTE(SUBSTITUTE(SUBSTITUTE(SUBSTITUTE(TRIM($H162),"/",","),";",","),"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162),"/",","),";",",")," ","")&amp;",")))&lt;&gt;(LEN(SUBSTITUTE(SUBSTITUTE(SUBSTITUTE(TRIM($H162),"/",","),";",",")," ",""))-LEN(SUBSTITUTE(SUBSTITUTE(SUBSTITUTE(SUBSTITUTE(TRIM($H162),"/",","),";",",")," ",""),",",""))+1),"Genre di luar daftar",""))),IF($I162="","Nama Channel kosong",""),IF($J162="","Link Channel kosong",IF(ISERROR(SEARCH("youtu",$J162)),"Link Channel bukan youtube","")),IF($K162="","Link Video kosong",IF(ISERROR(SEARCH("youtu",$K162)),"Link Video bukan youtube","")),IF($L162="","Tgl Dibuat kosong",IF(NOT(ISNUMBER($L162)),"Tgl Dibuat bukan tanggal","")),IF(AND($M162&lt;&gt;"",NOT(ISNUMBER($M162))),"Tgl Publish bukan tanggal",""),IF(AND(ISNUMBER($L162),ISNUMBER($M162),$M162&lt;$L162),"Tgl Publish &lt; Tgl buat",""),IF(TRIM($N162)="","Status kosong",IF(ISERROR(MATCH(TRIM($N162),{"Draft","Menunggu Review","Revisi","Terjadwal","Upload","Publish","Published","Batal"},0)),"Status di luar daftar","")))),""))</f>
        <v/>
      </c>
      <c r="S162" s="17">
        <f>IF(AND($A162&lt;&gt;"",$C162&lt;&gt;""),IF(COUNTIFS($A$2:$A$1000,$A162,$C$2:$C$1000,$C162)&gt;1,"DUPLICAT",""),"")</f>
        <v/>
      </c>
    </row>
    <row r="163">
      <c r="A163" s="12" t="n"/>
      <c r="B163" s="12" t="n"/>
      <c r="C163" s="12" t="n"/>
      <c r="D163" s="13" t="n"/>
      <c r="E163" s="12" t="n"/>
      <c r="F163" s="14" t="n"/>
      <c r="G163" s="12" t="n"/>
      <c r="H163" s="12" t="n"/>
      <c r="I163" s="12" t="n"/>
      <c r="J163" s="14" t="n"/>
      <c r="K163" s="14" t="n"/>
      <c r="L163" s="15" t="n"/>
      <c r="M163" s="15" t="n"/>
      <c r="N163" s="12" t="n"/>
      <c r="O163" s="12" t="n"/>
      <c r="P163" s="16">
        <f>IF(AND(ISNUMBER($L163),ISNUMBER($M163)),MAX(0,$M163-$L163),"")</f>
        <v/>
      </c>
      <c r="Q163" s="16">
        <f>IF(ISNUMBER($D163),MAX(0,TODAY()-$D163),"")</f>
        <v/>
      </c>
      <c r="R163" s="14">
        <f>IF(COUNTA($A163:$O163)=0,"",IFERROR(TRIM(TEXTJOIN(" | ",TRUE,IF($A163="","PC kosong",""),IF($C163="","Worker ID kosong",""),IF($D163="","Update Date kosong",IF(NOT(ISNUMBER($D163)),"Update Date bukan tanggal","")),IF($E163="","Song ID YT kosong",""),IF($F163="","Judul kosong",""),IF(TRIM($G163)="","",IF(ISERROR(MATCH(TRIM($G163),{"TuneCore","DistroKid","TooLost","SoundOn","Ditto","Believe","CD Baby","Amuse","Symphonic Distribution","ONErpm","RouteNote","LANDR","Horus Music","Indie"},0)),"Aggregator di luar daftar","")),IF(TRIM($H163)="","Genre kosong",IF((LEN(SUBSTITUTE(SUBSTITUTE(SUBSTITUTE(TRIM($H163),"/",","),";",",")," ",""))-LEN(SUBSTITUTE(SUBSTITUTE(SUBSTITUTE(SUBSTITUTE(TRIM($H163),"/",","),";",","),"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163),"/",","),";",",")," ","")&amp;",")))&lt;&gt;(LEN(SUBSTITUTE(SUBSTITUTE(SUBSTITUTE(TRIM($H163),"/",","),";",",")," ",""))-LEN(SUBSTITUTE(SUBSTITUTE(SUBSTITUTE(SUBSTITUTE(TRIM($H163),"/",","),";",",")," ",""),",",""))+1),"Genre di luar daftar",""))),IF($I163="","Nama Channel kosong",""),IF($J163="","Link Channel kosong",IF(ISERROR(SEARCH("youtu",$J163)),"Link Channel bukan youtube","")),IF($K163="","Link Video kosong",IF(ISERROR(SEARCH("youtu",$K163)),"Link Video bukan youtube","")),IF($L163="","Tgl Dibuat kosong",IF(NOT(ISNUMBER($L163)),"Tgl Dibuat bukan tanggal","")),IF(AND($M163&lt;&gt;"",NOT(ISNUMBER($M163))),"Tgl Publish bukan tanggal",""),IF(AND(ISNUMBER($L163),ISNUMBER($M163),$M163&lt;$L163),"Tgl Publish &lt; Tgl buat",""),IF(TRIM($N163)="","Status kosong",IF(ISERROR(MATCH(TRIM($N163),{"Draft","Menunggu Review","Revisi","Terjadwal","Upload","Publish","Published","Batal"},0)),"Status di luar daftar","")))),""))</f>
        <v/>
      </c>
      <c r="S163" s="12">
        <f>IF(AND($A163&lt;&gt;"",$C163&lt;&gt;""),IF(COUNTIFS($A$2:$A$1000,$A163,$C$2:$C$1000,$C163)&gt;1,"DUPLICAT",""),"")</f>
        <v/>
      </c>
    </row>
    <row r="164">
      <c r="A164" s="17" t="n"/>
      <c r="B164" s="17" t="n"/>
      <c r="C164" s="17" t="n"/>
      <c r="D164" s="18" t="n"/>
      <c r="E164" s="17" t="n"/>
      <c r="F164" s="19" t="n"/>
      <c r="G164" s="17" t="n"/>
      <c r="H164" s="17" t="n"/>
      <c r="I164" s="17" t="n"/>
      <c r="J164" s="19" t="n"/>
      <c r="K164" s="19" t="n"/>
      <c r="L164" s="20" t="n"/>
      <c r="M164" s="20" t="n"/>
      <c r="N164" s="17" t="n"/>
      <c r="O164" s="17" t="n"/>
      <c r="P164" s="21">
        <f>IF(AND(ISNUMBER($L164),ISNUMBER($M164)),MAX(0,$M164-$L164),"")</f>
        <v/>
      </c>
      <c r="Q164" s="21">
        <f>IF(ISNUMBER($D164),MAX(0,TODAY()-$D164),"")</f>
        <v/>
      </c>
      <c r="R164" s="19">
        <f>IF(COUNTA($A164:$O164)=0,"",IFERROR(TRIM(TEXTJOIN(" | ",TRUE,IF($A164="","PC kosong",""),IF($C164="","Worker ID kosong",""),IF($D164="","Update Date kosong",IF(NOT(ISNUMBER($D164)),"Update Date bukan tanggal","")),IF($E164="","Song ID YT kosong",""),IF($F164="","Judul kosong",""),IF(TRIM($G164)="","",IF(ISERROR(MATCH(TRIM($G164),{"TuneCore","DistroKid","TooLost","SoundOn","Ditto","Believe","CD Baby","Amuse","Symphonic Distribution","ONErpm","RouteNote","LANDR","Horus Music","Indie"},0)),"Aggregator di luar daftar","")),IF(TRIM($H164)="","Genre kosong",IF((LEN(SUBSTITUTE(SUBSTITUTE(SUBSTITUTE(TRIM($H164),"/",","),";",",")," ",""))-LEN(SUBSTITUTE(SUBSTITUTE(SUBSTITUTE(SUBSTITUTE(TRIM($H164),"/",","),";",","),"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164),"/",","),";",",")," ","")&amp;",")))&lt;&gt;(LEN(SUBSTITUTE(SUBSTITUTE(SUBSTITUTE(TRIM($H164),"/",","),";",",")," ",""))-LEN(SUBSTITUTE(SUBSTITUTE(SUBSTITUTE(SUBSTITUTE(TRIM($H164),"/",","),";",",")," ",""),",",""))+1),"Genre di luar daftar",""))),IF($I164="","Nama Channel kosong",""),IF($J164="","Link Channel kosong",IF(ISERROR(SEARCH("youtu",$J164)),"Link Channel bukan youtube","")),IF($K164="","Link Video kosong",IF(ISERROR(SEARCH("youtu",$K164)),"Link Video bukan youtube","")),IF($L164="","Tgl Dibuat kosong",IF(NOT(ISNUMBER($L164)),"Tgl Dibuat bukan tanggal","")),IF(AND($M164&lt;&gt;"",NOT(ISNUMBER($M164))),"Tgl Publish bukan tanggal",""),IF(AND(ISNUMBER($L164),ISNUMBER($M164),$M164&lt;$L164),"Tgl Publish &lt; Tgl buat",""),IF(TRIM($N164)="","Status kosong",IF(ISERROR(MATCH(TRIM($N164),{"Draft","Menunggu Review","Revisi","Terjadwal","Upload","Publish","Published","Batal"},0)),"Status di luar daftar","")))),""))</f>
        <v/>
      </c>
      <c r="S164" s="17">
        <f>IF(AND($A164&lt;&gt;"",$C164&lt;&gt;""),IF(COUNTIFS($A$2:$A$1000,$A164,$C$2:$C$1000,$C164)&gt;1,"DUPLICAT",""),"")</f>
        <v/>
      </c>
    </row>
    <row r="165">
      <c r="A165" s="12" t="n"/>
      <c r="B165" s="12" t="n"/>
      <c r="C165" s="12" t="n"/>
      <c r="D165" s="13" t="n"/>
      <c r="E165" s="12" t="n"/>
      <c r="F165" s="14" t="n"/>
      <c r="G165" s="12" t="n"/>
      <c r="H165" s="12" t="n"/>
      <c r="I165" s="12" t="n"/>
      <c r="J165" s="14" t="n"/>
      <c r="K165" s="14" t="n"/>
      <c r="L165" s="15" t="n"/>
      <c r="M165" s="15" t="n"/>
      <c r="N165" s="12" t="n"/>
      <c r="O165" s="12" t="n"/>
      <c r="P165" s="16">
        <f>IF(AND(ISNUMBER($L165),ISNUMBER($M165)),MAX(0,$M165-$L165),"")</f>
        <v/>
      </c>
      <c r="Q165" s="16">
        <f>IF(ISNUMBER($D165),MAX(0,TODAY()-$D165),"")</f>
        <v/>
      </c>
      <c r="R165" s="14">
        <f>IF(COUNTA($A165:$O165)=0,"",IFERROR(TRIM(TEXTJOIN(" | ",TRUE,IF($A165="","PC kosong",""),IF($C165="","Worker ID kosong",""),IF($D165="","Update Date kosong",IF(NOT(ISNUMBER($D165)),"Update Date bukan tanggal","")),IF($E165="","Song ID YT kosong",""),IF($F165="","Judul kosong",""),IF(TRIM($G165)="","",IF(ISERROR(MATCH(TRIM($G165),{"TuneCore","DistroKid","TooLost","SoundOn","Ditto","Believe","CD Baby","Amuse","Symphonic Distribution","ONErpm","RouteNote","LANDR","Horus Music","Indie"},0)),"Aggregator di luar daftar","")),IF(TRIM($H165)="","Genre kosong",IF((LEN(SUBSTITUTE(SUBSTITUTE(SUBSTITUTE(TRIM($H165),"/",","),";",",")," ",""))-LEN(SUBSTITUTE(SUBSTITUTE(SUBSTITUTE(SUBSTITUTE(TRIM($H165),"/",","),";",","),"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165),"/",","),";",",")," ","")&amp;",")))&lt;&gt;(LEN(SUBSTITUTE(SUBSTITUTE(SUBSTITUTE(TRIM($H165),"/",","),";",",")," ",""))-LEN(SUBSTITUTE(SUBSTITUTE(SUBSTITUTE(SUBSTITUTE(TRIM($H165),"/",","),";",",")," ",""),",",""))+1),"Genre di luar daftar",""))),IF($I165="","Nama Channel kosong",""),IF($J165="","Link Channel kosong",IF(ISERROR(SEARCH("youtu",$J165)),"Link Channel bukan youtube","")),IF($K165="","Link Video kosong",IF(ISERROR(SEARCH("youtu",$K165)),"Link Video bukan youtube","")),IF($L165="","Tgl Dibuat kosong",IF(NOT(ISNUMBER($L165)),"Tgl Dibuat bukan tanggal","")),IF(AND($M165&lt;&gt;"",NOT(ISNUMBER($M165))),"Tgl Publish bukan tanggal",""),IF(AND(ISNUMBER($L165),ISNUMBER($M165),$M165&lt;$L165),"Tgl Publish &lt; Tgl buat",""),IF(TRIM($N165)="","Status kosong",IF(ISERROR(MATCH(TRIM($N165),{"Draft","Menunggu Review","Revisi","Terjadwal","Upload","Publish","Published","Batal"},0)),"Status di luar daftar","")))),""))</f>
        <v/>
      </c>
      <c r="S165" s="12">
        <f>IF(AND($A165&lt;&gt;"",$C165&lt;&gt;""),IF(COUNTIFS($A$2:$A$1000,$A165,$C$2:$C$1000,$C165)&gt;1,"DUPLICAT",""),"")</f>
        <v/>
      </c>
    </row>
    <row r="166">
      <c r="A166" s="17" t="n"/>
      <c r="B166" s="17" t="n"/>
      <c r="C166" s="17" t="n"/>
      <c r="D166" s="18" t="n"/>
      <c r="E166" s="17" t="n"/>
      <c r="F166" s="19" t="n"/>
      <c r="G166" s="17" t="n"/>
      <c r="H166" s="17" t="n"/>
      <c r="I166" s="17" t="n"/>
      <c r="J166" s="19" t="n"/>
      <c r="K166" s="19" t="n"/>
      <c r="L166" s="20" t="n"/>
      <c r="M166" s="20" t="n"/>
      <c r="N166" s="17" t="n"/>
      <c r="O166" s="17" t="n"/>
      <c r="P166" s="21">
        <f>IF(AND(ISNUMBER($L166),ISNUMBER($M166)),MAX(0,$M166-$L166),"")</f>
        <v/>
      </c>
      <c r="Q166" s="21">
        <f>IF(ISNUMBER($D166),MAX(0,TODAY()-$D166),"")</f>
        <v/>
      </c>
      <c r="R166" s="19">
        <f>IF(COUNTA($A166:$O166)=0,"",IFERROR(TRIM(TEXTJOIN(" | ",TRUE,IF($A166="","PC kosong",""),IF($C166="","Worker ID kosong",""),IF($D166="","Update Date kosong",IF(NOT(ISNUMBER($D166)),"Update Date bukan tanggal","")),IF($E166="","Song ID YT kosong",""),IF($F166="","Judul kosong",""),IF(TRIM($G166)="","",IF(ISERROR(MATCH(TRIM($G166),{"TuneCore","DistroKid","TooLost","SoundOn","Ditto","Believe","CD Baby","Amuse","Symphonic Distribution","ONErpm","RouteNote","LANDR","Horus Music","Indie"},0)),"Aggregator di luar daftar","")),IF(TRIM($H166)="","Genre kosong",IF((LEN(SUBSTITUTE(SUBSTITUTE(SUBSTITUTE(TRIM($H166),"/",","),";",",")," ",""))-LEN(SUBSTITUTE(SUBSTITUTE(SUBSTITUTE(SUBSTITUTE(TRIM($H166),"/",","),";",","),"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166),"/",","),";",",")," ","")&amp;",")))&lt;&gt;(LEN(SUBSTITUTE(SUBSTITUTE(SUBSTITUTE(TRIM($H166),"/",","),";",",")," ",""))-LEN(SUBSTITUTE(SUBSTITUTE(SUBSTITUTE(SUBSTITUTE(TRIM($H166),"/",","),";",",")," ",""),",",""))+1),"Genre di luar daftar",""))),IF($I166="","Nama Channel kosong",""),IF($J166="","Link Channel kosong",IF(ISERROR(SEARCH("youtu",$J166)),"Link Channel bukan youtube","")),IF($K166="","Link Video kosong",IF(ISERROR(SEARCH("youtu",$K166)),"Link Video bukan youtube","")),IF($L166="","Tgl Dibuat kosong",IF(NOT(ISNUMBER($L166)),"Tgl Dibuat bukan tanggal","")),IF(AND($M166&lt;&gt;"",NOT(ISNUMBER($M166))),"Tgl Publish bukan tanggal",""),IF(AND(ISNUMBER($L166),ISNUMBER($M166),$M166&lt;$L166),"Tgl Publish &lt; Tgl buat",""),IF(TRIM($N166)="","Status kosong",IF(ISERROR(MATCH(TRIM($N166),{"Draft","Menunggu Review","Revisi","Terjadwal","Upload","Publish","Published","Batal"},0)),"Status di luar daftar","")))),""))</f>
        <v/>
      </c>
      <c r="S166" s="17">
        <f>IF(AND($A166&lt;&gt;"",$C166&lt;&gt;""),IF(COUNTIFS($A$2:$A$1000,$A166,$C$2:$C$1000,$C166)&gt;1,"DUPLICAT",""),"")</f>
        <v/>
      </c>
    </row>
    <row r="167">
      <c r="A167" s="12" t="n"/>
      <c r="B167" s="12" t="n"/>
      <c r="C167" s="12" t="n"/>
      <c r="D167" s="13" t="n"/>
      <c r="E167" s="12" t="n"/>
      <c r="F167" s="14" t="n"/>
      <c r="G167" s="12" t="n"/>
      <c r="H167" s="12" t="n"/>
      <c r="I167" s="12" t="n"/>
      <c r="J167" s="14" t="n"/>
      <c r="K167" s="14" t="n"/>
      <c r="L167" s="15" t="n"/>
      <c r="M167" s="15" t="n"/>
      <c r="N167" s="12" t="n"/>
      <c r="O167" s="12" t="n"/>
      <c r="P167" s="16">
        <f>IF(AND(ISNUMBER($L167),ISNUMBER($M167)),MAX(0,$M167-$L167),"")</f>
        <v/>
      </c>
      <c r="Q167" s="16">
        <f>IF(ISNUMBER($D167),MAX(0,TODAY()-$D167),"")</f>
        <v/>
      </c>
      <c r="R167" s="14">
        <f>IF(COUNTA($A167:$O167)=0,"",IFERROR(TRIM(TEXTJOIN(" | ",TRUE,IF($A167="","PC kosong",""),IF($C167="","Worker ID kosong",""),IF($D167="","Update Date kosong",IF(NOT(ISNUMBER($D167)),"Update Date bukan tanggal","")),IF($E167="","Song ID YT kosong",""),IF($F167="","Judul kosong",""),IF(TRIM($G167)="","",IF(ISERROR(MATCH(TRIM($G167),{"TuneCore","DistroKid","TooLost","SoundOn","Ditto","Believe","CD Baby","Amuse","Symphonic Distribution","ONErpm","RouteNote","LANDR","Horus Music","Indie"},0)),"Aggregator di luar daftar","")),IF(TRIM($H167)="","Genre kosong",IF((LEN(SUBSTITUTE(SUBSTITUTE(SUBSTITUTE(TRIM($H167),"/",","),";",",")," ",""))-LEN(SUBSTITUTE(SUBSTITUTE(SUBSTITUTE(SUBSTITUTE(TRIM($H167),"/",","),";",","),"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167),"/",","),";",",")," ","")&amp;",")))&lt;&gt;(LEN(SUBSTITUTE(SUBSTITUTE(SUBSTITUTE(TRIM($H167),"/",","),";",",")," ",""))-LEN(SUBSTITUTE(SUBSTITUTE(SUBSTITUTE(SUBSTITUTE(TRIM($H167),"/",","),";",",")," ",""),",",""))+1),"Genre di luar daftar",""))),IF($I167="","Nama Channel kosong",""),IF($J167="","Link Channel kosong",IF(ISERROR(SEARCH("youtu",$J167)),"Link Channel bukan youtube","")),IF($K167="","Link Video kosong",IF(ISERROR(SEARCH("youtu",$K167)),"Link Video bukan youtube","")),IF($L167="","Tgl Dibuat kosong",IF(NOT(ISNUMBER($L167)),"Tgl Dibuat bukan tanggal","")),IF(AND($M167&lt;&gt;"",NOT(ISNUMBER($M167))),"Tgl Publish bukan tanggal",""),IF(AND(ISNUMBER($L167),ISNUMBER($M167),$M167&lt;$L167),"Tgl Publish &lt; Tgl buat",""),IF(TRIM($N167)="","Status kosong",IF(ISERROR(MATCH(TRIM($N167),{"Draft","Menunggu Review","Revisi","Terjadwal","Upload","Publish","Published","Batal"},0)),"Status di luar daftar","")))),""))</f>
        <v/>
      </c>
      <c r="S167" s="12">
        <f>IF(AND($A167&lt;&gt;"",$C167&lt;&gt;""),IF(COUNTIFS($A$2:$A$1000,$A167,$C$2:$C$1000,$C167)&gt;1,"DUPLICAT",""),"")</f>
        <v/>
      </c>
    </row>
    <row r="168">
      <c r="A168" s="17" t="n"/>
      <c r="B168" s="17" t="n"/>
      <c r="C168" s="17" t="n"/>
      <c r="D168" s="18" t="n"/>
      <c r="E168" s="17" t="n"/>
      <c r="F168" s="19" t="n"/>
      <c r="G168" s="17" t="n"/>
      <c r="H168" s="17" t="n"/>
      <c r="I168" s="17" t="n"/>
      <c r="J168" s="19" t="n"/>
      <c r="K168" s="19" t="n"/>
      <c r="L168" s="20" t="n"/>
      <c r="M168" s="20" t="n"/>
      <c r="N168" s="17" t="n"/>
      <c r="O168" s="17" t="n"/>
      <c r="P168" s="21">
        <f>IF(AND(ISNUMBER($L168),ISNUMBER($M168)),MAX(0,$M168-$L168),"")</f>
        <v/>
      </c>
      <c r="Q168" s="21">
        <f>IF(ISNUMBER($D168),MAX(0,TODAY()-$D168),"")</f>
        <v/>
      </c>
      <c r="R168" s="19">
        <f>IF(COUNTA($A168:$O168)=0,"",IFERROR(TRIM(TEXTJOIN(" | ",TRUE,IF($A168="","PC kosong",""),IF($C168="","Worker ID kosong",""),IF($D168="","Update Date kosong",IF(NOT(ISNUMBER($D168)),"Update Date bukan tanggal","")),IF($E168="","Song ID YT kosong",""),IF($F168="","Judul kosong",""),IF(TRIM($G168)="","",IF(ISERROR(MATCH(TRIM($G168),{"TuneCore","DistroKid","TooLost","SoundOn","Ditto","Believe","CD Baby","Amuse","Symphonic Distribution","ONErpm","RouteNote","LANDR","Horus Music","Indie"},0)),"Aggregator di luar daftar","")),IF(TRIM($H168)="","Genre kosong",IF((LEN(SUBSTITUTE(SUBSTITUTE(SUBSTITUTE(TRIM($H168),"/",","),";",",")," ",""))-LEN(SUBSTITUTE(SUBSTITUTE(SUBSTITUTE(SUBSTITUTE(TRIM($H168),"/",","),";",","),"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168),"/",","),";",",")," ","")&amp;",")))&lt;&gt;(LEN(SUBSTITUTE(SUBSTITUTE(SUBSTITUTE(TRIM($H168),"/",","),";",",")," ",""))-LEN(SUBSTITUTE(SUBSTITUTE(SUBSTITUTE(SUBSTITUTE(TRIM($H168),"/",","),";",",")," ",""),",",""))+1),"Genre di luar daftar",""))),IF($I168="","Nama Channel kosong",""),IF($J168="","Link Channel kosong",IF(ISERROR(SEARCH("youtu",$J168)),"Link Channel bukan youtube","")),IF($K168="","Link Video kosong",IF(ISERROR(SEARCH("youtu",$K168)),"Link Video bukan youtube","")),IF($L168="","Tgl Dibuat kosong",IF(NOT(ISNUMBER($L168)),"Tgl Dibuat bukan tanggal","")),IF(AND($M168&lt;&gt;"",NOT(ISNUMBER($M168))),"Tgl Publish bukan tanggal",""),IF(AND(ISNUMBER($L168),ISNUMBER($M168),$M168&lt;$L168),"Tgl Publish &lt; Tgl buat",""),IF(TRIM($N168)="","Status kosong",IF(ISERROR(MATCH(TRIM($N168),{"Draft","Menunggu Review","Revisi","Terjadwal","Upload","Publish","Published","Batal"},0)),"Status di luar daftar","")))),""))</f>
        <v/>
      </c>
      <c r="S168" s="17">
        <f>IF(AND($A168&lt;&gt;"",$C168&lt;&gt;""),IF(COUNTIFS($A$2:$A$1000,$A168,$C$2:$C$1000,$C168)&gt;1,"DUPLICAT",""),"")</f>
        <v/>
      </c>
    </row>
    <row r="169">
      <c r="A169" s="12" t="n"/>
      <c r="B169" s="12" t="n"/>
      <c r="C169" s="12" t="n"/>
      <c r="D169" s="13" t="n"/>
      <c r="E169" s="12" t="n"/>
      <c r="F169" s="14" t="n"/>
      <c r="G169" s="12" t="n"/>
      <c r="H169" s="12" t="n"/>
      <c r="I169" s="12" t="n"/>
      <c r="J169" s="14" t="n"/>
      <c r="K169" s="14" t="n"/>
      <c r="L169" s="15" t="n"/>
      <c r="M169" s="15" t="n"/>
      <c r="N169" s="12" t="n"/>
      <c r="O169" s="12" t="n"/>
      <c r="P169" s="16">
        <f>IF(AND(ISNUMBER($L169),ISNUMBER($M169)),MAX(0,$M169-$L169),"")</f>
        <v/>
      </c>
      <c r="Q169" s="16">
        <f>IF(ISNUMBER($D169),MAX(0,TODAY()-$D169),"")</f>
        <v/>
      </c>
      <c r="R169" s="14">
        <f>IF(COUNTA($A169:$O169)=0,"",IFERROR(TRIM(TEXTJOIN(" | ",TRUE,IF($A169="","PC kosong",""),IF($C169="","Worker ID kosong",""),IF($D169="","Update Date kosong",IF(NOT(ISNUMBER($D169)),"Update Date bukan tanggal","")),IF($E169="","Song ID YT kosong",""),IF($F169="","Judul kosong",""),IF(TRIM($G169)="","",IF(ISERROR(MATCH(TRIM($G169),{"TuneCore","DistroKid","TooLost","SoundOn","Ditto","Believe","CD Baby","Amuse","Symphonic Distribution","ONErpm","RouteNote","LANDR","Horus Music","Indie"},0)),"Aggregator di luar daftar","")),IF(TRIM($H169)="","Genre kosong",IF((LEN(SUBSTITUTE(SUBSTITUTE(SUBSTITUTE(TRIM($H169),"/",","),";",",")," ",""))-LEN(SUBSTITUTE(SUBSTITUTE(SUBSTITUTE(SUBSTITUTE(TRIM($H169),"/",","),";",","),"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169),"/",","),";",",")," ","")&amp;",")))&lt;&gt;(LEN(SUBSTITUTE(SUBSTITUTE(SUBSTITUTE(TRIM($H169),"/",","),";",",")," ",""))-LEN(SUBSTITUTE(SUBSTITUTE(SUBSTITUTE(SUBSTITUTE(TRIM($H169),"/",","),";",",")," ",""),",",""))+1),"Genre di luar daftar",""))),IF($I169="","Nama Channel kosong",""),IF($J169="","Link Channel kosong",IF(ISERROR(SEARCH("youtu",$J169)),"Link Channel bukan youtube","")),IF($K169="","Link Video kosong",IF(ISERROR(SEARCH("youtu",$K169)),"Link Video bukan youtube","")),IF($L169="","Tgl Dibuat kosong",IF(NOT(ISNUMBER($L169)),"Tgl Dibuat bukan tanggal","")),IF(AND($M169&lt;&gt;"",NOT(ISNUMBER($M169))),"Tgl Publish bukan tanggal",""),IF(AND(ISNUMBER($L169),ISNUMBER($M169),$M169&lt;$L169),"Tgl Publish &lt; Tgl buat",""),IF(TRIM($N169)="","Status kosong",IF(ISERROR(MATCH(TRIM($N169),{"Draft","Menunggu Review","Revisi","Terjadwal","Upload","Publish","Published","Batal"},0)),"Status di luar daftar","")))),""))</f>
        <v/>
      </c>
      <c r="S169" s="12">
        <f>IF(AND($A169&lt;&gt;"",$C169&lt;&gt;""),IF(COUNTIFS($A$2:$A$1000,$A169,$C$2:$C$1000,$C169)&gt;1,"DUPLICAT",""),"")</f>
        <v/>
      </c>
    </row>
    <row r="170">
      <c r="A170" s="17" t="n"/>
      <c r="B170" s="17" t="n"/>
      <c r="C170" s="17" t="n"/>
      <c r="D170" s="18" t="n"/>
      <c r="E170" s="17" t="n"/>
      <c r="F170" s="19" t="n"/>
      <c r="G170" s="17" t="n"/>
      <c r="H170" s="17" t="n"/>
      <c r="I170" s="17" t="n"/>
      <c r="J170" s="19" t="n"/>
      <c r="K170" s="19" t="n"/>
      <c r="L170" s="20" t="n"/>
      <c r="M170" s="20" t="n"/>
      <c r="N170" s="17" t="n"/>
      <c r="O170" s="17" t="n"/>
      <c r="P170" s="21">
        <f>IF(AND(ISNUMBER($L170),ISNUMBER($M170)),MAX(0,$M170-$L170),"")</f>
        <v/>
      </c>
      <c r="Q170" s="21">
        <f>IF(ISNUMBER($D170),MAX(0,TODAY()-$D170),"")</f>
        <v/>
      </c>
      <c r="R170" s="19">
        <f>IF(COUNTA($A170:$O170)=0,"",IFERROR(TRIM(TEXTJOIN(" | ",TRUE,IF($A170="","PC kosong",""),IF($C170="","Worker ID kosong",""),IF($D170="","Update Date kosong",IF(NOT(ISNUMBER($D170)),"Update Date bukan tanggal","")),IF($E170="","Song ID YT kosong",""),IF($F170="","Judul kosong",""),IF(TRIM($G170)="","",IF(ISERROR(MATCH(TRIM($G170),{"TuneCore","DistroKid","TooLost","SoundOn","Ditto","Believe","CD Baby","Amuse","Symphonic Distribution","ONErpm","RouteNote","LANDR","Horus Music","Indie"},0)),"Aggregator di luar daftar","")),IF(TRIM($H170)="","Genre kosong",IF((LEN(SUBSTITUTE(SUBSTITUTE(SUBSTITUTE(TRIM($H170),"/",","),";",",")," ",""))-LEN(SUBSTITUTE(SUBSTITUTE(SUBSTITUTE(SUBSTITUTE(TRIM($H170),"/",","),";",","),"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170),"/",","),";",",")," ","")&amp;",")))&lt;&gt;(LEN(SUBSTITUTE(SUBSTITUTE(SUBSTITUTE(TRIM($H170),"/",","),";",",")," ",""))-LEN(SUBSTITUTE(SUBSTITUTE(SUBSTITUTE(SUBSTITUTE(TRIM($H170),"/",","),";",",")," ",""),",",""))+1),"Genre di luar daftar",""))),IF($I170="","Nama Channel kosong",""),IF($J170="","Link Channel kosong",IF(ISERROR(SEARCH("youtu",$J170)),"Link Channel bukan youtube","")),IF($K170="","Link Video kosong",IF(ISERROR(SEARCH("youtu",$K170)),"Link Video bukan youtube","")),IF($L170="","Tgl Dibuat kosong",IF(NOT(ISNUMBER($L170)),"Tgl Dibuat bukan tanggal","")),IF(AND($M170&lt;&gt;"",NOT(ISNUMBER($M170))),"Tgl Publish bukan tanggal",""),IF(AND(ISNUMBER($L170),ISNUMBER($M170),$M170&lt;$L170),"Tgl Publish &lt; Tgl buat",""),IF(TRIM($N170)="","Status kosong",IF(ISERROR(MATCH(TRIM($N170),{"Draft","Menunggu Review","Revisi","Terjadwal","Upload","Publish","Published","Batal"},0)),"Status di luar daftar","")))),""))</f>
        <v/>
      </c>
      <c r="S170" s="17">
        <f>IF(AND($A170&lt;&gt;"",$C170&lt;&gt;""),IF(COUNTIFS($A$2:$A$1000,$A170,$C$2:$C$1000,$C170)&gt;1,"DUPLICAT",""),"")</f>
        <v/>
      </c>
    </row>
    <row r="171">
      <c r="A171" s="12" t="n"/>
      <c r="B171" s="12" t="n"/>
      <c r="C171" s="12" t="n"/>
      <c r="D171" s="13" t="n"/>
      <c r="E171" s="12" t="n"/>
      <c r="F171" s="14" t="n"/>
      <c r="G171" s="12" t="n"/>
      <c r="H171" s="12" t="n"/>
      <c r="I171" s="12" t="n"/>
      <c r="J171" s="14" t="n"/>
      <c r="K171" s="14" t="n"/>
      <c r="L171" s="15" t="n"/>
      <c r="M171" s="15" t="n"/>
      <c r="N171" s="12" t="n"/>
      <c r="O171" s="12" t="n"/>
      <c r="P171" s="16">
        <f>IF(AND(ISNUMBER($L171),ISNUMBER($M171)),MAX(0,$M171-$L171),"")</f>
        <v/>
      </c>
      <c r="Q171" s="16">
        <f>IF(ISNUMBER($D171),MAX(0,TODAY()-$D171),"")</f>
        <v/>
      </c>
      <c r="R171" s="14">
        <f>IF(COUNTA($A171:$O171)=0,"",IFERROR(TRIM(TEXTJOIN(" | ",TRUE,IF($A171="","PC kosong",""),IF($C171="","Worker ID kosong",""),IF($D171="","Update Date kosong",IF(NOT(ISNUMBER($D171)),"Update Date bukan tanggal","")),IF($E171="","Song ID YT kosong",""),IF($F171="","Judul kosong",""),IF(TRIM($G171)="","",IF(ISERROR(MATCH(TRIM($G171),{"TuneCore","DistroKid","TooLost","SoundOn","Ditto","Believe","CD Baby","Amuse","Symphonic Distribution","ONErpm","RouteNote","LANDR","Horus Music","Indie"},0)),"Aggregator di luar daftar","")),IF(TRIM($H171)="","Genre kosong",IF((LEN(SUBSTITUTE(SUBSTITUTE(SUBSTITUTE(TRIM($H171),"/",","),";",",")," ",""))-LEN(SUBSTITUTE(SUBSTITUTE(SUBSTITUTE(SUBSTITUTE(TRIM($H171),"/",","),";",","),"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171),"/",","),";",",")," ","")&amp;",")))&lt;&gt;(LEN(SUBSTITUTE(SUBSTITUTE(SUBSTITUTE(TRIM($H171),"/",","),";",",")," ",""))-LEN(SUBSTITUTE(SUBSTITUTE(SUBSTITUTE(SUBSTITUTE(TRIM($H171),"/",","),";",",")," ",""),",",""))+1),"Genre di luar daftar",""))),IF($I171="","Nama Channel kosong",""),IF($J171="","Link Channel kosong",IF(ISERROR(SEARCH("youtu",$J171)),"Link Channel bukan youtube","")),IF($K171="","Link Video kosong",IF(ISERROR(SEARCH("youtu",$K171)),"Link Video bukan youtube","")),IF($L171="","Tgl Dibuat kosong",IF(NOT(ISNUMBER($L171)),"Tgl Dibuat bukan tanggal","")),IF(AND($M171&lt;&gt;"",NOT(ISNUMBER($M171))),"Tgl Publish bukan tanggal",""),IF(AND(ISNUMBER($L171),ISNUMBER($M171),$M171&lt;$L171),"Tgl Publish &lt; Tgl buat",""),IF(TRIM($N171)="","Status kosong",IF(ISERROR(MATCH(TRIM($N171),{"Draft","Menunggu Review","Revisi","Terjadwal","Upload","Publish","Published","Batal"},0)),"Status di luar daftar","")))),""))</f>
        <v/>
      </c>
      <c r="S171" s="12">
        <f>IF(AND($A171&lt;&gt;"",$C171&lt;&gt;""),IF(COUNTIFS($A$2:$A$1000,$A171,$C$2:$C$1000,$C171)&gt;1,"DUPLICAT",""),"")</f>
        <v/>
      </c>
    </row>
    <row r="172">
      <c r="A172" s="17" t="n"/>
      <c r="B172" s="17" t="n"/>
      <c r="C172" s="17" t="n"/>
      <c r="D172" s="18" t="n"/>
      <c r="E172" s="17" t="n"/>
      <c r="F172" s="19" t="n"/>
      <c r="G172" s="17" t="n"/>
      <c r="H172" s="17" t="n"/>
      <c r="I172" s="17" t="n"/>
      <c r="J172" s="19" t="n"/>
      <c r="K172" s="19" t="n"/>
      <c r="L172" s="20" t="n"/>
      <c r="M172" s="20" t="n"/>
      <c r="N172" s="17" t="n"/>
      <c r="O172" s="17" t="n"/>
      <c r="P172" s="21">
        <f>IF(AND(ISNUMBER($L172),ISNUMBER($M172)),MAX(0,$M172-$L172),"")</f>
        <v/>
      </c>
      <c r="Q172" s="21">
        <f>IF(ISNUMBER($D172),MAX(0,TODAY()-$D172),"")</f>
        <v/>
      </c>
      <c r="R172" s="19">
        <f>IF(COUNTA($A172:$O172)=0,"",IFERROR(TRIM(TEXTJOIN(" | ",TRUE,IF($A172="","PC kosong",""),IF($C172="","Worker ID kosong",""),IF($D172="","Update Date kosong",IF(NOT(ISNUMBER($D172)),"Update Date bukan tanggal","")),IF($E172="","Song ID YT kosong",""),IF($F172="","Judul kosong",""),IF(TRIM($G172)="","",IF(ISERROR(MATCH(TRIM($G172),{"TuneCore","DistroKid","TooLost","SoundOn","Ditto","Believe","CD Baby","Amuse","Symphonic Distribution","ONErpm","RouteNote","LANDR","Horus Music","Indie"},0)),"Aggregator di luar daftar","")),IF(TRIM($H172)="","Genre kosong",IF((LEN(SUBSTITUTE(SUBSTITUTE(SUBSTITUTE(TRIM($H172),"/",","),";",",")," ",""))-LEN(SUBSTITUTE(SUBSTITUTE(SUBSTITUTE(SUBSTITUTE(TRIM($H172),"/",","),";",","),"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172),"/",","),";",",")," ","")&amp;",")))&lt;&gt;(LEN(SUBSTITUTE(SUBSTITUTE(SUBSTITUTE(TRIM($H172),"/",","),";",",")," ",""))-LEN(SUBSTITUTE(SUBSTITUTE(SUBSTITUTE(SUBSTITUTE(TRIM($H172),"/",","),";",",")," ",""),",",""))+1),"Genre di luar daftar",""))),IF($I172="","Nama Channel kosong",""),IF($J172="","Link Channel kosong",IF(ISERROR(SEARCH("youtu",$J172)),"Link Channel bukan youtube","")),IF($K172="","Link Video kosong",IF(ISERROR(SEARCH("youtu",$K172)),"Link Video bukan youtube","")),IF($L172="","Tgl Dibuat kosong",IF(NOT(ISNUMBER($L172)),"Tgl Dibuat bukan tanggal","")),IF(AND($M172&lt;&gt;"",NOT(ISNUMBER($M172))),"Tgl Publish bukan tanggal",""),IF(AND(ISNUMBER($L172),ISNUMBER($M172),$M172&lt;$L172),"Tgl Publish &lt; Tgl buat",""),IF(TRIM($N172)="","Status kosong",IF(ISERROR(MATCH(TRIM($N172),{"Draft","Menunggu Review","Revisi","Terjadwal","Upload","Publish","Published","Batal"},0)),"Status di luar daftar","")))),""))</f>
        <v/>
      </c>
      <c r="S172" s="17">
        <f>IF(AND($A172&lt;&gt;"",$C172&lt;&gt;""),IF(COUNTIFS($A$2:$A$1000,$A172,$C$2:$C$1000,$C172)&gt;1,"DUPLICAT",""),"")</f>
        <v/>
      </c>
    </row>
    <row r="173">
      <c r="A173" s="12" t="n"/>
      <c r="B173" s="12" t="n"/>
      <c r="C173" s="12" t="n"/>
      <c r="D173" s="13" t="n"/>
      <c r="E173" s="12" t="n"/>
      <c r="F173" s="14" t="n"/>
      <c r="G173" s="12" t="n"/>
      <c r="H173" s="12" t="n"/>
      <c r="I173" s="12" t="n"/>
      <c r="J173" s="14" t="n"/>
      <c r="K173" s="14" t="n"/>
      <c r="L173" s="15" t="n"/>
      <c r="M173" s="15" t="n"/>
      <c r="N173" s="12" t="n"/>
      <c r="O173" s="12" t="n"/>
      <c r="P173" s="16">
        <f>IF(AND(ISNUMBER($L173),ISNUMBER($M173)),MAX(0,$M173-$L173),"")</f>
        <v/>
      </c>
      <c r="Q173" s="16">
        <f>IF(ISNUMBER($D173),MAX(0,TODAY()-$D173),"")</f>
        <v/>
      </c>
      <c r="R173" s="14">
        <f>IF(COUNTA($A173:$O173)=0,"",IFERROR(TRIM(TEXTJOIN(" | ",TRUE,IF($A173="","PC kosong",""),IF($C173="","Worker ID kosong",""),IF($D173="","Update Date kosong",IF(NOT(ISNUMBER($D173)),"Update Date bukan tanggal","")),IF($E173="","Song ID YT kosong",""),IF($F173="","Judul kosong",""),IF(TRIM($G173)="","",IF(ISERROR(MATCH(TRIM($G173),{"TuneCore","DistroKid","TooLost","SoundOn","Ditto","Believe","CD Baby","Amuse","Symphonic Distribution","ONErpm","RouteNote","LANDR","Horus Music","Indie"},0)),"Aggregator di luar daftar","")),IF(TRIM($H173)="","Genre kosong",IF((LEN(SUBSTITUTE(SUBSTITUTE(SUBSTITUTE(TRIM($H173),"/",","),";",",")," ",""))-LEN(SUBSTITUTE(SUBSTITUTE(SUBSTITUTE(SUBSTITUTE(TRIM($H173),"/",","),";",","),"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173),"/",","),";",",")," ","")&amp;",")))&lt;&gt;(LEN(SUBSTITUTE(SUBSTITUTE(SUBSTITUTE(TRIM($H173),"/",","),";",",")," ",""))-LEN(SUBSTITUTE(SUBSTITUTE(SUBSTITUTE(SUBSTITUTE(TRIM($H173),"/",","),";",",")," ",""),",",""))+1),"Genre di luar daftar",""))),IF($I173="","Nama Channel kosong",""),IF($J173="","Link Channel kosong",IF(ISERROR(SEARCH("youtu",$J173)),"Link Channel bukan youtube","")),IF($K173="","Link Video kosong",IF(ISERROR(SEARCH("youtu",$K173)),"Link Video bukan youtube","")),IF($L173="","Tgl Dibuat kosong",IF(NOT(ISNUMBER($L173)),"Tgl Dibuat bukan tanggal","")),IF(AND($M173&lt;&gt;"",NOT(ISNUMBER($M173))),"Tgl Publish bukan tanggal",""),IF(AND(ISNUMBER($L173),ISNUMBER($M173),$M173&lt;$L173),"Tgl Publish &lt; Tgl buat",""),IF(TRIM($N173)="","Status kosong",IF(ISERROR(MATCH(TRIM($N173),{"Draft","Menunggu Review","Revisi","Terjadwal","Upload","Publish","Published","Batal"},0)),"Status di luar daftar","")))),""))</f>
        <v/>
      </c>
      <c r="S173" s="12">
        <f>IF(AND($A173&lt;&gt;"",$C173&lt;&gt;""),IF(COUNTIFS($A$2:$A$1000,$A173,$C$2:$C$1000,$C173)&gt;1,"DUPLICAT",""),"")</f>
        <v/>
      </c>
    </row>
    <row r="174">
      <c r="A174" s="17" t="n"/>
      <c r="B174" s="17" t="n"/>
      <c r="C174" s="17" t="n"/>
      <c r="D174" s="18" t="n"/>
      <c r="E174" s="17" t="n"/>
      <c r="F174" s="19" t="n"/>
      <c r="G174" s="17" t="n"/>
      <c r="H174" s="17" t="n"/>
      <c r="I174" s="17" t="n"/>
      <c r="J174" s="19" t="n"/>
      <c r="K174" s="19" t="n"/>
      <c r="L174" s="20" t="n"/>
      <c r="M174" s="20" t="n"/>
      <c r="N174" s="17" t="n"/>
      <c r="O174" s="17" t="n"/>
      <c r="P174" s="21">
        <f>IF(AND(ISNUMBER($L174),ISNUMBER($M174)),MAX(0,$M174-$L174),"")</f>
        <v/>
      </c>
      <c r="Q174" s="21">
        <f>IF(ISNUMBER($D174),MAX(0,TODAY()-$D174),"")</f>
        <v/>
      </c>
      <c r="R174" s="19">
        <f>IF(COUNTA($A174:$O174)=0,"",IFERROR(TRIM(TEXTJOIN(" | ",TRUE,IF($A174="","PC kosong",""),IF($C174="","Worker ID kosong",""),IF($D174="","Update Date kosong",IF(NOT(ISNUMBER($D174)),"Update Date bukan tanggal","")),IF($E174="","Song ID YT kosong",""),IF($F174="","Judul kosong",""),IF(TRIM($G174)="","",IF(ISERROR(MATCH(TRIM($G174),{"TuneCore","DistroKid","TooLost","SoundOn","Ditto","Believe","CD Baby","Amuse","Symphonic Distribution","ONErpm","RouteNote","LANDR","Horus Music","Indie"},0)),"Aggregator di luar daftar","")),IF(TRIM($H174)="","Genre kosong",IF((LEN(SUBSTITUTE(SUBSTITUTE(SUBSTITUTE(TRIM($H174),"/",","),";",",")," ",""))-LEN(SUBSTITUTE(SUBSTITUTE(SUBSTITUTE(SUBSTITUTE(TRIM($H174),"/",","),";",","),"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174),"/",","),";",",")," ","")&amp;",")))&lt;&gt;(LEN(SUBSTITUTE(SUBSTITUTE(SUBSTITUTE(TRIM($H174),"/",","),";",",")," ",""))-LEN(SUBSTITUTE(SUBSTITUTE(SUBSTITUTE(SUBSTITUTE(TRIM($H174),"/",","),";",",")," ",""),",",""))+1),"Genre di luar daftar",""))),IF($I174="","Nama Channel kosong",""),IF($J174="","Link Channel kosong",IF(ISERROR(SEARCH("youtu",$J174)),"Link Channel bukan youtube","")),IF($K174="","Link Video kosong",IF(ISERROR(SEARCH("youtu",$K174)),"Link Video bukan youtube","")),IF($L174="","Tgl Dibuat kosong",IF(NOT(ISNUMBER($L174)),"Tgl Dibuat bukan tanggal","")),IF(AND($M174&lt;&gt;"",NOT(ISNUMBER($M174))),"Tgl Publish bukan tanggal",""),IF(AND(ISNUMBER($L174),ISNUMBER($M174),$M174&lt;$L174),"Tgl Publish &lt; Tgl buat",""),IF(TRIM($N174)="","Status kosong",IF(ISERROR(MATCH(TRIM($N174),{"Draft","Menunggu Review","Revisi","Terjadwal","Upload","Publish","Published","Batal"},0)),"Status di luar daftar","")))),""))</f>
        <v/>
      </c>
      <c r="S174" s="17">
        <f>IF(AND($A174&lt;&gt;"",$C174&lt;&gt;""),IF(COUNTIFS($A$2:$A$1000,$A174,$C$2:$C$1000,$C174)&gt;1,"DUPLICAT",""),"")</f>
        <v/>
      </c>
    </row>
    <row r="175">
      <c r="A175" s="12" t="n"/>
      <c r="B175" s="12" t="n"/>
      <c r="C175" s="12" t="n"/>
      <c r="D175" s="13" t="n"/>
      <c r="E175" s="12" t="n"/>
      <c r="F175" s="14" t="n"/>
      <c r="G175" s="12" t="n"/>
      <c r="H175" s="12" t="n"/>
      <c r="I175" s="12" t="n"/>
      <c r="J175" s="14" t="n"/>
      <c r="K175" s="14" t="n"/>
      <c r="L175" s="15" t="n"/>
      <c r="M175" s="15" t="n"/>
      <c r="N175" s="12" t="n"/>
      <c r="O175" s="12" t="n"/>
      <c r="P175" s="16">
        <f>IF(AND(ISNUMBER($L175),ISNUMBER($M175)),MAX(0,$M175-$L175),"")</f>
        <v/>
      </c>
      <c r="Q175" s="16">
        <f>IF(ISNUMBER($D175),MAX(0,TODAY()-$D175),"")</f>
        <v/>
      </c>
      <c r="R175" s="14">
        <f>IF(COUNTA($A175:$O175)=0,"",IFERROR(TRIM(TEXTJOIN(" | ",TRUE,IF($A175="","PC kosong",""),IF($C175="","Worker ID kosong",""),IF($D175="","Update Date kosong",IF(NOT(ISNUMBER($D175)),"Update Date bukan tanggal","")),IF($E175="","Song ID YT kosong",""),IF($F175="","Judul kosong",""),IF(TRIM($G175)="","",IF(ISERROR(MATCH(TRIM($G175),{"TuneCore","DistroKid","TooLost","SoundOn","Ditto","Believe","CD Baby","Amuse","Symphonic Distribution","ONErpm","RouteNote","LANDR","Horus Music","Indie"},0)),"Aggregator di luar daftar","")),IF(TRIM($H175)="","Genre kosong",IF((LEN(SUBSTITUTE(SUBSTITUTE(SUBSTITUTE(TRIM($H175),"/",","),";",",")," ",""))-LEN(SUBSTITUTE(SUBSTITUTE(SUBSTITUTE(SUBSTITUTE(TRIM($H175),"/",","),";",","),"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175),"/",","),";",",")," ","")&amp;",")))&lt;&gt;(LEN(SUBSTITUTE(SUBSTITUTE(SUBSTITUTE(TRIM($H175),"/",","),";",",")," ",""))-LEN(SUBSTITUTE(SUBSTITUTE(SUBSTITUTE(SUBSTITUTE(TRIM($H175),"/",","),";",",")," ",""),",",""))+1),"Genre di luar daftar",""))),IF($I175="","Nama Channel kosong",""),IF($J175="","Link Channel kosong",IF(ISERROR(SEARCH("youtu",$J175)),"Link Channel bukan youtube","")),IF($K175="","Link Video kosong",IF(ISERROR(SEARCH("youtu",$K175)),"Link Video bukan youtube","")),IF($L175="","Tgl Dibuat kosong",IF(NOT(ISNUMBER($L175)),"Tgl Dibuat bukan tanggal","")),IF(AND($M175&lt;&gt;"",NOT(ISNUMBER($M175))),"Tgl Publish bukan tanggal",""),IF(AND(ISNUMBER($L175),ISNUMBER($M175),$M175&lt;$L175),"Tgl Publish &lt; Tgl buat",""),IF(TRIM($N175)="","Status kosong",IF(ISERROR(MATCH(TRIM($N175),{"Draft","Menunggu Review","Revisi","Terjadwal","Upload","Publish","Published","Batal"},0)),"Status di luar daftar","")))),""))</f>
        <v/>
      </c>
      <c r="S175" s="12">
        <f>IF(AND($A175&lt;&gt;"",$C175&lt;&gt;""),IF(COUNTIFS($A$2:$A$1000,$A175,$C$2:$C$1000,$C175)&gt;1,"DUPLICAT",""),"")</f>
        <v/>
      </c>
    </row>
    <row r="176">
      <c r="A176" s="17" t="n"/>
      <c r="B176" s="17" t="n"/>
      <c r="C176" s="17" t="n"/>
      <c r="D176" s="18" t="n"/>
      <c r="E176" s="17" t="n"/>
      <c r="F176" s="19" t="n"/>
      <c r="G176" s="17" t="n"/>
      <c r="H176" s="17" t="n"/>
      <c r="I176" s="17" t="n"/>
      <c r="J176" s="19" t="n"/>
      <c r="K176" s="19" t="n"/>
      <c r="L176" s="20" t="n"/>
      <c r="M176" s="20" t="n"/>
      <c r="N176" s="17" t="n"/>
      <c r="O176" s="17" t="n"/>
      <c r="P176" s="21">
        <f>IF(AND(ISNUMBER($L176),ISNUMBER($M176)),MAX(0,$M176-$L176),"")</f>
        <v/>
      </c>
      <c r="Q176" s="21">
        <f>IF(ISNUMBER($D176),MAX(0,TODAY()-$D176),"")</f>
        <v/>
      </c>
      <c r="R176" s="19">
        <f>IF(COUNTA($A176:$O176)=0,"",IFERROR(TRIM(TEXTJOIN(" | ",TRUE,IF($A176="","PC kosong",""),IF($C176="","Worker ID kosong",""),IF($D176="","Update Date kosong",IF(NOT(ISNUMBER($D176)),"Update Date bukan tanggal","")),IF($E176="","Song ID YT kosong",""),IF($F176="","Judul kosong",""),IF(TRIM($G176)="","",IF(ISERROR(MATCH(TRIM($G176),{"TuneCore","DistroKid","TooLost","SoundOn","Ditto","Believe","CD Baby","Amuse","Symphonic Distribution","ONErpm","RouteNote","LANDR","Horus Music","Indie"},0)),"Aggregator di luar daftar","")),IF(TRIM($H176)="","Genre kosong",IF((LEN(SUBSTITUTE(SUBSTITUTE(SUBSTITUTE(TRIM($H176),"/",","),";",",")," ",""))-LEN(SUBSTITUTE(SUBSTITUTE(SUBSTITUTE(SUBSTITUTE(TRIM($H176),"/",","),";",","),"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176),"/",","),";",",")," ","")&amp;",")))&lt;&gt;(LEN(SUBSTITUTE(SUBSTITUTE(SUBSTITUTE(TRIM($H176),"/",","),";",",")," ",""))-LEN(SUBSTITUTE(SUBSTITUTE(SUBSTITUTE(SUBSTITUTE(TRIM($H176),"/",","),";",",")," ",""),",",""))+1),"Genre di luar daftar",""))),IF($I176="","Nama Channel kosong",""),IF($J176="","Link Channel kosong",IF(ISERROR(SEARCH("youtu",$J176)),"Link Channel bukan youtube","")),IF($K176="","Link Video kosong",IF(ISERROR(SEARCH("youtu",$K176)),"Link Video bukan youtube","")),IF($L176="","Tgl Dibuat kosong",IF(NOT(ISNUMBER($L176)),"Tgl Dibuat bukan tanggal","")),IF(AND($M176&lt;&gt;"",NOT(ISNUMBER($M176))),"Tgl Publish bukan tanggal",""),IF(AND(ISNUMBER($L176),ISNUMBER($M176),$M176&lt;$L176),"Tgl Publish &lt; Tgl buat",""),IF(TRIM($N176)="","Status kosong",IF(ISERROR(MATCH(TRIM($N176),{"Draft","Menunggu Review","Revisi","Terjadwal","Upload","Publish","Published","Batal"},0)),"Status di luar daftar","")))),""))</f>
        <v/>
      </c>
      <c r="S176" s="17">
        <f>IF(AND($A176&lt;&gt;"",$C176&lt;&gt;""),IF(COUNTIFS($A$2:$A$1000,$A176,$C$2:$C$1000,$C176)&gt;1,"DUPLICAT",""),"")</f>
        <v/>
      </c>
    </row>
    <row r="177">
      <c r="A177" s="12" t="n"/>
      <c r="B177" s="12" t="n"/>
      <c r="C177" s="12" t="n"/>
      <c r="D177" s="13" t="n"/>
      <c r="E177" s="12" t="n"/>
      <c r="F177" s="14" t="n"/>
      <c r="G177" s="12" t="n"/>
      <c r="H177" s="12" t="n"/>
      <c r="I177" s="12" t="n"/>
      <c r="J177" s="14" t="n"/>
      <c r="K177" s="14" t="n"/>
      <c r="L177" s="15" t="n"/>
      <c r="M177" s="15" t="n"/>
      <c r="N177" s="12" t="n"/>
      <c r="O177" s="12" t="n"/>
      <c r="P177" s="16">
        <f>IF(AND(ISNUMBER($L177),ISNUMBER($M177)),MAX(0,$M177-$L177),"")</f>
        <v/>
      </c>
      <c r="Q177" s="16">
        <f>IF(ISNUMBER($D177),MAX(0,TODAY()-$D177),"")</f>
        <v/>
      </c>
      <c r="R177" s="14">
        <f>IF(COUNTA($A177:$O177)=0,"",IFERROR(TRIM(TEXTJOIN(" | ",TRUE,IF($A177="","PC kosong",""),IF($C177="","Worker ID kosong",""),IF($D177="","Update Date kosong",IF(NOT(ISNUMBER($D177)),"Update Date bukan tanggal","")),IF($E177="","Song ID YT kosong",""),IF($F177="","Judul kosong",""),IF(TRIM($G177)="","",IF(ISERROR(MATCH(TRIM($G177),{"TuneCore","DistroKid","TooLost","SoundOn","Ditto","Believe","CD Baby","Amuse","Symphonic Distribution","ONErpm","RouteNote","LANDR","Horus Music","Indie"},0)),"Aggregator di luar daftar","")),IF(TRIM($H177)="","Genre kosong",IF((LEN(SUBSTITUTE(SUBSTITUTE(SUBSTITUTE(TRIM($H177),"/",","),";",",")," ",""))-LEN(SUBSTITUTE(SUBSTITUTE(SUBSTITUTE(SUBSTITUTE(TRIM($H177),"/",","),";",","),"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177),"/",","),";",",")," ","")&amp;",")))&lt;&gt;(LEN(SUBSTITUTE(SUBSTITUTE(SUBSTITUTE(TRIM($H177),"/",","),";",",")," ",""))-LEN(SUBSTITUTE(SUBSTITUTE(SUBSTITUTE(SUBSTITUTE(TRIM($H177),"/",","),";",",")," ",""),",",""))+1),"Genre di luar daftar",""))),IF($I177="","Nama Channel kosong",""),IF($J177="","Link Channel kosong",IF(ISERROR(SEARCH("youtu",$J177)),"Link Channel bukan youtube","")),IF($K177="","Link Video kosong",IF(ISERROR(SEARCH("youtu",$K177)),"Link Video bukan youtube","")),IF($L177="","Tgl Dibuat kosong",IF(NOT(ISNUMBER($L177)),"Tgl Dibuat bukan tanggal","")),IF(AND($M177&lt;&gt;"",NOT(ISNUMBER($M177))),"Tgl Publish bukan tanggal",""),IF(AND(ISNUMBER($L177),ISNUMBER($M177),$M177&lt;$L177),"Tgl Publish &lt; Tgl buat",""),IF(TRIM($N177)="","Status kosong",IF(ISERROR(MATCH(TRIM($N177),{"Draft","Menunggu Review","Revisi","Terjadwal","Upload","Publish","Published","Batal"},0)),"Status di luar daftar","")))),""))</f>
        <v/>
      </c>
      <c r="S177" s="12">
        <f>IF(AND($A177&lt;&gt;"",$C177&lt;&gt;""),IF(COUNTIFS($A$2:$A$1000,$A177,$C$2:$C$1000,$C177)&gt;1,"DUPLICAT",""),"")</f>
        <v/>
      </c>
    </row>
    <row r="178">
      <c r="A178" s="17" t="n"/>
      <c r="B178" s="17" t="n"/>
      <c r="C178" s="17" t="n"/>
      <c r="D178" s="18" t="n"/>
      <c r="E178" s="17" t="n"/>
      <c r="F178" s="19" t="n"/>
      <c r="G178" s="17" t="n"/>
      <c r="H178" s="17" t="n"/>
      <c r="I178" s="17" t="n"/>
      <c r="J178" s="19" t="n"/>
      <c r="K178" s="19" t="n"/>
      <c r="L178" s="20" t="n"/>
      <c r="M178" s="20" t="n"/>
      <c r="N178" s="17" t="n"/>
      <c r="O178" s="17" t="n"/>
      <c r="P178" s="21">
        <f>IF(AND(ISNUMBER($L178),ISNUMBER($M178)),MAX(0,$M178-$L178),"")</f>
        <v/>
      </c>
      <c r="Q178" s="21">
        <f>IF(ISNUMBER($D178),MAX(0,TODAY()-$D178),"")</f>
        <v/>
      </c>
      <c r="R178" s="19">
        <f>IF(COUNTA($A178:$O178)=0,"",IFERROR(TRIM(TEXTJOIN(" | ",TRUE,IF($A178="","PC kosong",""),IF($C178="","Worker ID kosong",""),IF($D178="","Update Date kosong",IF(NOT(ISNUMBER($D178)),"Update Date bukan tanggal","")),IF($E178="","Song ID YT kosong",""),IF($F178="","Judul kosong",""),IF(TRIM($G178)="","",IF(ISERROR(MATCH(TRIM($G178),{"TuneCore","DistroKid","TooLost","SoundOn","Ditto","Believe","CD Baby","Amuse","Symphonic Distribution","ONErpm","RouteNote","LANDR","Horus Music","Indie"},0)),"Aggregator di luar daftar","")),IF(TRIM($H178)="","Genre kosong",IF((LEN(SUBSTITUTE(SUBSTITUTE(SUBSTITUTE(TRIM($H178),"/",","),";",",")," ",""))-LEN(SUBSTITUTE(SUBSTITUTE(SUBSTITUTE(SUBSTITUTE(TRIM($H178),"/",","),";",","),"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178),"/",","),";",",")," ","")&amp;",")))&lt;&gt;(LEN(SUBSTITUTE(SUBSTITUTE(SUBSTITUTE(TRIM($H178),"/",","),";",",")," ",""))-LEN(SUBSTITUTE(SUBSTITUTE(SUBSTITUTE(SUBSTITUTE(TRIM($H178),"/",","),";",",")," ",""),",",""))+1),"Genre di luar daftar",""))),IF($I178="","Nama Channel kosong",""),IF($J178="","Link Channel kosong",IF(ISERROR(SEARCH("youtu",$J178)),"Link Channel bukan youtube","")),IF($K178="","Link Video kosong",IF(ISERROR(SEARCH("youtu",$K178)),"Link Video bukan youtube","")),IF($L178="","Tgl Dibuat kosong",IF(NOT(ISNUMBER($L178)),"Tgl Dibuat bukan tanggal","")),IF(AND($M178&lt;&gt;"",NOT(ISNUMBER($M178))),"Tgl Publish bukan tanggal",""),IF(AND(ISNUMBER($L178),ISNUMBER($M178),$M178&lt;$L178),"Tgl Publish &lt; Tgl buat",""),IF(TRIM($N178)="","Status kosong",IF(ISERROR(MATCH(TRIM($N178),{"Draft","Menunggu Review","Revisi","Terjadwal","Upload","Publish","Published","Batal"},0)),"Status di luar daftar","")))),""))</f>
        <v/>
      </c>
      <c r="S178" s="17">
        <f>IF(AND($A178&lt;&gt;"",$C178&lt;&gt;""),IF(COUNTIFS($A$2:$A$1000,$A178,$C$2:$C$1000,$C178)&gt;1,"DUPLICAT",""),"")</f>
        <v/>
      </c>
    </row>
    <row r="179">
      <c r="A179" s="12" t="n"/>
      <c r="B179" s="12" t="n"/>
      <c r="C179" s="12" t="n"/>
      <c r="D179" s="13" t="n"/>
      <c r="E179" s="12" t="n"/>
      <c r="F179" s="14" t="n"/>
      <c r="G179" s="12" t="n"/>
      <c r="H179" s="12" t="n"/>
      <c r="I179" s="12" t="n"/>
      <c r="J179" s="14" t="n"/>
      <c r="K179" s="14" t="n"/>
      <c r="L179" s="15" t="n"/>
      <c r="M179" s="15" t="n"/>
      <c r="N179" s="12" t="n"/>
      <c r="O179" s="12" t="n"/>
      <c r="P179" s="16">
        <f>IF(AND(ISNUMBER($L179),ISNUMBER($M179)),MAX(0,$M179-$L179),"")</f>
        <v/>
      </c>
      <c r="Q179" s="16">
        <f>IF(ISNUMBER($D179),MAX(0,TODAY()-$D179),"")</f>
        <v/>
      </c>
      <c r="R179" s="14">
        <f>IF(COUNTA($A179:$O179)=0,"",IFERROR(TRIM(TEXTJOIN(" | ",TRUE,IF($A179="","PC kosong",""),IF($C179="","Worker ID kosong",""),IF($D179="","Update Date kosong",IF(NOT(ISNUMBER($D179)),"Update Date bukan tanggal","")),IF($E179="","Song ID YT kosong",""),IF($F179="","Judul kosong",""),IF(TRIM($G179)="","",IF(ISERROR(MATCH(TRIM($G179),{"TuneCore","DistroKid","TooLost","SoundOn","Ditto","Believe","CD Baby","Amuse","Symphonic Distribution","ONErpm","RouteNote","LANDR","Horus Music","Indie"},0)),"Aggregator di luar daftar","")),IF(TRIM($H179)="","Genre kosong",IF((LEN(SUBSTITUTE(SUBSTITUTE(SUBSTITUTE(TRIM($H179),"/",","),";",",")," ",""))-LEN(SUBSTITUTE(SUBSTITUTE(SUBSTITUTE(SUBSTITUTE(TRIM($H179),"/",","),";",","),"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179),"/",","),";",",")," ","")&amp;",")))&lt;&gt;(LEN(SUBSTITUTE(SUBSTITUTE(SUBSTITUTE(TRIM($H179),"/",","),";",",")," ",""))-LEN(SUBSTITUTE(SUBSTITUTE(SUBSTITUTE(SUBSTITUTE(TRIM($H179),"/",","),";",",")," ",""),",",""))+1),"Genre di luar daftar",""))),IF($I179="","Nama Channel kosong",""),IF($J179="","Link Channel kosong",IF(ISERROR(SEARCH("youtu",$J179)),"Link Channel bukan youtube","")),IF($K179="","Link Video kosong",IF(ISERROR(SEARCH("youtu",$K179)),"Link Video bukan youtube","")),IF($L179="","Tgl Dibuat kosong",IF(NOT(ISNUMBER($L179)),"Tgl Dibuat bukan tanggal","")),IF(AND($M179&lt;&gt;"",NOT(ISNUMBER($M179))),"Tgl Publish bukan tanggal",""),IF(AND(ISNUMBER($L179),ISNUMBER($M179),$M179&lt;$L179),"Tgl Publish &lt; Tgl buat",""),IF(TRIM($N179)="","Status kosong",IF(ISERROR(MATCH(TRIM($N179),{"Draft","Menunggu Review","Revisi","Terjadwal","Upload","Publish","Published","Batal"},0)),"Status di luar daftar","")))),""))</f>
        <v/>
      </c>
      <c r="S179" s="12">
        <f>IF(AND($A179&lt;&gt;"",$C179&lt;&gt;""),IF(COUNTIFS($A$2:$A$1000,$A179,$C$2:$C$1000,$C179)&gt;1,"DUPLICAT",""),"")</f>
        <v/>
      </c>
    </row>
    <row r="180">
      <c r="A180" s="17" t="n"/>
      <c r="B180" s="17" t="n"/>
      <c r="C180" s="17" t="n"/>
      <c r="D180" s="18" t="n"/>
      <c r="E180" s="17" t="n"/>
      <c r="F180" s="19" t="n"/>
      <c r="G180" s="17" t="n"/>
      <c r="H180" s="17" t="n"/>
      <c r="I180" s="17" t="n"/>
      <c r="J180" s="19" t="n"/>
      <c r="K180" s="19" t="n"/>
      <c r="L180" s="20" t="n"/>
      <c r="M180" s="20" t="n"/>
      <c r="N180" s="17" t="n"/>
      <c r="O180" s="17" t="n"/>
      <c r="P180" s="21">
        <f>IF(AND(ISNUMBER($L180),ISNUMBER($M180)),MAX(0,$M180-$L180),"")</f>
        <v/>
      </c>
      <c r="Q180" s="21">
        <f>IF(ISNUMBER($D180),MAX(0,TODAY()-$D180),"")</f>
        <v/>
      </c>
      <c r="R180" s="19">
        <f>IF(COUNTA($A180:$O180)=0,"",IFERROR(TRIM(TEXTJOIN(" | ",TRUE,IF($A180="","PC kosong",""),IF($C180="","Worker ID kosong",""),IF($D180="","Update Date kosong",IF(NOT(ISNUMBER($D180)),"Update Date bukan tanggal","")),IF($E180="","Song ID YT kosong",""),IF($F180="","Judul kosong",""),IF(TRIM($G180)="","",IF(ISERROR(MATCH(TRIM($G180),{"TuneCore","DistroKid","TooLost","SoundOn","Ditto","Believe","CD Baby","Amuse","Symphonic Distribution","ONErpm","RouteNote","LANDR","Horus Music","Indie"},0)),"Aggregator di luar daftar","")),IF(TRIM($H180)="","Genre kosong",IF((LEN(SUBSTITUTE(SUBSTITUTE(SUBSTITUTE(TRIM($H180),"/",","),";",",")," ",""))-LEN(SUBSTITUTE(SUBSTITUTE(SUBSTITUTE(SUBSTITUTE(TRIM($H180),"/",","),";",","),"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180),"/",","),";",",")," ","")&amp;",")))&lt;&gt;(LEN(SUBSTITUTE(SUBSTITUTE(SUBSTITUTE(TRIM($H180),"/",","),";",",")," ",""))-LEN(SUBSTITUTE(SUBSTITUTE(SUBSTITUTE(SUBSTITUTE(TRIM($H180),"/",","),";",",")," ",""),",",""))+1),"Genre di luar daftar",""))),IF($I180="","Nama Channel kosong",""),IF($J180="","Link Channel kosong",IF(ISERROR(SEARCH("youtu",$J180)),"Link Channel bukan youtube","")),IF($K180="","Link Video kosong",IF(ISERROR(SEARCH("youtu",$K180)),"Link Video bukan youtube","")),IF($L180="","Tgl Dibuat kosong",IF(NOT(ISNUMBER($L180)),"Tgl Dibuat bukan tanggal","")),IF(AND($M180&lt;&gt;"",NOT(ISNUMBER($M180))),"Tgl Publish bukan tanggal",""),IF(AND(ISNUMBER($L180),ISNUMBER($M180),$M180&lt;$L180),"Tgl Publish &lt; Tgl buat",""),IF(TRIM($N180)="","Status kosong",IF(ISERROR(MATCH(TRIM($N180),{"Draft","Menunggu Review","Revisi","Terjadwal","Upload","Publish","Published","Batal"},0)),"Status di luar daftar","")))),""))</f>
        <v/>
      </c>
      <c r="S180" s="17">
        <f>IF(AND($A180&lt;&gt;"",$C180&lt;&gt;""),IF(COUNTIFS($A$2:$A$1000,$A180,$C$2:$C$1000,$C180)&gt;1,"DUPLICAT",""),"")</f>
        <v/>
      </c>
    </row>
    <row r="181">
      <c r="A181" s="12" t="n"/>
      <c r="B181" s="12" t="n"/>
      <c r="C181" s="12" t="n"/>
      <c r="D181" s="13" t="n"/>
      <c r="E181" s="12" t="n"/>
      <c r="F181" s="14" t="n"/>
      <c r="G181" s="12" t="n"/>
      <c r="H181" s="12" t="n"/>
      <c r="I181" s="12" t="n"/>
      <c r="J181" s="14" t="n"/>
      <c r="K181" s="14" t="n"/>
      <c r="L181" s="15" t="n"/>
      <c r="M181" s="15" t="n"/>
      <c r="N181" s="12" t="n"/>
      <c r="O181" s="12" t="n"/>
      <c r="P181" s="16">
        <f>IF(AND(ISNUMBER($L181),ISNUMBER($M181)),MAX(0,$M181-$L181),"")</f>
        <v/>
      </c>
      <c r="Q181" s="16">
        <f>IF(ISNUMBER($D181),MAX(0,TODAY()-$D181),"")</f>
        <v/>
      </c>
      <c r="R181" s="14">
        <f>IF(COUNTA($A181:$O181)=0,"",IFERROR(TRIM(TEXTJOIN(" | ",TRUE,IF($A181="","PC kosong",""),IF($C181="","Worker ID kosong",""),IF($D181="","Update Date kosong",IF(NOT(ISNUMBER($D181)),"Update Date bukan tanggal","")),IF($E181="","Song ID YT kosong",""),IF($F181="","Judul kosong",""),IF(TRIM($G181)="","",IF(ISERROR(MATCH(TRIM($G181),{"TuneCore","DistroKid","TooLost","SoundOn","Ditto","Believe","CD Baby","Amuse","Symphonic Distribution","ONErpm","RouteNote","LANDR","Horus Music","Indie"},0)),"Aggregator di luar daftar","")),IF(TRIM($H181)="","Genre kosong",IF((LEN(SUBSTITUTE(SUBSTITUTE(SUBSTITUTE(TRIM($H181),"/",","),";",",")," ",""))-LEN(SUBSTITUTE(SUBSTITUTE(SUBSTITUTE(SUBSTITUTE(TRIM($H181),"/",","),";",","),"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181),"/",","),";",",")," ","")&amp;",")))&lt;&gt;(LEN(SUBSTITUTE(SUBSTITUTE(SUBSTITUTE(TRIM($H181),"/",","),";",",")," ",""))-LEN(SUBSTITUTE(SUBSTITUTE(SUBSTITUTE(SUBSTITUTE(TRIM($H181),"/",","),";",",")," ",""),",",""))+1),"Genre di luar daftar",""))),IF($I181="","Nama Channel kosong",""),IF($J181="","Link Channel kosong",IF(ISERROR(SEARCH("youtu",$J181)),"Link Channel bukan youtube","")),IF($K181="","Link Video kosong",IF(ISERROR(SEARCH("youtu",$K181)),"Link Video bukan youtube","")),IF($L181="","Tgl Dibuat kosong",IF(NOT(ISNUMBER($L181)),"Tgl Dibuat bukan tanggal","")),IF(AND($M181&lt;&gt;"",NOT(ISNUMBER($M181))),"Tgl Publish bukan tanggal",""),IF(AND(ISNUMBER($L181),ISNUMBER($M181),$M181&lt;$L181),"Tgl Publish &lt; Tgl buat",""),IF(TRIM($N181)="","Status kosong",IF(ISERROR(MATCH(TRIM($N181),{"Draft","Menunggu Review","Revisi","Terjadwal","Upload","Publish","Published","Batal"},0)),"Status di luar daftar","")))),""))</f>
        <v/>
      </c>
      <c r="S181" s="12">
        <f>IF(AND($A181&lt;&gt;"",$C181&lt;&gt;""),IF(COUNTIFS($A$2:$A$1000,$A181,$C$2:$C$1000,$C181)&gt;1,"DUPLICAT",""),"")</f>
        <v/>
      </c>
    </row>
    <row r="182">
      <c r="A182" s="17" t="n"/>
      <c r="B182" s="17" t="n"/>
      <c r="C182" s="17" t="n"/>
      <c r="D182" s="18" t="n"/>
      <c r="E182" s="17" t="n"/>
      <c r="F182" s="19" t="n"/>
      <c r="G182" s="17" t="n"/>
      <c r="H182" s="17" t="n"/>
      <c r="I182" s="17" t="n"/>
      <c r="J182" s="19" t="n"/>
      <c r="K182" s="19" t="n"/>
      <c r="L182" s="20" t="n"/>
      <c r="M182" s="20" t="n"/>
      <c r="N182" s="17" t="n"/>
      <c r="O182" s="17" t="n"/>
      <c r="P182" s="21">
        <f>IF(AND(ISNUMBER($L182),ISNUMBER($M182)),MAX(0,$M182-$L182),"")</f>
        <v/>
      </c>
      <c r="Q182" s="21">
        <f>IF(ISNUMBER($D182),MAX(0,TODAY()-$D182),"")</f>
        <v/>
      </c>
      <c r="R182" s="19">
        <f>IF(COUNTA($A182:$O182)=0,"",IFERROR(TRIM(TEXTJOIN(" | ",TRUE,IF($A182="","PC kosong",""),IF($C182="","Worker ID kosong",""),IF($D182="","Update Date kosong",IF(NOT(ISNUMBER($D182)),"Update Date bukan tanggal","")),IF($E182="","Song ID YT kosong",""),IF($F182="","Judul kosong",""),IF(TRIM($G182)="","",IF(ISERROR(MATCH(TRIM($G182),{"TuneCore","DistroKid","TooLost","SoundOn","Ditto","Believe","CD Baby","Amuse","Symphonic Distribution","ONErpm","RouteNote","LANDR","Horus Music","Indie"},0)),"Aggregator di luar daftar","")),IF(TRIM($H182)="","Genre kosong",IF((LEN(SUBSTITUTE(SUBSTITUTE(SUBSTITUTE(TRIM($H182),"/",","),";",",")," ",""))-LEN(SUBSTITUTE(SUBSTITUTE(SUBSTITUTE(SUBSTITUTE(TRIM($H182),"/",","),";",","),"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182),"/",","),";",",")," ","")&amp;",")))&lt;&gt;(LEN(SUBSTITUTE(SUBSTITUTE(SUBSTITUTE(TRIM($H182),"/",","),";",",")," ",""))-LEN(SUBSTITUTE(SUBSTITUTE(SUBSTITUTE(SUBSTITUTE(TRIM($H182),"/",","),";",",")," ",""),",",""))+1),"Genre di luar daftar",""))),IF($I182="","Nama Channel kosong",""),IF($J182="","Link Channel kosong",IF(ISERROR(SEARCH("youtu",$J182)),"Link Channel bukan youtube","")),IF($K182="","Link Video kosong",IF(ISERROR(SEARCH("youtu",$K182)),"Link Video bukan youtube","")),IF($L182="","Tgl Dibuat kosong",IF(NOT(ISNUMBER($L182)),"Tgl Dibuat bukan tanggal","")),IF(AND($M182&lt;&gt;"",NOT(ISNUMBER($M182))),"Tgl Publish bukan tanggal",""),IF(AND(ISNUMBER($L182),ISNUMBER($M182),$M182&lt;$L182),"Tgl Publish &lt; Tgl buat",""),IF(TRIM($N182)="","Status kosong",IF(ISERROR(MATCH(TRIM($N182),{"Draft","Menunggu Review","Revisi","Terjadwal","Upload","Publish","Published","Batal"},0)),"Status di luar daftar","")))),""))</f>
        <v/>
      </c>
      <c r="S182" s="17">
        <f>IF(AND($A182&lt;&gt;"",$C182&lt;&gt;""),IF(COUNTIFS($A$2:$A$1000,$A182,$C$2:$C$1000,$C182)&gt;1,"DUPLICAT",""),"")</f>
        <v/>
      </c>
    </row>
    <row r="183">
      <c r="A183" s="12" t="n"/>
      <c r="B183" s="12" t="n"/>
      <c r="C183" s="12" t="n"/>
      <c r="D183" s="13" t="n"/>
      <c r="E183" s="12" t="n"/>
      <c r="F183" s="14" t="n"/>
      <c r="G183" s="12" t="n"/>
      <c r="H183" s="12" t="n"/>
      <c r="I183" s="12" t="n"/>
      <c r="J183" s="14" t="n"/>
      <c r="K183" s="14" t="n"/>
      <c r="L183" s="15" t="n"/>
      <c r="M183" s="15" t="n"/>
      <c r="N183" s="12" t="n"/>
      <c r="O183" s="12" t="n"/>
      <c r="P183" s="16">
        <f>IF(AND(ISNUMBER($L183),ISNUMBER($M183)),MAX(0,$M183-$L183),"")</f>
        <v/>
      </c>
      <c r="Q183" s="16">
        <f>IF(ISNUMBER($D183),MAX(0,TODAY()-$D183),"")</f>
        <v/>
      </c>
      <c r="R183" s="14">
        <f>IF(COUNTA($A183:$O183)=0,"",IFERROR(TRIM(TEXTJOIN(" | ",TRUE,IF($A183="","PC kosong",""),IF($C183="","Worker ID kosong",""),IF($D183="","Update Date kosong",IF(NOT(ISNUMBER($D183)),"Update Date bukan tanggal","")),IF($E183="","Song ID YT kosong",""),IF($F183="","Judul kosong",""),IF(TRIM($G183)="","",IF(ISERROR(MATCH(TRIM($G183),{"TuneCore","DistroKid","TooLost","SoundOn","Ditto","Believe","CD Baby","Amuse","Symphonic Distribution","ONErpm","RouteNote","LANDR","Horus Music","Indie"},0)),"Aggregator di luar daftar","")),IF(TRIM($H183)="","Genre kosong",IF((LEN(SUBSTITUTE(SUBSTITUTE(SUBSTITUTE(TRIM($H183),"/",","),";",",")," ",""))-LEN(SUBSTITUTE(SUBSTITUTE(SUBSTITUTE(SUBSTITUTE(TRIM($H183),"/",","),";",","),"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183),"/",","),";",",")," ","")&amp;",")))&lt;&gt;(LEN(SUBSTITUTE(SUBSTITUTE(SUBSTITUTE(TRIM($H183),"/",","),";",",")," ",""))-LEN(SUBSTITUTE(SUBSTITUTE(SUBSTITUTE(SUBSTITUTE(TRIM($H183),"/",","),";",",")," ",""),",",""))+1),"Genre di luar daftar",""))),IF($I183="","Nama Channel kosong",""),IF($J183="","Link Channel kosong",IF(ISERROR(SEARCH("youtu",$J183)),"Link Channel bukan youtube","")),IF($K183="","Link Video kosong",IF(ISERROR(SEARCH("youtu",$K183)),"Link Video bukan youtube","")),IF($L183="","Tgl Dibuat kosong",IF(NOT(ISNUMBER($L183)),"Tgl Dibuat bukan tanggal","")),IF(AND($M183&lt;&gt;"",NOT(ISNUMBER($M183))),"Tgl Publish bukan tanggal",""),IF(AND(ISNUMBER($L183),ISNUMBER($M183),$M183&lt;$L183),"Tgl Publish &lt; Tgl buat",""),IF(TRIM($N183)="","Status kosong",IF(ISERROR(MATCH(TRIM($N183),{"Draft","Menunggu Review","Revisi","Terjadwal","Upload","Publish","Published","Batal"},0)),"Status di luar daftar","")))),""))</f>
        <v/>
      </c>
      <c r="S183" s="12">
        <f>IF(AND($A183&lt;&gt;"",$C183&lt;&gt;""),IF(COUNTIFS($A$2:$A$1000,$A183,$C$2:$C$1000,$C183)&gt;1,"DUPLICAT",""),"")</f>
        <v/>
      </c>
    </row>
    <row r="184">
      <c r="A184" s="17" t="n"/>
      <c r="B184" s="17" t="n"/>
      <c r="C184" s="17" t="n"/>
      <c r="D184" s="18" t="n"/>
      <c r="E184" s="17" t="n"/>
      <c r="F184" s="19" t="n"/>
      <c r="G184" s="17" t="n"/>
      <c r="H184" s="17" t="n"/>
      <c r="I184" s="17" t="n"/>
      <c r="J184" s="19" t="n"/>
      <c r="K184" s="19" t="n"/>
      <c r="L184" s="20" t="n"/>
      <c r="M184" s="20" t="n"/>
      <c r="N184" s="17" t="n"/>
      <c r="O184" s="17" t="n"/>
      <c r="P184" s="21">
        <f>IF(AND(ISNUMBER($L184),ISNUMBER($M184)),MAX(0,$M184-$L184),"")</f>
        <v/>
      </c>
      <c r="Q184" s="21">
        <f>IF(ISNUMBER($D184),MAX(0,TODAY()-$D184),"")</f>
        <v/>
      </c>
      <c r="R184" s="19">
        <f>IF(COUNTA($A184:$O184)=0,"",IFERROR(TRIM(TEXTJOIN(" | ",TRUE,IF($A184="","PC kosong",""),IF($C184="","Worker ID kosong",""),IF($D184="","Update Date kosong",IF(NOT(ISNUMBER($D184)),"Update Date bukan tanggal","")),IF($E184="","Song ID YT kosong",""),IF($F184="","Judul kosong",""),IF(TRIM($G184)="","",IF(ISERROR(MATCH(TRIM($G184),{"TuneCore","DistroKid","TooLost","SoundOn","Ditto","Believe","CD Baby","Amuse","Symphonic Distribution","ONErpm","RouteNote","LANDR","Horus Music","Indie"},0)),"Aggregator di luar daftar","")),IF(TRIM($H184)="","Genre kosong",IF((LEN(SUBSTITUTE(SUBSTITUTE(SUBSTITUTE(TRIM($H184),"/",","),";",",")," ",""))-LEN(SUBSTITUTE(SUBSTITUTE(SUBSTITUTE(SUBSTITUTE(TRIM($H184),"/",","),";",","),"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184),"/",","),";",",")," ","")&amp;",")))&lt;&gt;(LEN(SUBSTITUTE(SUBSTITUTE(SUBSTITUTE(TRIM($H184),"/",","),";",",")," ",""))-LEN(SUBSTITUTE(SUBSTITUTE(SUBSTITUTE(SUBSTITUTE(TRIM($H184),"/",","),";",",")," ",""),",",""))+1),"Genre di luar daftar",""))),IF($I184="","Nama Channel kosong",""),IF($J184="","Link Channel kosong",IF(ISERROR(SEARCH("youtu",$J184)),"Link Channel bukan youtube","")),IF($K184="","Link Video kosong",IF(ISERROR(SEARCH("youtu",$K184)),"Link Video bukan youtube","")),IF($L184="","Tgl Dibuat kosong",IF(NOT(ISNUMBER($L184)),"Tgl Dibuat bukan tanggal","")),IF(AND($M184&lt;&gt;"",NOT(ISNUMBER($M184))),"Tgl Publish bukan tanggal",""),IF(AND(ISNUMBER($L184),ISNUMBER($M184),$M184&lt;$L184),"Tgl Publish &lt; Tgl buat",""),IF(TRIM($N184)="","Status kosong",IF(ISERROR(MATCH(TRIM($N184),{"Draft","Menunggu Review","Revisi","Terjadwal","Upload","Publish","Published","Batal"},0)),"Status di luar daftar","")))),""))</f>
        <v/>
      </c>
      <c r="S184" s="17">
        <f>IF(AND($A184&lt;&gt;"",$C184&lt;&gt;""),IF(COUNTIFS($A$2:$A$1000,$A184,$C$2:$C$1000,$C184)&gt;1,"DUPLICAT",""),"")</f>
        <v/>
      </c>
    </row>
    <row r="185">
      <c r="A185" s="12" t="n"/>
      <c r="B185" s="12" t="n"/>
      <c r="C185" s="12" t="n"/>
      <c r="D185" s="13" t="n"/>
      <c r="E185" s="12" t="n"/>
      <c r="F185" s="14" t="n"/>
      <c r="G185" s="12" t="n"/>
      <c r="H185" s="12" t="n"/>
      <c r="I185" s="12" t="n"/>
      <c r="J185" s="14" t="n"/>
      <c r="K185" s="14" t="n"/>
      <c r="L185" s="15" t="n"/>
      <c r="M185" s="15" t="n"/>
      <c r="N185" s="12" t="n"/>
      <c r="O185" s="12" t="n"/>
      <c r="P185" s="16">
        <f>IF(AND(ISNUMBER($L185),ISNUMBER($M185)),MAX(0,$M185-$L185),"")</f>
        <v/>
      </c>
      <c r="Q185" s="16">
        <f>IF(ISNUMBER($D185),MAX(0,TODAY()-$D185),"")</f>
        <v/>
      </c>
      <c r="R185" s="14">
        <f>IF(COUNTA($A185:$O185)=0,"",IFERROR(TRIM(TEXTJOIN(" | ",TRUE,IF($A185="","PC kosong",""),IF($C185="","Worker ID kosong",""),IF($D185="","Update Date kosong",IF(NOT(ISNUMBER($D185)),"Update Date bukan tanggal","")),IF($E185="","Song ID YT kosong",""),IF($F185="","Judul kosong",""),IF(TRIM($G185)="","",IF(ISERROR(MATCH(TRIM($G185),{"TuneCore","DistroKid","TooLost","SoundOn","Ditto","Believe","CD Baby","Amuse","Symphonic Distribution","ONErpm","RouteNote","LANDR","Horus Music","Indie"},0)),"Aggregator di luar daftar","")),IF(TRIM($H185)="","Genre kosong",IF((LEN(SUBSTITUTE(SUBSTITUTE(SUBSTITUTE(TRIM($H185),"/",","),";",",")," ",""))-LEN(SUBSTITUTE(SUBSTITUTE(SUBSTITUTE(SUBSTITUTE(TRIM($H185),"/",","),";",","),"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185),"/",","),";",",")," ","")&amp;",")))&lt;&gt;(LEN(SUBSTITUTE(SUBSTITUTE(SUBSTITUTE(TRIM($H185),"/",","),";",",")," ",""))-LEN(SUBSTITUTE(SUBSTITUTE(SUBSTITUTE(SUBSTITUTE(TRIM($H185),"/",","),";",",")," ",""),",",""))+1),"Genre di luar daftar",""))),IF($I185="","Nama Channel kosong",""),IF($J185="","Link Channel kosong",IF(ISERROR(SEARCH("youtu",$J185)),"Link Channel bukan youtube","")),IF($K185="","Link Video kosong",IF(ISERROR(SEARCH("youtu",$K185)),"Link Video bukan youtube","")),IF($L185="","Tgl Dibuat kosong",IF(NOT(ISNUMBER($L185)),"Tgl Dibuat bukan tanggal","")),IF(AND($M185&lt;&gt;"",NOT(ISNUMBER($M185))),"Tgl Publish bukan tanggal",""),IF(AND(ISNUMBER($L185),ISNUMBER($M185),$M185&lt;$L185),"Tgl Publish &lt; Tgl buat",""),IF(TRIM($N185)="","Status kosong",IF(ISERROR(MATCH(TRIM($N185),{"Draft","Menunggu Review","Revisi","Terjadwal","Upload","Publish","Published","Batal"},0)),"Status di luar daftar","")))),""))</f>
        <v/>
      </c>
      <c r="S185" s="12">
        <f>IF(AND($A185&lt;&gt;"",$C185&lt;&gt;""),IF(COUNTIFS($A$2:$A$1000,$A185,$C$2:$C$1000,$C185)&gt;1,"DUPLICAT",""),"")</f>
        <v/>
      </c>
    </row>
    <row r="186">
      <c r="A186" s="17" t="n"/>
      <c r="B186" s="17" t="n"/>
      <c r="C186" s="17" t="n"/>
      <c r="D186" s="18" t="n"/>
      <c r="E186" s="17" t="n"/>
      <c r="F186" s="19" t="n"/>
      <c r="G186" s="17" t="n"/>
      <c r="H186" s="17" t="n"/>
      <c r="I186" s="17" t="n"/>
      <c r="J186" s="19" t="n"/>
      <c r="K186" s="19" t="n"/>
      <c r="L186" s="20" t="n"/>
      <c r="M186" s="20" t="n"/>
      <c r="N186" s="17" t="n"/>
      <c r="O186" s="17" t="n"/>
      <c r="P186" s="21">
        <f>IF(AND(ISNUMBER($L186),ISNUMBER($M186)),MAX(0,$M186-$L186),"")</f>
        <v/>
      </c>
      <c r="Q186" s="21">
        <f>IF(ISNUMBER($D186),MAX(0,TODAY()-$D186),"")</f>
        <v/>
      </c>
      <c r="R186" s="19">
        <f>IF(COUNTA($A186:$O186)=0,"",IFERROR(TRIM(TEXTJOIN(" | ",TRUE,IF($A186="","PC kosong",""),IF($C186="","Worker ID kosong",""),IF($D186="","Update Date kosong",IF(NOT(ISNUMBER($D186)),"Update Date bukan tanggal","")),IF($E186="","Song ID YT kosong",""),IF($F186="","Judul kosong",""),IF(TRIM($G186)="","",IF(ISERROR(MATCH(TRIM($G186),{"TuneCore","DistroKid","TooLost","SoundOn","Ditto","Believe","CD Baby","Amuse","Symphonic Distribution","ONErpm","RouteNote","LANDR","Horus Music","Indie"},0)),"Aggregator di luar daftar","")),IF(TRIM($H186)="","Genre kosong",IF((LEN(SUBSTITUTE(SUBSTITUTE(SUBSTITUTE(TRIM($H186),"/",","),";",",")," ",""))-LEN(SUBSTITUTE(SUBSTITUTE(SUBSTITUTE(SUBSTITUTE(TRIM($H186),"/",","),";",","),"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186),"/",","),";",",")," ","")&amp;",")))&lt;&gt;(LEN(SUBSTITUTE(SUBSTITUTE(SUBSTITUTE(TRIM($H186),"/",","),";",",")," ",""))-LEN(SUBSTITUTE(SUBSTITUTE(SUBSTITUTE(SUBSTITUTE(TRIM($H186),"/",","),";",",")," ",""),",",""))+1),"Genre di luar daftar",""))),IF($I186="","Nama Channel kosong",""),IF($J186="","Link Channel kosong",IF(ISERROR(SEARCH("youtu",$J186)),"Link Channel bukan youtube","")),IF($K186="","Link Video kosong",IF(ISERROR(SEARCH("youtu",$K186)),"Link Video bukan youtube","")),IF($L186="","Tgl Dibuat kosong",IF(NOT(ISNUMBER($L186)),"Tgl Dibuat bukan tanggal","")),IF(AND($M186&lt;&gt;"",NOT(ISNUMBER($M186))),"Tgl Publish bukan tanggal",""),IF(AND(ISNUMBER($L186),ISNUMBER($M186),$M186&lt;$L186),"Tgl Publish &lt; Tgl buat",""),IF(TRIM($N186)="","Status kosong",IF(ISERROR(MATCH(TRIM($N186),{"Draft","Menunggu Review","Revisi","Terjadwal","Upload","Publish","Published","Batal"},0)),"Status di luar daftar","")))),""))</f>
        <v/>
      </c>
      <c r="S186" s="17">
        <f>IF(AND($A186&lt;&gt;"",$C186&lt;&gt;""),IF(COUNTIFS($A$2:$A$1000,$A186,$C$2:$C$1000,$C186)&gt;1,"DUPLICAT",""),"")</f>
        <v/>
      </c>
    </row>
    <row r="187">
      <c r="A187" s="12" t="n"/>
      <c r="B187" s="12" t="n"/>
      <c r="C187" s="12" t="n"/>
      <c r="D187" s="13" t="n"/>
      <c r="E187" s="12" t="n"/>
      <c r="F187" s="14" t="n"/>
      <c r="G187" s="12" t="n"/>
      <c r="H187" s="12" t="n"/>
      <c r="I187" s="12" t="n"/>
      <c r="J187" s="14" t="n"/>
      <c r="K187" s="14" t="n"/>
      <c r="L187" s="15" t="n"/>
      <c r="M187" s="15" t="n"/>
      <c r="N187" s="12" t="n"/>
      <c r="O187" s="12" t="n"/>
      <c r="P187" s="16">
        <f>IF(AND(ISNUMBER($L187),ISNUMBER($M187)),MAX(0,$M187-$L187),"")</f>
        <v/>
      </c>
      <c r="Q187" s="16">
        <f>IF(ISNUMBER($D187),MAX(0,TODAY()-$D187),"")</f>
        <v/>
      </c>
      <c r="R187" s="14">
        <f>IF(COUNTA($A187:$O187)=0,"",IFERROR(TRIM(TEXTJOIN(" | ",TRUE,IF($A187="","PC kosong",""),IF($C187="","Worker ID kosong",""),IF($D187="","Update Date kosong",IF(NOT(ISNUMBER($D187)),"Update Date bukan tanggal","")),IF($E187="","Song ID YT kosong",""),IF($F187="","Judul kosong",""),IF(TRIM($G187)="","",IF(ISERROR(MATCH(TRIM($G187),{"TuneCore","DistroKid","TooLost","SoundOn","Ditto","Believe","CD Baby","Amuse","Symphonic Distribution","ONErpm","RouteNote","LANDR","Horus Music","Indie"},0)),"Aggregator di luar daftar","")),IF(TRIM($H187)="","Genre kosong",IF((LEN(SUBSTITUTE(SUBSTITUTE(SUBSTITUTE(TRIM($H187),"/",","),";",",")," ",""))-LEN(SUBSTITUTE(SUBSTITUTE(SUBSTITUTE(SUBSTITUTE(TRIM($H187),"/",","),";",","),"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187),"/",","),";",",")," ","")&amp;",")))&lt;&gt;(LEN(SUBSTITUTE(SUBSTITUTE(SUBSTITUTE(TRIM($H187),"/",","),";",",")," ",""))-LEN(SUBSTITUTE(SUBSTITUTE(SUBSTITUTE(SUBSTITUTE(TRIM($H187),"/",","),";",",")," ",""),",",""))+1),"Genre di luar daftar",""))),IF($I187="","Nama Channel kosong",""),IF($J187="","Link Channel kosong",IF(ISERROR(SEARCH("youtu",$J187)),"Link Channel bukan youtube","")),IF($K187="","Link Video kosong",IF(ISERROR(SEARCH("youtu",$K187)),"Link Video bukan youtube","")),IF($L187="","Tgl Dibuat kosong",IF(NOT(ISNUMBER($L187)),"Tgl Dibuat bukan tanggal","")),IF(AND($M187&lt;&gt;"",NOT(ISNUMBER($M187))),"Tgl Publish bukan tanggal",""),IF(AND(ISNUMBER($L187),ISNUMBER($M187),$M187&lt;$L187),"Tgl Publish &lt; Tgl buat",""),IF(TRIM($N187)="","Status kosong",IF(ISERROR(MATCH(TRIM($N187),{"Draft","Menunggu Review","Revisi","Terjadwal","Upload","Publish","Published","Batal"},0)),"Status di luar daftar","")))),""))</f>
        <v/>
      </c>
      <c r="S187" s="12">
        <f>IF(AND($A187&lt;&gt;"",$C187&lt;&gt;""),IF(COUNTIFS($A$2:$A$1000,$A187,$C$2:$C$1000,$C187)&gt;1,"DUPLICAT",""),"")</f>
        <v/>
      </c>
    </row>
    <row r="188">
      <c r="A188" s="17" t="n"/>
      <c r="B188" s="17" t="n"/>
      <c r="C188" s="17" t="n"/>
      <c r="D188" s="18" t="n"/>
      <c r="E188" s="17" t="n"/>
      <c r="F188" s="19" t="n"/>
      <c r="G188" s="17" t="n"/>
      <c r="H188" s="17" t="n"/>
      <c r="I188" s="17" t="n"/>
      <c r="J188" s="19" t="n"/>
      <c r="K188" s="19" t="n"/>
      <c r="L188" s="20" t="n"/>
      <c r="M188" s="20" t="n"/>
      <c r="N188" s="17" t="n"/>
      <c r="O188" s="17" t="n"/>
      <c r="P188" s="21">
        <f>IF(AND(ISNUMBER($L188),ISNUMBER($M188)),MAX(0,$M188-$L188),"")</f>
        <v/>
      </c>
      <c r="Q188" s="21">
        <f>IF(ISNUMBER($D188),MAX(0,TODAY()-$D188),"")</f>
        <v/>
      </c>
      <c r="R188" s="19">
        <f>IF(COUNTA($A188:$O188)=0,"",IFERROR(TRIM(TEXTJOIN(" | ",TRUE,IF($A188="","PC kosong",""),IF($C188="","Worker ID kosong",""),IF($D188="","Update Date kosong",IF(NOT(ISNUMBER($D188)),"Update Date bukan tanggal","")),IF($E188="","Song ID YT kosong",""),IF($F188="","Judul kosong",""),IF(TRIM($G188)="","",IF(ISERROR(MATCH(TRIM($G188),{"TuneCore","DistroKid","TooLost","SoundOn","Ditto","Believe","CD Baby","Amuse","Symphonic Distribution","ONErpm","RouteNote","LANDR","Horus Music","Indie"},0)),"Aggregator di luar daftar","")),IF(TRIM($H188)="","Genre kosong",IF((LEN(SUBSTITUTE(SUBSTITUTE(SUBSTITUTE(TRIM($H188),"/",","),";",",")," ",""))-LEN(SUBSTITUTE(SUBSTITUTE(SUBSTITUTE(SUBSTITUTE(TRIM($H188),"/",","),";",","),"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188),"/",","),";",",")," ","")&amp;",")))&lt;&gt;(LEN(SUBSTITUTE(SUBSTITUTE(SUBSTITUTE(TRIM($H188),"/",","),";",",")," ",""))-LEN(SUBSTITUTE(SUBSTITUTE(SUBSTITUTE(SUBSTITUTE(TRIM($H188),"/",","),";",",")," ",""),",",""))+1),"Genre di luar daftar",""))),IF($I188="","Nama Channel kosong",""),IF($J188="","Link Channel kosong",IF(ISERROR(SEARCH("youtu",$J188)),"Link Channel bukan youtube","")),IF($K188="","Link Video kosong",IF(ISERROR(SEARCH("youtu",$K188)),"Link Video bukan youtube","")),IF($L188="","Tgl Dibuat kosong",IF(NOT(ISNUMBER($L188)),"Tgl Dibuat bukan tanggal","")),IF(AND($M188&lt;&gt;"",NOT(ISNUMBER($M188))),"Tgl Publish bukan tanggal",""),IF(AND(ISNUMBER($L188),ISNUMBER($M188),$M188&lt;$L188),"Tgl Publish &lt; Tgl buat",""),IF(TRIM($N188)="","Status kosong",IF(ISERROR(MATCH(TRIM($N188),{"Draft","Menunggu Review","Revisi","Terjadwal","Upload","Publish","Published","Batal"},0)),"Status di luar daftar","")))),""))</f>
        <v/>
      </c>
      <c r="S188" s="17">
        <f>IF(AND($A188&lt;&gt;"",$C188&lt;&gt;""),IF(COUNTIFS($A$2:$A$1000,$A188,$C$2:$C$1000,$C188)&gt;1,"DUPLICAT",""),"")</f>
        <v/>
      </c>
    </row>
    <row r="189">
      <c r="A189" s="12" t="n"/>
      <c r="B189" s="12" t="n"/>
      <c r="C189" s="12" t="n"/>
      <c r="D189" s="13" t="n"/>
      <c r="E189" s="12" t="n"/>
      <c r="F189" s="14" t="n"/>
      <c r="G189" s="12" t="n"/>
      <c r="H189" s="12" t="n"/>
      <c r="I189" s="12" t="n"/>
      <c r="J189" s="14" t="n"/>
      <c r="K189" s="14" t="n"/>
      <c r="L189" s="15" t="n"/>
      <c r="M189" s="15" t="n"/>
      <c r="N189" s="12" t="n"/>
      <c r="O189" s="12" t="n"/>
      <c r="P189" s="16">
        <f>IF(AND(ISNUMBER($L189),ISNUMBER($M189)),MAX(0,$M189-$L189),"")</f>
        <v/>
      </c>
      <c r="Q189" s="16">
        <f>IF(ISNUMBER($D189),MAX(0,TODAY()-$D189),"")</f>
        <v/>
      </c>
      <c r="R189" s="14">
        <f>IF(COUNTA($A189:$O189)=0,"",IFERROR(TRIM(TEXTJOIN(" | ",TRUE,IF($A189="","PC kosong",""),IF($C189="","Worker ID kosong",""),IF($D189="","Update Date kosong",IF(NOT(ISNUMBER($D189)),"Update Date bukan tanggal","")),IF($E189="","Song ID YT kosong",""),IF($F189="","Judul kosong",""),IF(TRIM($G189)="","",IF(ISERROR(MATCH(TRIM($G189),{"TuneCore","DistroKid","TooLost","SoundOn","Ditto","Believe","CD Baby","Amuse","Symphonic Distribution","ONErpm","RouteNote","LANDR","Horus Music","Indie"},0)),"Aggregator di luar daftar","")),IF(TRIM($H189)="","Genre kosong",IF((LEN(SUBSTITUTE(SUBSTITUTE(SUBSTITUTE(TRIM($H189),"/",","),";",",")," ",""))-LEN(SUBSTITUTE(SUBSTITUTE(SUBSTITUTE(SUBSTITUTE(TRIM($H189),"/",","),";",","),"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189),"/",","),";",",")," ","")&amp;",")))&lt;&gt;(LEN(SUBSTITUTE(SUBSTITUTE(SUBSTITUTE(TRIM($H189),"/",","),";",",")," ",""))-LEN(SUBSTITUTE(SUBSTITUTE(SUBSTITUTE(SUBSTITUTE(TRIM($H189),"/",","),";",",")," ",""),",",""))+1),"Genre di luar daftar",""))),IF($I189="","Nama Channel kosong",""),IF($J189="","Link Channel kosong",IF(ISERROR(SEARCH("youtu",$J189)),"Link Channel bukan youtube","")),IF($K189="","Link Video kosong",IF(ISERROR(SEARCH("youtu",$K189)),"Link Video bukan youtube","")),IF($L189="","Tgl Dibuat kosong",IF(NOT(ISNUMBER($L189)),"Tgl Dibuat bukan tanggal","")),IF(AND($M189&lt;&gt;"",NOT(ISNUMBER($M189))),"Tgl Publish bukan tanggal",""),IF(AND(ISNUMBER($L189),ISNUMBER($M189),$M189&lt;$L189),"Tgl Publish &lt; Tgl buat",""),IF(TRIM($N189)="","Status kosong",IF(ISERROR(MATCH(TRIM($N189),{"Draft","Menunggu Review","Revisi","Terjadwal","Upload","Publish","Published","Batal"},0)),"Status di luar daftar","")))),""))</f>
        <v/>
      </c>
      <c r="S189" s="12">
        <f>IF(AND($A189&lt;&gt;"",$C189&lt;&gt;""),IF(COUNTIFS($A$2:$A$1000,$A189,$C$2:$C$1000,$C189)&gt;1,"DUPLICAT",""),"")</f>
        <v/>
      </c>
    </row>
    <row r="190">
      <c r="A190" s="17" t="n"/>
      <c r="B190" s="17" t="n"/>
      <c r="C190" s="17" t="n"/>
      <c r="D190" s="18" t="n"/>
      <c r="E190" s="17" t="n"/>
      <c r="F190" s="19" t="n"/>
      <c r="G190" s="17" t="n"/>
      <c r="H190" s="17" t="n"/>
      <c r="I190" s="17" t="n"/>
      <c r="J190" s="19" t="n"/>
      <c r="K190" s="19" t="n"/>
      <c r="L190" s="20" t="n"/>
      <c r="M190" s="20" t="n"/>
      <c r="N190" s="17" t="n"/>
      <c r="O190" s="17" t="n"/>
      <c r="P190" s="21">
        <f>IF(AND(ISNUMBER($L190),ISNUMBER($M190)),MAX(0,$M190-$L190),"")</f>
        <v/>
      </c>
      <c r="Q190" s="21">
        <f>IF(ISNUMBER($D190),MAX(0,TODAY()-$D190),"")</f>
        <v/>
      </c>
      <c r="R190" s="19">
        <f>IF(COUNTA($A190:$O190)=0,"",IFERROR(TRIM(TEXTJOIN(" | ",TRUE,IF($A190="","PC kosong",""),IF($C190="","Worker ID kosong",""),IF($D190="","Update Date kosong",IF(NOT(ISNUMBER($D190)),"Update Date bukan tanggal","")),IF($E190="","Song ID YT kosong",""),IF($F190="","Judul kosong",""),IF(TRIM($G190)="","",IF(ISERROR(MATCH(TRIM($G190),{"TuneCore","DistroKid","TooLost","SoundOn","Ditto","Believe","CD Baby","Amuse","Symphonic Distribution","ONErpm","RouteNote","LANDR","Horus Music","Indie"},0)),"Aggregator di luar daftar","")),IF(TRIM($H190)="","Genre kosong",IF((LEN(SUBSTITUTE(SUBSTITUTE(SUBSTITUTE(TRIM($H190),"/",","),";",",")," ",""))-LEN(SUBSTITUTE(SUBSTITUTE(SUBSTITUTE(SUBSTITUTE(TRIM($H190),"/",","),";",","),"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190),"/",","),";",",")," ","")&amp;",")))&lt;&gt;(LEN(SUBSTITUTE(SUBSTITUTE(SUBSTITUTE(TRIM($H190),"/",","),";",",")," ",""))-LEN(SUBSTITUTE(SUBSTITUTE(SUBSTITUTE(SUBSTITUTE(TRIM($H190),"/",","),";",",")," ",""),",",""))+1),"Genre di luar daftar",""))),IF($I190="","Nama Channel kosong",""),IF($J190="","Link Channel kosong",IF(ISERROR(SEARCH("youtu",$J190)),"Link Channel bukan youtube","")),IF($K190="","Link Video kosong",IF(ISERROR(SEARCH("youtu",$K190)),"Link Video bukan youtube","")),IF($L190="","Tgl Dibuat kosong",IF(NOT(ISNUMBER($L190)),"Tgl Dibuat bukan tanggal","")),IF(AND($M190&lt;&gt;"",NOT(ISNUMBER($M190))),"Tgl Publish bukan tanggal",""),IF(AND(ISNUMBER($L190),ISNUMBER($M190),$M190&lt;$L190),"Tgl Publish &lt; Tgl buat",""),IF(TRIM($N190)="","Status kosong",IF(ISERROR(MATCH(TRIM($N190),{"Draft","Menunggu Review","Revisi","Terjadwal","Upload","Publish","Published","Batal"},0)),"Status di luar daftar","")))),""))</f>
        <v/>
      </c>
      <c r="S190" s="17">
        <f>IF(AND($A190&lt;&gt;"",$C190&lt;&gt;""),IF(COUNTIFS($A$2:$A$1000,$A190,$C$2:$C$1000,$C190)&gt;1,"DUPLICAT",""),"")</f>
        <v/>
      </c>
    </row>
    <row r="191">
      <c r="A191" s="12" t="n"/>
      <c r="B191" s="12" t="n"/>
      <c r="C191" s="12" t="n"/>
      <c r="D191" s="13" t="n"/>
      <c r="E191" s="12" t="n"/>
      <c r="F191" s="14" t="n"/>
      <c r="G191" s="12" t="n"/>
      <c r="H191" s="12" t="n"/>
      <c r="I191" s="12" t="n"/>
      <c r="J191" s="14" t="n"/>
      <c r="K191" s="14" t="n"/>
      <c r="L191" s="15" t="n"/>
      <c r="M191" s="15" t="n"/>
      <c r="N191" s="12" t="n"/>
      <c r="O191" s="12" t="n"/>
      <c r="P191" s="16">
        <f>IF(AND(ISNUMBER($L191),ISNUMBER($M191)),MAX(0,$M191-$L191),"")</f>
        <v/>
      </c>
      <c r="Q191" s="16">
        <f>IF(ISNUMBER($D191),MAX(0,TODAY()-$D191),"")</f>
        <v/>
      </c>
      <c r="R191" s="14">
        <f>IF(COUNTA($A191:$O191)=0,"",IFERROR(TRIM(TEXTJOIN(" | ",TRUE,IF($A191="","PC kosong",""),IF($C191="","Worker ID kosong",""),IF($D191="","Update Date kosong",IF(NOT(ISNUMBER($D191)),"Update Date bukan tanggal","")),IF($E191="","Song ID YT kosong",""),IF($F191="","Judul kosong",""),IF(TRIM($G191)="","",IF(ISERROR(MATCH(TRIM($G191),{"TuneCore","DistroKid","TooLost","SoundOn","Ditto","Believe","CD Baby","Amuse","Symphonic Distribution","ONErpm","RouteNote","LANDR","Horus Music","Indie"},0)),"Aggregator di luar daftar","")),IF(TRIM($H191)="","Genre kosong",IF((LEN(SUBSTITUTE(SUBSTITUTE(SUBSTITUTE(TRIM($H191),"/",","),";",",")," ",""))-LEN(SUBSTITUTE(SUBSTITUTE(SUBSTITUTE(SUBSTITUTE(TRIM($H191),"/",","),";",","),"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191),"/",","),";",",")," ","")&amp;",")))&lt;&gt;(LEN(SUBSTITUTE(SUBSTITUTE(SUBSTITUTE(TRIM($H191),"/",","),";",",")," ",""))-LEN(SUBSTITUTE(SUBSTITUTE(SUBSTITUTE(SUBSTITUTE(TRIM($H191),"/",","),";",",")," ",""),",",""))+1),"Genre di luar daftar",""))),IF($I191="","Nama Channel kosong",""),IF($J191="","Link Channel kosong",IF(ISERROR(SEARCH("youtu",$J191)),"Link Channel bukan youtube","")),IF($K191="","Link Video kosong",IF(ISERROR(SEARCH("youtu",$K191)),"Link Video bukan youtube","")),IF($L191="","Tgl Dibuat kosong",IF(NOT(ISNUMBER($L191)),"Tgl Dibuat bukan tanggal","")),IF(AND($M191&lt;&gt;"",NOT(ISNUMBER($M191))),"Tgl Publish bukan tanggal",""),IF(AND(ISNUMBER($L191),ISNUMBER($M191),$M191&lt;$L191),"Tgl Publish &lt; Tgl buat",""),IF(TRIM($N191)="","Status kosong",IF(ISERROR(MATCH(TRIM($N191),{"Draft","Menunggu Review","Revisi","Terjadwal","Upload","Publish","Published","Batal"},0)),"Status di luar daftar","")))),""))</f>
        <v/>
      </c>
      <c r="S191" s="12">
        <f>IF(AND($A191&lt;&gt;"",$C191&lt;&gt;""),IF(COUNTIFS($A$2:$A$1000,$A191,$C$2:$C$1000,$C191)&gt;1,"DUPLICAT",""),"")</f>
        <v/>
      </c>
    </row>
    <row r="192">
      <c r="A192" s="17" t="n"/>
      <c r="B192" s="17" t="n"/>
      <c r="C192" s="17" t="n"/>
      <c r="D192" s="18" t="n"/>
      <c r="E192" s="17" t="n"/>
      <c r="F192" s="19" t="n"/>
      <c r="G192" s="17" t="n"/>
      <c r="H192" s="17" t="n"/>
      <c r="I192" s="17" t="n"/>
      <c r="J192" s="19" t="n"/>
      <c r="K192" s="19" t="n"/>
      <c r="L192" s="20" t="n"/>
      <c r="M192" s="20" t="n"/>
      <c r="N192" s="17" t="n"/>
      <c r="O192" s="17" t="n"/>
      <c r="P192" s="21">
        <f>IF(AND(ISNUMBER($L192),ISNUMBER($M192)),MAX(0,$M192-$L192),"")</f>
        <v/>
      </c>
      <c r="Q192" s="21">
        <f>IF(ISNUMBER($D192),MAX(0,TODAY()-$D192),"")</f>
        <v/>
      </c>
      <c r="R192" s="19">
        <f>IF(COUNTA($A192:$O192)=0,"",IFERROR(TRIM(TEXTJOIN(" | ",TRUE,IF($A192="","PC kosong",""),IF($C192="","Worker ID kosong",""),IF($D192="","Update Date kosong",IF(NOT(ISNUMBER($D192)),"Update Date bukan tanggal","")),IF($E192="","Song ID YT kosong",""),IF($F192="","Judul kosong",""),IF(TRIM($G192)="","",IF(ISERROR(MATCH(TRIM($G192),{"TuneCore","DistroKid","TooLost","SoundOn","Ditto","Believe","CD Baby","Amuse","Symphonic Distribution","ONErpm","RouteNote","LANDR","Horus Music","Indie"},0)),"Aggregator di luar daftar","")),IF(TRIM($H192)="","Genre kosong",IF((LEN(SUBSTITUTE(SUBSTITUTE(SUBSTITUTE(TRIM($H192),"/",","),";",",")," ",""))-LEN(SUBSTITUTE(SUBSTITUTE(SUBSTITUTE(SUBSTITUTE(TRIM($H192),"/",","),";",","),"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192),"/",","),";",",")," ","")&amp;",")))&lt;&gt;(LEN(SUBSTITUTE(SUBSTITUTE(SUBSTITUTE(TRIM($H192),"/",","),";",",")," ",""))-LEN(SUBSTITUTE(SUBSTITUTE(SUBSTITUTE(SUBSTITUTE(TRIM($H192),"/",","),";",",")," ",""),",",""))+1),"Genre di luar daftar",""))),IF($I192="","Nama Channel kosong",""),IF($J192="","Link Channel kosong",IF(ISERROR(SEARCH("youtu",$J192)),"Link Channel bukan youtube","")),IF($K192="","Link Video kosong",IF(ISERROR(SEARCH("youtu",$K192)),"Link Video bukan youtube","")),IF($L192="","Tgl Dibuat kosong",IF(NOT(ISNUMBER($L192)),"Tgl Dibuat bukan tanggal","")),IF(AND($M192&lt;&gt;"",NOT(ISNUMBER($M192))),"Tgl Publish bukan tanggal",""),IF(AND(ISNUMBER($L192),ISNUMBER($M192),$M192&lt;$L192),"Tgl Publish &lt; Tgl buat",""),IF(TRIM($N192)="","Status kosong",IF(ISERROR(MATCH(TRIM($N192),{"Draft","Menunggu Review","Revisi","Terjadwal","Upload","Publish","Published","Batal"},0)),"Status di luar daftar","")))),""))</f>
        <v/>
      </c>
      <c r="S192" s="17">
        <f>IF(AND($A192&lt;&gt;"",$C192&lt;&gt;""),IF(COUNTIFS($A$2:$A$1000,$A192,$C$2:$C$1000,$C192)&gt;1,"DUPLICAT",""),"")</f>
        <v/>
      </c>
    </row>
    <row r="193">
      <c r="A193" s="12" t="n"/>
      <c r="B193" s="12" t="n"/>
      <c r="C193" s="12" t="n"/>
      <c r="D193" s="13" t="n"/>
      <c r="E193" s="12" t="n"/>
      <c r="F193" s="14" t="n"/>
      <c r="G193" s="12" t="n"/>
      <c r="H193" s="12" t="n"/>
      <c r="I193" s="12" t="n"/>
      <c r="J193" s="14" t="n"/>
      <c r="K193" s="14" t="n"/>
      <c r="L193" s="15" t="n"/>
      <c r="M193" s="15" t="n"/>
      <c r="N193" s="12" t="n"/>
      <c r="O193" s="12" t="n"/>
      <c r="P193" s="16">
        <f>IF(AND(ISNUMBER($L193),ISNUMBER($M193)),MAX(0,$M193-$L193),"")</f>
        <v/>
      </c>
      <c r="Q193" s="16">
        <f>IF(ISNUMBER($D193),MAX(0,TODAY()-$D193),"")</f>
        <v/>
      </c>
      <c r="R193" s="14">
        <f>IF(COUNTA($A193:$O193)=0,"",IFERROR(TRIM(TEXTJOIN(" | ",TRUE,IF($A193="","PC kosong",""),IF($C193="","Worker ID kosong",""),IF($D193="","Update Date kosong",IF(NOT(ISNUMBER($D193)),"Update Date bukan tanggal","")),IF($E193="","Song ID YT kosong",""),IF($F193="","Judul kosong",""),IF(TRIM($G193)="","",IF(ISERROR(MATCH(TRIM($G193),{"TuneCore","DistroKid","TooLost","SoundOn","Ditto","Believe","CD Baby","Amuse","Symphonic Distribution","ONErpm","RouteNote","LANDR","Horus Music","Indie"},0)),"Aggregator di luar daftar","")),IF(TRIM($H193)="","Genre kosong",IF((LEN(SUBSTITUTE(SUBSTITUTE(SUBSTITUTE(TRIM($H193),"/",","),";",",")," ",""))-LEN(SUBSTITUTE(SUBSTITUTE(SUBSTITUTE(SUBSTITUTE(TRIM($H193),"/",","),";",","),"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193),"/",","),";",",")," ","")&amp;",")))&lt;&gt;(LEN(SUBSTITUTE(SUBSTITUTE(SUBSTITUTE(TRIM($H193),"/",","),";",",")," ",""))-LEN(SUBSTITUTE(SUBSTITUTE(SUBSTITUTE(SUBSTITUTE(TRIM($H193),"/",","),";",",")," ",""),",",""))+1),"Genre di luar daftar",""))),IF($I193="","Nama Channel kosong",""),IF($J193="","Link Channel kosong",IF(ISERROR(SEARCH("youtu",$J193)),"Link Channel bukan youtube","")),IF($K193="","Link Video kosong",IF(ISERROR(SEARCH("youtu",$K193)),"Link Video bukan youtube","")),IF($L193="","Tgl Dibuat kosong",IF(NOT(ISNUMBER($L193)),"Tgl Dibuat bukan tanggal","")),IF(AND($M193&lt;&gt;"",NOT(ISNUMBER($M193))),"Tgl Publish bukan tanggal",""),IF(AND(ISNUMBER($L193),ISNUMBER($M193),$M193&lt;$L193),"Tgl Publish &lt; Tgl buat",""),IF(TRIM($N193)="","Status kosong",IF(ISERROR(MATCH(TRIM($N193),{"Draft","Menunggu Review","Revisi","Terjadwal","Upload","Publish","Published","Batal"},0)),"Status di luar daftar","")))),""))</f>
        <v/>
      </c>
      <c r="S193" s="12">
        <f>IF(AND($A193&lt;&gt;"",$C193&lt;&gt;""),IF(COUNTIFS($A$2:$A$1000,$A193,$C$2:$C$1000,$C193)&gt;1,"DUPLICAT",""),"")</f>
        <v/>
      </c>
    </row>
    <row r="194">
      <c r="A194" s="17" t="n"/>
      <c r="B194" s="17" t="n"/>
      <c r="C194" s="17" t="n"/>
      <c r="D194" s="18" t="n"/>
      <c r="E194" s="17" t="n"/>
      <c r="F194" s="19" t="n"/>
      <c r="G194" s="17" t="n"/>
      <c r="H194" s="17" t="n"/>
      <c r="I194" s="17" t="n"/>
      <c r="J194" s="19" t="n"/>
      <c r="K194" s="19" t="n"/>
      <c r="L194" s="20" t="n"/>
      <c r="M194" s="20" t="n"/>
      <c r="N194" s="17" t="n"/>
      <c r="O194" s="17" t="n"/>
      <c r="P194" s="21">
        <f>IF(AND(ISNUMBER($L194),ISNUMBER($M194)),MAX(0,$M194-$L194),"")</f>
        <v/>
      </c>
      <c r="Q194" s="21">
        <f>IF(ISNUMBER($D194),MAX(0,TODAY()-$D194),"")</f>
        <v/>
      </c>
      <c r="R194" s="19">
        <f>IF(COUNTA($A194:$O194)=0,"",IFERROR(TRIM(TEXTJOIN(" | ",TRUE,IF($A194="","PC kosong",""),IF($C194="","Worker ID kosong",""),IF($D194="","Update Date kosong",IF(NOT(ISNUMBER($D194)),"Update Date bukan tanggal","")),IF($E194="","Song ID YT kosong",""),IF($F194="","Judul kosong",""),IF(TRIM($G194)="","",IF(ISERROR(MATCH(TRIM($G194),{"TuneCore","DistroKid","TooLost","SoundOn","Ditto","Believe","CD Baby","Amuse","Symphonic Distribution","ONErpm","RouteNote","LANDR","Horus Music","Indie"},0)),"Aggregator di luar daftar","")),IF(TRIM($H194)="","Genre kosong",IF((LEN(SUBSTITUTE(SUBSTITUTE(SUBSTITUTE(TRIM($H194),"/",","),";",",")," ",""))-LEN(SUBSTITUTE(SUBSTITUTE(SUBSTITUTE(SUBSTITUTE(TRIM($H194),"/",","),";",","),"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194),"/",","),";",",")," ","")&amp;",")))&lt;&gt;(LEN(SUBSTITUTE(SUBSTITUTE(SUBSTITUTE(TRIM($H194),"/",","),";",",")," ",""))-LEN(SUBSTITUTE(SUBSTITUTE(SUBSTITUTE(SUBSTITUTE(TRIM($H194),"/",","),";",",")," ",""),",",""))+1),"Genre di luar daftar",""))),IF($I194="","Nama Channel kosong",""),IF($J194="","Link Channel kosong",IF(ISERROR(SEARCH("youtu",$J194)),"Link Channel bukan youtube","")),IF($K194="","Link Video kosong",IF(ISERROR(SEARCH("youtu",$K194)),"Link Video bukan youtube","")),IF($L194="","Tgl Dibuat kosong",IF(NOT(ISNUMBER($L194)),"Tgl Dibuat bukan tanggal","")),IF(AND($M194&lt;&gt;"",NOT(ISNUMBER($M194))),"Tgl Publish bukan tanggal",""),IF(AND(ISNUMBER($L194),ISNUMBER($M194),$M194&lt;$L194),"Tgl Publish &lt; Tgl buat",""),IF(TRIM($N194)="","Status kosong",IF(ISERROR(MATCH(TRIM($N194),{"Draft","Menunggu Review","Revisi","Terjadwal","Upload","Publish","Published","Batal"},0)),"Status di luar daftar","")))),""))</f>
        <v/>
      </c>
      <c r="S194" s="17">
        <f>IF(AND($A194&lt;&gt;"",$C194&lt;&gt;""),IF(COUNTIFS($A$2:$A$1000,$A194,$C$2:$C$1000,$C194)&gt;1,"DUPLICAT",""),"")</f>
        <v/>
      </c>
    </row>
    <row r="195">
      <c r="A195" s="12" t="n"/>
      <c r="B195" s="12" t="n"/>
      <c r="C195" s="12" t="n"/>
      <c r="D195" s="13" t="n"/>
      <c r="E195" s="12" t="n"/>
      <c r="F195" s="14" t="n"/>
      <c r="G195" s="12" t="n"/>
      <c r="H195" s="12" t="n"/>
      <c r="I195" s="12" t="n"/>
      <c r="J195" s="14" t="n"/>
      <c r="K195" s="14" t="n"/>
      <c r="L195" s="15" t="n"/>
      <c r="M195" s="15" t="n"/>
      <c r="N195" s="12" t="n"/>
      <c r="O195" s="12" t="n"/>
      <c r="P195" s="16">
        <f>IF(AND(ISNUMBER($L195),ISNUMBER($M195)),MAX(0,$M195-$L195),"")</f>
        <v/>
      </c>
      <c r="Q195" s="16">
        <f>IF(ISNUMBER($D195),MAX(0,TODAY()-$D195),"")</f>
        <v/>
      </c>
      <c r="R195" s="14">
        <f>IF(COUNTA($A195:$O195)=0,"",IFERROR(TRIM(TEXTJOIN(" | ",TRUE,IF($A195="","PC kosong",""),IF($C195="","Worker ID kosong",""),IF($D195="","Update Date kosong",IF(NOT(ISNUMBER($D195)),"Update Date bukan tanggal","")),IF($E195="","Song ID YT kosong",""),IF($F195="","Judul kosong",""),IF(TRIM($G195)="","",IF(ISERROR(MATCH(TRIM($G195),{"TuneCore","DistroKid","TooLost","SoundOn","Ditto","Believe","CD Baby","Amuse","Symphonic Distribution","ONErpm","RouteNote","LANDR","Horus Music","Indie"},0)),"Aggregator di luar daftar","")),IF(TRIM($H195)="","Genre kosong",IF((LEN(SUBSTITUTE(SUBSTITUTE(SUBSTITUTE(TRIM($H195),"/",","),";",",")," ",""))-LEN(SUBSTITUTE(SUBSTITUTE(SUBSTITUTE(SUBSTITUTE(TRIM($H195),"/",","),";",","),"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195),"/",","),";",",")," ","")&amp;",")))&lt;&gt;(LEN(SUBSTITUTE(SUBSTITUTE(SUBSTITUTE(TRIM($H195),"/",","),";",",")," ",""))-LEN(SUBSTITUTE(SUBSTITUTE(SUBSTITUTE(SUBSTITUTE(TRIM($H195),"/",","),";",",")," ",""),",",""))+1),"Genre di luar daftar",""))),IF($I195="","Nama Channel kosong",""),IF($J195="","Link Channel kosong",IF(ISERROR(SEARCH("youtu",$J195)),"Link Channel bukan youtube","")),IF($K195="","Link Video kosong",IF(ISERROR(SEARCH("youtu",$K195)),"Link Video bukan youtube","")),IF($L195="","Tgl Dibuat kosong",IF(NOT(ISNUMBER($L195)),"Tgl Dibuat bukan tanggal","")),IF(AND($M195&lt;&gt;"",NOT(ISNUMBER($M195))),"Tgl Publish bukan tanggal",""),IF(AND(ISNUMBER($L195),ISNUMBER($M195),$M195&lt;$L195),"Tgl Publish &lt; Tgl buat",""),IF(TRIM($N195)="","Status kosong",IF(ISERROR(MATCH(TRIM($N195),{"Draft","Menunggu Review","Revisi","Terjadwal","Upload","Publish","Published","Batal"},0)),"Status di luar daftar","")))),""))</f>
        <v/>
      </c>
      <c r="S195" s="12">
        <f>IF(AND($A195&lt;&gt;"",$C195&lt;&gt;""),IF(COUNTIFS($A$2:$A$1000,$A195,$C$2:$C$1000,$C195)&gt;1,"DUPLICAT",""),"")</f>
        <v/>
      </c>
    </row>
    <row r="196">
      <c r="A196" s="17" t="n"/>
      <c r="B196" s="17" t="n"/>
      <c r="C196" s="17" t="n"/>
      <c r="D196" s="18" t="n"/>
      <c r="E196" s="17" t="n"/>
      <c r="F196" s="19" t="n"/>
      <c r="G196" s="17" t="n"/>
      <c r="H196" s="17" t="n"/>
      <c r="I196" s="17" t="n"/>
      <c r="J196" s="19" t="n"/>
      <c r="K196" s="19" t="n"/>
      <c r="L196" s="20" t="n"/>
      <c r="M196" s="20" t="n"/>
      <c r="N196" s="17" t="n"/>
      <c r="O196" s="17" t="n"/>
      <c r="P196" s="21">
        <f>IF(AND(ISNUMBER($L196),ISNUMBER($M196)),MAX(0,$M196-$L196),"")</f>
        <v/>
      </c>
      <c r="Q196" s="21">
        <f>IF(ISNUMBER($D196),MAX(0,TODAY()-$D196),"")</f>
        <v/>
      </c>
      <c r="R196" s="19">
        <f>IF(COUNTA($A196:$O196)=0,"",IFERROR(TRIM(TEXTJOIN(" | ",TRUE,IF($A196="","PC kosong",""),IF($C196="","Worker ID kosong",""),IF($D196="","Update Date kosong",IF(NOT(ISNUMBER($D196)),"Update Date bukan tanggal","")),IF($E196="","Song ID YT kosong",""),IF($F196="","Judul kosong",""),IF(TRIM($G196)="","",IF(ISERROR(MATCH(TRIM($G196),{"TuneCore","DistroKid","TooLost","SoundOn","Ditto","Believe","CD Baby","Amuse","Symphonic Distribution","ONErpm","RouteNote","LANDR","Horus Music","Indie"},0)),"Aggregator di luar daftar","")),IF(TRIM($H196)="","Genre kosong",IF((LEN(SUBSTITUTE(SUBSTITUTE(SUBSTITUTE(TRIM($H196),"/",","),";",",")," ",""))-LEN(SUBSTITUTE(SUBSTITUTE(SUBSTITUTE(SUBSTITUTE(TRIM($H196),"/",","),";",","),"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196),"/",","),";",",")," ","")&amp;",")))&lt;&gt;(LEN(SUBSTITUTE(SUBSTITUTE(SUBSTITUTE(TRIM($H196),"/",","),";",",")," ",""))-LEN(SUBSTITUTE(SUBSTITUTE(SUBSTITUTE(SUBSTITUTE(TRIM($H196),"/",","),";",",")," ",""),",",""))+1),"Genre di luar daftar",""))),IF($I196="","Nama Channel kosong",""),IF($J196="","Link Channel kosong",IF(ISERROR(SEARCH("youtu",$J196)),"Link Channel bukan youtube","")),IF($K196="","Link Video kosong",IF(ISERROR(SEARCH("youtu",$K196)),"Link Video bukan youtube","")),IF($L196="","Tgl Dibuat kosong",IF(NOT(ISNUMBER($L196)),"Tgl Dibuat bukan tanggal","")),IF(AND($M196&lt;&gt;"",NOT(ISNUMBER($M196))),"Tgl Publish bukan tanggal",""),IF(AND(ISNUMBER($L196),ISNUMBER($M196),$M196&lt;$L196),"Tgl Publish &lt; Tgl buat",""),IF(TRIM($N196)="","Status kosong",IF(ISERROR(MATCH(TRIM($N196),{"Draft","Menunggu Review","Revisi","Terjadwal","Upload","Publish","Published","Batal"},0)),"Status di luar daftar","")))),""))</f>
        <v/>
      </c>
      <c r="S196" s="17">
        <f>IF(AND($A196&lt;&gt;"",$C196&lt;&gt;""),IF(COUNTIFS($A$2:$A$1000,$A196,$C$2:$C$1000,$C196)&gt;1,"DUPLICAT",""),"")</f>
        <v/>
      </c>
    </row>
    <row r="197">
      <c r="A197" s="12" t="n"/>
      <c r="B197" s="12" t="n"/>
      <c r="C197" s="12" t="n"/>
      <c r="D197" s="13" t="n"/>
      <c r="E197" s="12" t="n"/>
      <c r="F197" s="14" t="n"/>
      <c r="G197" s="12" t="n"/>
      <c r="H197" s="12" t="n"/>
      <c r="I197" s="12" t="n"/>
      <c r="J197" s="14" t="n"/>
      <c r="K197" s="14" t="n"/>
      <c r="L197" s="15" t="n"/>
      <c r="M197" s="15" t="n"/>
      <c r="N197" s="12" t="n"/>
      <c r="O197" s="12" t="n"/>
      <c r="P197" s="16">
        <f>IF(AND(ISNUMBER($L197),ISNUMBER($M197)),MAX(0,$M197-$L197),"")</f>
        <v/>
      </c>
      <c r="Q197" s="16">
        <f>IF(ISNUMBER($D197),MAX(0,TODAY()-$D197),"")</f>
        <v/>
      </c>
      <c r="R197" s="14">
        <f>IF(COUNTA($A197:$O197)=0,"",IFERROR(TRIM(TEXTJOIN(" | ",TRUE,IF($A197="","PC kosong",""),IF($C197="","Worker ID kosong",""),IF($D197="","Update Date kosong",IF(NOT(ISNUMBER($D197)),"Update Date bukan tanggal","")),IF($E197="","Song ID YT kosong",""),IF($F197="","Judul kosong",""),IF(TRIM($G197)="","",IF(ISERROR(MATCH(TRIM($G197),{"TuneCore","DistroKid","TooLost","SoundOn","Ditto","Believe","CD Baby","Amuse","Symphonic Distribution","ONErpm","RouteNote","LANDR","Horus Music","Indie"},0)),"Aggregator di luar daftar","")),IF(TRIM($H197)="","Genre kosong",IF((LEN(SUBSTITUTE(SUBSTITUTE(SUBSTITUTE(TRIM($H197),"/",","),";",",")," ",""))-LEN(SUBSTITUTE(SUBSTITUTE(SUBSTITUTE(SUBSTITUTE(TRIM($H197),"/",","),";",","),"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197),"/",","),";",",")," ","")&amp;",")))&lt;&gt;(LEN(SUBSTITUTE(SUBSTITUTE(SUBSTITUTE(TRIM($H197),"/",","),";",",")," ",""))-LEN(SUBSTITUTE(SUBSTITUTE(SUBSTITUTE(SUBSTITUTE(TRIM($H197),"/",","),";",",")," ",""),",",""))+1),"Genre di luar daftar",""))),IF($I197="","Nama Channel kosong",""),IF($J197="","Link Channel kosong",IF(ISERROR(SEARCH("youtu",$J197)),"Link Channel bukan youtube","")),IF($K197="","Link Video kosong",IF(ISERROR(SEARCH("youtu",$K197)),"Link Video bukan youtube","")),IF($L197="","Tgl Dibuat kosong",IF(NOT(ISNUMBER($L197)),"Tgl Dibuat bukan tanggal","")),IF(AND($M197&lt;&gt;"",NOT(ISNUMBER($M197))),"Tgl Publish bukan tanggal",""),IF(AND(ISNUMBER($L197),ISNUMBER($M197),$M197&lt;$L197),"Tgl Publish &lt; Tgl buat",""),IF(TRIM($N197)="","Status kosong",IF(ISERROR(MATCH(TRIM($N197),{"Draft","Menunggu Review","Revisi","Terjadwal","Upload","Publish","Published","Batal"},0)),"Status di luar daftar","")))),""))</f>
        <v/>
      </c>
      <c r="S197" s="12">
        <f>IF(AND($A197&lt;&gt;"",$C197&lt;&gt;""),IF(COUNTIFS($A$2:$A$1000,$A197,$C$2:$C$1000,$C197)&gt;1,"DUPLICAT",""),"")</f>
        <v/>
      </c>
    </row>
    <row r="198">
      <c r="A198" s="17" t="n"/>
      <c r="B198" s="17" t="n"/>
      <c r="C198" s="17" t="n"/>
      <c r="D198" s="18" t="n"/>
      <c r="E198" s="17" t="n"/>
      <c r="F198" s="19" t="n"/>
      <c r="G198" s="17" t="n"/>
      <c r="H198" s="17" t="n"/>
      <c r="I198" s="17" t="n"/>
      <c r="J198" s="19" t="n"/>
      <c r="K198" s="19" t="n"/>
      <c r="L198" s="20" t="n"/>
      <c r="M198" s="20" t="n"/>
      <c r="N198" s="17" t="n"/>
      <c r="O198" s="17" t="n"/>
      <c r="P198" s="21">
        <f>IF(AND(ISNUMBER($L198),ISNUMBER($M198)),MAX(0,$M198-$L198),"")</f>
        <v/>
      </c>
      <c r="Q198" s="21">
        <f>IF(ISNUMBER($D198),MAX(0,TODAY()-$D198),"")</f>
        <v/>
      </c>
      <c r="R198" s="19">
        <f>IF(COUNTA($A198:$O198)=0,"",IFERROR(TRIM(TEXTJOIN(" | ",TRUE,IF($A198="","PC kosong",""),IF($C198="","Worker ID kosong",""),IF($D198="","Update Date kosong",IF(NOT(ISNUMBER($D198)),"Update Date bukan tanggal","")),IF($E198="","Song ID YT kosong",""),IF($F198="","Judul kosong",""),IF(TRIM($G198)="","",IF(ISERROR(MATCH(TRIM($G198),{"TuneCore","DistroKid","TooLost","SoundOn","Ditto","Believe","CD Baby","Amuse","Symphonic Distribution","ONErpm","RouteNote","LANDR","Horus Music","Indie"},0)),"Aggregator di luar daftar","")),IF(TRIM($H198)="","Genre kosong",IF((LEN(SUBSTITUTE(SUBSTITUTE(SUBSTITUTE(TRIM($H198),"/",","),";",",")," ",""))-LEN(SUBSTITUTE(SUBSTITUTE(SUBSTITUTE(SUBSTITUTE(TRIM($H198),"/",","),";",","),"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198),"/",","),";",",")," ","")&amp;",")))&lt;&gt;(LEN(SUBSTITUTE(SUBSTITUTE(SUBSTITUTE(TRIM($H198),"/",","),";",",")," ",""))-LEN(SUBSTITUTE(SUBSTITUTE(SUBSTITUTE(SUBSTITUTE(TRIM($H198),"/",","),";",",")," ",""),",",""))+1),"Genre di luar daftar",""))),IF($I198="","Nama Channel kosong",""),IF($J198="","Link Channel kosong",IF(ISERROR(SEARCH("youtu",$J198)),"Link Channel bukan youtube","")),IF($K198="","Link Video kosong",IF(ISERROR(SEARCH("youtu",$K198)),"Link Video bukan youtube","")),IF($L198="","Tgl Dibuat kosong",IF(NOT(ISNUMBER($L198)),"Tgl Dibuat bukan tanggal","")),IF(AND($M198&lt;&gt;"",NOT(ISNUMBER($M198))),"Tgl Publish bukan tanggal",""),IF(AND(ISNUMBER($L198),ISNUMBER($M198),$M198&lt;$L198),"Tgl Publish &lt; Tgl buat",""),IF(TRIM($N198)="","Status kosong",IF(ISERROR(MATCH(TRIM($N198),{"Draft","Menunggu Review","Revisi","Terjadwal","Upload","Publish","Published","Batal"},0)),"Status di luar daftar","")))),""))</f>
        <v/>
      </c>
      <c r="S198" s="17">
        <f>IF(AND($A198&lt;&gt;"",$C198&lt;&gt;""),IF(COUNTIFS($A$2:$A$1000,$A198,$C$2:$C$1000,$C198)&gt;1,"DUPLICAT",""),"")</f>
        <v/>
      </c>
    </row>
    <row r="199">
      <c r="A199" s="12" t="n"/>
      <c r="B199" s="12" t="n"/>
      <c r="C199" s="12" t="n"/>
      <c r="D199" s="13" t="n"/>
      <c r="E199" s="12" t="n"/>
      <c r="F199" s="14" t="n"/>
      <c r="G199" s="12" t="n"/>
      <c r="H199" s="12" t="n"/>
      <c r="I199" s="12" t="n"/>
      <c r="J199" s="14" t="n"/>
      <c r="K199" s="14" t="n"/>
      <c r="L199" s="15" t="n"/>
      <c r="M199" s="15" t="n"/>
      <c r="N199" s="12" t="n"/>
      <c r="O199" s="12" t="n"/>
      <c r="P199" s="16">
        <f>IF(AND(ISNUMBER($L199),ISNUMBER($M199)),MAX(0,$M199-$L199),"")</f>
        <v/>
      </c>
      <c r="Q199" s="16">
        <f>IF(ISNUMBER($D199),MAX(0,TODAY()-$D199),"")</f>
        <v/>
      </c>
      <c r="R199" s="14">
        <f>IF(COUNTA($A199:$O199)=0,"",IFERROR(TRIM(TEXTJOIN(" | ",TRUE,IF($A199="","PC kosong",""),IF($C199="","Worker ID kosong",""),IF($D199="","Update Date kosong",IF(NOT(ISNUMBER($D199)),"Update Date bukan tanggal","")),IF($E199="","Song ID YT kosong",""),IF($F199="","Judul kosong",""),IF(TRIM($G199)="","",IF(ISERROR(MATCH(TRIM($G199),{"TuneCore","DistroKid","TooLost","SoundOn","Ditto","Believe","CD Baby","Amuse","Symphonic Distribution","ONErpm","RouteNote","LANDR","Horus Music","Indie"},0)),"Aggregator di luar daftar","")),IF(TRIM($H199)="","Genre kosong",IF((LEN(SUBSTITUTE(SUBSTITUTE(SUBSTITUTE(TRIM($H199),"/",","),";",",")," ",""))-LEN(SUBSTITUTE(SUBSTITUTE(SUBSTITUTE(SUBSTITUTE(TRIM($H199),"/",","),";",","),"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199),"/",","),";",",")," ","")&amp;",")))&lt;&gt;(LEN(SUBSTITUTE(SUBSTITUTE(SUBSTITUTE(TRIM($H199),"/",","),";",",")," ",""))-LEN(SUBSTITUTE(SUBSTITUTE(SUBSTITUTE(SUBSTITUTE(TRIM($H199),"/",","),";",",")," ",""),",",""))+1),"Genre di luar daftar",""))),IF($I199="","Nama Channel kosong",""),IF($J199="","Link Channel kosong",IF(ISERROR(SEARCH("youtu",$J199)),"Link Channel bukan youtube","")),IF($K199="","Link Video kosong",IF(ISERROR(SEARCH("youtu",$K199)),"Link Video bukan youtube","")),IF($L199="","Tgl Dibuat kosong",IF(NOT(ISNUMBER($L199)),"Tgl Dibuat bukan tanggal","")),IF(AND($M199&lt;&gt;"",NOT(ISNUMBER($M199))),"Tgl Publish bukan tanggal",""),IF(AND(ISNUMBER($L199),ISNUMBER($M199),$M199&lt;$L199),"Tgl Publish &lt; Tgl buat",""),IF(TRIM($N199)="","Status kosong",IF(ISERROR(MATCH(TRIM($N199),{"Draft","Menunggu Review","Revisi","Terjadwal","Upload","Publish","Published","Batal"},0)),"Status di luar daftar","")))),""))</f>
        <v/>
      </c>
      <c r="S199" s="12">
        <f>IF(AND($A199&lt;&gt;"",$C199&lt;&gt;""),IF(COUNTIFS($A$2:$A$1000,$A199,$C$2:$C$1000,$C199)&gt;1,"DUPLICAT",""),"")</f>
        <v/>
      </c>
    </row>
    <row r="200">
      <c r="A200" s="17" t="n"/>
      <c r="B200" s="17" t="n"/>
      <c r="C200" s="17" t="n"/>
      <c r="D200" s="18" t="n"/>
      <c r="E200" s="17" t="n"/>
      <c r="F200" s="19" t="n"/>
      <c r="G200" s="17" t="n"/>
      <c r="H200" s="17" t="n"/>
      <c r="I200" s="17" t="n"/>
      <c r="J200" s="19" t="n"/>
      <c r="K200" s="19" t="n"/>
      <c r="L200" s="20" t="n"/>
      <c r="M200" s="20" t="n"/>
      <c r="N200" s="17" t="n"/>
      <c r="O200" s="17" t="n"/>
      <c r="P200" s="21">
        <f>IF(AND(ISNUMBER($L200),ISNUMBER($M200)),MAX(0,$M200-$L200),"")</f>
        <v/>
      </c>
      <c r="Q200" s="21">
        <f>IF(ISNUMBER($D200),MAX(0,TODAY()-$D200),"")</f>
        <v/>
      </c>
      <c r="R200" s="19">
        <f>IF(COUNTA($A200:$O200)=0,"",IFERROR(TRIM(TEXTJOIN(" | ",TRUE,IF($A200="","PC kosong",""),IF($C200="","Worker ID kosong",""),IF($D200="","Update Date kosong",IF(NOT(ISNUMBER($D200)),"Update Date bukan tanggal","")),IF($E200="","Song ID YT kosong",""),IF($F200="","Judul kosong",""),IF(TRIM($G200)="","",IF(ISERROR(MATCH(TRIM($G200),{"TuneCore","DistroKid","TooLost","SoundOn","Ditto","Believe","CD Baby","Amuse","Symphonic Distribution","ONErpm","RouteNote","LANDR","Horus Music","Indie"},0)),"Aggregator di luar daftar","")),IF(TRIM($H200)="","Genre kosong",IF((LEN(SUBSTITUTE(SUBSTITUTE(SUBSTITUTE(TRIM($H200),"/",","),";",",")," ",""))-LEN(SUBSTITUTE(SUBSTITUTE(SUBSTITUTE(SUBSTITUTE(TRIM($H200),"/",","),";",","),"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200),"/",","),";",",")," ","")&amp;",")))&lt;&gt;(LEN(SUBSTITUTE(SUBSTITUTE(SUBSTITUTE(TRIM($H200),"/",","),";",",")," ",""))-LEN(SUBSTITUTE(SUBSTITUTE(SUBSTITUTE(SUBSTITUTE(TRIM($H200),"/",","),";",",")," ",""),",",""))+1),"Genre di luar daftar",""))),IF($I200="","Nama Channel kosong",""),IF($J200="","Link Channel kosong",IF(ISERROR(SEARCH("youtu",$J200)),"Link Channel bukan youtube","")),IF($K200="","Link Video kosong",IF(ISERROR(SEARCH("youtu",$K200)),"Link Video bukan youtube","")),IF($L200="","Tgl Dibuat kosong",IF(NOT(ISNUMBER($L200)),"Tgl Dibuat bukan tanggal","")),IF(AND($M200&lt;&gt;"",NOT(ISNUMBER($M200))),"Tgl Publish bukan tanggal",""),IF(AND(ISNUMBER($L200),ISNUMBER($M200),$M200&lt;$L200),"Tgl Publish &lt; Tgl buat",""),IF(TRIM($N200)="","Status kosong",IF(ISERROR(MATCH(TRIM($N200),{"Draft","Menunggu Review","Revisi","Terjadwal","Upload","Publish","Published","Batal"},0)),"Status di luar daftar","")))),""))</f>
        <v/>
      </c>
      <c r="S200" s="17">
        <f>IF(AND($A200&lt;&gt;"",$C200&lt;&gt;""),IF(COUNTIFS($A$2:$A$1000,$A200,$C$2:$C$1000,$C200)&gt;1,"DUPLICAT",""),"")</f>
        <v/>
      </c>
    </row>
    <row r="201">
      <c r="A201" s="12" t="n"/>
      <c r="B201" s="12" t="n"/>
      <c r="C201" s="12" t="n"/>
      <c r="D201" s="13" t="n"/>
      <c r="E201" s="12" t="n"/>
      <c r="F201" s="14" t="n"/>
      <c r="G201" s="12" t="n"/>
      <c r="H201" s="12" t="n"/>
      <c r="I201" s="12" t="n"/>
      <c r="J201" s="14" t="n"/>
      <c r="K201" s="14" t="n"/>
      <c r="L201" s="15" t="n"/>
      <c r="M201" s="15" t="n"/>
      <c r="N201" s="12" t="n"/>
      <c r="O201" s="12" t="n"/>
      <c r="P201" s="16">
        <f>IF(AND(ISNUMBER($L201),ISNUMBER($M201)),MAX(0,$M201-$L201),"")</f>
        <v/>
      </c>
      <c r="Q201" s="16">
        <f>IF(ISNUMBER($D201),MAX(0,TODAY()-$D201),"")</f>
        <v/>
      </c>
      <c r="R201" s="14">
        <f>IF(COUNTA($A201:$O201)=0,"",IFERROR(TRIM(TEXTJOIN(" | ",TRUE,IF($A201="","PC kosong",""),IF($C201="","Worker ID kosong",""),IF($D201="","Update Date kosong",IF(NOT(ISNUMBER($D201)),"Update Date bukan tanggal","")),IF($E201="","Song ID YT kosong",""),IF($F201="","Judul kosong",""),IF(TRIM($G201)="","",IF(ISERROR(MATCH(TRIM($G201),{"TuneCore","DistroKid","TooLost","SoundOn","Ditto","Believe","CD Baby","Amuse","Symphonic Distribution","ONErpm","RouteNote","LANDR","Horus Music","Indie"},0)),"Aggregator di luar daftar","")),IF(TRIM($H201)="","Genre kosong",IF((LEN(SUBSTITUTE(SUBSTITUTE(SUBSTITUTE(TRIM($H201),"/",","),";",",")," ",""))-LEN(SUBSTITUTE(SUBSTITUTE(SUBSTITUTE(SUBSTITUTE(TRIM($H201),"/",","),";",","),"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201),"/",","),";",",")," ","")&amp;",")))&lt;&gt;(LEN(SUBSTITUTE(SUBSTITUTE(SUBSTITUTE(TRIM($H201),"/",","),";",",")," ",""))-LEN(SUBSTITUTE(SUBSTITUTE(SUBSTITUTE(SUBSTITUTE(TRIM($H201),"/",","),";",",")," ",""),",",""))+1),"Genre di luar daftar",""))),IF($I201="","Nama Channel kosong",""),IF($J201="","Link Channel kosong",IF(ISERROR(SEARCH("youtu",$J201)),"Link Channel bukan youtube","")),IF($K201="","Link Video kosong",IF(ISERROR(SEARCH("youtu",$K201)),"Link Video bukan youtube","")),IF($L201="","Tgl Dibuat kosong",IF(NOT(ISNUMBER($L201)),"Tgl Dibuat bukan tanggal","")),IF(AND($M201&lt;&gt;"",NOT(ISNUMBER($M201))),"Tgl Publish bukan tanggal",""),IF(AND(ISNUMBER($L201),ISNUMBER($M201),$M201&lt;$L201),"Tgl Publish &lt; Tgl buat",""),IF(TRIM($N201)="","Status kosong",IF(ISERROR(MATCH(TRIM($N201),{"Draft","Menunggu Review","Revisi","Terjadwal","Upload","Publish","Published","Batal"},0)),"Status di luar daftar","")))),""))</f>
        <v/>
      </c>
      <c r="S201" s="12">
        <f>IF(AND($A201&lt;&gt;"",$C201&lt;&gt;""),IF(COUNTIFS($A$2:$A$1000,$A201,$C$2:$C$1000,$C201)&gt;1,"DUPLICAT",""),"")</f>
        <v/>
      </c>
    </row>
    <row r="202">
      <c r="A202" s="17" t="n"/>
      <c r="B202" s="17" t="n"/>
      <c r="C202" s="17" t="n"/>
      <c r="D202" s="18" t="n"/>
      <c r="E202" s="17" t="n"/>
      <c r="F202" s="19" t="n"/>
      <c r="G202" s="17" t="n"/>
      <c r="H202" s="17" t="n"/>
      <c r="I202" s="17" t="n"/>
      <c r="J202" s="19" t="n"/>
      <c r="K202" s="19" t="n"/>
      <c r="L202" s="20" t="n"/>
      <c r="M202" s="20" t="n"/>
      <c r="N202" s="17" t="n"/>
      <c r="O202" s="17" t="n"/>
      <c r="P202" s="21">
        <f>IF(AND(ISNUMBER($L202),ISNUMBER($M202)),MAX(0,$M202-$L202),"")</f>
        <v/>
      </c>
      <c r="Q202" s="21">
        <f>IF(ISNUMBER($D202),MAX(0,TODAY()-$D202),"")</f>
        <v/>
      </c>
      <c r="R202" s="19">
        <f>IF(COUNTA($A202:$O202)=0,"",IFERROR(TRIM(TEXTJOIN(" | ",TRUE,IF($A202="","PC kosong",""),IF($C202="","Worker ID kosong",""),IF($D202="","Update Date kosong",IF(NOT(ISNUMBER($D202)),"Update Date bukan tanggal","")),IF($E202="","Song ID YT kosong",""),IF($F202="","Judul kosong",""),IF(TRIM($G202)="","",IF(ISERROR(MATCH(TRIM($G202),{"TuneCore","DistroKid","TooLost","SoundOn","Ditto","Believe","CD Baby","Amuse","Symphonic Distribution","ONErpm","RouteNote","LANDR","Horus Music","Indie"},0)),"Aggregator di luar daftar","")),IF(TRIM($H202)="","Genre kosong",IF((LEN(SUBSTITUTE(SUBSTITUTE(SUBSTITUTE(TRIM($H202),"/",","),";",",")," ",""))-LEN(SUBSTITUTE(SUBSTITUTE(SUBSTITUTE(SUBSTITUTE(TRIM($H202),"/",","),";",","),"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202),"/",","),";",",")," ","")&amp;",")))&lt;&gt;(LEN(SUBSTITUTE(SUBSTITUTE(SUBSTITUTE(TRIM($H202),"/",","),";",",")," ",""))-LEN(SUBSTITUTE(SUBSTITUTE(SUBSTITUTE(SUBSTITUTE(TRIM($H202),"/",","),";",",")," ",""),",",""))+1),"Genre di luar daftar",""))),IF($I202="","Nama Channel kosong",""),IF($J202="","Link Channel kosong",IF(ISERROR(SEARCH("youtu",$J202)),"Link Channel bukan youtube","")),IF($K202="","Link Video kosong",IF(ISERROR(SEARCH("youtu",$K202)),"Link Video bukan youtube","")),IF($L202="","Tgl Dibuat kosong",IF(NOT(ISNUMBER($L202)),"Tgl Dibuat bukan tanggal","")),IF(AND($M202&lt;&gt;"",NOT(ISNUMBER($M202))),"Tgl Publish bukan tanggal",""),IF(AND(ISNUMBER($L202),ISNUMBER($M202),$M202&lt;$L202),"Tgl Publish &lt; Tgl buat",""),IF(TRIM($N202)="","Status kosong",IF(ISERROR(MATCH(TRIM($N202),{"Draft","Menunggu Review","Revisi","Terjadwal","Upload","Publish","Published","Batal"},0)),"Status di luar daftar","")))),""))</f>
        <v/>
      </c>
      <c r="S202" s="17">
        <f>IF(AND($A202&lt;&gt;"",$C202&lt;&gt;""),IF(COUNTIFS($A$2:$A$1000,$A202,$C$2:$C$1000,$C202)&gt;1,"DUPLICAT",""),"")</f>
        <v/>
      </c>
    </row>
    <row r="203">
      <c r="A203" s="12" t="n"/>
      <c r="B203" s="12" t="n"/>
      <c r="C203" s="12" t="n"/>
      <c r="D203" s="13" t="n"/>
      <c r="E203" s="12" t="n"/>
      <c r="F203" s="14" t="n"/>
      <c r="G203" s="12" t="n"/>
      <c r="H203" s="12" t="n"/>
      <c r="I203" s="12" t="n"/>
      <c r="J203" s="14" t="n"/>
      <c r="K203" s="14" t="n"/>
      <c r="L203" s="15" t="n"/>
      <c r="M203" s="15" t="n"/>
      <c r="N203" s="12" t="n"/>
      <c r="O203" s="12" t="n"/>
      <c r="P203" s="16">
        <f>IF(AND(ISNUMBER($L203),ISNUMBER($M203)),MAX(0,$M203-$L203),"")</f>
        <v/>
      </c>
      <c r="Q203" s="16">
        <f>IF(ISNUMBER($D203),MAX(0,TODAY()-$D203),"")</f>
        <v/>
      </c>
      <c r="R203" s="14">
        <f>IF(COUNTA($A203:$O203)=0,"",IFERROR(TRIM(TEXTJOIN(" | ",TRUE,IF($A203="","PC kosong",""),IF($C203="","Worker ID kosong",""),IF($D203="","Update Date kosong",IF(NOT(ISNUMBER($D203)),"Update Date bukan tanggal","")),IF($E203="","Song ID YT kosong",""),IF($F203="","Judul kosong",""),IF(TRIM($G203)="","",IF(ISERROR(MATCH(TRIM($G203),{"TuneCore","DistroKid","TooLost","SoundOn","Ditto","Believe","CD Baby","Amuse","Symphonic Distribution","ONErpm","RouteNote","LANDR","Horus Music","Indie"},0)),"Aggregator di luar daftar","")),IF(TRIM($H203)="","Genre kosong",IF((LEN(SUBSTITUTE(SUBSTITUTE(SUBSTITUTE(TRIM($H203),"/",","),";",",")," ",""))-LEN(SUBSTITUTE(SUBSTITUTE(SUBSTITUTE(SUBSTITUTE(TRIM($H203),"/",","),";",","),"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203),"/",","),";",",")," ","")&amp;",")))&lt;&gt;(LEN(SUBSTITUTE(SUBSTITUTE(SUBSTITUTE(TRIM($H203),"/",","),";",",")," ",""))-LEN(SUBSTITUTE(SUBSTITUTE(SUBSTITUTE(SUBSTITUTE(TRIM($H203),"/",","),";",",")," ",""),",",""))+1),"Genre di luar daftar",""))),IF($I203="","Nama Channel kosong",""),IF($J203="","Link Channel kosong",IF(ISERROR(SEARCH("youtu",$J203)),"Link Channel bukan youtube","")),IF($K203="","Link Video kosong",IF(ISERROR(SEARCH("youtu",$K203)),"Link Video bukan youtube","")),IF($L203="","Tgl Dibuat kosong",IF(NOT(ISNUMBER($L203)),"Tgl Dibuat bukan tanggal","")),IF(AND($M203&lt;&gt;"",NOT(ISNUMBER($M203))),"Tgl Publish bukan tanggal",""),IF(AND(ISNUMBER($L203),ISNUMBER($M203),$M203&lt;$L203),"Tgl Publish &lt; Tgl buat",""),IF(TRIM($N203)="","Status kosong",IF(ISERROR(MATCH(TRIM($N203),{"Draft","Menunggu Review","Revisi","Terjadwal","Upload","Publish","Published","Batal"},0)),"Status di luar daftar","")))),""))</f>
        <v/>
      </c>
      <c r="S203" s="12">
        <f>IF(AND($A203&lt;&gt;"",$C203&lt;&gt;""),IF(COUNTIFS($A$2:$A$1000,$A203,$C$2:$C$1000,$C203)&gt;1,"DUPLICAT",""),"")</f>
        <v/>
      </c>
    </row>
    <row r="204">
      <c r="A204" s="17" t="n"/>
      <c r="B204" s="17" t="n"/>
      <c r="C204" s="17" t="n"/>
      <c r="D204" s="18" t="n"/>
      <c r="E204" s="17" t="n"/>
      <c r="F204" s="19" t="n"/>
      <c r="G204" s="17" t="n"/>
      <c r="H204" s="17" t="n"/>
      <c r="I204" s="17" t="n"/>
      <c r="J204" s="19" t="n"/>
      <c r="K204" s="19" t="n"/>
      <c r="L204" s="20" t="n"/>
      <c r="M204" s="20" t="n"/>
      <c r="N204" s="17" t="n"/>
      <c r="O204" s="17" t="n"/>
      <c r="P204" s="21">
        <f>IF(AND(ISNUMBER($L204),ISNUMBER($M204)),MAX(0,$M204-$L204),"")</f>
        <v/>
      </c>
      <c r="Q204" s="21">
        <f>IF(ISNUMBER($D204),MAX(0,TODAY()-$D204),"")</f>
        <v/>
      </c>
      <c r="R204" s="19">
        <f>IF(COUNTA($A204:$O204)=0,"",IFERROR(TRIM(TEXTJOIN(" | ",TRUE,IF($A204="","PC kosong",""),IF($C204="","Worker ID kosong",""),IF($D204="","Update Date kosong",IF(NOT(ISNUMBER($D204)),"Update Date bukan tanggal","")),IF($E204="","Song ID YT kosong",""),IF($F204="","Judul kosong",""),IF(TRIM($G204)="","",IF(ISERROR(MATCH(TRIM($G204),{"TuneCore","DistroKid","TooLost","SoundOn","Ditto","Believe","CD Baby","Amuse","Symphonic Distribution","ONErpm","RouteNote","LANDR","Horus Music","Indie"},0)),"Aggregator di luar daftar","")),IF(TRIM($H204)="","Genre kosong",IF((LEN(SUBSTITUTE(SUBSTITUTE(SUBSTITUTE(TRIM($H204),"/",","),";",",")," ",""))-LEN(SUBSTITUTE(SUBSTITUTE(SUBSTITUTE(SUBSTITUTE(TRIM($H204),"/",","),";",","),"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204),"/",","),";",",")," ","")&amp;",")))&lt;&gt;(LEN(SUBSTITUTE(SUBSTITUTE(SUBSTITUTE(TRIM($H204),"/",","),";",",")," ",""))-LEN(SUBSTITUTE(SUBSTITUTE(SUBSTITUTE(SUBSTITUTE(TRIM($H204),"/",","),";",",")," ",""),",",""))+1),"Genre di luar daftar",""))),IF($I204="","Nama Channel kosong",""),IF($J204="","Link Channel kosong",IF(ISERROR(SEARCH("youtu",$J204)),"Link Channel bukan youtube","")),IF($K204="","Link Video kosong",IF(ISERROR(SEARCH("youtu",$K204)),"Link Video bukan youtube","")),IF($L204="","Tgl Dibuat kosong",IF(NOT(ISNUMBER($L204)),"Tgl Dibuat bukan tanggal","")),IF(AND($M204&lt;&gt;"",NOT(ISNUMBER($M204))),"Tgl Publish bukan tanggal",""),IF(AND(ISNUMBER($L204),ISNUMBER($M204),$M204&lt;$L204),"Tgl Publish &lt; Tgl buat",""),IF(TRIM($N204)="","Status kosong",IF(ISERROR(MATCH(TRIM($N204),{"Draft","Menunggu Review","Revisi","Terjadwal","Upload","Publish","Published","Batal"},0)),"Status di luar daftar","")))),""))</f>
        <v/>
      </c>
      <c r="S204" s="17">
        <f>IF(AND($A204&lt;&gt;"",$C204&lt;&gt;""),IF(COUNTIFS($A$2:$A$1000,$A204,$C$2:$C$1000,$C204)&gt;1,"DUPLICAT",""),"")</f>
        <v/>
      </c>
    </row>
    <row r="205">
      <c r="A205" s="12" t="n"/>
      <c r="B205" s="12" t="n"/>
      <c r="C205" s="12" t="n"/>
      <c r="D205" s="13" t="n"/>
      <c r="E205" s="12" t="n"/>
      <c r="F205" s="14" t="n"/>
      <c r="G205" s="12" t="n"/>
      <c r="H205" s="12" t="n"/>
      <c r="I205" s="12" t="n"/>
      <c r="J205" s="14" t="n"/>
      <c r="K205" s="14" t="n"/>
      <c r="L205" s="15" t="n"/>
      <c r="M205" s="15" t="n"/>
      <c r="N205" s="12" t="n"/>
      <c r="O205" s="12" t="n"/>
      <c r="P205" s="16">
        <f>IF(AND(ISNUMBER($L205),ISNUMBER($M205)),MAX(0,$M205-$L205),"")</f>
        <v/>
      </c>
      <c r="Q205" s="16">
        <f>IF(ISNUMBER($D205),MAX(0,TODAY()-$D205),"")</f>
        <v/>
      </c>
      <c r="R205" s="14">
        <f>IF(COUNTA($A205:$O205)=0,"",IFERROR(TRIM(TEXTJOIN(" | ",TRUE,IF($A205="","PC kosong",""),IF($C205="","Worker ID kosong",""),IF($D205="","Update Date kosong",IF(NOT(ISNUMBER($D205)),"Update Date bukan tanggal","")),IF($E205="","Song ID YT kosong",""),IF($F205="","Judul kosong",""),IF(TRIM($G205)="","",IF(ISERROR(MATCH(TRIM($G205),{"TuneCore","DistroKid","TooLost","SoundOn","Ditto","Believe","CD Baby","Amuse","Symphonic Distribution","ONErpm","RouteNote","LANDR","Horus Music","Indie"},0)),"Aggregator di luar daftar","")),IF(TRIM($H205)="","Genre kosong",IF((LEN(SUBSTITUTE(SUBSTITUTE(SUBSTITUTE(TRIM($H205),"/",","),";",",")," ",""))-LEN(SUBSTITUTE(SUBSTITUTE(SUBSTITUTE(SUBSTITUTE(TRIM($H205),"/",","),";",","),"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205),"/",","),";",",")," ","")&amp;",")))&lt;&gt;(LEN(SUBSTITUTE(SUBSTITUTE(SUBSTITUTE(TRIM($H205),"/",","),";",",")," ",""))-LEN(SUBSTITUTE(SUBSTITUTE(SUBSTITUTE(SUBSTITUTE(TRIM($H205),"/",","),";",",")," ",""),",",""))+1),"Genre di luar daftar",""))),IF($I205="","Nama Channel kosong",""),IF($J205="","Link Channel kosong",IF(ISERROR(SEARCH("youtu",$J205)),"Link Channel bukan youtube","")),IF($K205="","Link Video kosong",IF(ISERROR(SEARCH("youtu",$K205)),"Link Video bukan youtube","")),IF($L205="","Tgl Dibuat kosong",IF(NOT(ISNUMBER($L205)),"Tgl Dibuat bukan tanggal","")),IF(AND($M205&lt;&gt;"",NOT(ISNUMBER($M205))),"Tgl Publish bukan tanggal",""),IF(AND(ISNUMBER($L205),ISNUMBER($M205),$M205&lt;$L205),"Tgl Publish &lt; Tgl buat",""),IF(TRIM($N205)="","Status kosong",IF(ISERROR(MATCH(TRIM($N205),{"Draft","Menunggu Review","Revisi","Terjadwal","Upload","Publish","Published","Batal"},0)),"Status di luar daftar","")))),""))</f>
        <v/>
      </c>
      <c r="S205" s="12">
        <f>IF(AND($A205&lt;&gt;"",$C205&lt;&gt;""),IF(COUNTIFS($A$2:$A$1000,$A205,$C$2:$C$1000,$C205)&gt;1,"DUPLICAT",""),"")</f>
        <v/>
      </c>
    </row>
    <row r="206">
      <c r="A206" s="17" t="n"/>
      <c r="B206" s="17" t="n"/>
      <c r="C206" s="17" t="n"/>
      <c r="D206" s="18" t="n"/>
      <c r="E206" s="17" t="n"/>
      <c r="F206" s="19" t="n"/>
      <c r="G206" s="17" t="n"/>
      <c r="H206" s="17" t="n"/>
      <c r="I206" s="17" t="n"/>
      <c r="J206" s="19" t="n"/>
      <c r="K206" s="19" t="n"/>
      <c r="L206" s="20" t="n"/>
      <c r="M206" s="20" t="n"/>
      <c r="N206" s="17" t="n"/>
      <c r="O206" s="17" t="n"/>
      <c r="P206" s="21">
        <f>IF(AND(ISNUMBER($L206),ISNUMBER($M206)),MAX(0,$M206-$L206),"")</f>
        <v/>
      </c>
      <c r="Q206" s="21">
        <f>IF(ISNUMBER($D206),MAX(0,TODAY()-$D206),"")</f>
        <v/>
      </c>
      <c r="R206" s="19">
        <f>IF(COUNTA($A206:$O206)=0,"",IFERROR(TRIM(TEXTJOIN(" | ",TRUE,IF($A206="","PC kosong",""),IF($C206="","Worker ID kosong",""),IF($D206="","Update Date kosong",IF(NOT(ISNUMBER($D206)),"Update Date bukan tanggal","")),IF($E206="","Song ID YT kosong",""),IF($F206="","Judul kosong",""),IF(TRIM($G206)="","",IF(ISERROR(MATCH(TRIM($G206),{"TuneCore","DistroKid","TooLost","SoundOn","Ditto","Believe","CD Baby","Amuse","Symphonic Distribution","ONErpm","RouteNote","LANDR","Horus Music","Indie"},0)),"Aggregator di luar daftar","")),IF(TRIM($H206)="","Genre kosong",IF((LEN(SUBSTITUTE(SUBSTITUTE(SUBSTITUTE(TRIM($H206),"/",","),";",",")," ",""))-LEN(SUBSTITUTE(SUBSTITUTE(SUBSTITUTE(SUBSTITUTE(TRIM($H206),"/",","),";",","),"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206),"/",","),";",",")," ","")&amp;",")))&lt;&gt;(LEN(SUBSTITUTE(SUBSTITUTE(SUBSTITUTE(TRIM($H206),"/",","),";",",")," ",""))-LEN(SUBSTITUTE(SUBSTITUTE(SUBSTITUTE(SUBSTITUTE(TRIM($H206),"/",","),";",",")," ",""),",",""))+1),"Genre di luar daftar",""))),IF($I206="","Nama Channel kosong",""),IF($J206="","Link Channel kosong",IF(ISERROR(SEARCH("youtu",$J206)),"Link Channel bukan youtube","")),IF($K206="","Link Video kosong",IF(ISERROR(SEARCH("youtu",$K206)),"Link Video bukan youtube","")),IF($L206="","Tgl Dibuat kosong",IF(NOT(ISNUMBER($L206)),"Tgl Dibuat bukan tanggal","")),IF(AND($M206&lt;&gt;"",NOT(ISNUMBER($M206))),"Tgl Publish bukan tanggal",""),IF(AND(ISNUMBER($L206),ISNUMBER($M206),$M206&lt;$L206),"Tgl Publish &lt; Tgl buat",""),IF(TRIM($N206)="","Status kosong",IF(ISERROR(MATCH(TRIM($N206),{"Draft","Menunggu Review","Revisi","Terjadwal","Upload","Publish","Published","Batal"},0)),"Status di luar daftar","")))),""))</f>
        <v/>
      </c>
      <c r="S206" s="17">
        <f>IF(AND($A206&lt;&gt;"",$C206&lt;&gt;""),IF(COUNTIFS($A$2:$A$1000,$A206,$C$2:$C$1000,$C206)&gt;1,"DUPLICAT",""),"")</f>
        <v/>
      </c>
    </row>
    <row r="207">
      <c r="A207" s="12" t="n"/>
      <c r="B207" s="12" t="n"/>
      <c r="C207" s="12" t="n"/>
      <c r="D207" s="13" t="n"/>
      <c r="E207" s="12" t="n"/>
      <c r="F207" s="14" t="n"/>
      <c r="G207" s="12" t="n"/>
      <c r="H207" s="12" t="n"/>
      <c r="I207" s="12" t="n"/>
      <c r="J207" s="14" t="n"/>
      <c r="K207" s="14" t="n"/>
      <c r="L207" s="15" t="n"/>
      <c r="M207" s="15" t="n"/>
      <c r="N207" s="12" t="n"/>
      <c r="O207" s="12" t="n"/>
      <c r="P207" s="16">
        <f>IF(AND(ISNUMBER($L207),ISNUMBER($M207)),MAX(0,$M207-$L207),"")</f>
        <v/>
      </c>
      <c r="Q207" s="16">
        <f>IF(ISNUMBER($D207),MAX(0,TODAY()-$D207),"")</f>
        <v/>
      </c>
      <c r="R207" s="14">
        <f>IF(COUNTA($A207:$O207)=0,"",IFERROR(TRIM(TEXTJOIN(" | ",TRUE,IF($A207="","PC kosong",""),IF($C207="","Worker ID kosong",""),IF($D207="","Update Date kosong",IF(NOT(ISNUMBER($D207)),"Update Date bukan tanggal","")),IF($E207="","Song ID YT kosong",""),IF($F207="","Judul kosong",""),IF(TRIM($G207)="","",IF(ISERROR(MATCH(TRIM($G207),{"TuneCore","DistroKid","TooLost","SoundOn","Ditto","Believe","CD Baby","Amuse","Symphonic Distribution","ONErpm","RouteNote","LANDR","Horus Music","Indie"},0)),"Aggregator di luar daftar","")),IF(TRIM($H207)="","Genre kosong",IF((LEN(SUBSTITUTE(SUBSTITUTE(SUBSTITUTE(TRIM($H207),"/",","),";",",")," ",""))-LEN(SUBSTITUTE(SUBSTITUTE(SUBSTITUTE(SUBSTITUTE(TRIM($H207),"/",","),";",","),"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207),"/",","),";",",")," ","")&amp;",")))&lt;&gt;(LEN(SUBSTITUTE(SUBSTITUTE(SUBSTITUTE(TRIM($H207),"/",","),";",",")," ",""))-LEN(SUBSTITUTE(SUBSTITUTE(SUBSTITUTE(SUBSTITUTE(TRIM($H207),"/",","),";",",")," ",""),",",""))+1),"Genre di luar daftar",""))),IF($I207="","Nama Channel kosong",""),IF($J207="","Link Channel kosong",IF(ISERROR(SEARCH("youtu",$J207)),"Link Channel bukan youtube","")),IF($K207="","Link Video kosong",IF(ISERROR(SEARCH("youtu",$K207)),"Link Video bukan youtube","")),IF($L207="","Tgl Dibuat kosong",IF(NOT(ISNUMBER($L207)),"Tgl Dibuat bukan tanggal","")),IF(AND($M207&lt;&gt;"",NOT(ISNUMBER($M207))),"Tgl Publish bukan tanggal",""),IF(AND(ISNUMBER($L207),ISNUMBER($M207),$M207&lt;$L207),"Tgl Publish &lt; Tgl buat",""),IF(TRIM($N207)="","Status kosong",IF(ISERROR(MATCH(TRIM($N207),{"Draft","Menunggu Review","Revisi","Terjadwal","Upload","Publish","Published","Batal"},0)),"Status di luar daftar","")))),""))</f>
        <v/>
      </c>
      <c r="S207" s="12">
        <f>IF(AND($A207&lt;&gt;"",$C207&lt;&gt;""),IF(COUNTIFS($A$2:$A$1000,$A207,$C$2:$C$1000,$C207)&gt;1,"DUPLICAT",""),"")</f>
        <v/>
      </c>
    </row>
    <row r="208">
      <c r="A208" s="17" t="n"/>
      <c r="B208" s="17" t="n"/>
      <c r="C208" s="17" t="n"/>
      <c r="D208" s="18" t="n"/>
      <c r="E208" s="17" t="n"/>
      <c r="F208" s="19" t="n"/>
      <c r="G208" s="17" t="n"/>
      <c r="H208" s="17" t="n"/>
      <c r="I208" s="17" t="n"/>
      <c r="J208" s="19" t="n"/>
      <c r="K208" s="19" t="n"/>
      <c r="L208" s="20" t="n"/>
      <c r="M208" s="20" t="n"/>
      <c r="N208" s="17" t="n"/>
      <c r="O208" s="17" t="n"/>
      <c r="P208" s="21">
        <f>IF(AND(ISNUMBER($L208),ISNUMBER($M208)),MAX(0,$M208-$L208),"")</f>
        <v/>
      </c>
      <c r="Q208" s="21">
        <f>IF(ISNUMBER($D208),MAX(0,TODAY()-$D208),"")</f>
        <v/>
      </c>
      <c r="R208" s="19">
        <f>IF(COUNTA($A208:$O208)=0,"",IFERROR(TRIM(TEXTJOIN(" | ",TRUE,IF($A208="","PC kosong",""),IF($C208="","Worker ID kosong",""),IF($D208="","Update Date kosong",IF(NOT(ISNUMBER($D208)),"Update Date bukan tanggal","")),IF($E208="","Song ID YT kosong",""),IF($F208="","Judul kosong",""),IF(TRIM($G208)="","",IF(ISERROR(MATCH(TRIM($G208),{"TuneCore","DistroKid","TooLost","SoundOn","Ditto","Believe","CD Baby","Amuse","Symphonic Distribution","ONErpm","RouteNote","LANDR","Horus Music","Indie"},0)),"Aggregator di luar daftar","")),IF(TRIM($H208)="","Genre kosong",IF((LEN(SUBSTITUTE(SUBSTITUTE(SUBSTITUTE(TRIM($H208),"/",","),";",",")," ",""))-LEN(SUBSTITUTE(SUBSTITUTE(SUBSTITUTE(SUBSTITUTE(TRIM($H208),"/",","),";",","),"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208),"/",","),";",",")," ","")&amp;",")))&lt;&gt;(LEN(SUBSTITUTE(SUBSTITUTE(SUBSTITUTE(TRIM($H208),"/",","),";",",")," ",""))-LEN(SUBSTITUTE(SUBSTITUTE(SUBSTITUTE(SUBSTITUTE(TRIM($H208),"/",","),";",",")," ",""),",",""))+1),"Genre di luar daftar",""))),IF($I208="","Nama Channel kosong",""),IF($J208="","Link Channel kosong",IF(ISERROR(SEARCH("youtu",$J208)),"Link Channel bukan youtube","")),IF($K208="","Link Video kosong",IF(ISERROR(SEARCH("youtu",$K208)),"Link Video bukan youtube","")),IF($L208="","Tgl Dibuat kosong",IF(NOT(ISNUMBER($L208)),"Tgl Dibuat bukan tanggal","")),IF(AND($M208&lt;&gt;"",NOT(ISNUMBER($M208))),"Tgl Publish bukan tanggal",""),IF(AND(ISNUMBER($L208),ISNUMBER($M208),$M208&lt;$L208),"Tgl Publish &lt; Tgl buat",""),IF(TRIM($N208)="","Status kosong",IF(ISERROR(MATCH(TRIM($N208),{"Draft","Menunggu Review","Revisi","Terjadwal","Upload","Publish","Published","Batal"},0)),"Status di luar daftar","")))),""))</f>
        <v/>
      </c>
      <c r="S208" s="17">
        <f>IF(AND($A208&lt;&gt;"",$C208&lt;&gt;""),IF(COUNTIFS($A$2:$A$1000,$A208,$C$2:$C$1000,$C208)&gt;1,"DUPLICAT",""),"")</f>
        <v/>
      </c>
    </row>
    <row r="209">
      <c r="A209" s="12" t="n"/>
      <c r="B209" s="12" t="n"/>
      <c r="C209" s="12" t="n"/>
      <c r="D209" s="13" t="n"/>
      <c r="E209" s="12" t="n"/>
      <c r="F209" s="14" t="n"/>
      <c r="G209" s="12" t="n"/>
      <c r="H209" s="12" t="n"/>
      <c r="I209" s="12" t="n"/>
      <c r="J209" s="14" t="n"/>
      <c r="K209" s="14" t="n"/>
      <c r="L209" s="15" t="n"/>
      <c r="M209" s="15" t="n"/>
      <c r="N209" s="12" t="n"/>
      <c r="O209" s="12" t="n"/>
      <c r="P209" s="16">
        <f>IF(AND(ISNUMBER($L209),ISNUMBER($M209)),MAX(0,$M209-$L209),"")</f>
        <v/>
      </c>
      <c r="Q209" s="16">
        <f>IF(ISNUMBER($D209),MAX(0,TODAY()-$D209),"")</f>
        <v/>
      </c>
      <c r="R209" s="14">
        <f>IF(COUNTA($A209:$O209)=0,"",IFERROR(TRIM(TEXTJOIN(" | ",TRUE,IF($A209="","PC kosong",""),IF($C209="","Worker ID kosong",""),IF($D209="","Update Date kosong",IF(NOT(ISNUMBER($D209)),"Update Date bukan tanggal","")),IF($E209="","Song ID YT kosong",""),IF($F209="","Judul kosong",""),IF(TRIM($G209)="","",IF(ISERROR(MATCH(TRIM($G209),{"TuneCore","DistroKid","TooLost","SoundOn","Ditto","Believe","CD Baby","Amuse","Symphonic Distribution","ONErpm","RouteNote","LANDR","Horus Music","Indie"},0)),"Aggregator di luar daftar","")),IF(TRIM($H209)="","Genre kosong",IF((LEN(SUBSTITUTE(SUBSTITUTE(SUBSTITUTE(TRIM($H209),"/",","),";",",")," ",""))-LEN(SUBSTITUTE(SUBSTITUTE(SUBSTITUTE(SUBSTITUTE(TRIM($H209),"/",","),";",","),"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209),"/",","),";",",")," ","")&amp;",")))&lt;&gt;(LEN(SUBSTITUTE(SUBSTITUTE(SUBSTITUTE(TRIM($H209),"/",","),";",",")," ",""))-LEN(SUBSTITUTE(SUBSTITUTE(SUBSTITUTE(SUBSTITUTE(TRIM($H209),"/",","),";",",")," ",""),",",""))+1),"Genre di luar daftar",""))),IF($I209="","Nama Channel kosong",""),IF($J209="","Link Channel kosong",IF(ISERROR(SEARCH("youtu",$J209)),"Link Channel bukan youtube","")),IF($K209="","Link Video kosong",IF(ISERROR(SEARCH("youtu",$K209)),"Link Video bukan youtube","")),IF($L209="","Tgl Dibuat kosong",IF(NOT(ISNUMBER($L209)),"Tgl Dibuat bukan tanggal","")),IF(AND($M209&lt;&gt;"",NOT(ISNUMBER($M209))),"Tgl Publish bukan tanggal",""),IF(AND(ISNUMBER($L209),ISNUMBER($M209),$M209&lt;$L209),"Tgl Publish &lt; Tgl buat",""),IF(TRIM($N209)="","Status kosong",IF(ISERROR(MATCH(TRIM($N209),{"Draft","Menunggu Review","Revisi","Terjadwal","Upload","Publish","Published","Batal"},0)),"Status di luar daftar","")))),""))</f>
        <v/>
      </c>
      <c r="S209" s="12">
        <f>IF(AND($A209&lt;&gt;"",$C209&lt;&gt;""),IF(COUNTIFS($A$2:$A$1000,$A209,$C$2:$C$1000,$C209)&gt;1,"DUPLICAT",""),"")</f>
        <v/>
      </c>
    </row>
    <row r="210">
      <c r="A210" s="17" t="n"/>
      <c r="B210" s="17" t="n"/>
      <c r="C210" s="17" t="n"/>
      <c r="D210" s="18" t="n"/>
      <c r="E210" s="17" t="n"/>
      <c r="F210" s="19" t="n"/>
      <c r="G210" s="17" t="n"/>
      <c r="H210" s="17" t="n"/>
      <c r="I210" s="17" t="n"/>
      <c r="J210" s="19" t="n"/>
      <c r="K210" s="19" t="n"/>
      <c r="L210" s="20" t="n"/>
      <c r="M210" s="20" t="n"/>
      <c r="N210" s="17" t="n"/>
      <c r="O210" s="17" t="n"/>
      <c r="P210" s="21">
        <f>IF(AND(ISNUMBER($L210),ISNUMBER($M210)),MAX(0,$M210-$L210),"")</f>
        <v/>
      </c>
      <c r="Q210" s="21">
        <f>IF(ISNUMBER($D210),MAX(0,TODAY()-$D210),"")</f>
        <v/>
      </c>
      <c r="R210" s="19">
        <f>IF(COUNTA($A210:$O210)=0,"",IFERROR(TRIM(TEXTJOIN(" | ",TRUE,IF($A210="","PC kosong",""),IF($C210="","Worker ID kosong",""),IF($D210="","Update Date kosong",IF(NOT(ISNUMBER($D210)),"Update Date bukan tanggal","")),IF($E210="","Song ID YT kosong",""),IF($F210="","Judul kosong",""),IF(TRIM($G210)="","",IF(ISERROR(MATCH(TRIM($G210),{"TuneCore","DistroKid","TooLost","SoundOn","Ditto","Believe","CD Baby","Amuse","Symphonic Distribution","ONErpm","RouteNote","LANDR","Horus Music","Indie"},0)),"Aggregator di luar daftar","")),IF(TRIM($H210)="","Genre kosong",IF((LEN(SUBSTITUTE(SUBSTITUTE(SUBSTITUTE(TRIM($H210),"/",","),";",",")," ",""))-LEN(SUBSTITUTE(SUBSTITUTE(SUBSTITUTE(SUBSTITUTE(TRIM($H210),"/",","),";",","),"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210),"/",","),";",",")," ","")&amp;",")))&lt;&gt;(LEN(SUBSTITUTE(SUBSTITUTE(SUBSTITUTE(TRIM($H210),"/",","),";",",")," ",""))-LEN(SUBSTITUTE(SUBSTITUTE(SUBSTITUTE(SUBSTITUTE(TRIM($H210),"/",","),";",",")," ",""),",",""))+1),"Genre di luar daftar",""))),IF($I210="","Nama Channel kosong",""),IF($J210="","Link Channel kosong",IF(ISERROR(SEARCH("youtu",$J210)),"Link Channel bukan youtube","")),IF($K210="","Link Video kosong",IF(ISERROR(SEARCH("youtu",$K210)),"Link Video bukan youtube","")),IF($L210="","Tgl Dibuat kosong",IF(NOT(ISNUMBER($L210)),"Tgl Dibuat bukan tanggal","")),IF(AND($M210&lt;&gt;"",NOT(ISNUMBER($M210))),"Tgl Publish bukan tanggal",""),IF(AND(ISNUMBER($L210),ISNUMBER($M210),$M210&lt;$L210),"Tgl Publish &lt; Tgl buat",""),IF(TRIM($N210)="","Status kosong",IF(ISERROR(MATCH(TRIM($N210),{"Draft","Menunggu Review","Revisi","Terjadwal","Upload","Publish","Published","Batal"},0)),"Status di luar daftar","")))),""))</f>
        <v/>
      </c>
      <c r="S210" s="17">
        <f>IF(AND($A210&lt;&gt;"",$C210&lt;&gt;""),IF(COUNTIFS($A$2:$A$1000,$A210,$C$2:$C$1000,$C210)&gt;1,"DUPLICAT",""),"")</f>
        <v/>
      </c>
    </row>
    <row r="211">
      <c r="A211" s="12" t="n"/>
      <c r="B211" s="12" t="n"/>
      <c r="C211" s="12" t="n"/>
      <c r="D211" s="13" t="n"/>
      <c r="E211" s="12" t="n"/>
      <c r="F211" s="14" t="n"/>
      <c r="G211" s="12" t="n"/>
      <c r="H211" s="12" t="n"/>
      <c r="I211" s="12" t="n"/>
      <c r="J211" s="14" t="n"/>
      <c r="K211" s="14" t="n"/>
      <c r="L211" s="15" t="n"/>
      <c r="M211" s="15" t="n"/>
      <c r="N211" s="12" t="n"/>
      <c r="O211" s="12" t="n"/>
      <c r="P211" s="16">
        <f>IF(AND(ISNUMBER($L211),ISNUMBER($M211)),MAX(0,$M211-$L211),"")</f>
        <v/>
      </c>
      <c r="Q211" s="16">
        <f>IF(ISNUMBER($D211),MAX(0,TODAY()-$D211),"")</f>
        <v/>
      </c>
      <c r="R211" s="14">
        <f>IF(COUNTA($A211:$O211)=0,"",IFERROR(TRIM(TEXTJOIN(" | ",TRUE,IF($A211="","PC kosong",""),IF($C211="","Worker ID kosong",""),IF($D211="","Update Date kosong",IF(NOT(ISNUMBER($D211)),"Update Date bukan tanggal","")),IF($E211="","Song ID YT kosong",""),IF($F211="","Judul kosong",""),IF(TRIM($G211)="","",IF(ISERROR(MATCH(TRIM($G211),{"TuneCore","DistroKid","TooLost","SoundOn","Ditto","Believe","CD Baby","Amuse","Symphonic Distribution","ONErpm","RouteNote","LANDR","Horus Music","Indie"},0)),"Aggregator di luar daftar","")),IF(TRIM($H211)="","Genre kosong",IF((LEN(SUBSTITUTE(SUBSTITUTE(SUBSTITUTE(TRIM($H211),"/",","),";",",")," ",""))-LEN(SUBSTITUTE(SUBSTITUTE(SUBSTITUTE(SUBSTITUTE(TRIM($H211),"/",","),";",","),"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211),"/",","),";",",")," ","")&amp;",")))&lt;&gt;(LEN(SUBSTITUTE(SUBSTITUTE(SUBSTITUTE(TRIM($H211),"/",","),";",",")," ",""))-LEN(SUBSTITUTE(SUBSTITUTE(SUBSTITUTE(SUBSTITUTE(TRIM($H211),"/",","),";",",")," ",""),",",""))+1),"Genre di luar daftar",""))),IF($I211="","Nama Channel kosong",""),IF($J211="","Link Channel kosong",IF(ISERROR(SEARCH("youtu",$J211)),"Link Channel bukan youtube","")),IF($K211="","Link Video kosong",IF(ISERROR(SEARCH("youtu",$K211)),"Link Video bukan youtube","")),IF($L211="","Tgl Dibuat kosong",IF(NOT(ISNUMBER($L211)),"Tgl Dibuat bukan tanggal","")),IF(AND($M211&lt;&gt;"",NOT(ISNUMBER($M211))),"Tgl Publish bukan tanggal",""),IF(AND(ISNUMBER($L211),ISNUMBER($M211),$M211&lt;$L211),"Tgl Publish &lt; Tgl buat",""),IF(TRIM($N211)="","Status kosong",IF(ISERROR(MATCH(TRIM($N211),{"Draft","Menunggu Review","Revisi","Terjadwal","Upload","Publish","Published","Batal"},0)),"Status di luar daftar","")))),""))</f>
        <v/>
      </c>
      <c r="S211" s="12">
        <f>IF(AND($A211&lt;&gt;"",$C211&lt;&gt;""),IF(COUNTIFS($A$2:$A$1000,$A211,$C$2:$C$1000,$C211)&gt;1,"DUPLICAT",""),"")</f>
        <v/>
      </c>
    </row>
    <row r="212">
      <c r="A212" s="17" t="n"/>
      <c r="B212" s="17" t="n"/>
      <c r="C212" s="17" t="n"/>
      <c r="D212" s="18" t="n"/>
      <c r="E212" s="17" t="n"/>
      <c r="F212" s="19" t="n"/>
      <c r="G212" s="17" t="n"/>
      <c r="H212" s="17" t="n"/>
      <c r="I212" s="17" t="n"/>
      <c r="J212" s="19" t="n"/>
      <c r="K212" s="19" t="n"/>
      <c r="L212" s="20" t="n"/>
      <c r="M212" s="20" t="n"/>
      <c r="N212" s="17" t="n"/>
      <c r="O212" s="17" t="n"/>
      <c r="P212" s="21">
        <f>IF(AND(ISNUMBER($L212),ISNUMBER($M212)),MAX(0,$M212-$L212),"")</f>
        <v/>
      </c>
      <c r="Q212" s="21">
        <f>IF(ISNUMBER($D212),MAX(0,TODAY()-$D212),"")</f>
        <v/>
      </c>
      <c r="R212" s="19">
        <f>IF(COUNTA($A212:$O212)=0,"",IFERROR(TRIM(TEXTJOIN(" | ",TRUE,IF($A212="","PC kosong",""),IF($C212="","Worker ID kosong",""),IF($D212="","Update Date kosong",IF(NOT(ISNUMBER($D212)),"Update Date bukan tanggal","")),IF($E212="","Song ID YT kosong",""),IF($F212="","Judul kosong",""),IF(TRIM($G212)="","",IF(ISERROR(MATCH(TRIM($G212),{"TuneCore","DistroKid","TooLost","SoundOn","Ditto","Believe","CD Baby","Amuse","Symphonic Distribution","ONErpm","RouteNote","LANDR","Horus Music","Indie"},0)),"Aggregator di luar daftar","")),IF(TRIM($H212)="","Genre kosong",IF((LEN(SUBSTITUTE(SUBSTITUTE(SUBSTITUTE(TRIM($H212),"/",","),";",",")," ",""))-LEN(SUBSTITUTE(SUBSTITUTE(SUBSTITUTE(SUBSTITUTE(TRIM($H212),"/",","),";",","),"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212),"/",","),";",",")," ","")&amp;",")))&lt;&gt;(LEN(SUBSTITUTE(SUBSTITUTE(SUBSTITUTE(TRIM($H212),"/",","),";",",")," ",""))-LEN(SUBSTITUTE(SUBSTITUTE(SUBSTITUTE(SUBSTITUTE(TRIM($H212),"/",","),";",",")," ",""),",",""))+1),"Genre di luar daftar",""))),IF($I212="","Nama Channel kosong",""),IF($J212="","Link Channel kosong",IF(ISERROR(SEARCH("youtu",$J212)),"Link Channel bukan youtube","")),IF($K212="","Link Video kosong",IF(ISERROR(SEARCH("youtu",$K212)),"Link Video bukan youtube","")),IF($L212="","Tgl Dibuat kosong",IF(NOT(ISNUMBER($L212)),"Tgl Dibuat bukan tanggal","")),IF(AND($M212&lt;&gt;"",NOT(ISNUMBER($M212))),"Tgl Publish bukan tanggal",""),IF(AND(ISNUMBER($L212),ISNUMBER($M212),$M212&lt;$L212),"Tgl Publish &lt; Tgl buat",""),IF(TRIM($N212)="","Status kosong",IF(ISERROR(MATCH(TRIM($N212),{"Draft","Menunggu Review","Revisi","Terjadwal","Upload","Publish","Published","Batal"},0)),"Status di luar daftar","")))),""))</f>
        <v/>
      </c>
      <c r="S212" s="17">
        <f>IF(AND($A212&lt;&gt;"",$C212&lt;&gt;""),IF(COUNTIFS($A$2:$A$1000,$A212,$C$2:$C$1000,$C212)&gt;1,"DUPLICAT",""),"")</f>
        <v/>
      </c>
    </row>
    <row r="213">
      <c r="A213" s="12" t="n"/>
      <c r="B213" s="12" t="n"/>
      <c r="C213" s="12" t="n"/>
      <c r="D213" s="13" t="n"/>
      <c r="E213" s="12" t="n"/>
      <c r="F213" s="14" t="n"/>
      <c r="G213" s="12" t="n"/>
      <c r="H213" s="12" t="n"/>
      <c r="I213" s="12" t="n"/>
      <c r="J213" s="14" t="n"/>
      <c r="K213" s="14" t="n"/>
      <c r="L213" s="15" t="n"/>
      <c r="M213" s="15" t="n"/>
      <c r="N213" s="12" t="n"/>
      <c r="O213" s="12" t="n"/>
      <c r="P213" s="16">
        <f>IF(AND(ISNUMBER($L213),ISNUMBER($M213)),MAX(0,$M213-$L213),"")</f>
        <v/>
      </c>
      <c r="Q213" s="16">
        <f>IF(ISNUMBER($D213),MAX(0,TODAY()-$D213),"")</f>
        <v/>
      </c>
      <c r="R213" s="14">
        <f>IF(COUNTA($A213:$O213)=0,"",IFERROR(TRIM(TEXTJOIN(" | ",TRUE,IF($A213="","PC kosong",""),IF($C213="","Worker ID kosong",""),IF($D213="","Update Date kosong",IF(NOT(ISNUMBER($D213)),"Update Date bukan tanggal","")),IF($E213="","Song ID YT kosong",""),IF($F213="","Judul kosong",""),IF(TRIM($G213)="","",IF(ISERROR(MATCH(TRIM($G213),{"TuneCore","DistroKid","TooLost","SoundOn","Ditto","Believe","CD Baby","Amuse","Symphonic Distribution","ONErpm","RouteNote","LANDR","Horus Music","Indie"},0)),"Aggregator di luar daftar","")),IF(TRIM($H213)="","Genre kosong",IF((LEN(SUBSTITUTE(SUBSTITUTE(SUBSTITUTE(TRIM($H213),"/",","),";",",")," ",""))-LEN(SUBSTITUTE(SUBSTITUTE(SUBSTITUTE(SUBSTITUTE(TRIM($H213),"/",","),";",","),"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213),"/",","),";",",")," ","")&amp;",")))&lt;&gt;(LEN(SUBSTITUTE(SUBSTITUTE(SUBSTITUTE(TRIM($H213),"/",","),";",",")," ",""))-LEN(SUBSTITUTE(SUBSTITUTE(SUBSTITUTE(SUBSTITUTE(TRIM($H213),"/",","),";",",")," ",""),",",""))+1),"Genre di luar daftar",""))),IF($I213="","Nama Channel kosong",""),IF($J213="","Link Channel kosong",IF(ISERROR(SEARCH("youtu",$J213)),"Link Channel bukan youtube","")),IF($K213="","Link Video kosong",IF(ISERROR(SEARCH("youtu",$K213)),"Link Video bukan youtube","")),IF($L213="","Tgl Dibuat kosong",IF(NOT(ISNUMBER($L213)),"Tgl Dibuat bukan tanggal","")),IF(AND($M213&lt;&gt;"",NOT(ISNUMBER($M213))),"Tgl Publish bukan tanggal",""),IF(AND(ISNUMBER($L213),ISNUMBER($M213),$M213&lt;$L213),"Tgl Publish &lt; Tgl buat",""),IF(TRIM($N213)="","Status kosong",IF(ISERROR(MATCH(TRIM($N213),{"Draft","Menunggu Review","Revisi","Terjadwal","Upload","Publish","Published","Batal"},0)),"Status di luar daftar","")))),""))</f>
        <v/>
      </c>
      <c r="S213" s="12">
        <f>IF(AND($A213&lt;&gt;"",$C213&lt;&gt;""),IF(COUNTIFS($A$2:$A$1000,$A213,$C$2:$C$1000,$C213)&gt;1,"DUPLICAT",""),"")</f>
        <v/>
      </c>
    </row>
    <row r="214">
      <c r="A214" s="17" t="n"/>
      <c r="B214" s="17" t="n"/>
      <c r="C214" s="17" t="n"/>
      <c r="D214" s="18" t="n"/>
      <c r="E214" s="17" t="n"/>
      <c r="F214" s="19" t="n"/>
      <c r="G214" s="17" t="n"/>
      <c r="H214" s="17" t="n"/>
      <c r="I214" s="17" t="n"/>
      <c r="J214" s="19" t="n"/>
      <c r="K214" s="19" t="n"/>
      <c r="L214" s="20" t="n"/>
      <c r="M214" s="20" t="n"/>
      <c r="N214" s="17" t="n"/>
      <c r="O214" s="17" t="n"/>
      <c r="P214" s="21">
        <f>IF(AND(ISNUMBER($L214),ISNUMBER($M214)),MAX(0,$M214-$L214),"")</f>
        <v/>
      </c>
      <c r="Q214" s="21">
        <f>IF(ISNUMBER($D214),MAX(0,TODAY()-$D214),"")</f>
        <v/>
      </c>
      <c r="R214" s="19">
        <f>IF(COUNTA($A214:$O214)=0,"",IFERROR(TRIM(TEXTJOIN(" | ",TRUE,IF($A214="","PC kosong",""),IF($C214="","Worker ID kosong",""),IF($D214="","Update Date kosong",IF(NOT(ISNUMBER($D214)),"Update Date bukan tanggal","")),IF($E214="","Song ID YT kosong",""),IF($F214="","Judul kosong",""),IF(TRIM($G214)="","",IF(ISERROR(MATCH(TRIM($G214),{"TuneCore","DistroKid","TooLost","SoundOn","Ditto","Believe","CD Baby","Amuse","Symphonic Distribution","ONErpm","RouteNote","LANDR","Horus Music","Indie"},0)),"Aggregator di luar daftar","")),IF(TRIM($H214)="","Genre kosong",IF((LEN(SUBSTITUTE(SUBSTITUTE(SUBSTITUTE(TRIM($H214),"/",","),";",",")," ",""))-LEN(SUBSTITUTE(SUBSTITUTE(SUBSTITUTE(SUBSTITUTE(TRIM($H214),"/",","),";",","),"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214),"/",","),";",",")," ","")&amp;",")))&lt;&gt;(LEN(SUBSTITUTE(SUBSTITUTE(SUBSTITUTE(TRIM($H214),"/",","),";",",")," ",""))-LEN(SUBSTITUTE(SUBSTITUTE(SUBSTITUTE(SUBSTITUTE(TRIM($H214),"/",","),";",",")," ",""),",",""))+1),"Genre di luar daftar",""))),IF($I214="","Nama Channel kosong",""),IF($J214="","Link Channel kosong",IF(ISERROR(SEARCH("youtu",$J214)),"Link Channel bukan youtube","")),IF($K214="","Link Video kosong",IF(ISERROR(SEARCH("youtu",$K214)),"Link Video bukan youtube","")),IF($L214="","Tgl Dibuat kosong",IF(NOT(ISNUMBER($L214)),"Tgl Dibuat bukan tanggal","")),IF(AND($M214&lt;&gt;"",NOT(ISNUMBER($M214))),"Tgl Publish bukan tanggal",""),IF(AND(ISNUMBER($L214),ISNUMBER($M214),$M214&lt;$L214),"Tgl Publish &lt; Tgl buat",""),IF(TRIM($N214)="","Status kosong",IF(ISERROR(MATCH(TRIM($N214),{"Draft","Menunggu Review","Revisi","Terjadwal","Upload","Publish","Published","Batal"},0)),"Status di luar daftar","")))),""))</f>
        <v/>
      </c>
      <c r="S214" s="17">
        <f>IF(AND($A214&lt;&gt;"",$C214&lt;&gt;""),IF(COUNTIFS($A$2:$A$1000,$A214,$C$2:$C$1000,$C214)&gt;1,"DUPLICAT",""),"")</f>
        <v/>
      </c>
    </row>
    <row r="215">
      <c r="A215" s="12" t="n"/>
      <c r="B215" s="12" t="n"/>
      <c r="C215" s="12" t="n"/>
      <c r="D215" s="13" t="n"/>
      <c r="E215" s="12" t="n"/>
      <c r="F215" s="14" t="n"/>
      <c r="G215" s="12" t="n"/>
      <c r="H215" s="12" t="n"/>
      <c r="I215" s="12" t="n"/>
      <c r="J215" s="14" t="n"/>
      <c r="K215" s="14" t="n"/>
      <c r="L215" s="15" t="n"/>
      <c r="M215" s="15" t="n"/>
      <c r="N215" s="12" t="n"/>
      <c r="O215" s="12" t="n"/>
      <c r="P215" s="16">
        <f>IF(AND(ISNUMBER($L215),ISNUMBER($M215)),MAX(0,$M215-$L215),"")</f>
        <v/>
      </c>
      <c r="Q215" s="16">
        <f>IF(ISNUMBER($D215),MAX(0,TODAY()-$D215),"")</f>
        <v/>
      </c>
      <c r="R215" s="14">
        <f>IF(COUNTA($A215:$O215)=0,"",IFERROR(TRIM(TEXTJOIN(" | ",TRUE,IF($A215="","PC kosong",""),IF($C215="","Worker ID kosong",""),IF($D215="","Update Date kosong",IF(NOT(ISNUMBER($D215)),"Update Date bukan tanggal","")),IF($E215="","Song ID YT kosong",""),IF($F215="","Judul kosong",""),IF(TRIM($G215)="","",IF(ISERROR(MATCH(TRIM($G215),{"TuneCore","DistroKid","TooLost","SoundOn","Ditto","Believe","CD Baby","Amuse","Symphonic Distribution","ONErpm","RouteNote","LANDR","Horus Music","Indie"},0)),"Aggregator di luar daftar","")),IF(TRIM($H215)="","Genre kosong",IF((LEN(SUBSTITUTE(SUBSTITUTE(SUBSTITUTE(TRIM($H215),"/",","),";",",")," ",""))-LEN(SUBSTITUTE(SUBSTITUTE(SUBSTITUTE(SUBSTITUTE(TRIM($H215),"/",","),";",","),"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215),"/",","),";",",")," ","")&amp;",")))&lt;&gt;(LEN(SUBSTITUTE(SUBSTITUTE(SUBSTITUTE(TRIM($H215),"/",","),";",",")," ",""))-LEN(SUBSTITUTE(SUBSTITUTE(SUBSTITUTE(SUBSTITUTE(TRIM($H215),"/",","),";",",")," ",""),",",""))+1),"Genre di luar daftar",""))),IF($I215="","Nama Channel kosong",""),IF($J215="","Link Channel kosong",IF(ISERROR(SEARCH("youtu",$J215)),"Link Channel bukan youtube","")),IF($K215="","Link Video kosong",IF(ISERROR(SEARCH("youtu",$K215)),"Link Video bukan youtube","")),IF($L215="","Tgl Dibuat kosong",IF(NOT(ISNUMBER($L215)),"Tgl Dibuat bukan tanggal","")),IF(AND($M215&lt;&gt;"",NOT(ISNUMBER($M215))),"Tgl Publish bukan tanggal",""),IF(AND(ISNUMBER($L215),ISNUMBER($M215),$M215&lt;$L215),"Tgl Publish &lt; Tgl buat",""),IF(TRIM($N215)="","Status kosong",IF(ISERROR(MATCH(TRIM($N215),{"Draft","Menunggu Review","Revisi","Terjadwal","Upload","Publish","Published","Batal"},0)),"Status di luar daftar","")))),""))</f>
        <v/>
      </c>
      <c r="S215" s="12">
        <f>IF(AND($A215&lt;&gt;"",$C215&lt;&gt;""),IF(COUNTIFS($A$2:$A$1000,$A215,$C$2:$C$1000,$C215)&gt;1,"DUPLICAT",""),"")</f>
        <v/>
      </c>
    </row>
    <row r="216">
      <c r="A216" s="17" t="n"/>
      <c r="B216" s="17" t="n"/>
      <c r="C216" s="17" t="n"/>
      <c r="D216" s="18" t="n"/>
      <c r="E216" s="17" t="n"/>
      <c r="F216" s="19" t="n"/>
      <c r="G216" s="17" t="n"/>
      <c r="H216" s="17" t="n"/>
      <c r="I216" s="17" t="n"/>
      <c r="J216" s="19" t="n"/>
      <c r="K216" s="19" t="n"/>
      <c r="L216" s="20" t="n"/>
      <c r="M216" s="20" t="n"/>
      <c r="N216" s="17" t="n"/>
      <c r="O216" s="17" t="n"/>
      <c r="P216" s="21">
        <f>IF(AND(ISNUMBER($L216),ISNUMBER($M216)),MAX(0,$M216-$L216),"")</f>
        <v/>
      </c>
      <c r="Q216" s="21">
        <f>IF(ISNUMBER($D216),MAX(0,TODAY()-$D216),"")</f>
        <v/>
      </c>
      <c r="R216" s="19">
        <f>IF(COUNTA($A216:$O216)=0,"",IFERROR(TRIM(TEXTJOIN(" | ",TRUE,IF($A216="","PC kosong",""),IF($C216="","Worker ID kosong",""),IF($D216="","Update Date kosong",IF(NOT(ISNUMBER($D216)),"Update Date bukan tanggal","")),IF($E216="","Song ID YT kosong",""),IF($F216="","Judul kosong",""),IF(TRIM($G216)="","",IF(ISERROR(MATCH(TRIM($G216),{"TuneCore","DistroKid","TooLost","SoundOn","Ditto","Believe","CD Baby","Amuse","Symphonic Distribution","ONErpm","RouteNote","LANDR","Horus Music","Indie"},0)),"Aggregator di luar daftar","")),IF(TRIM($H216)="","Genre kosong",IF((LEN(SUBSTITUTE(SUBSTITUTE(SUBSTITUTE(TRIM($H216),"/",","),";",",")," ",""))-LEN(SUBSTITUTE(SUBSTITUTE(SUBSTITUTE(SUBSTITUTE(TRIM($H216),"/",","),";",","),"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216),"/",","),";",",")," ","")&amp;",")))&lt;&gt;(LEN(SUBSTITUTE(SUBSTITUTE(SUBSTITUTE(TRIM($H216),"/",","),";",",")," ",""))-LEN(SUBSTITUTE(SUBSTITUTE(SUBSTITUTE(SUBSTITUTE(TRIM($H216),"/",","),";",",")," ",""),",",""))+1),"Genre di luar daftar",""))),IF($I216="","Nama Channel kosong",""),IF($J216="","Link Channel kosong",IF(ISERROR(SEARCH("youtu",$J216)),"Link Channel bukan youtube","")),IF($K216="","Link Video kosong",IF(ISERROR(SEARCH("youtu",$K216)),"Link Video bukan youtube","")),IF($L216="","Tgl Dibuat kosong",IF(NOT(ISNUMBER($L216)),"Tgl Dibuat bukan tanggal","")),IF(AND($M216&lt;&gt;"",NOT(ISNUMBER($M216))),"Tgl Publish bukan tanggal",""),IF(AND(ISNUMBER($L216),ISNUMBER($M216),$M216&lt;$L216),"Tgl Publish &lt; Tgl buat",""),IF(TRIM($N216)="","Status kosong",IF(ISERROR(MATCH(TRIM($N216),{"Draft","Menunggu Review","Revisi","Terjadwal","Upload","Publish","Published","Batal"},0)),"Status di luar daftar","")))),""))</f>
        <v/>
      </c>
      <c r="S216" s="17">
        <f>IF(AND($A216&lt;&gt;"",$C216&lt;&gt;""),IF(COUNTIFS($A$2:$A$1000,$A216,$C$2:$C$1000,$C216)&gt;1,"DUPLICAT",""),"")</f>
        <v/>
      </c>
    </row>
    <row r="217">
      <c r="A217" s="12" t="n"/>
      <c r="B217" s="12" t="n"/>
      <c r="C217" s="12" t="n"/>
      <c r="D217" s="13" t="n"/>
      <c r="E217" s="12" t="n"/>
      <c r="F217" s="14" t="n"/>
      <c r="G217" s="12" t="n"/>
      <c r="H217" s="12" t="n"/>
      <c r="I217" s="12" t="n"/>
      <c r="J217" s="14" t="n"/>
      <c r="K217" s="14" t="n"/>
      <c r="L217" s="15" t="n"/>
      <c r="M217" s="15" t="n"/>
      <c r="N217" s="12" t="n"/>
      <c r="O217" s="12" t="n"/>
      <c r="P217" s="16">
        <f>IF(AND(ISNUMBER($L217),ISNUMBER($M217)),MAX(0,$M217-$L217),"")</f>
        <v/>
      </c>
      <c r="Q217" s="16">
        <f>IF(ISNUMBER($D217),MAX(0,TODAY()-$D217),"")</f>
        <v/>
      </c>
      <c r="R217" s="14">
        <f>IF(COUNTA($A217:$O217)=0,"",IFERROR(TRIM(TEXTJOIN(" | ",TRUE,IF($A217="","PC kosong",""),IF($C217="","Worker ID kosong",""),IF($D217="","Update Date kosong",IF(NOT(ISNUMBER($D217)),"Update Date bukan tanggal","")),IF($E217="","Song ID YT kosong",""),IF($F217="","Judul kosong",""),IF(TRIM($G217)="","",IF(ISERROR(MATCH(TRIM($G217),{"TuneCore","DistroKid","TooLost","SoundOn","Ditto","Believe","CD Baby","Amuse","Symphonic Distribution","ONErpm","RouteNote","LANDR","Horus Music","Indie"},0)),"Aggregator di luar daftar","")),IF(TRIM($H217)="","Genre kosong",IF((LEN(SUBSTITUTE(SUBSTITUTE(SUBSTITUTE(TRIM($H217),"/",","),";",",")," ",""))-LEN(SUBSTITUTE(SUBSTITUTE(SUBSTITUTE(SUBSTITUTE(TRIM($H217),"/",","),";",","),"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217),"/",","),";",",")," ","")&amp;",")))&lt;&gt;(LEN(SUBSTITUTE(SUBSTITUTE(SUBSTITUTE(TRIM($H217),"/",","),";",",")," ",""))-LEN(SUBSTITUTE(SUBSTITUTE(SUBSTITUTE(SUBSTITUTE(TRIM($H217),"/",","),";",",")," ",""),",",""))+1),"Genre di luar daftar",""))),IF($I217="","Nama Channel kosong",""),IF($J217="","Link Channel kosong",IF(ISERROR(SEARCH("youtu",$J217)),"Link Channel bukan youtube","")),IF($K217="","Link Video kosong",IF(ISERROR(SEARCH("youtu",$K217)),"Link Video bukan youtube","")),IF($L217="","Tgl Dibuat kosong",IF(NOT(ISNUMBER($L217)),"Tgl Dibuat bukan tanggal","")),IF(AND($M217&lt;&gt;"",NOT(ISNUMBER($M217))),"Tgl Publish bukan tanggal",""),IF(AND(ISNUMBER($L217),ISNUMBER($M217),$M217&lt;$L217),"Tgl Publish &lt; Tgl buat",""),IF(TRIM($N217)="","Status kosong",IF(ISERROR(MATCH(TRIM($N217),{"Draft","Menunggu Review","Revisi","Terjadwal","Upload","Publish","Published","Batal"},0)),"Status di luar daftar","")))),""))</f>
        <v/>
      </c>
      <c r="S217" s="12">
        <f>IF(AND($A217&lt;&gt;"",$C217&lt;&gt;""),IF(COUNTIFS($A$2:$A$1000,$A217,$C$2:$C$1000,$C217)&gt;1,"DUPLICAT",""),"")</f>
        <v/>
      </c>
    </row>
    <row r="218">
      <c r="A218" s="17" t="n"/>
      <c r="B218" s="17" t="n"/>
      <c r="C218" s="17" t="n"/>
      <c r="D218" s="18" t="n"/>
      <c r="E218" s="17" t="n"/>
      <c r="F218" s="19" t="n"/>
      <c r="G218" s="17" t="n"/>
      <c r="H218" s="17" t="n"/>
      <c r="I218" s="17" t="n"/>
      <c r="J218" s="19" t="n"/>
      <c r="K218" s="19" t="n"/>
      <c r="L218" s="20" t="n"/>
      <c r="M218" s="20" t="n"/>
      <c r="N218" s="17" t="n"/>
      <c r="O218" s="17" t="n"/>
      <c r="P218" s="21">
        <f>IF(AND(ISNUMBER($L218),ISNUMBER($M218)),MAX(0,$M218-$L218),"")</f>
        <v/>
      </c>
      <c r="Q218" s="21">
        <f>IF(ISNUMBER($D218),MAX(0,TODAY()-$D218),"")</f>
        <v/>
      </c>
      <c r="R218" s="19">
        <f>IF(COUNTA($A218:$O218)=0,"",IFERROR(TRIM(TEXTJOIN(" | ",TRUE,IF($A218="","PC kosong",""),IF($C218="","Worker ID kosong",""),IF($D218="","Update Date kosong",IF(NOT(ISNUMBER($D218)),"Update Date bukan tanggal","")),IF($E218="","Song ID YT kosong",""),IF($F218="","Judul kosong",""),IF(TRIM($G218)="","",IF(ISERROR(MATCH(TRIM($G218),{"TuneCore","DistroKid","TooLost","SoundOn","Ditto","Believe","CD Baby","Amuse","Symphonic Distribution","ONErpm","RouteNote","LANDR","Horus Music","Indie"},0)),"Aggregator di luar daftar","")),IF(TRIM($H218)="","Genre kosong",IF((LEN(SUBSTITUTE(SUBSTITUTE(SUBSTITUTE(TRIM($H218),"/",","),";",",")," ",""))-LEN(SUBSTITUTE(SUBSTITUTE(SUBSTITUTE(SUBSTITUTE(TRIM($H218),"/",","),";",","),"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218),"/",","),";",",")," ","")&amp;",")))&lt;&gt;(LEN(SUBSTITUTE(SUBSTITUTE(SUBSTITUTE(TRIM($H218),"/",","),";",",")," ",""))-LEN(SUBSTITUTE(SUBSTITUTE(SUBSTITUTE(SUBSTITUTE(TRIM($H218),"/",","),";",",")," ",""),",",""))+1),"Genre di luar daftar",""))),IF($I218="","Nama Channel kosong",""),IF($J218="","Link Channel kosong",IF(ISERROR(SEARCH("youtu",$J218)),"Link Channel bukan youtube","")),IF($K218="","Link Video kosong",IF(ISERROR(SEARCH("youtu",$K218)),"Link Video bukan youtube","")),IF($L218="","Tgl Dibuat kosong",IF(NOT(ISNUMBER($L218)),"Tgl Dibuat bukan tanggal","")),IF(AND($M218&lt;&gt;"",NOT(ISNUMBER($M218))),"Tgl Publish bukan tanggal",""),IF(AND(ISNUMBER($L218),ISNUMBER($M218),$M218&lt;$L218),"Tgl Publish &lt; Tgl buat",""),IF(TRIM($N218)="","Status kosong",IF(ISERROR(MATCH(TRIM($N218),{"Draft","Menunggu Review","Revisi","Terjadwal","Upload","Publish","Published","Batal"},0)),"Status di luar daftar","")))),""))</f>
        <v/>
      </c>
      <c r="S218" s="17">
        <f>IF(AND($A218&lt;&gt;"",$C218&lt;&gt;""),IF(COUNTIFS($A$2:$A$1000,$A218,$C$2:$C$1000,$C218)&gt;1,"DUPLICAT",""),"")</f>
        <v/>
      </c>
    </row>
    <row r="219">
      <c r="A219" s="12" t="n"/>
      <c r="B219" s="12" t="n"/>
      <c r="C219" s="12" t="n"/>
      <c r="D219" s="13" t="n"/>
      <c r="E219" s="12" t="n"/>
      <c r="F219" s="14" t="n"/>
      <c r="G219" s="12" t="n"/>
      <c r="H219" s="12" t="n"/>
      <c r="I219" s="12" t="n"/>
      <c r="J219" s="14" t="n"/>
      <c r="K219" s="14" t="n"/>
      <c r="L219" s="15" t="n"/>
      <c r="M219" s="15" t="n"/>
      <c r="N219" s="12" t="n"/>
      <c r="O219" s="12" t="n"/>
      <c r="P219" s="16">
        <f>IF(AND(ISNUMBER($L219),ISNUMBER($M219)),MAX(0,$M219-$L219),"")</f>
        <v/>
      </c>
      <c r="Q219" s="16">
        <f>IF(ISNUMBER($D219),MAX(0,TODAY()-$D219),"")</f>
        <v/>
      </c>
      <c r="R219" s="14">
        <f>IF(COUNTA($A219:$O219)=0,"",IFERROR(TRIM(TEXTJOIN(" | ",TRUE,IF($A219="","PC kosong",""),IF($C219="","Worker ID kosong",""),IF($D219="","Update Date kosong",IF(NOT(ISNUMBER($D219)),"Update Date bukan tanggal","")),IF($E219="","Song ID YT kosong",""),IF($F219="","Judul kosong",""),IF(TRIM($G219)="","",IF(ISERROR(MATCH(TRIM($G219),{"TuneCore","DistroKid","TooLost","SoundOn","Ditto","Believe","CD Baby","Amuse","Symphonic Distribution","ONErpm","RouteNote","LANDR","Horus Music","Indie"},0)),"Aggregator di luar daftar","")),IF(TRIM($H219)="","Genre kosong",IF((LEN(SUBSTITUTE(SUBSTITUTE(SUBSTITUTE(TRIM($H219),"/",","),";",",")," ",""))-LEN(SUBSTITUTE(SUBSTITUTE(SUBSTITUTE(SUBSTITUTE(TRIM($H219),"/",","),";",","),"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219),"/",","),";",",")," ","")&amp;",")))&lt;&gt;(LEN(SUBSTITUTE(SUBSTITUTE(SUBSTITUTE(TRIM($H219),"/",","),";",",")," ",""))-LEN(SUBSTITUTE(SUBSTITUTE(SUBSTITUTE(SUBSTITUTE(TRIM($H219),"/",","),";",",")," ",""),",",""))+1),"Genre di luar daftar",""))),IF($I219="","Nama Channel kosong",""),IF($J219="","Link Channel kosong",IF(ISERROR(SEARCH("youtu",$J219)),"Link Channel bukan youtube","")),IF($K219="","Link Video kosong",IF(ISERROR(SEARCH("youtu",$K219)),"Link Video bukan youtube","")),IF($L219="","Tgl Dibuat kosong",IF(NOT(ISNUMBER($L219)),"Tgl Dibuat bukan tanggal","")),IF(AND($M219&lt;&gt;"",NOT(ISNUMBER($M219))),"Tgl Publish bukan tanggal",""),IF(AND(ISNUMBER($L219),ISNUMBER($M219),$M219&lt;$L219),"Tgl Publish &lt; Tgl buat",""),IF(TRIM($N219)="","Status kosong",IF(ISERROR(MATCH(TRIM($N219),{"Draft","Menunggu Review","Revisi","Terjadwal","Upload","Publish","Published","Batal"},0)),"Status di luar daftar","")))),""))</f>
        <v/>
      </c>
      <c r="S219" s="12">
        <f>IF(AND($A219&lt;&gt;"",$C219&lt;&gt;""),IF(COUNTIFS($A$2:$A$1000,$A219,$C$2:$C$1000,$C219)&gt;1,"DUPLICAT",""),"")</f>
        <v/>
      </c>
    </row>
    <row r="220">
      <c r="A220" s="17" t="n"/>
      <c r="B220" s="17" t="n"/>
      <c r="C220" s="17" t="n"/>
      <c r="D220" s="18" t="n"/>
      <c r="E220" s="17" t="n"/>
      <c r="F220" s="19" t="n"/>
      <c r="G220" s="17" t="n"/>
      <c r="H220" s="17" t="n"/>
      <c r="I220" s="17" t="n"/>
      <c r="J220" s="19" t="n"/>
      <c r="K220" s="19" t="n"/>
      <c r="L220" s="20" t="n"/>
      <c r="M220" s="20" t="n"/>
      <c r="N220" s="17" t="n"/>
      <c r="O220" s="17" t="n"/>
      <c r="P220" s="21">
        <f>IF(AND(ISNUMBER($L220),ISNUMBER($M220)),MAX(0,$M220-$L220),"")</f>
        <v/>
      </c>
      <c r="Q220" s="21">
        <f>IF(ISNUMBER($D220),MAX(0,TODAY()-$D220),"")</f>
        <v/>
      </c>
      <c r="R220" s="19">
        <f>IF(COUNTA($A220:$O220)=0,"",IFERROR(TRIM(TEXTJOIN(" | ",TRUE,IF($A220="","PC kosong",""),IF($C220="","Worker ID kosong",""),IF($D220="","Update Date kosong",IF(NOT(ISNUMBER($D220)),"Update Date bukan tanggal","")),IF($E220="","Song ID YT kosong",""),IF($F220="","Judul kosong",""),IF(TRIM($G220)="","",IF(ISERROR(MATCH(TRIM($G220),{"TuneCore","DistroKid","TooLost","SoundOn","Ditto","Believe","CD Baby","Amuse","Symphonic Distribution","ONErpm","RouteNote","LANDR","Horus Music","Indie"},0)),"Aggregator di luar daftar","")),IF(TRIM($H220)="","Genre kosong",IF((LEN(SUBSTITUTE(SUBSTITUTE(SUBSTITUTE(TRIM($H220),"/",","),";",",")," ",""))-LEN(SUBSTITUTE(SUBSTITUTE(SUBSTITUTE(SUBSTITUTE(TRIM($H220),"/",","),";",","),"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220),"/",","),";",",")," ","")&amp;",")))&lt;&gt;(LEN(SUBSTITUTE(SUBSTITUTE(SUBSTITUTE(TRIM($H220),"/",","),";",",")," ",""))-LEN(SUBSTITUTE(SUBSTITUTE(SUBSTITUTE(SUBSTITUTE(TRIM($H220),"/",","),";",",")," ",""),",",""))+1),"Genre di luar daftar",""))),IF($I220="","Nama Channel kosong",""),IF($J220="","Link Channel kosong",IF(ISERROR(SEARCH("youtu",$J220)),"Link Channel bukan youtube","")),IF($K220="","Link Video kosong",IF(ISERROR(SEARCH("youtu",$K220)),"Link Video bukan youtube","")),IF($L220="","Tgl Dibuat kosong",IF(NOT(ISNUMBER($L220)),"Tgl Dibuat bukan tanggal","")),IF(AND($M220&lt;&gt;"",NOT(ISNUMBER($M220))),"Tgl Publish bukan tanggal",""),IF(AND(ISNUMBER($L220),ISNUMBER($M220),$M220&lt;$L220),"Tgl Publish &lt; Tgl buat",""),IF(TRIM($N220)="","Status kosong",IF(ISERROR(MATCH(TRIM($N220),{"Draft","Menunggu Review","Revisi","Terjadwal","Upload","Publish","Published","Batal"},0)),"Status di luar daftar","")))),""))</f>
        <v/>
      </c>
      <c r="S220" s="17">
        <f>IF(AND($A220&lt;&gt;"",$C220&lt;&gt;""),IF(COUNTIFS($A$2:$A$1000,$A220,$C$2:$C$1000,$C220)&gt;1,"DUPLICAT",""),"")</f>
        <v/>
      </c>
    </row>
    <row r="221">
      <c r="A221" s="12" t="n"/>
      <c r="B221" s="12" t="n"/>
      <c r="C221" s="12" t="n"/>
      <c r="D221" s="13" t="n"/>
      <c r="E221" s="12" t="n"/>
      <c r="F221" s="14" t="n"/>
      <c r="G221" s="12" t="n"/>
      <c r="H221" s="12" t="n"/>
      <c r="I221" s="12" t="n"/>
      <c r="J221" s="14" t="n"/>
      <c r="K221" s="14" t="n"/>
      <c r="L221" s="15" t="n"/>
      <c r="M221" s="15" t="n"/>
      <c r="N221" s="12" t="n"/>
      <c r="O221" s="12" t="n"/>
      <c r="P221" s="16">
        <f>IF(AND(ISNUMBER($L221),ISNUMBER($M221)),MAX(0,$M221-$L221),"")</f>
        <v/>
      </c>
      <c r="Q221" s="16">
        <f>IF(ISNUMBER($D221),MAX(0,TODAY()-$D221),"")</f>
        <v/>
      </c>
      <c r="R221" s="14">
        <f>IF(COUNTA($A221:$O221)=0,"",IFERROR(TRIM(TEXTJOIN(" | ",TRUE,IF($A221="","PC kosong",""),IF($C221="","Worker ID kosong",""),IF($D221="","Update Date kosong",IF(NOT(ISNUMBER($D221)),"Update Date bukan tanggal","")),IF($E221="","Song ID YT kosong",""),IF($F221="","Judul kosong",""),IF(TRIM($G221)="","",IF(ISERROR(MATCH(TRIM($G221),{"TuneCore","DistroKid","TooLost","SoundOn","Ditto","Believe","CD Baby","Amuse","Symphonic Distribution","ONErpm","RouteNote","LANDR","Horus Music","Indie"},0)),"Aggregator di luar daftar","")),IF(TRIM($H221)="","Genre kosong",IF((LEN(SUBSTITUTE(SUBSTITUTE(SUBSTITUTE(TRIM($H221),"/",","),";",",")," ",""))-LEN(SUBSTITUTE(SUBSTITUTE(SUBSTITUTE(SUBSTITUTE(TRIM($H221),"/",","),";",","),"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221),"/",","),";",",")," ","")&amp;",")))&lt;&gt;(LEN(SUBSTITUTE(SUBSTITUTE(SUBSTITUTE(TRIM($H221),"/",","),";",",")," ",""))-LEN(SUBSTITUTE(SUBSTITUTE(SUBSTITUTE(SUBSTITUTE(TRIM($H221),"/",","),";",",")," ",""),",",""))+1),"Genre di luar daftar",""))),IF($I221="","Nama Channel kosong",""),IF($J221="","Link Channel kosong",IF(ISERROR(SEARCH("youtu",$J221)),"Link Channel bukan youtube","")),IF($K221="","Link Video kosong",IF(ISERROR(SEARCH("youtu",$K221)),"Link Video bukan youtube","")),IF($L221="","Tgl Dibuat kosong",IF(NOT(ISNUMBER($L221)),"Tgl Dibuat bukan tanggal","")),IF(AND($M221&lt;&gt;"",NOT(ISNUMBER($M221))),"Tgl Publish bukan tanggal",""),IF(AND(ISNUMBER($L221),ISNUMBER($M221),$M221&lt;$L221),"Tgl Publish &lt; Tgl buat",""),IF(TRIM($N221)="","Status kosong",IF(ISERROR(MATCH(TRIM($N221),{"Draft","Menunggu Review","Revisi","Terjadwal","Upload","Publish","Published","Batal"},0)),"Status di luar daftar","")))),""))</f>
        <v/>
      </c>
      <c r="S221" s="12">
        <f>IF(AND($A221&lt;&gt;"",$C221&lt;&gt;""),IF(COUNTIFS($A$2:$A$1000,$A221,$C$2:$C$1000,$C221)&gt;1,"DUPLICAT",""),"")</f>
        <v/>
      </c>
    </row>
    <row r="222">
      <c r="A222" s="17" t="n"/>
      <c r="B222" s="17" t="n"/>
      <c r="C222" s="17" t="n"/>
      <c r="D222" s="18" t="n"/>
      <c r="E222" s="17" t="n"/>
      <c r="F222" s="19" t="n"/>
      <c r="G222" s="17" t="n"/>
      <c r="H222" s="17" t="n"/>
      <c r="I222" s="17" t="n"/>
      <c r="J222" s="19" t="n"/>
      <c r="K222" s="19" t="n"/>
      <c r="L222" s="20" t="n"/>
      <c r="M222" s="20" t="n"/>
      <c r="N222" s="17" t="n"/>
      <c r="O222" s="17" t="n"/>
      <c r="P222" s="21">
        <f>IF(AND(ISNUMBER($L222),ISNUMBER($M222)),MAX(0,$M222-$L222),"")</f>
        <v/>
      </c>
      <c r="Q222" s="21">
        <f>IF(ISNUMBER($D222),MAX(0,TODAY()-$D222),"")</f>
        <v/>
      </c>
      <c r="R222" s="19">
        <f>IF(COUNTA($A222:$O222)=0,"",IFERROR(TRIM(TEXTJOIN(" | ",TRUE,IF($A222="","PC kosong",""),IF($C222="","Worker ID kosong",""),IF($D222="","Update Date kosong",IF(NOT(ISNUMBER($D222)),"Update Date bukan tanggal","")),IF($E222="","Song ID YT kosong",""),IF($F222="","Judul kosong",""),IF(TRIM($G222)="","",IF(ISERROR(MATCH(TRIM($G222),{"TuneCore","DistroKid","TooLost","SoundOn","Ditto","Believe","CD Baby","Amuse","Symphonic Distribution","ONErpm","RouteNote","LANDR","Horus Music","Indie"},0)),"Aggregator di luar daftar","")),IF(TRIM($H222)="","Genre kosong",IF((LEN(SUBSTITUTE(SUBSTITUTE(SUBSTITUTE(TRIM($H222),"/",","),";",",")," ",""))-LEN(SUBSTITUTE(SUBSTITUTE(SUBSTITUTE(SUBSTITUTE(TRIM($H222),"/",","),";",","),"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222),"/",","),";",",")," ","")&amp;",")))&lt;&gt;(LEN(SUBSTITUTE(SUBSTITUTE(SUBSTITUTE(TRIM($H222),"/",","),";",",")," ",""))-LEN(SUBSTITUTE(SUBSTITUTE(SUBSTITUTE(SUBSTITUTE(TRIM($H222),"/",","),";",",")," ",""),",",""))+1),"Genre di luar daftar",""))),IF($I222="","Nama Channel kosong",""),IF($J222="","Link Channel kosong",IF(ISERROR(SEARCH("youtu",$J222)),"Link Channel bukan youtube","")),IF($K222="","Link Video kosong",IF(ISERROR(SEARCH("youtu",$K222)),"Link Video bukan youtube","")),IF($L222="","Tgl Dibuat kosong",IF(NOT(ISNUMBER($L222)),"Tgl Dibuat bukan tanggal","")),IF(AND($M222&lt;&gt;"",NOT(ISNUMBER($M222))),"Tgl Publish bukan tanggal",""),IF(AND(ISNUMBER($L222),ISNUMBER($M222),$M222&lt;$L222),"Tgl Publish &lt; Tgl buat",""),IF(TRIM($N222)="","Status kosong",IF(ISERROR(MATCH(TRIM($N222),{"Draft","Menunggu Review","Revisi","Terjadwal","Upload","Publish","Published","Batal"},0)),"Status di luar daftar","")))),""))</f>
        <v/>
      </c>
      <c r="S222" s="17">
        <f>IF(AND($A222&lt;&gt;"",$C222&lt;&gt;""),IF(COUNTIFS($A$2:$A$1000,$A222,$C$2:$C$1000,$C222)&gt;1,"DUPLICAT",""),"")</f>
        <v/>
      </c>
    </row>
    <row r="223">
      <c r="A223" s="12" t="n"/>
      <c r="B223" s="12" t="n"/>
      <c r="C223" s="12" t="n"/>
      <c r="D223" s="13" t="n"/>
      <c r="E223" s="12" t="n"/>
      <c r="F223" s="14" t="n"/>
      <c r="G223" s="12" t="n"/>
      <c r="H223" s="12" t="n"/>
      <c r="I223" s="12" t="n"/>
      <c r="J223" s="14" t="n"/>
      <c r="K223" s="14" t="n"/>
      <c r="L223" s="15" t="n"/>
      <c r="M223" s="15" t="n"/>
      <c r="N223" s="12" t="n"/>
      <c r="O223" s="12" t="n"/>
      <c r="P223" s="16">
        <f>IF(AND(ISNUMBER($L223),ISNUMBER($M223)),MAX(0,$M223-$L223),"")</f>
        <v/>
      </c>
      <c r="Q223" s="16">
        <f>IF(ISNUMBER($D223),MAX(0,TODAY()-$D223),"")</f>
        <v/>
      </c>
      <c r="R223" s="14">
        <f>IF(COUNTA($A223:$O223)=0,"",IFERROR(TRIM(TEXTJOIN(" | ",TRUE,IF($A223="","PC kosong",""),IF($C223="","Worker ID kosong",""),IF($D223="","Update Date kosong",IF(NOT(ISNUMBER($D223)),"Update Date bukan tanggal","")),IF($E223="","Song ID YT kosong",""),IF($F223="","Judul kosong",""),IF(TRIM($G223)="","",IF(ISERROR(MATCH(TRIM($G223),{"TuneCore","DistroKid","TooLost","SoundOn","Ditto","Believe","CD Baby","Amuse","Symphonic Distribution","ONErpm","RouteNote","LANDR","Horus Music","Indie"},0)),"Aggregator di luar daftar","")),IF(TRIM($H223)="","Genre kosong",IF((LEN(SUBSTITUTE(SUBSTITUTE(SUBSTITUTE(TRIM($H223),"/",","),";",",")," ",""))-LEN(SUBSTITUTE(SUBSTITUTE(SUBSTITUTE(SUBSTITUTE(TRIM($H223),"/",","),";",","),"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223),"/",","),";",",")," ","")&amp;",")))&lt;&gt;(LEN(SUBSTITUTE(SUBSTITUTE(SUBSTITUTE(TRIM($H223),"/",","),";",",")," ",""))-LEN(SUBSTITUTE(SUBSTITUTE(SUBSTITUTE(SUBSTITUTE(TRIM($H223),"/",","),";",",")," ",""),",",""))+1),"Genre di luar daftar",""))),IF($I223="","Nama Channel kosong",""),IF($J223="","Link Channel kosong",IF(ISERROR(SEARCH("youtu",$J223)),"Link Channel bukan youtube","")),IF($K223="","Link Video kosong",IF(ISERROR(SEARCH("youtu",$K223)),"Link Video bukan youtube","")),IF($L223="","Tgl Dibuat kosong",IF(NOT(ISNUMBER($L223)),"Tgl Dibuat bukan tanggal","")),IF(AND($M223&lt;&gt;"",NOT(ISNUMBER($M223))),"Tgl Publish bukan tanggal",""),IF(AND(ISNUMBER($L223),ISNUMBER($M223),$M223&lt;$L223),"Tgl Publish &lt; Tgl buat",""),IF(TRIM($N223)="","Status kosong",IF(ISERROR(MATCH(TRIM($N223),{"Draft","Menunggu Review","Revisi","Terjadwal","Upload","Publish","Published","Batal"},0)),"Status di luar daftar","")))),""))</f>
        <v/>
      </c>
      <c r="S223" s="12">
        <f>IF(AND($A223&lt;&gt;"",$C223&lt;&gt;""),IF(COUNTIFS($A$2:$A$1000,$A223,$C$2:$C$1000,$C223)&gt;1,"DUPLICAT",""),"")</f>
        <v/>
      </c>
    </row>
    <row r="224">
      <c r="A224" s="17" t="n"/>
      <c r="B224" s="17" t="n"/>
      <c r="C224" s="17" t="n"/>
      <c r="D224" s="18" t="n"/>
      <c r="E224" s="17" t="n"/>
      <c r="F224" s="19" t="n"/>
      <c r="G224" s="17" t="n"/>
      <c r="H224" s="17" t="n"/>
      <c r="I224" s="17" t="n"/>
      <c r="J224" s="19" t="n"/>
      <c r="K224" s="19" t="n"/>
      <c r="L224" s="20" t="n"/>
      <c r="M224" s="20" t="n"/>
      <c r="N224" s="17" t="n"/>
      <c r="O224" s="17" t="n"/>
      <c r="P224" s="21">
        <f>IF(AND(ISNUMBER($L224),ISNUMBER($M224)),MAX(0,$M224-$L224),"")</f>
        <v/>
      </c>
      <c r="Q224" s="21">
        <f>IF(ISNUMBER($D224),MAX(0,TODAY()-$D224),"")</f>
        <v/>
      </c>
      <c r="R224" s="19">
        <f>IF(COUNTA($A224:$O224)=0,"",IFERROR(TRIM(TEXTJOIN(" | ",TRUE,IF($A224="","PC kosong",""),IF($C224="","Worker ID kosong",""),IF($D224="","Update Date kosong",IF(NOT(ISNUMBER($D224)),"Update Date bukan tanggal","")),IF($E224="","Song ID YT kosong",""),IF($F224="","Judul kosong",""),IF(TRIM($G224)="","",IF(ISERROR(MATCH(TRIM($G224),{"TuneCore","DistroKid","TooLost","SoundOn","Ditto","Believe","CD Baby","Amuse","Symphonic Distribution","ONErpm","RouteNote","LANDR","Horus Music","Indie"},0)),"Aggregator di luar daftar","")),IF(TRIM($H224)="","Genre kosong",IF((LEN(SUBSTITUTE(SUBSTITUTE(SUBSTITUTE(TRIM($H224),"/",","),";",",")," ",""))-LEN(SUBSTITUTE(SUBSTITUTE(SUBSTITUTE(SUBSTITUTE(TRIM($H224),"/",","),";",","),"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224),"/",","),";",",")," ","")&amp;",")))&lt;&gt;(LEN(SUBSTITUTE(SUBSTITUTE(SUBSTITUTE(TRIM($H224),"/",","),";",",")," ",""))-LEN(SUBSTITUTE(SUBSTITUTE(SUBSTITUTE(SUBSTITUTE(TRIM($H224),"/",","),";",",")," ",""),",",""))+1),"Genre di luar daftar",""))),IF($I224="","Nama Channel kosong",""),IF($J224="","Link Channel kosong",IF(ISERROR(SEARCH("youtu",$J224)),"Link Channel bukan youtube","")),IF($K224="","Link Video kosong",IF(ISERROR(SEARCH("youtu",$K224)),"Link Video bukan youtube","")),IF($L224="","Tgl Dibuat kosong",IF(NOT(ISNUMBER($L224)),"Tgl Dibuat bukan tanggal","")),IF(AND($M224&lt;&gt;"",NOT(ISNUMBER($M224))),"Tgl Publish bukan tanggal",""),IF(AND(ISNUMBER($L224),ISNUMBER($M224),$M224&lt;$L224),"Tgl Publish &lt; Tgl buat",""),IF(TRIM($N224)="","Status kosong",IF(ISERROR(MATCH(TRIM($N224),{"Draft","Menunggu Review","Revisi","Terjadwal","Upload","Publish","Published","Batal"},0)),"Status di luar daftar","")))),""))</f>
        <v/>
      </c>
      <c r="S224" s="17">
        <f>IF(AND($A224&lt;&gt;"",$C224&lt;&gt;""),IF(COUNTIFS($A$2:$A$1000,$A224,$C$2:$C$1000,$C224)&gt;1,"DUPLICAT",""),"")</f>
        <v/>
      </c>
    </row>
    <row r="225">
      <c r="A225" s="12" t="n"/>
      <c r="B225" s="12" t="n"/>
      <c r="C225" s="12" t="n"/>
      <c r="D225" s="13" t="n"/>
      <c r="E225" s="12" t="n"/>
      <c r="F225" s="14" t="n"/>
      <c r="G225" s="12" t="n"/>
      <c r="H225" s="12" t="n"/>
      <c r="I225" s="12" t="n"/>
      <c r="J225" s="14" t="n"/>
      <c r="K225" s="14" t="n"/>
      <c r="L225" s="15" t="n"/>
      <c r="M225" s="15" t="n"/>
      <c r="N225" s="12" t="n"/>
      <c r="O225" s="12" t="n"/>
      <c r="P225" s="16">
        <f>IF(AND(ISNUMBER($L225),ISNUMBER($M225)),MAX(0,$M225-$L225),"")</f>
        <v/>
      </c>
      <c r="Q225" s="16">
        <f>IF(ISNUMBER($D225),MAX(0,TODAY()-$D225),"")</f>
        <v/>
      </c>
      <c r="R225" s="14">
        <f>IF(COUNTA($A225:$O225)=0,"",IFERROR(TRIM(TEXTJOIN(" | ",TRUE,IF($A225="","PC kosong",""),IF($C225="","Worker ID kosong",""),IF($D225="","Update Date kosong",IF(NOT(ISNUMBER($D225)),"Update Date bukan tanggal","")),IF($E225="","Song ID YT kosong",""),IF($F225="","Judul kosong",""),IF(TRIM($G225)="","",IF(ISERROR(MATCH(TRIM($G225),{"TuneCore","DistroKid","TooLost","SoundOn","Ditto","Believe","CD Baby","Amuse","Symphonic Distribution","ONErpm","RouteNote","LANDR","Horus Music","Indie"},0)),"Aggregator di luar daftar","")),IF(TRIM($H225)="","Genre kosong",IF((LEN(SUBSTITUTE(SUBSTITUTE(SUBSTITUTE(TRIM($H225),"/",","),";",",")," ",""))-LEN(SUBSTITUTE(SUBSTITUTE(SUBSTITUTE(SUBSTITUTE(TRIM($H225),"/",","),";",","),"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225),"/",","),";",",")," ","")&amp;",")))&lt;&gt;(LEN(SUBSTITUTE(SUBSTITUTE(SUBSTITUTE(TRIM($H225),"/",","),";",",")," ",""))-LEN(SUBSTITUTE(SUBSTITUTE(SUBSTITUTE(SUBSTITUTE(TRIM($H225),"/",","),";",",")," ",""),",",""))+1),"Genre di luar daftar",""))),IF($I225="","Nama Channel kosong",""),IF($J225="","Link Channel kosong",IF(ISERROR(SEARCH("youtu",$J225)),"Link Channel bukan youtube","")),IF($K225="","Link Video kosong",IF(ISERROR(SEARCH("youtu",$K225)),"Link Video bukan youtube","")),IF($L225="","Tgl Dibuat kosong",IF(NOT(ISNUMBER($L225)),"Tgl Dibuat bukan tanggal","")),IF(AND($M225&lt;&gt;"",NOT(ISNUMBER($M225))),"Tgl Publish bukan tanggal",""),IF(AND(ISNUMBER($L225),ISNUMBER($M225),$M225&lt;$L225),"Tgl Publish &lt; Tgl buat",""),IF(TRIM($N225)="","Status kosong",IF(ISERROR(MATCH(TRIM($N225),{"Draft","Menunggu Review","Revisi","Terjadwal","Upload","Publish","Published","Batal"},0)),"Status di luar daftar","")))),""))</f>
        <v/>
      </c>
      <c r="S225" s="12">
        <f>IF(AND($A225&lt;&gt;"",$C225&lt;&gt;""),IF(COUNTIFS($A$2:$A$1000,$A225,$C$2:$C$1000,$C225)&gt;1,"DUPLICAT",""),"")</f>
        <v/>
      </c>
    </row>
    <row r="226">
      <c r="A226" s="17" t="n"/>
      <c r="B226" s="17" t="n"/>
      <c r="C226" s="17" t="n"/>
      <c r="D226" s="18" t="n"/>
      <c r="E226" s="17" t="n"/>
      <c r="F226" s="19" t="n"/>
      <c r="G226" s="17" t="n"/>
      <c r="H226" s="17" t="n"/>
      <c r="I226" s="17" t="n"/>
      <c r="J226" s="19" t="n"/>
      <c r="K226" s="19" t="n"/>
      <c r="L226" s="20" t="n"/>
      <c r="M226" s="20" t="n"/>
      <c r="N226" s="17" t="n"/>
      <c r="O226" s="17" t="n"/>
      <c r="P226" s="21">
        <f>IF(AND(ISNUMBER($L226),ISNUMBER($M226)),MAX(0,$M226-$L226),"")</f>
        <v/>
      </c>
      <c r="Q226" s="21">
        <f>IF(ISNUMBER($D226),MAX(0,TODAY()-$D226),"")</f>
        <v/>
      </c>
      <c r="R226" s="19">
        <f>IF(COUNTA($A226:$O226)=0,"",IFERROR(TRIM(TEXTJOIN(" | ",TRUE,IF($A226="","PC kosong",""),IF($C226="","Worker ID kosong",""),IF($D226="","Update Date kosong",IF(NOT(ISNUMBER($D226)),"Update Date bukan tanggal","")),IF($E226="","Song ID YT kosong",""),IF($F226="","Judul kosong",""),IF(TRIM($G226)="","",IF(ISERROR(MATCH(TRIM($G226),{"TuneCore","DistroKid","TooLost","SoundOn","Ditto","Believe","CD Baby","Amuse","Symphonic Distribution","ONErpm","RouteNote","LANDR","Horus Music","Indie"},0)),"Aggregator di luar daftar","")),IF(TRIM($H226)="","Genre kosong",IF((LEN(SUBSTITUTE(SUBSTITUTE(SUBSTITUTE(TRIM($H226),"/",","),";",",")," ",""))-LEN(SUBSTITUTE(SUBSTITUTE(SUBSTITUTE(SUBSTITUTE(TRIM($H226),"/",","),";",","),"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226),"/",","),";",",")," ","")&amp;",")))&lt;&gt;(LEN(SUBSTITUTE(SUBSTITUTE(SUBSTITUTE(TRIM($H226),"/",","),";",",")," ",""))-LEN(SUBSTITUTE(SUBSTITUTE(SUBSTITUTE(SUBSTITUTE(TRIM($H226),"/",","),";",",")," ",""),",",""))+1),"Genre di luar daftar",""))),IF($I226="","Nama Channel kosong",""),IF($J226="","Link Channel kosong",IF(ISERROR(SEARCH("youtu",$J226)),"Link Channel bukan youtube","")),IF($K226="","Link Video kosong",IF(ISERROR(SEARCH("youtu",$K226)),"Link Video bukan youtube","")),IF($L226="","Tgl Dibuat kosong",IF(NOT(ISNUMBER($L226)),"Tgl Dibuat bukan tanggal","")),IF(AND($M226&lt;&gt;"",NOT(ISNUMBER($M226))),"Tgl Publish bukan tanggal",""),IF(AND(ISNUMBER($L226),ISNUMBER($M226),$M226&lt;$L226),"Tgl Publish &lt; Tgl buat",""),IF(TRIM($N226)="","Status kosong",IF(ISERROR(MATCH(TRIM($N226),{"Draft","Menunggu Review","Revisi","Terjadwal","Upload","Publish","Published","Batal"},0)),"Status di luar daftar","")))),""))</f>
        <v/>
      </c>
      <c r="S226" s="17">
        <f>IF(AND($A226&lt;&gt;"",$C226&lt;&gt;""),IF(COUNTIFS($A$2:$A$1000,$A226,$C$2:$C$1000,$C226)&gt;1,"DUPLICAT",""),"")</f>
        <v/>
      </c>
    </row>
    <row r="227">
      <c r="A227" s="12" t="n"/>
      <c r="B227" s="12" t="n"/>
      <c r="C227" s="12" t="n"/>
      <c r="D227" s="13" t="n"/>
      <c r="E227" s="12" t="n"/>
      <c r="F227" s="14" t="n"/>
      <c r="G227" s="12" t="n"/>
      <c r="H227" s="12" t="n"/>
      <c r="I227" s="12" t="n"/>
      <c r="J227" s="14" t="n"/>
      <c r="K227" s="14" t="n"/>
      <c r="L227" s="15" t="n"/>
      <c r="M227" s="15" t="n"/>
      <c r="N227" s="12" t="n"/>
      <c r="O227" s="12" t="n"/>
      <c r="P227" s="16">
        <f>IF(AND(ISNUMBER($L227),ISNUMBER($M227)),MAX(0,$M227-$L227),"")</f>
        <v/>
      </c>
      <c r="Q227" s="16">
        <f>IF(ISNUMBER($D227),MAX(0,TODAY()-$D227),"")</f>
        <v/>
      </c>
      <c r="R227" s="14">
        <f>IF(COUNTA($A227:$O227)=0,"",IFERROR(TRIM(TEXTJOIN(" | ",TRUE,IF($A227="","PC kosong",""),IF($C227="","Worker ID kosong",""),IF($D227="","Update Date kosong",IF(NOT(ISNUMBER($D227)),"Update Date bukan tanggal","")),IF($E227="","Song ID YT kosong",""),IF($F227="","Judul kosong",""),IF(TRIM($G227)="","",IF(ISERROR(MATCH(TRIM($G227),{"TuneCore","DistroKid","TooLost","SoundOn","Ditto","Believe","CD Baby","Amuse","Symphonic Distribution","ONErpm","RouteNote","LANDR","Horus Music","Indie"},0)),"Aggregator di luar daftar","")),IF(TRIM($H227)="","Genre kosong",IF((LEN(SUBSTITUTE(SUBSTITUTE(SUBSTITUTE(TRIM($H227),"/",","),";",",")," ",""))-LEN(SUBSTITUTE(SUBSTITUTE(SUBSTITUTE(SUBSTITUTE(TRIM($H227),"/",","),";",","),"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227),"/",","),";",",")," ","")&amp;",")))&lt;&gt;(LEN(SUBSTITUTE(SUBSTITUTE(SUBSTITUTE(TRIM($H227),"/",","),";",",")," ",""))-LEN(SUBSTITUTE(SUBSTITUTE(SUBSTITUTE(SUBSTITUTE(TRIM($H227),"/",","),";",",")," ",""),",",""))+1),"Genre di luar daftar",""))),IF($I227="","Nama Channel kosong",""),IF($J227="","Link Channel kosong",IF(ISERROR(SEARCH("youtu",$J227)),"Link Channel bukan youtube","")),IF($K227="","Link Video kosong",IF(ISERROR(SEARCH("youtu",$K227)),"Link Video bukan youtube","")),IF($L227="","Tgl Dibuat kosong",IF(NOT(ISNUMBER($L227)),"Tgl Dibuat bukan tanggal","")),IF(AND($M227&lt;&gt;"",NOT(ISNUMBER($M227))),"Tgl Publish bukan tanggal",""),IF(AND(ISNUMBER($L227),ISNUMBER($M227),$M227&lt;$L227),"Tgl Publish &lt; Tgl buat",""),IF(TRIM($N227)="","Status kosong",IF(ISERROR(MATCH(TRIM($N227),{"Draft","Menunggu Review","Revisi","Terjadwal","Upload","Publish","Published","Batal"},0)),"Status di luar daftar","")))),""))</f>
        <v/>
      </c>
      <c r="S227" s="12">
        <f>IF(AND($A227&lt;&gt;"",$C227&lt;&gt;""),IF(COUNTIFS($A$2:$A$1000,$A227,$C$2:$C$1000,$C227)&gt;1,"DUPLICAT",""),"")</f>
        <v/>
      </c>
    </row>
    <row r="228">
      <c r="A228" s="17" t="n"/>
      <c r="B228" s="17" t="n"/>
      <c r="C228" s="17" t="n"/>
      <c r="D228" s="18" t="n"/>
      <c r="E228" s="17" t="n"/>
      <c r="F228" s="19" t="n"/>
      <c r="G228" s="17" t="n"/>
      <c r="H228" s="17" t="n"/>
      <c r="I228" s="17" t="n"/>
      <c r="J228" s="19" t="n"/>
      <c r="K228" s="19" t="n"/>
      <c r="L228" s="20" t="n"/>
      <c r="M228" s="20" t="n"/>
      <c r="N228" s="17" t="n"/>
      <c r="O228" s="17" t="n"/>
      <c r="P228" s="21">
        <f>IF(AND(ISNUMBER($L228),ISNUMBER($M228)),MAX(0,$M228-$L228),"")</f>
        <v/>
      </c>
      <c r="Q228" s="21">
        <f>IF(ISNUMBER($D228),MAX(0,TODAY()-$D228),"")</f>
        <v/>
      </c>
      <c r="R228" s="19">
        <f>IF(COUNTA($A228:$O228)=0,"",IFERROR(TRIM(TEXTJOIN(" | ",TRUE,IF($A228="","PC kosong",""),IF($C228="","Worker ID kosong",""),IF($D228="","Update Date kosong",IF(NOT(ISNUMBER($D228)),"Update Date bukan tanggal","")),IF($E228="","Song ID YT kosong",""),IF($F228="","Judul kosong",""),IF(TRIM($G228)="","",IF(ISERROR(MATCH(TRIM($G228),{"TuneCore","DistroKid","TooLost","SoundOn","Ditto","Believe","CD Baby","Amuse","Symphonic Distribution","ONErpm","RouteNote","LANDR","Horus Music","Indie"},0)),"Aggregator di luar daftar","")),IF(TRIM($H228)="","Genre kosong",IF((LEN(SUBSTITUTE(SUBSTITUTE(SUBSTITUTE(TRIM($H228),"/",","),";",",")," ",""))-LEN(SUBSTITUTE(SUBSTITUTE(SUBSTITUTE(SUBSTITUTE(TRIM($H228),"/",","),";",","),"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228),"/",","),";",",")," ","")&amp;",")))&lt;&gt;(LEN(SUBSTITUTE(SUBSTITUTE(SUBSTITUTE(TRIM($H228),"/",","),";",",")," ",""))-LEN(SUBSTITUTE(SUBSTITUTE(SUBSTITUTE(SUBSTITUTE(TRIM($H228),"/",","),";",",")," ",""),",",""))+1),"Genre di luar daftar",""))),IF($I228="","Nama Channel kosong",""),IF($J228="","Link Channel kosong",IF(ISERROR(SEARCH("youtu",$J228)),"Link Channel bukan youtube","")),IF($K228="","Link Video kosong",IF(ISERROR(SEARCH("youtu",$K228)),"Link Video bukan youtube","")),IF($L228="","Tgl Dibuat kosong",IF(NOT(ISNUMBER($L228)),"Tgl Dibuat bukan tanggal","")),IF(AND($M228&lt;&gt;"",NOT(ISNUMBER($M228))),"Tgl Publish bukan tanggal",""),IF(AND(ISNUMBER($L228),ISNUMBER($M228),$M228&lt;$L228),"Tgl Publish &lt; Tgl buat",""),IF(TRIM($N228)="","Status kosong",IF(ISERROR(MATCH(TRIM($N228),{"Draft","Menunggu Review","Revisi","Terjadwal","Upload","Publish","Published","Batal"},0)),"Status di luar daftar","")))),""))</f>
        <v/>
      </c>
      <c r="S228" s="17">
        <f>IF(AND($A228&lt;&gt;"",$C228&lt;&gt;""),IF(COUNTIFS($A$2:$A$1000,$A228,$C$2:$C$1000,$C228)&gt;1,"DUPLICAT",""),"")</f>
        <v/>
      </c>
    </row>
    <row r="229">
      <c r="A229" s="12" t="n"/>
      <c r="B229" s="12" t="n"/>
      <c r="C229" s="12" t="n"/>
      <c r="D229" s="13" t="n"/>
      <c r="E229" s="12" t="n"/>
      <c r="F229" s="14" t="n"/>
      <c r="G229" s="12" t="n"/>
      <c r="H229" s="12" t="n"/>
      <c r="I229" s="12" t="n"/>
      <c r="J229" s="14" t="n"/>
      <c r="K229" s="14" t="n"/>
      <c r="L229" s="15" t="n"/>
      <c r="M229" s="15" t="n"/>
      <c r="N229" s="12" t="n"/>
      <c r="O229" s="12" t="n"/>
      <c r="P229" s="16">
        <f>IF(AND(ISNUMBER($L229),ISNUMBER($M229)),MAX(0,$M229-$L229),"")</f>
        <v/>
      </c>
      <c r="Q229" s="16">
        <f>IF(ISNUMBER($D229),MAX(0,TODAY()-$D229),"")</f>
        <v/>
      </c>
      <c r="R229" s="14">
        <f>IF(COUNTA($A229:$O229)=0,"",IFERROR(TRIM(TEXTJOIN(" | ",TRUE,IF($A229="","PC kosong",""),IF($C229="","Worker ID kosong",""),IF($D229="","Update Date kosong",IF(NOT(ISNUMBER($D229)),"Update Date bukan tanggal","")),IF($E229="","Song ID YT kosong",""),IF($F229="","Judul kosong",""),IF(TRIM($G229)="","",IF(ISERROR(MATCH(TRIM($G229),{"TuneCore","DistroKid","TooLost","SoundOn","Ditto","Believe","CD Baby","Amuse","Symphonic Distribution","ONErpm","RouteNote","LANDR","Horus Music","Indie"},0)),"Aggregator di luar daftar","")),IF(TRIM($H229)="","Genre kosong",IF((LEN(SUBSTITUTE(SUBSTITUTE(SUBSTITUTE(TRIM($H229),"/",","),";",",")," ",""))-LEN(SUBSTITUTE(SUBSTITUTE(SUBSTITUTE(SUBSTITUTE(TRIM($H229),"/",","),";",","),"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229),"/",","),";",",")," ","")&amp;",")))&lt;&gt;(LEN(SUBSTITUTE(SUBSTITUTE(SUBSTITUTE(TRIM($H229),"/",","),";",",")," ",""))-LEN(SUBSTITUTE(SUBSTITUTE(SUBSTITUTE(SUBSTITUTE(TRIM($H229),"/",","),";",",")," ",""),",",""))+1),"Genre di luar daftar",""))),IF($I229="","Nama Channel kosong",""),IF($J229="","Link Channel kosong",IF(ISERROR(SEARCH("youtu",$J229)),"Link Channel bukan youtube","")),IF($K229="","Link Video kosong",IF(ISERROR(SEARCH("youtu",$K229)),"Link Video bukan youtube","")),IF($L229="","Tgl Dibuat kosong",IF(NOT(ISNUMBER($L229)),"Tgl Dibuat bukan tanggal","")),IF(AND($M229&lt;&gt;"",NOT(ISNUMBER($M229))),"Tgl Publish bukan tanggal",""),IF(AND(ISNUMBER($L229),ISNUMBER($M229),$M229&lt;$L229),"Tgl Publish &lt; Tgl buat",""),IF(TRIM($N229)="","Status kosong",IF(ISERROR(MATCH(TRIM($N229),{"Draft","Menunggu Review","Revisi","Terjadwal","Upload","Publish","Published","Batal"},0)),"Status di luar daftar","")))),""))</f>
        <v/>
      </c>
      <c r="S229" s="12">
        <f>IF(AND($A229&lt;&gt;"",$C229&lt;&gt;""),IF(COUNTIFS($A$2:$A$1000,$A229,$C$2:$C$1000,$C229)&gt;1,"DUPLICAT",""),"")</f>
        <v/>
      </c>
    </row>
    <row r="230">
      <c r="A230" s="17" t="n"/>
      <c r="B230" s="17" t="n"/>
      <c r="C230" s="17" t="n"/>
      <c r="D230" s="18" t="n"/>
      <c r="E230" s="17" t="n"/>
      <c r="F230" s="19" t="n"/>
      <c r="G230" s="17" t="n"/>
      <c r="H230" s="17" t="n"/>
      <c r="I230" s="17" t="n"/>
      <c r="J230" s="19" t="n"/>
      <c r="K230" s="19" t="n"/>
      <c r="L230" s="20" t="n"/>
      <c r="M230" s="20" t="n"/>
      <c r="N230" s="17" t="n"/>
      <c r="O230" s="17" t="n"/>
      <c r="P230" s="21">
        <f>IF(AND(ISNUMBER($L230),ISNUMBER($M230)),MAX(0,$M230-$L230),"")</f>
        <v/>
      </c>
      <c r="Q230" s="21">
        <f>IF(ISNUMBER($D230),MAX(0,TODAY()-$D230),"")</f>
        <v/>
      </c>
      <c r="R230" s="19">
        <f>IF(COUNTA($A230:$O230)=0,"",IFERROR(TRIM(TEXTJOIN(" | ",TRUE,IF($A230="","PC kosong",""),IF($C230="","Worker ID kosong",""),IF($D230="","Update Date kosong",IF(NOT(ISNUMBER($D230)),"Update Date bukan tanggal","")),IF($E230="","Song ID YT kosong",""),IF($F230="","Judul kosong",""),IF(TRIM($G230)="","",IF(ISERROR(MATCH(TRIM($G230),{"TuneCore","DistroKid","TooLost","SoundOn","Ditto","Believe","CD Baby","Amuse","Symphonic Distribution","ONErpm","RouteNote","LANDR","Horus Music","Indie"},0)),"Aggregator di luar daftar","")),IF(TRIM($H230)="","Genre kosong",IF((LEN(SUBSTITUTE(SUBSTITUTE(SUBSTITUTE(TRIM($H230),"/",","),";",",")," ",""))-LEN(SUBSTITUTE(SUBSTITUTE(SUBSTITUTE(SUBSTITUTE(TRIM($H230),"/",","),";",","),"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230),"/",","),";",",")," ","")&amp;",")))&lt;&gt;(LEN(SUBSTITUTE(SUBSTITUTE(SUBSTITUTE(TRIM($H230),"/",","),";",",")," ",""))-LEN(SUBSTITUTE(SUBSTITUTE(SUBSTITUTE(SUBSTITUTE(TRIM($H230),"/",","),";",",")," ",""),",",""))+1),"Genre di luar daftar",""))),IF($I230="","Nama Channel kosong",""),IF($J230="","Link Channel kosong",IF(ISERROR(SEARCH("youtu",$J230)),"Link Channel bukan youtube","")),IF($K230="","Link Video kosong",IF(ISERROR(SEARCH("youtu",$K230)),"Link Video bukan youtube","")),IF($L230="","Tgl Dibuat kosong",IF(NOT(ISNUMBER($L230)),"Tgl Dibuat bukan tanggal","")),IF(AND($M230&lt;&gt;"",NOT(ISNUMBER($M230))),"Tgl Publish bukan tanggal",""),IF(AND(ISNUMBER($L230),ISNUMBER($M230),$M230&lt;$L230),"Tgl Publish &lt; Tgl buat",""),IF(TRIM($N230)="","Status kosong",IF(ISERROR(MATCH(TRIM($N230),{"Draft","Menunggu Review","Revisi","Terjadwal","Upload","Publish","Published","Batal"},0)),"Status di luar daftar","")))),""))</f>
        <v/>
      </c>
      <c r="S230" s="17">
        <f>IF(AND($A230&lt;&gt;"",$C230&lt;&gt;""),IF(COUNTIFS($A$2:$A$1000,$A230,$C$2:$C$1000,$C230)&gt;1,"DUPLICAT",""),"")</f>
        <v/>
      </c>
    </row>
    <row r="231">
      <c r="A231" s="12" t="n"/>
      <c r="B231" s="12" t="n"/>
      <c r="C231" s="12" t="n"/>
      <c r="D231" s="13" t="n"/>
      <c r="E231" s="12" t="n"/>
      <c r="F231" s="14" t="n"/>
      <c r="G231" s="12" t="n"/>
      <c r="H231" s="12" t="n"/>
      <c r="I231" s="12" t="n"/>
      <c r="J231" s="14" t="n"/>
      <c r="K231" s="14" t="n"/>
      <c r="L231" s="15" t="n"/>
      <c r="M231" s="15" t="n"/>
      <c r="N231" s="12" t="n"/>
      <c r="O231" s="12" t="n"/>
      <c r="P231" s="16">
        <f>IF(AND(ISNUMBER($L231),ISNUMBER($M231)),MAX(0,$M231-$L231),"")</f>
        <v/>
      </c>
      <c r="Q231" s="16">
        <f>IF(ISNUMBER($D231),MAX(0,TODAY()-$D231),"")</f>
        <v/>
      </c>
      <c r="R231" s="14">
        <f>IF(COUNTA($A231:$O231)=0,"",IFERROR(TRIM(TEXTJOIN(" | ",TRUE,IF($A231="","PC kosong",""),IF($C231="","Worker ID kosong",""),IF($D231="","Update Date kosong",IF(NOT(ISNUMBER($D231)),"Update Date bukan tanggal","")),IF($E231="","Song ID YT kosong",""),IF($F231="","Judul kosong",""),IF(TRIM($G231)="","",IF(ISERROR(MATCH(TRIM($G231),{"TuneCore","DistroKid","TooLost","SoundOn","Ditto","Believe","CD Baby","Amuse","Symphonic Distribution","ONErpm","RouteNote","LANDR","Horus Music","Indie"},0)),"Aggregator di luar daftar","")),IF(TRIM($H231)="","Genre kosong",IF((LEN(SUBSTITUTE(SUBSTITUTE(SUBSTITUTE(TRIM($H231),"/",","),";",",")," ",""))-LEN(SUBSTITUTE(SUBSTITUTE(SUBSTITUTE(SUBSTITUTE(TRIM($H231),"/",","),";",","),"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231),"/",","),";",",")," ","")&amp;",")))&lt;&gt;(LEN(SUBSTITUTE(SUBSTITUTE(SUBSTITUTE(TRIM($H231),"/",","),";",",")," ",""))-LEN(SUBSTITUTE(SUBSTITUTE(SUBSTITUTE(SUBSTITUTE(TRIM($H231),"/",","),";",",")," ",""),",",""))+1),"Genre di luar daftar",""))),IF($I231="","Nama Channel kosong",""),IF($J231="","Link Channel kosong",IF(ISERROR(SEARCH("youtu",$J231)),"Link Channel bukan youtube","")),IF($K231="","Link Video kosong",IF(ISERROR(SEARCH("youtu",$K231)),"Link Video bukan youtube","")),IF($L231="","Tgl Dibuat kosong",IF(NOT(ISNUMBER($L231)),"Tgl Dibuat bukan tanggal","")),IF(AND($M231&lt;&gt;"",NOT(ISNUMBER($M231))),"Tgl Publish bukan tanggal",""),IF(AND(ISNUMBER($L231),ISNUMBER($M231),$M231&lt;$L231),"Tgl Publish &lt; Tgl buat",""),IF(TRIM($N231)="","Status kosong",IF(ISERROR(MATCH(TRIM($N231),{"Draft","Menunggu Review","Revisi","Terjadwal","Upload","Publish","Published","Batal"},0)),"Status di luar daftar","")))),""))</f>
        <v/>
      </c>
      <c r="S231" s="12">
        <f>IF(AND($A231&lt;&gt;"",$C231&lt;&gt;""),IF(COUNTIFS($A$2:$A$1000,$A231,$C$2:$C$1000,$C231)&gt;1,"DUPLICAT",""),"")</f>
        <v/>
      </c>
    </row>
    <row r="232">
      <c r="A232" s="17" t="n"/>
      <c r="B232" s="17" t="n"/>
      <c r="C232" s="17" t="n"/>
      <c r="D232" s="18" t="n"/>
      <c r="E232" s="17" t="n"/>
      <c r="F232" s="19" t="n"/>
      <c r="G232" s="17" t="n"/>
      <c r="H232" s="17" t="n"/>
      <c r="I232" s="17" t="n"/>
      <c r="J232" s="19" t="n"/>
      <c r="K232" s="19" t="n"/>
      <c r="L232" s="20" t="n"/>
      <c r="M232" s="20" t="n"/>
      <c r="N232" s="17" t="n"/>
      <c r="O232" s="17" t="n"/>
      <c r="P232" s="21">
        <f>IF(AND(ISNUMBER($L232),ISNUMBER($M232)),MAX(0,$M232-$L232),"")</f>
        <v/>
      </c>
      <c r="Q232" s="21">
        <f>IF(ISNUMBER($D232),MAX(0,TODAY()-$D232),"")</f>
        <v/>
      </c>
      <c r="R232" s="19">
        <f>IF(COUNTA($A232:$O232)=0,"",IFERROR(TRIM(TEXTJOIN(" | ",TRUE,IF($A232="","PC kosong",""),IF($C232="","Worker ID kosong",""),IF($D232="","Update Date kosong",IF(NOT(ISNUMBER($D232)),"Update Date bukan tanggal","")),IF($E232="","Song ID YT kosong",""),IF($F232="","Judul kosong",""),IF(TRIM($G232)="","",IF(ISERROR(MATCH(TRIM($G232),{"TuneCore","DistroKid","TooLost","SoundOn","Ditto","Believe","CD Baby","Amuse","Symphonic Distribution","ONErpm","RouteNote","LANDR","Horus Music","Indie"},0)),"Aggregator di luar daftar","")),IF(TRIM($H232)="","Genre kosong",IF((LEN(SUBSTITUTE(SUBSTITUTE(SUBSTITUTE(TRIM($H232),"/",","),";",",")," ",""))-LEN(SUBSTITUTE(SUBSTITUTE(SUBSTITUTE(SUBSTITUTE(TRIM($H232),"/",","),";",","),"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232),"/",","),";",",")," ","")&amp;",")))&lt;&gt;(LEN(SUBSTITUTE(SUBSTITUTE(SUBSTITUTE(TRIM($H232),"/",","),";",",")," ",""))-LEN(SUBSTITUTE(SUBSTITUTE(SUBSTITUTE(SUBSTITUTE(TRIM($H232),"/",","),";",",")," ",""),",",""))+1),"Genre di luar daftar",""))),IF($I232="","Nama Channel kosong",""),IF($J232="","Link Channel kosong",IF(ISERROR(SEARCH("youtu",$J232)),"Link Channel bukan youtube","")),IF($K232="","Link Video kosong",IF(ISERROR(SEARCH("youtu",$K232)),"Link Video bukan youtube","")),IF($L232="","Tgl Dibuat kosong",IF(NOT(ISNUMBER($L232)),"Tgl Dibuat bukan tanggal","")),IF(AND($M232&lt;&gt;"",NOT(ISNUMBER($M232))),"Tgl Publish bukan tanggal",""),IF(AND(ISNUMBER($L232),ISNUMBER($M232),$M232&lt;$L232),"Tgl Publish &lt; Tgl buat",""),IF(TRIM($N232)="","Status kosong",IF(ISERROR(MATCH(TRIM($N232),{"Draft","Menunggu Review","Revisi","Terjadwal","Upload","Publish","Published","Batal"},0)),"Status di luar daftar","")))),""))</f>
        <v/>
      </c>
      <c r="S232" s="17">
        <f>IF(AND($A232&lt;&gt;"",$C232&lt;&gt;""),IF(COUNTIFS($A$2:$A$1000,$A232,$C$2:$C$1000,$C232)&gt;1,"DUPLICAT",""),"")</f>
        <v/>
      </c>
    </row>
    <row r="233">
      <c r="A233" s="12" t="n"/>
      <c r="B233" s="12" t="n"/>
      <c r="C233" s="12" t="n"/>
      <c r="D233" s="13" t="n"/>
      <c r="E233" s="12" t="n"/>
      <c r="F233" s="14" t="n"/>
      <c r="G233" s="12" t="n"/>
      <c r="H233" s="12" t="n"/>
      <c r="I233" s="12" t="n"/>
      <c r="J233" s="14" t="n"/>
      <c r="K233" s="14" t="n"/>
      <c r="L233" s="15" t="n"/>
      <c r="M233" s="15" t="n"/>
      <c r="N233" s="12" t="n"/>
      <c r="O233" s="12" t="n"/>
      <c r="P233" s="16">
        <f>IF(AND(ISNUMBER($L233),ISNUMBER($M233)),MAX(0,$M233-$L233),"")</f>
        <v/>
      </c>
      <c r="Q233" s="16">
        <f>IF(ISNUMBER($D233),MAX(0,TODAY()-$D233),"")</f>
        <v/>
      </c>
      <c r="R233" s="14">
        <f>IF(COUNTA($A233:$O233)=0,"",IFERROR(TRIM(TEXTJOIN(" | ",TRUE,IF($A233="","PC kosong",""),IF($C233="","Worker ID kosong",""),IF($D233="","Update Date kosong",IF(NOT(ISNUMBER($D233)),"Update Date bukan tanggal","")),IF($E233="","Song ID YT kosong",""),IF($F233="","Judul kosong",""),IF(TRIM($G233)="","",IF(ISERROR(MATCH(TRIM($G233),{"TuneCore","DistroKid","TooLost","SoundOn","Ditto","Believe","CD Baby","Amuse","Symphonic Distribution","ONErpm","RouteNote","LANDR","Horus Music","Indie"},0)),"Aggregator di luar daftar","")),IF(TRIM($H233)="","Genre kosong",IF((LEN(SUBSTITUTE(SUBSTITUTE(SUBSTITUTE(TRIM($H233),"/",","),";",",")," ",""))-LEN(SUBSTITUTE(SUBSTITUTE(SUBSTITUTE(SUBSTITUTE(TRIM($H233),"/",","),";",","),"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233),"/",","),";",",")," ","")&amp;",")))&lt;&gt;(LEN(SUBSTITUTE(SUBSTITUTE(SUBSTITUTE(TRIM($H233),"/",","),";",",")," ",""))-LEN(SUBSTITUTE(SUBSTITUTE(SUBSTITUTE(SUBSTITUTE(TRIM($H233),"/",","),";",",")," ",""),",",""))+1),"Genre di luar daftar",""))),IF($I233="","Nama Channel kosong",""),IF($J233="","Link Channel kosong",IF(ISERROR(SEARCH("youtu",$J233)),"Link Channel bukan youtube","")),IF($K233="","Link Video kosong",IF(ISERROR(SEARCH("youtu",$K233)),"Link Video bukan youtube","")),IF($L233="","Tgl Dibuat kosong",IF(NOT(ISNUMBER($L233)),"Tgl Dibuat bukan tanggal","")),IF(AND($M233&lt;&gt;"",NOT(ISNUMBER($M233))),"Tgl Publish bukan tanggal",""),IF(AND(ISNUMBER($L233),ISNUMBER($M233),$M233&lt;$L233),"Tgl Publish &lt; Tgl buat",""),IF(TRIM($N233)="","Status kosong",IF(ISERROR(MATCH(TRIM($N233),{"Draft","Menunggu Review","Revisi","Terjadwal","Upload","Publish","Published","Batal"},0)),"Status di luar daftar","")))),""))</f>
        <v/>
      </c>
      <c r="S233" s="12">
        <f>IF(AND($A233&lt;&gt;"",$C233&lt;&gt;""),IF(COUNTIFS($A$2:$A$1000,$A233,$C$2:$C$1000,$C233)&gt;1,"DUPLICAT",""),"")</f>
        <v/>
      </c>
    </row>
    <row r="234">
      <c r="A234" s="17" t="n"/>
      <c r="B234" s="17" t="n"/>
      <c r="C234" s="17" t="n"/>
      <c r="D234" s="18" t="n"/>
      <c r="E234" s="17" t="n"/>
      <c r="F234" s="19" t="n"/>
      <c r="G234" s="17" t="n"/>
      <c r="H234" s="17" t="n"/>
      <c r="I234" s="17" t="n"/>
      <c r="J234" s="19" t="n"/>
      <c r="K234" s="19" t="n"/>
      <c r="L234" s="20" t="n"/>
      <c r="M234" s="20" t="n"/>
      <c r="N234" s="17" t="n"/>
      <c r="O234" s="17" t="n"/>
      <c r="P234" s="21">
        <f>IF(AND(ISNUMBER($L234),ISNUMBER($M234)),MAX(0,$M234-$L234),"")</f>
        <v/>
      </c>
      <c r="Q234" s="21">
        <f>IF(ISNUMBER($D234),MAX(0,TODAY()-$D234),"")</f>
        <v/>
      </c>
      <c r="R234" s="19">
        <f>IF(COUNTA($A234:$O234)=0,"",IFERROR(TRIM(TEXTJOIN(" | ",TRUE,IF($A234="","PC kosong",""),IF($C234="","Worker ID kosong",""),IF($D234="","Update Date kosong",IF(NOT(ISNUMBER($D234)),"Update Date bukan tanggal","")),IF($E234="","Song ID YT kosong",""),IF($F234="","Judul kosong",""),IF(TRIM($G234)="","",IF(ISERROR(MATCH(TRIM($G234),{"TuneCore","DistroKid","TooLost","SoundOn","Ditto","Believe","CD Baby","Amuse","Symphonic Distribution","ONErpm","RouteNote","LANDR","Horus Music","Indie"},0)),"Aggregator di luar daftar","")),IF(TRIM($H234)="","Genre kosong",IF((LEN(SUBSTITUTE(SUBSTITUTE(SUBSTITUTE(TRIM($H234),"/",","),";",",")," ",""))-LEN(SUBSTITUTE(SUBSTITUTE(SUBSTITUTE(SUBSTITUTE(TRIM($H234),"/",","),";",","),"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234),"/",","),";",",")," ","")&amp;",")))&lt;&gt;(LEN(SUBSTITUTE(SUBSTITUTE(SUBSTITUTE(TRIM($H234),"/",","),";",",")," ",""))-LEN(SUBSTITUTE(SUBSTITUTE(SUBSTITUTE(SUBSTITUTE(TRIM($H234),"/",","),";",",")," ",""),",",""))+1),"Genre di luar daftar",""))),IF($I234="","Nama Channel kosong",""),IF($J234="","Link Channel kosong",IF(ISERROR(SEARCH("youtu",$J234)),"Link Channel bukan youtube","")),IF($K234="","Link Video kosong",IF(ISERROR(SEARCH("youtu",$K234)),"Link Video bukan youtube","")),IF($L234="","Tgl Dibuat kosong",IF(NOT(ISNUMBER($L234)),"Tgl Dibuat bukan tanggal","")),IF(AND($M234&lt;&gt;"",NOT(ISNUMBER($M234))),"Tgl Publish bukan tanggal",""),IF(AND(ISNUMBER($L234),ISNUMBER($M234),$M234&lt;$L234),"Tgl Publish &lt; Tgl buat",""),IF(TRIM($N234)="","Status kosong",IF(ISERROR(MATCH(TRIM($N234),{"Draft","Menunggu Review","Revisi","Terjadwal","Upload","Publish","Published","Batal"},0)),"Status di luar daftar","")))),""))</f>
        <v/>
      </c>
      <c r="S234" s="17">
        <f>IF(AND($A234&lt;&gt;"",$C234&lt;&gt;""),IF(COUNTIFS($A$2:$A$1000,$A234,$C$2:$C$1000,$C234)&gt;1,"DUPLICAT",""),"")</f>
        <v/>
      </c>
    </row>
    <row r="235">
      <c r="A235" s="12" t="n"/>
      <c r="B235" s="12" t="n"/>
      <c r="C235" s="12" t="n"/>
      <c r="D235" s="13" t="n"/>
      <c r="E235" s="12" t="n"/>
      <c r="F235" s="14" t="n"/>
      <c r="G235" s="12" t="n"/>
      <c r="H235" s="12" t="n"/>
      <c r="I235" s="12" t="n"/>
      <c r="J235" s="14" t="n"/>
      <c r="K235" s="14" t="n"/>
      <c r="L235" s="15" t="n"/>
      <c r="M235" s="15" t="n"/>
      <c r="N235" s="12" t="n"/>
      <c r="O235" s="12" t="n"/>
      <c r="P235" s="16">
        <f>IF(AND(ISNUMBER($L235),ISNUMBER($M235)),MAX(0,$M235-$L235),"")</f>
        <v/>
      </c>
      <c r="Q235" s="16">
        <f>IF(ISNUMBER($D235),MAX(0,TODAY()-$D235),"")</f>
        <v/>
      </c>
      <c r="R235" s="14">
        <f>IF(COUNTA($A235:$O235)=0,"",IFERROR(TRIM(TEXTJOIN(" | ",TRUE,IF($A235="","PC kosong",""),IF($C235="","Worker ID kosong",""),IF($D235="","Update Date kosong",IF(NOT(ISNUMBER($D235)),"Update Date bukan tanggal","")),IF($E235="","Song ID YT kosong",""),IF($F235="","Judul kosong",""),IF(TRIM($G235)="","",IF(ISERROR(MATCH(TRIM($G235),{"TuneCore","DistroKid","TooLost","SoundOn","Ditto","Believe","CD Baby","Amuse","Symphonic Distribution","ONErpm","RouteNote","LANDR","Horus Music","Indie"},0)),"Aggregator di luar daftar","")),IF(TRIM($H235)="","Genre kosong",IF((LEN(SUBSTITUTE(SUBSTITUTE(SUBSTITUTE(TRIM($H235),"/",","),";",",")," ",""))-LEN(SUBSTITUTE(SUBSTITUTE(SUBSTITUTE(SUBSTITUTE(TRIM($H235),"/",","),";",","),"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235),"/",","),";",",")," ","")&amp;",")))&lt;&gt;(LEN(SUBSTITUTE(SUBSTITUTE(SUBSTITUTE(TRIM($H235),"/",","),";",",")," ",""))-LEN(SUBSTITUTE(SUBSTITUTE(SUBSTITUTE(SUBSTITUTE(TRIM($H235),"/",","),";",",")," ",""),",",""))+1),"Genre di luar daftar",""))),IF($I235="","Nama Channel kosong",""),IF($J235="","Link Channel kosong",IF(ISERROR(SEARCH("youtu",$J235)),"Link Channel bukan youtube","")),IF($K235="","Link Video kosong",IF(ISERROR(SEARCH("youtu",$K235)),"Link Video bukan youtube","")),IF($L235="","Tgl Dibuat kosong",IF(NOT(ISNUMBER($L235)),"Tgl Dibuat bukan tanggal","")),IF(AND($M235&lt;&gt;"",NOT(ISNUMBER($M235))),"Tgl Publish bukan tanggal",""),IF(AND(ISNUMBER($L235),ISNUMBER($M235),$M235&lt;$L235),"Tgl Publish &lt; Tgl buat",""),IF(TRIM($N235)="","Status kosong",IF(ISERROR(MATCH(TRIM($N235),{"Draft","Menunggu Review","Revisi","Terjadwal","Upload","Publish","Published","Batal"},0)),"Status di luar daftar","")))),""))</f>
        <v/>
      </c>
      <c r="S235" s="12">
        <f>IF(AND($A235&lt;&gt;"",$C235&lt;&gt;""),IF(COUNTIFS($A$2:$A$1000,$A235,$C$2:$C$1000,$C235)&gt;1,"DUPLICAT",""),"")</f>
        <v/>
      </c>
    </row>
    <row r="236">
      <c r="A236" s="17" t="n"/>
      <c r="B236" s="17" t="n"/>
      <c r="C236" s="17" t="n"/>
      <c r="D236" s="18" t="n"/>
      <c r="E236" s="17" t="n"/>
      <c r="F236" s="19" t="n"/>
      <c r="G236" s="17" t="n"/>
      <c r="H236" s="17" t="n"/>
      <c r="I236" s="17" t="n"/>
      <c r="J236" s="19" t="n"/>
      <c r="K236" s="19" t="n"/>
      <c r="L236" s="20" t="n"/>
      <c r="M236" s="20" t="n"/>
      <c r="N236" s="17" t="n"/>
      <c r="O236" s="17" t="n"/>
      <c r="P236" s="21">
        <f>IF(AND(ISNUMBER($L236),ISNUMBER($M236)),MAX(0,$M236-$L236),"")</f>
        <v/>
      </c>
      <c r="Q236" s="21">
        <f>IF(ISNUMBER($D236),MAX(0,TODAY()-$D236),"")</f>
        <v/>
      </c>
      <c r="R236" s="19">
        <f>IF(COUNTA($A236:$O236)=0,"",IFERROR(TRIM(TEXTJOIN(" | ",TRUE,IF($A236="","PC kosong",""),IF($C236="","Worker ID kosong",""),IF($D236="","Update Date kosong",IF(NOT(ISNUMBER($D236)),"Update Date bukan tanggal","")),IF($E236="","Song ID YT kosong",""),IF($F236="","Judul kosong",""),IF(TRIM($G236)="","",IF(ISERROR(MATCH(TRIM($G236),{"TuneCore","DistroKid","TooLost","SoundOn","Ditto","Believe","CD Baby","Amuse","Symphonic Distribution","ONErpm","RouteNote","LANDR","Horus Music","Indie"},0)),"Aggregator di luar daftar","")),IF(TRIM($H236)="","Genre kosong",IF((LEN(SUBSTITUTE(SUBSTITUTE(SUBSTITUTE(TRIM($H236),"/",","),";",",")," ",""))-LEN(SUBSTITUTE(SUBSTITUTE(SUBSTITUTE(SUBSTITUTE(TRIM($H236),"/",","),";",","),"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236),"/",","),";",",")," ","")&amp;",")))&lt;&gt;(LEN(SUBSTITUTE(SUBSTITUTE(SUBSTITUTE(TRIM($H236),"/",","),";",",")," ",""))-LEN(SUBSTITUTE(SUBSTITUTE(SUBSTITUTE(SUBSTITUTE(TRIM($H236),"/",","),";",",")," ",""),",",""))+1),"Genre di luar daftar",""))),IF($I236="","Nama Channel kosong",""),IF($J236="","Link Channel kosong",IF(ISERROR(SEARCH("youtu",$J236)),"Link Channel bukan youtube","")),IF($K236="","Link Video kosong",IF(ISERROR(SEARCH("youtu",$K236)),"Link Video bukan youtube","")),IF($L236="","Tgl Dibuat kosong",IF(NOT(ISNUMBER($L236)),"Tgl Dibuat bukan tanggal","")),IF(AND($M236&lt;&gt;"",NOT(ISNUMBER($M236))),"Tgl Publish bukan tanggal",""),IF(AND(ISNUMBER($L236),ISNUMBER($M236),$M236&lt;$L236),"Tgl Publish &lt; Tgl buat",""),IF(TRIM($N236)="","Status kosong",IF(ISERROR(MATCH(TRIM($N236),{"Draft","Menunggu Review","Revisi","Terjadwal","Upload","Publish","Published","Batal"},0)),"Status di luar daftar","")))),""))</f>
        <v/>
      </c>
      <c r="S236" s="17">
        <f>IF(AND($A236&lt;&gt;"",$C236&lt;&gt;""),IF(COUNTIFS($A$2:$A$1000,$A236,$C$2:$C$1000,$C236)&gt;1,"DUPLICAT",""),"")</f>
        <v/>
      </c>
    </row>
    <row r="237">
      <c r="A237" s="12" t="n"/>
      <c r="B237" s="12" t="n"/>
      <c r="C237" s="12" t="n"/>
      <c r="D237" s="13" t="n"/>
      <c r="E237" s="12" t="n"/>
      <c r="F237" s="14" t="n"/>
      <c r="G237" s="12" t="n"/>
      <c r="H237" s="12" t="n"/>
      <c r="I237" s="12" t="n"/>
      <c r="J237" s="14" t="n"/>
      <c r="K237" s="14" t="n"/>
      <c r="L237" s="15" t="n"/>
      <c r="M237" s="15" t="n"/>
      <c r="N237" s="12" t="n"/>
      <c r="O237" s="12" t="n"/>
      <c r="P237" s="16">
        <f>IF(AND(ISNUMBER($L237),ISNUMBER($M237)),MAX(0,$M237-$L237),"")</f>
        <v/>
      </c>
      <c r="Q237" s="16">
        <f>IF(ISNUMBER($D237),MAX(0,TODAY()-$D237),"")</f>
        <v/>
      </c>
      <c r="R237" s="14">
        <f>IF(COUNTA($A237:$O237)=0,"",IFERROR(TRIM(TEXTJOIN(" | ",TRUE,IF($A237="","PC kosong",""),IF($C237="","Worker ID kosong",""),IF($D237="","Update Date kosong",IF(NOT(ISNUMBER($D237)),"Update Date bukan tanggal","")),IF($E237="","Song ID YT kosong",""),IF($F237="","Judul kosong",""),IF(TRIM($G237)="","",IF(ISERROR(MATCH(TRIM($G237),{"TuneCore","DistroKid","TooLost","SoundOn","Ditto","Believe","CD Baby","Amuse","Symphonic Distribution","ONErpm","RouteNote","LANDR","Horus Music","Indie"},0)),"Aggregator di luar daftar","")),IF(TRIM($H237)="","Genre kosong",IF((LEN(SUBSTITUTE(SUBSTITUTE(SUBSTITUTE(TRIM($H237),"/",","),";",",")," ",""))-LEN(SUBSTITUTE(SUBSTITUTE(SUBSTITUTE(SUBSTITUTE(TRIM($H237),"/",","),";",","),"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237),"/",","),";",",")," ","")&amp;",")))&lt;&gt;(LEN(SUBSTITUTE(SUBSTITUTE(SUBSTITUTE(TRIM($H237),"/",","),";",",")," ",""))-LEN(SUBSTITUTE(SUBSTITUTE(SUBSTITUTE(SUBSTITUTE(TRIM($H237),"/",","),";",",")," ",""),",",""))+1),"Genre di luar daftar",""))),IF($I237="","Nama Channel kosong",""),IF($J237="","Link Channel kosong",IF(ISERROR(SEARCH("youtu",$J237)),"Link Channel bukan youtube","")),IF($K237="","Link Video kosong",IF(ISERROR(SEARCH("youtu",$K237)),"Link Video bukan youtube","")),IF($L237="","Tgl Dibuat kosong",IF(NOT(ISNUMBER($L237)),"Tgl Dibuat bukan tanggal","")),IF(AND($M237&lt;&gt;"",NOT(ISNUMBER($M237))),"Tgl Publish bukan tanggal",""),IF(AND(ISNUMBER($L237),ISNUMBER($M237),$M237&lt;$L237),"Tgl Publish &lt; Tgl buat",""),IF(TRIM($N237)="","Status kosong",IF(ISERROR(MATCH(TRIM($N237),{"Draft","Menunggu Review","Revisi","Terjadwal","Upload","Publish","Published","Batal"},0)),"Status di luar daftar","")))),""))</f>
        <v/>
      </c>
      <c r="S237" s="12">
        <f>IF(AND($A237&lt;&gt;"",$C237&lt;&gt;""),IF(COUNTIFS($A$2:$A$1000,$A237,$C$2:$C$1000,$C237)&gt;1,"DUPLICAT",""),"")</f>
        <v/>
      </c>
    </row>
    <row r="238">
      <c r="A238" s="17" t="n"/>
      <c r="B238" s="17" t="n"/>
      <c r="C238" s="17" t="n"/>
      <c r="D238" s="18" t="n"/>
      <c r="E238" s="17" t="n"/>
      <c r="F238" s="19" t="n"/>
      <c r="G238" s="17" t="n"/>
      <c r="H238" s="17" t="n"/>
      <c r="I238" s="17" t="n"/>
      <c r="J238" s="19" t="n"/>
      <c r="K238" s="19" t="n"/>
      <c r="L238" s="20" t="n"/>
      <c r="M238" s="20" t="n"/>
      <c r="N238" s="17" t="n"/>
      <c r="O238" s="17" t="n"/>
      <c r="P238" s="21">
        <f>IF(AND(ISNUMBER($L238),ISNUMBER($M238)),MAX(0,$M238-$L238),"")</f>
        <v/>
      </c>
      <c r="Q238" s="21">
        <f>IF(ISNUMBER($D238),MAX(0,TODAY()-$D238),"")</f>
        <v/>
      </c>
      <c r="R238" s="19">
        <f>IF(COUNTA($A238:$O238)=0,"",IFERROR(TRIM(TEXTJOIN(" | ",TRUE,IF($A238="","PC kosong",""),IF($C238="","Worker ID kosong",""),IF($D238="","Update Date kosong",IF(NOT(ISNUMBER($D238)),"Update Date bukan tanggal","")),IF($E238="","Song ID YT kosong",""),IF($F238="","Judul kosong",""),IF(TRIM($G238)="","",IF(ISERROR(MATCH(TRIM($G238),{"TuneCore","DistroKid","TooLost","SoundOn","Ditto","Believe","CD Baby","Amuse","Symphonic Distribution","ONErpm","RouteNote","LANDR","Horus Music","Indie"},0)),"Aggregator di luar daftar","")),IF(TRIM($H238)="","Genre kosong",IF((LEN(SUBSTITUTE(SUBSTITUTE(SUBSTITUTE(TRIM($H238),"/",","),";",",")," ",""))-LEN(SUBSTITUTE(SUBSTITUTE(SUBSTITUTE(SUBSTITUTE(TRIM($H238),"/",","),";",","),"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238),"/",","),";",",")," ","")&amp;",")))&lt;&gt;(LEN(SUBSTITUTE(SUBSTITUTE(SUBSTITUTE(TRIM($H238),"/",","),";",",")," ",""))-LEN(SUBSTITUTE(SUBSTITUTE(SUBSTITUTE(SUBSTITUTE(TRIM($H238),"/",","),";",",")," ",""),",",""))+1),"Genre di luar daftar",""))),IF($I238="","Nama Channel kosong",""),IF($J238="","Link Channel kosong",IF(ISERROR(SEARCH("youtu",$J238)),"Link Channel bukan youtube","")),IF($K238="","Link Video kosong",IF(ISERROR(SEARCH("youtu",$K238)),"Link Video bukan youtube","")),IF($L238="","Tgl Dibuat kosong",IF(NOT(ISNUMBER($L238)),"Tgl Dibuat bukan tanggal","")),IF(AND($M238&lt;&gt;"",NOT(ISNUMBER($M238))),"Tgl Publish bukan tanggal",""),IF(AND(ISNUMBER($L238),ISNUMBER($M238),$M238&lt;$L238),"Tgl Publish &lt; Tgl buat",""),IF(TRIM($N238)="","Status kosong",IF(ISERROR(MATCH(TRIM($N238),{"Draft","Menunggu Review","Revisi","Terjadwal","Upload","Publish","Published","Batal"},0)),"Status di luar daftar","")))),""))</f>
        <v/>
      </c>
      <c r="S238" s="17">
        <f>IF(AND($A238&lt;&gt;"",$C238&lt;&gt;""),IF(COUNTIFS($A$2:$A$1000,$A238,$C$2:$C$1000,$C238)&gt;1,"DUPLICAT",""),"")</f>
        <v/>
      </c>
    </row>
    <row r="239">
      <c r="A239" s="12" t="n"/>
      <c r="B239" s="12" t="n"/>
      <c r="C239" s="12" t="n"/>
      <c r="D239" s="13" t="n"/>
      <c r="E239" s="12" t="n"/>
      <c r="F239" s="14" t="n"/>
      <c r="G239" s="12" t="n"/>
      <c r="H239" s="12" t="n"/>
      <c r="I239" s="12" t="n"/>
      <c r="J239" s="14" t="n"/>
      <c r="K239" s="14" t="n"/>
      <c r="L239" s="15" t="n"/>
      <c r="M239" s="15" t="n"/>
      <c r="N239" s="12" t="n"/>
      <c r="O239" s="12" t="n"/>
      <c r="P239" s="16">
        <f>IF(AND(ISNUMBER($L239),ISNUMBER($M239)),MAX(0,$M239-$L239),"")</f>
        <v/>
      </c>
      <c r="Q239" s="16">
        <f>IF(ISNUMBER($D239),MAX(0,TODAY()-$D239),"")</f>
        <v/>
      </c>
      <c r="R239" s="14">
        <f>IF(COUNTA($A239:$O239)=0,"",IFERROR(TRIM(TEXTJOIN(" | ",TRUE,IF($A239="","PC kosong",""),IF($C239="","Worker ID kosong",""),IF($D239="","Update Date kosong",IF(NOT(ISNUMBER($D239)),"Update Date bukan tanggal","")),IF($E239="","Song ID YT kosong",""),IF($F239="","Judul kosong",""),IF(TRIM($G239)="","",IF(ISERROR(MATCH(TRIM($G239),{"TuneCore","DistroKid","TooLost","SoundOn","Ditto","Believe","CD Baby","Amuse","Symphonic Distribution","ONErpm","RouteNote","LANDR","Horus Music","Indie"},0)),"Aggregator di luar daftar","")),IF(TRIM($H239)="","Genre kosong",IF((LEN(SUBSTITUTE(SUBSTITUTE(SUBSTITUTE(TRIM($H239),"/",","),";",",")," ",""))-LEN(SUBSTITUTE(SUBSTITUTE(SUBSTITUTE(SUBSTITUTE(TRIM($H239),"/",","),";",","),"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239),"/",","),";",",")," ","")&amp;",")))&lt;&gt;(LEN(SUBSTITUTE(SUBSTITUTE(SUBSTITUTE(TRIM($H239),"/",","),";",",")," ",""))-LEN(SUBSTITUTE(SUBSTITUTE(SUBSTITUTE(SUBSTITUTE(TRIM($H239),"/",","),";",",")," ",""),",",""))+1),"Genre di luar daftar",""))),IF($I239="","Nama Channel kosong",""),IF($J239="","Link Channel kosong",IF(ISERROR(SEARCH("youtu",$J239)),"Link Channel bukan youtube","")),IF($K239="","Link Video kosong",IF(ISERROR(SEARCH("youtu",$K239)),"Link Video bukan youtube","")),IF($L239="","Tgl Dibuat kosong",IF(NOT(ISNUMBER($L239)),"Tgl Dibuat bukan tanggal","")),IF(AND($M239&lt;&gt;"",NOT(ISNUMBER($M239))),"Tgl Publish bukan tanggal",""),IF(AND(ISNUMBER($L239),ISNUMBER($M239),$M239&lt;$L239),"Tgl Publish &lt; Tgl buat",""),IF(TRIM($N239)="","Status kosong",IF(ISERROR(MATCH(TRIM($N239),{"Draft","Menunggu Review","Revisi","Terjadwal","Upload","Publish","Published","Batal"},0)),"Status di luar daftar","")))),""))</f>
        <v/>
      </c>
      <c r="S239" s="12">
        <f>IF(AND($A239&lt;&gt;"",$C239&lt;&gt;""),IF(COUNTIFS($A$2:$A$1000,$A239,$C$2:$C$1000,$C239)&gt;1,"DUPLICAT",""),"")</f>
        <v/>
      </c>
    </row>
    <row r="240">
      <c r="A240" s="17" t="n"/>
      <c r="B240" s="17" t="n"/>
      <c r="C240" s="17" t="n"/>
      <c r="D240" s="18" t="n"/>
      <c r="E240" s="17" t="n"/>
      <c r="F240" s="19" t="n"/>
      <c r="G240" s="17" t="n"/>
      <c r="H240" s="17" t="n"/>
      <c r="I240" s="17" t="n"/>
      <c r="J240" s="19" t="n"/>
      <c r="K240" s="19" t="n"/>
      <c r="L240" s="20" t="n"/>
      <c r="M240" s="20" t="n"/>
      <c r="N240" s="17" t="n"/>
      <c r="O240" s="17" t="n"/>
      <c r="P240" s="21">
        <f>IF(AND(ISNUMBER($L240),ISNUMBER($M240)),MAX(0,$M240-$L240),"")</f>
        <v/>
      </c>
      <c r="Q240" s="21">
        <f>IF(ISNUMBER($D240),MAX(0,TODAY()-$D240),"")</f>
        <v/>
      </c>
      <c r="R240" s="19">
        <f>IF(COUNTA($A240:$O240)=0,"",IFERROR(TRIM(TEXTJOIN(" | ",TRUE,IF($A240="","PC kosong",""),IF($C240="","Worker ID kosong",""),IF($D240="","Update Date kosong",IF(NOT(ISNUMBER($D240)),"Update Date bukan tanggal","")),IF($E240="","Song ID YT kosong",""),IF($F240="","Judul kosong",""),IF(TRIM($G240)="","",IF(ISERROR(MATCH(TRIM($G240),{"TuneCore","DistroKid","TooLost","SoundOn","Ditto","Believe","CD Baby","Amuse","Symphonic Distribution","ONErpm","RouteNote","LANDR","Horus Music","Indie"},0)),"Aggregator di luar daftar","")),IF(TRIM($H240)="","Genre kosong",IF((LEN(SUBSTITUTE(SUBSTITUTE(SUBSTITUTE(TRIM($H240),"/",","),";",",")," ",""))-LEN(SUBSTITUTE(SUBSTITUTE(SUBSTITUTE(SUBSTITUTE(TRIM($H240),"/",","),";",","),"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240),"/",","),";",",")," ","")&amp;",")))&lt;&gt;(LEN(SUBSTITUTE(SUBSTITUTE(SUBSTITUTE(TRIM($H240),"/",","),";",",")," ",""))-LEN(SUBSTITUTE(SUBSTITUTE(SUBSTITUTE(SUBSTITUTE(TRIM($H240),"/",","),";",",")," ",""),",",""))+1),"Genre di luar daftar",""))),IF($I240="","Nama Channel kosong",""),IF($J240="","Link Channel kosong",IF(ISERROR(SEARCH("youtu",$J240)),"Link Channel bukan youtube","")),IF($K240="","Link Video kosong",IF(ISERROR(SEARCH("youtu",$K240)),"Link Video bukan youtube","")),IF($L240="","Tgl Dibuat kosong",IF(NOT(ISNUMBER($L240)),"Tgl Dibuat bukan tanggal","")),IF(AND($M240&lt;&gt;"",NOT(ISNUMBER($M240))),"Tgl Publish bukan tanggal",""),IF(AND(ISNUMBER($L240),ISNUMBER($M240),$M240&lt;$L240),"Tgl Publish &lt; Tgl buat",""),IF(TRIM($N240)="","Status kosong",IF(ISERROR(MATCH(TRIM($N240),{"Draft","Menunggu Review","Revisi","Terjadwal","Upload","Publish","Published","Batal"},0)),"Status di luar daftar","")))),""))</f>
        <v/>
      </c>
      <c r="S240" s="17">
        <f>IF(AND($A240&lt;&gt;"",$C240&lt;&gt;""),IF(COUNTIFS($A$2:$A$1000,$A240,$C$2:$C$1000,$C240)&gt;1,"DUPLICAT",""),"")</f>
        <v/>
      </c>
    </row>
    <row r="241">
      <c r="A241" s="12" t="n"/>
      <c r="B241" s="12" t="n"/>
      <c r="C241" s="12" t="n"/>
      <c r="D241" s="13" t="n"/>
      <c r="E241" s="12" t="n"/>
      <c r="F241" s="14" t="n"/>
      <c r="G241" s="12" t="n"/>
      <c r="H241" s="12" t="n"/>
      <c r="I241" s="12" t="n"/>
      <c r="J241" s="14" t="n"/>
      <c r="K241" s="14" t="n"/>
      <c r="L241" s="15" t="n"/>
      <c r="M241" s="15" t="n"/>
      <c r="N241" s="12" t="n"/>
      <c r="O241" s="12" t="n"/>
      <c r="P241" s="16">
        <f>IF(AND(ISNUMBER($L241),ISNUMBER($M241)),MAX(0,$M241-$L241),"")</f>
        <v/>
      </c>
      <c r="Q241" s="16">
        <f>IF(ISNUMBER($D241),MAX(0,TODAY()-$D241),"")</f>
        <v/>
      </c>
      <c r="R241" s="14">
        <f>IF(COUNTA($A241:$O241)=0,"",IFERROR(TRIM(TEXTJOIN(" | ",TRUE,IF($A241="","PC kosong",""),IF($C241="","Worker ID kosong",""),IF($D241="","Update Date kosong",IF(NOT(ISNUMBER($D241)),"Update Date bukan tanggal","")),IF($E241="","Song ID YT kosong",""),IF($F241="","Judul kosong",""),IF(TRIM($G241)="","",IF(ISERROR(MATCH(TRIM($G241),{"TuneCore","DistroKid","TooLost","SoundOn","Ditto","Believe","CD Baby","Amuse","Symphonic Distribution","ONErpm","RouteNote","LANDR","Horus Music","Indie"},0)),"Aggregator di luar daftar","")),IF(TRIM($H241)="","Genre kosong",IF((LEN(SUBSTITUTE(SUBSTITUTE(SUBSTITUTE(TRIM($H241),"/",","),";",",")," ",""))-LEN(SUBSTITUTE(SUBSTITUTE(SUBSTITUTE(SUBSTITUTE(TRIM($H241),"/",","),";",","),"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241),"/",","),";",",")," ","")&amp;",")))&lt;&gt;(LEN(SUBSTITUTE(SUBSTITUTE(SUBSTITUTE(TRIM($H241),"/",","),";",",")," ",""))-LEN(SUBSTITUTE(SUBSTITUTE(SUBSTITUTE(SUBSTITUTE(TRIM($H241),"/",","),";",",")," ",""),",",""))+1),"Genre di luar daftar",""))),IF($I241="","Nama Channel kosong",""),IF($J241="","Link Channel kosong",IF(ISERROR(SEARCH("youtu",$J241)),"Link Channel bukan youtube","")),IF($K241="","Link Video kosong",IF(ISERROR(SEARCH("youtu",$K241)),"Link Video bukan youtube","")),IF($L241="","Tgl Dibuat kosong",IF(NOT(ISNUMBER($L241)),"Tgl Dibuat bukan tanggal","")),IF(AND($M241&lt;&gt;"",NOT(ISNUMBER($M241))),"Tgl Publish bukan tanggal",""),IF(AND(ISNUMBER($L241),ISNUMBER($M241),$M241&lt;$L241),"Tgl Publish &lt; Tgl buat",""),IF(TRIM($N241)="","Status kosong",IF(ISERROR(MATCH(TRIM($N241),{"Draft","Menunggu Review","Revisi","Terjadwal","Upload","Publish","Published","Batal"},0)),"Status di luar daftar","")))),""))</f>
        <v/>
      </c>
      <c r="S241" s="12">
        <f>IF(AND($A241&lt;&gt;"",$C241&lt;&gt;""),IF(COUNTIFS($A$2:$A$1000,$A241,$C$2:$C$1000,$C241)&gt;1,"DUPLICAT",""),"")</f>
        <v/>
      </c>
    </row>
    <row r="242">
      <c r="A242" s="17" t="n"/>
      <c r="B242" s="17" t="n"/>
      <c r="C242" s="17" t="n"/>
      <c r="D242" s="18" t="n"/>
      <c r="E242" s="17" t="n"/>
      <c r="F242" s="19" t="n"/>
      <c r="G242" s="17" t="n"/>
      <c r="H242" s="17" t="n"/>
      <c r="I242" s="17" t="n"/>
      <c r="J242" s="19" t="n"/>
      <c r="K242" s="19" t="n"/>
      <c r="L242" s="20" t="n"/>
      <c r="M242" s="20" t="n"/>
      <c r="N242" s="17" t="n"/>
      <c r="O242" s="17" t="n"/>
      <c r="P242" s="21">
        <f>IF(AND(ISNUMBER($L242),ISNUMBER($M242)),MAX(0,$M242-$L242),"")</f>
        <v/>
      </c>
      <c r="Q242" s="21">
        <f>IF(ISNUMBER($D242),MAX(0,TODAY()-$D242),"")</f>
        <v/>
      </c>
      <c r="R242" s="19">
        <f>IF(COUNTA($A242:$O242)=0,"",IFERROR(TRIM(TEXTJOIN(" | ",TRUE,IF($A242="","PC kosong",""),IF($C242="","Worker ID kosong",""),IF($D242="","Update Date kosong",IF(NOT(ISNUMBER($D242)),"Update Date bukan tanggal","")),IF($E242="","Song ID YT kosong",""),IF($F242="","Judul kosong",""),IF(TRIM($G242)="","",IF(ISERROR(MATCH(TRIM($G242),{"TuneCore","DistroKid","TooLost","SoundOn","Ditto","Believe","CD Baby","Amuse","Symphonic Distribution","ONErpm","RouteNote","LANDR","Horus Music","Indie"},0)),"Aggregator di luar daftar","")),IF(TRIM($H242)="","Genre kosong",IF((LEN(SUBSTITUTE(SUBSTITUTE(SUBSTITUTE(TRIM($H242),"/",","),";",",")," ",""))-LEN(SUBSTITUTE(SUBSTITUTE(SUBSTITUTE(SUBSTITUTE(TRIM($H242),"/",","),";",","),"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242),"/",","),";",",")," ","")&amp;",")))&lt;&gt;(LEN(SUBSTITUTE(SUBSTITUTE(SUBSTITUTE(TRIM($H242),"/",","),";",",")," ",""))-LEN(SUBSTITUTE(SUBSTITUTE(SUBSTITUTE(SUBSTITUTE(TRIM($H242),"/",","),";",",")," ",""),",",""))+1),"Genre di luar daftar",""))),IF($I242="","Nama Channel kosong",""),IF($J242="","Link Channel kosong",IF(ISERROR(SEARCH("youtu",$J242)),"Link Channel bukan youtube","")),IF($K242="","Link Video kosong",IF(ISERROR(SEARCH("youtu",$K242)),"Link Video bukan youtube","")),IF($L242="","Tgl Dibuat kosong",IF(NOT(ISNUMBER($L242)),"Tgl Dibuat bukan tanggal","")),IF(AND($M242&lt;&gt;"",NOT(ISNUMBER($M242))),"Tgl Publish bukan tanggal",""),IF(AND(ISNUMBER($L242),ISNUMBER($M242),$M242&lt;$L242),"Tgl Publish &lt; Tgl buat",""),IF(TRIM($N242)="","Status kosong",IF(ISERROR(MATCH(TRIM($N242),{"Draft","Menunggu Review","Revisi","Terjadwal","Upload","Publish","Published","Batal"},0)),"Status di luar daftar","")))),""))</f>
        <v/>
      </c>
      <c r="S242" s="17">
        <f>IF(AND($A242&lt;&gt;"",$C242&lt;&gt;""),IF(COUNTIFS($A$2:$A$1000,$A242,$C$2:$C$1000,$C242)&gt;1,"DUPLICAT",""),"")</f>
        <v/>
      </c>
    </row>
    <row r="243">
      <c r="A243" s="12" t="n"/>
      <c r="B243" s="12" t="n"/>
      <c r="C243" s="12" t="n"/>
      <c r="D243" s="13" t="n"/>
      <c r="E243" s="12" t="n"/>
      <c r="F243" s="14" t="n"/>
      <c r="G243" s="12" t="n"/>
      <c r="H243" s="12" t="n"/>
      <c r="I243" s="12" t="n"/>
      <c r="J243" s="14" t="n"/>
      <c r="K243" s="14" t="n"/>
      <c r="L243" s="15" t="n"/>
      <c r="M243" s="15" t="n"/>
      <c r="N243" s="12" t="n"/>
      <c r="O243" s="12" t="n"/>
      <c r="P243" s="16">
        <f>IF(AND(ISNUMBER($L243),ISNUMBER($M243)),MAX(0,$M243-$L243),"")</f>
        <v/>
      </c>
      <c r="Q243" s="16">
        <f>IF(ISNUMBER($D243),MAX(0,TODAY()-$D243),"")</f>
        <v/>
      </c>
      <c r="R243" s="14">
        <f>IF(COUNTA($A243:$O243)=0,"",IFERROR(TRIM(TEXTJOIN(" | ",TRUE,IF($A243="","PC kosong",""),IF($C243="","Worker ID kosong",""),IF($D243="","Update Date kosong",IF(NOT(ISNUMBER($D243)),"Update Date bukan tanggal","")),IF($E243="","Song ID YT kosong",""),IF($F243="","Judul kosong",""),IF(TRIM($G243)="","",IF(ISERROR(MATCH(TRIM($G243),{"TuneCore","DistroKid","TooLost","SoundOn","Ditto","Believe","CD Baby","Amuse","Symphonic Distribution","ONErpm","RouteNote","LANDR","Horus Music","Indie"},0)),"Aggregator di luar daftar","")),IF(TRIM($H243)="","Genre kosong",IF((LEN(SUBSTITUTE(SUBSTITUTE(SUBSTITUTE(TRIM($H243),"/",","),";",",")," ",""))-LEN(SUBSTITUTE(SUBSTITUTE(SUBSTITUTE(SUBSTITUTE(TRIM($H243),"/",","),";",","),"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243),"/",","),";",",")," ","")&amp;",")))&lt;&gt;(LEN(SUBSTITUTE(SUBSTITUTE(SUBSTITUTE(TRIM($H243),"/",","),";",",")," ",""))-LEN(SUBSTITUTE(SUBSTITUTE(SUBSTITUTE(SUBSTITUTE(TRIM($H243),"/",","),";",",")," ",""),",",""))+1),"Genre di luar daftar",""))),IF($I243="","Nama Channel kosong",""),IF($J243="","Link Channel kosong",IF(ISERROR(SEARCH("youtu",$J243)),"Link Channel bukan youtube","")),IF($K243="","Link Video kosong",IF(ISERROR(SEARCH("youtu",$K243)),"Link Video bukan youtube","")),IF($L243="","Tgl Dibuat kosong",IF(NOT(ISNUMBER($L243)),"Tgl Dibuat bukan tanggal","")),IF(AND($M243&lt;&gt;"",NOT(ISNUMBER($M243))),"Tgl Publish bukan tanggal",""),IF(AND(ISNUMBER($L243),ISNUMBER($M243),$M243&lt;$L243),"Tgl Publish &lt; Tgl buat",""),IF(TRIM($N243)="","Status kosong",IF(ISERROR(MATCH(TRIM($N243),{"Draft","Menunggu Review","Revisi","Terjadwal","Upload","Publish","Published","Batal"},0)),"Status di luar daftar","")))),""))</f>
        <v/>
      </c>
      <c r="S243" s="12">
        <f>IF(AND($A243&lt;&gt;"",$C243&lt;&gt;""),IF(COUNTIFS($A$2:$A$1000,$A243,$C$2:$C$1000,$C243)&gt;1,"DUPLICAT",""),"")</f>
        <v/>
      </c>
    </row>
    <row r="244">
      <c r="A244" s="17" t="n"/>
      <c r="B244" s="17" t="n"/>
      <c r="C244" s="17" t="n"/>
      <c r="D244" s="18" t="n"/>
      <c r="E244" s="17" t="n"/>
      <c r="F244" s="19" t="n"/>
      <c r="G244" s="17" t="n"/>
      <c r="H244" s="17" t="n"/>
      <c r="I244" s="17" t="n"/>
      <c r="J244" s="19" t="n"/>
      <c r="K244" s="19" t="n"/>
      <c r="L244" s="20" t="n"/>
      <c r="M244" s="20" t="n"/>
      <c r="N244" s="17" t="n"/>
      <c r="O244" s="17" t="n"/>
      <c r="P244" s="21">
        <f>IF(AND(ISNUMBER($L244),ISNUMBER($M244)),MAX(0,$M244-$L244),"")</f>
        <v/>
      </c>
      <c r="Q244" s="21">
        <f>IF(ISNUMBER($D244),MAX(0,TODAY()-$D244),"")</f>
        <v/>
      </c>
      <c r="R244" s="19">
        <f>IF(COUNTA($A244:$O244)=0,"",IFERROR(TRIM(TEXTJOIN(" | ",TRUE,IF($A244="","PC kosong",""),IF($C244="","Worker ID kosong",""),IF($D244="","Update Date kosong",IF(NOT(ISNUMBER($D244)),"Update Date bukan tanggal","")),IF($E244="","Song ID YT kosong",""),IF($F244="","Judul kosong",""),IF(TRIM($G244)="","",IF(ISERROR(MATCH(TRIM($G244),{"TuneCore","DistroKid","TooLost","SoundOn","Ditto","Believe","CD Baby","Amuse","Symphonic Distribution","ONErpm","RouteNote","LANDR","Horus Music","Indie"},0)),"Aggregator di luar daftar","")),IF(TRIM($H244)="","Genre kosong",IF((LEN(SUBSTITUTE(SUBSTITUTE(SUBSTITUTE(TRIM($H244),"/",","),";",",")," ",""))-LEN(SUBSTITUTE(SUBSTITUTE(SUBSTITUTE(SUBSTITUTE(TRIM($H244),"/",","),";",","),"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244),"/",","),";",",")," ","")&amp;",")))&lt;&gt;(LEN(SUBSTITUTE(SUBSTITUTE(SUBSTITUTE(TRIM($H244),"/",","),";",",")," ",""))-LEN(SUBSTITUTE(SUBSTITUTE(SUBSTITUTE(SUBSTITUTE(TRIM($H244),"/",","),";",",")," ",""),",",""))+1),"Genre di luar daftar",""))),IF($I244="","Nama Channel kosong",""),IF($J244="","Link Channel kosong",IF(ISERROR(SEARCH("youtu",$J244)),"Link Channel bukan youtube","")),IF($K244="","Link Video kosong",IF(ISERROR(SEARCH("youtu",$K244)),"Link Video bukan youtube","")),IF($L244="","Tgl Dibuat kosong",IF(NOT(ISNUMBER($L244)),"Tgl Dibuat bukan tanggal","")),IF(AND($M244&lt;&gt;"",NOT(ISNUMBER($M244))),"Tgl Publish bukan tanggal",""),IF(AND(ISNUMBER($L244),ISNUMBER($M244),$M244&lt;$L244),"Tgl Publish &lt; Tgl buat",""),IF(TRIM($N244)="","Status kosong",IF(ISERROR(MATCH(TRIM($N244),{"Draft","Menunggu Review","Revisi","Terjadwal","Upload","Publish","Published","Batal"},0)),"Status di luar daftar","")))),""))</f>
        <v/>
      </c>
      <c r="S244" s="17">
        <f>IF(AND($A244&lt;&gt;"",$C244&lt;&gt;""),IF(COUNTIFS($A$2:$A$1000,$A244,$C$2:$C$1000,$C244)&gt;1,"DUPLICAT",""),"")</f>
        <v/>
      </c>
    </row>
    <row r="245">
      <c r="A245" s="12" t="n"/>
      <c r="B245" s="12" t="n"/>
      <c r="C245" s="12" t="n"/>
      <c r="D245" s="13" t="n"/>
      <c r="E245" s="12" t="n"/>
      <c r="F245" s="14" t="n"/>
      <c r="G245" s="12" t="n"/>
      <c r="H245" s="12" t="n"/>
      <c r="I245" s="12" t="n"/>
      <c r="J245" s="14" t="n"/>
      <c r="K245" s="14" t="n"/>
      <c r="L245" s="15" t="n"/>
      <c r="M245" s="15" t="n"/>
      <c r="N245" s="12" t="n"/>
      <c r="O245" s="12" t="n"/>
      <c r="P245" s="16">
        <f>IF(AND(ISNUMBER($L245),ISNUMBER($M245)),MAX(0,$M245-$L245),"")</f>
        <v/>
      </c>
      <c r="Q245" s="16">
        <f>IF(ISNUMBER($D245),MAX(0,TODAY()-$D245),"")</f>
        <v/>
      </c>
      <c r="R245" s="14">
        <f>IF(COUNTA($A245:$O245)=0,"",IFERROR(TRIM(TEXTJOIN(" | ",TRUE,IF($A245="","PC kosong",""),IF($C245="","Worker ID kosong",""),IF($D245="","Update Date kosong",IF(NOT(ISNUMBER($D245)),"Update Date bukan tanggal","")),IF($E245="","Song ID YT kosong",""),IF($F245="","Judul kosong",""),IF(TRIM($G245)="","",IF(ISERROR(MATCH(TRIM($G245),{"TuneCore","DistroKid","TooLost","SoundOn","Ditto","Believe","CD Baby","Amuse","Symphonic Distribution","ONErpm","RouteNote","LANDR","Horus Music","Indie"},0)),"Aggregator di luar daftar","")),IF(TRIM($H245)="","Genre kosong",IF((LEN(SUBSTITUTE(SUBSTITUTE(SUBSTITUTE(TRIM($H245),"/",","),";",",")," ",""))-LEN(SUBSTITUTE(SUBSTITUTE(SUBSTITUTE(SUBSTITUTE(TRIM($H245),"/",","),";",","),"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245),"/",","),";",",")," ","")&amp;",")))&lt;&gt;(LEN(SUBSTITUTE(SUBSTITUTE(SUBSTITUTE(TRIM($H245),"/",","),";",",")," ",""))-LEN(SUBSTITUTE(SUBSTITUTE(SUBSTITUTE(SUBSTITUTE(TRIM($H245),"/",","),";",",")," ",""),",",""))+1),"Genre di luar daftar",""))),IF($I245="","Nama Channel kosong",""),IF($J245="","Link Channel kosong",IF(ISERROR(SEARCH("youtu",$J245)),"Link Channel bukan youtube","")),IF($K245="","Link Video kosong",IF(ISERROR(SEARCH("youtu",$K245)),"Link Video bukan youtube","")),IF($L245="","Tgl Dibuat kosong",IF(NOT(ISNUMBER($L245)),"Tgl Dibuat bukan tanggal","")),IF(AND($M245&lt;&gt;"",NOT(ISNUMBER($M245))),"Tgl Publish bukan tanggal",""),IF(AND(ISNUMBER($L245),ISNUMBER($M245),$M245&lt;$L245),"Tgl Publish &lt; Tgl buat",""),IF(TRIM($N245)="","Status kosong",IF(ISERROR(MATCH(TRIM($N245),{"Draft","Menunggu Review","Revisi","Terjadwal","Upload","Publish","Published","Batal"},0)),"Status di luar daftar","")))),""))</f>
        <v/>
      </c>
      <c r="S245" s="12">
        <f>IF(AND($A245&lt;&gt;"",$C245&lt;&gt;""),IF(COUNTIFS($A$2:$A$1000,$A245,$C$2:$C$1000,$C245)&gt;1,"DUPLICAT",""),"")</f>
        <v/>
      </c>
    </row>
    <row r="246">
      <c r="A246" s="17" t="n"/>
      <c r="B246" s="17" t="n"/>
      <c r="C246" s="17" t="n"/>
      <c r="D246" s="18" t="n"/>
      <c r="E246" s="17" t="n"/>
      <c r="F246" s="19" t="n"/>
      <c r="G246" s="17" t="n"/>
      <c r="H246" s="17" t="n"/>
      <c r="I246" s="17" t="n"/>
      <c r="J246" s="19" t="n"/>
      <c r="K246" s="19" t="n"/>
      <c r="L246" s="20" t="n"/>
      <c r="M246" s="20" t="n"/>
      <c r="N246" s="17" t="n"/>
      <c r="O246" s="17" t="n"/>
      <c r="P246" s="21">
        <f>IF(AND(ISNUMBER($L246),ISNUMBER($M246)),MAX(0,$M246-$L246),"")</f>
        <v/>
      </c>
      <c r="Q246" s="21">
        <f>IF(ISNUMBER($D246),MAX(0,TODAY()-$D246),"")</f>
        <v/>
      </c>
      <c r="R246" s="19">
        <f>IF(COUNTA($A246:$O246)=0,"",IFERROR(TRIM(TEXTJOIN(" | ",TRUE,IF($A246="","PC kosong",""),IF($C246="","Worker ID kosong",""),IF($D246="","Update Date kosong",IF(NOT(ISNUMBER($D246)),"Update Date bukan tanggal","")),IF($E246="","Song ID YT kosong",""),IF($F246="","Judul kosong",""),IF(TRIM($G246)="","",IF(ISERROR(MATCH(TRIM($G246),{"TuneCore","DistroKid","TooLost","SoundOn","Ditto","Believe","CD Baby","Amuse","Symphonic Distribution","ONErpm","RouteNote","LANDR","Horus Music","Indie"},0)),"Aggregator di luar daftar","")),IF(TRIM($H246)="","Genre kosong",IF((LEN(SUBSTITUTE(SUBSTITUTE(SUBSTITUTE(TRIM($H246),"/",","),";",",")," ",""))-LEN(SUBSTITUTE(SUBSTITUTE(SUBSTITUTE(SUBSTITUTE(TRIM($H246),"/",","),";",","),"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246),"/",","),";",",")," ","")&amp;",")))&lt;&gt;(LEN(SUBSTITUTE(SUBSTITUTE(SUBSTITUTE(TRIM($H246),"/",","),";",",")," ",""))-LEN(SUBSTITUTE(SUBSTITUTE(SUBSTITUTE(SUBSTITUTE(TRIM($H246),"/",","),";",",")," ",""),",",""))+1),"Genre di luar daftar",""))),IF($I246="","Nama Channel kosong",""),IF($J246="","Link Channel kosong",IF(ISERROR(SEARCH("youtu",$J246)),"Link Channel bukan youtube","")),IF($K246="","Link Video kosong",IF(ISERROR(SEARCH("youtu",$K246)),"Link Video bukan youtube","")),IF($L246="","Tgl Dibuat kosong",IF(NOT(ISNUMBER($L246)),"Tgl Dibuat bukan tanggal","")),IF(AND($M246&lt;&gt;"",NOT(ISNUMBER($M246))),"Tgl Publish bukan tanggal",""),IF(AND(ISNUMBER($L246),ISNUMBER($M246),$M246&lt;$L246),"Tgl Publish &lt; Tgl buat",""),IF(TRIM($N246)="","Status kosong",IF(ISERROR(MATCH(TRIM($N246),{"Draft","Menunggu Review","Revisi","Terjadwal","Upload","Publish","Published","Batal"},0)),"Status di luar daftar","")))),""))</f>
        <v/>
      </c>
      <c r="S246" s="17">
        <f>IF(AND($A246&lt;&gt;"",$C246&lt;&gt;""),IF(COUNTIFS($A$2:$A$1000,$A246,$C$2:$C$1000,$C246)&gt;1,"DUPLICAT",""),"")</f>
        <v/>
      </c>
    </row>
    <row r="247">
      <c r="A247" s="12" t="n"/>
      <c r="B247" s="12" t="n"/>
      <c r="C247" s="12" t="n"/>
      <c r="D247" s="13" t="n"/>
      <c r="E247" s="12" t="n"/>
      <c r="F247" s="14" t="n"/>
      <c r="G247" s="12" t="n"/>
      <c r="H247" s="12" t="n"/>
      <c r="I247" s="12" t="n"/>
      <c r="J247" s="14" t="n"/>
      <c r="K247" s="14" t="n"/>
      <c r="L247" s="15" t="n"/>
      <c r="M247" s="15" t="n"/>
      <c r="N247" s="12" t="n"/>
      <c r="O247" s="12" t="n"/>
      <c r="P247" s="16">
        <f>IF(AND(ISNUMBER($L247),ISNUMBER($M247)),MAX(0,$M247-$L247),"")</f>
        <v/>
      </c>
      <c r="Q247" s="16">
        <f>IF(ISNUMBER($D247),MAX(0,TODAY()-$D247),"")</f>
        <v/>
      </c>
      <c r="R247" s="14">
        <f>IF(COUNTA($A247:$O247)=0,"",IFERROR(TRIM(TEXTJOIN(" | ",TRUE,IF($A247="","PC kosong",""),IF($C247="","Worker ID kosong",""),IF($D247="","Update Date kosong",IF(NOT(ISNUMBER($D247)),"Update Date bukan tanggal","")),IF($E247="","Song ID YT kosong",""),IF($F247="","Judul kosong",""),IF(TRIM($G247)="","",IF(ISERROR(MATCH(TRIM($G247),{"TuneCore","DistroKid","TooLost","SoundOn","Ditto","Believe","CD Baby","Amuse","Symphonic Distribution","ONErpm","RouteNote","LANDR","Horus Music","Indie"},0)),"Aggregator di luar daftar","")),IF(TRIM($H247)="","Genre kosong",IF((LEN(SUBSTITUTE(SUBSTITUTE(SUBSTITUTE(TRIM($H247),"/",","),";",",")," ",""))-LEN(SUBSTITUTE(SUBSTITUTE(SUBSTITUTE(SUBSTITUTE(TRIM($H247),"/",","),";",","),"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247),"/",","),";",",")," ","")&amp;",")))&lt;&gt;(LEN(SUBSTITUTE(SUBSTITUTE(SUBSTITUTE(TRIM($H247),"/",","),";",",")," ",""))-LEN(SUBSTITUTE(SUBSTITUTE(SUBSTITUTE(SUBSTITUTE(TRIM($H247),"/",","),";",",")," ",""),",",""))+1),"Genre di luar daftar",""))),IF($I247="","Nama Channel kosong",""),IF($J247="","Link Channel kosong",IF(ISERROR(SEARCH("youtu",$J247)),"Link Channel bukan youtube","")),IF($K247="","Link Video kosong",IF(ISERROR(SEARCH("youtu",$K247)),"Link Video bukan youtube","")),IF($L247="","Tgl Dibuat kosong",IF(NOT(ISNUMBER($L247)),"Tgl Dibuat bukan tanggal","")),IF(AND($M247&lt;&gt;"",NOT(ISNUMBER($M247))),"Tgl Publish bukan tanggal",""),IF(AND(ISNUMBER($L247),ISNUMBER($M247),$M247&lt;$L247),"Tgl Publish &lt; Tgl buat",""),IF(TRIM($N247)="","Status kosong",IF(ISERROR(MATCH(TRIM($N247),{"Draft","Menunggu Review","Revisi","Terjadwal","Upload","Publish","Published","Batal"},0)),"Status di luar daftar","")))),""))</f>
        <v/>
      </c>
      <c r="S247" s="12">
        <f>IF(AND($A247&lt;&gt;"",$C247&lt;&gt;""),IF(COUNTIFS($A$2:$A$1000,$A247,$C$2:$C$1000,$C247)&gt;1,"DUPLICAT",""),"")</f>
        <v/>
      </c>
    </row>
    <row r="248">
      <c r="A248" s="17" t="n"/>
      <c r="B248" s="17" t="n"/>
      <c r="C248" s="17" t="n"/>
      <c r="D248" s="18" t="n"/>
      <c r="E248" s="17" t="n"/>
      <c r="F248" s="19" t="n"/>
      <c r="G248" s="17" t="n"/>
      <c r="H248" s="17" t="n"/>
      <c r="I248" s="17" t="n"/>
      <c r="J248" s="19" t="n"/>
      <c r="K248" s="19" t="n"/>
      <c r="L248" s="20" t="n"/>
      <c r="M248" s="20" t="n"/>
      <c r="N248" s="17" t="n"/>
      <c r="O248" s="17" t="n"/>
      <c r="P248" s="21">
        <f>IF(AND(ISNUMBER($L248),ISNUMBER($M248)),MAX(0,$M248-$L248),"")</f>
        <v/>
      </c>
      <c r="Q248" s="21">
        <f>IF(ISNUMBER($D248),MAX(0,TODAY()-$D248),"")</f>
        <v/>
      </c>
      <c r="R248" s="19">
        <f>IF(COUNTA($A248:$O248)=0,"",IFERROR(TRIM(TEXTJOIN(" | ",TRUE,IF($A248="","PC kosong",""),IF($C248="","Worker ID kosong",""),IF($D248="","Update Date kosong",IF(NOT(ISNUMBER($D248)),"Update Date bukan tanggal","")),IF($E248="","Song ID YT kosong",""),IF($F248="","Judul kosong",""),IF(TRIM($G248)="","",IF(ISERROR(MATCH(TRIM($G248),{"TuneCore","DistroKid","TooLost","SoundOn","Ditto","Believe","CD Baby","Amuse","Symphonic Distribution","ONErpm","RouteNote","LANDR","Horus Music","Indie"},0)),"Aggregator di luar daftar","")),IF(TRIM($H248)="","Genre kosong",IF((LEN(SUBSTITUTE(SUBSTITUTE(SUBSTITUTE(TRIM($H248),"/",","),";",",")," ",""))-LEN(SUBSTITUTE(SUBSTITUTE(SUBSTITUTE(SUBSTITUTE(TRIM($H248),"/",","),";",","),"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248),"/",","),";",",")," ","")&amp;",")))&lt;&gt;(LEN(SUBSTITUTE(SUBSTITUTE(SUBSTITUTE(TRIM($H248),"/",","),";",",")," ",""))-LEN(SUBSTITUTE(SUBSTITUTE(SUBSTITUTE(SUBSTITUTE(TRIM($H248),"/",","),";",",")," ",""),",",""))+1),"Genre di luar daftar",""))),IF($I248="","Nama Channel kosong",""),IF($J248="","Link Channel kosong",IF(ISERROR(SEARCH("youtu",$J248)),"Link Channel bukan youtube","")),IF($K248="","Link Video kosong",IF(ISERROR(SEARCH("youtu",$K248)),"Link Video bukan youtube","")),IF($L248="","Tgl Dibuat kosong",IF(NOT(ISNUMBER($L248)),"Tgl Dibuat bukan tanggal","")),IF(AND($M248&lt;&gt;"",NOT(ISNUMBER($M248))),"Tgl Publish bukan tanggal",""),IF(AND(ISNUMBER($L248),ISNUMBER($M248),$M248&lt;$L248),"Tgl Publish &lt; Tgl buat",""),IF(TRIM($N248)="","Status kosong",IF(ISERROR(MATCH(TRIM($N248),{"Draft","Menunggu Review","Revisi","Terjadwal","Upload","Publish","Published","Batal"},0)),"Status di luar daftar","")))),""))</f>
        <v/>
      </c>
      <c r="S248" s="17">
        <f>IF(AND($A248&lt;&gt;"",$C248&lt;&gt;""),IF(COUNTIFS($A$2:$A$1000,$A248,$C$2:$C$1000,$C248)&gt;1,"DUPLICAT",""),"")</f>
        <v/>
      </c>
    </row>
    <row r="249">
      <c r="A249" s="12" t="n"/>
      <c r="B249" s="12" t="n"/>
      <c r="C249" s="12" t="n"/>
      <c r="D249" s="13" t="n"/>
      <c r="E249" s="12" t="n"/>
      <c r="F249" s="14" t="n"/>
      <c r="G249" s="12" t="n"/>
      <c r="H249" s="12" t="n"/>
      <c r="I249" s="12" t="n"/>
      <c r="J249" s="14" t="n"/>
      <c r="K249" s="14" t="n"/>
      <c r="L249" s="15" t="n"/>
      <c r="M249" s="15" t="n"/>
      <c r="N249" s="12" t="n"/>
      <c r="O249" s="12" t="n"/>
      <c r="P249" s="16">
        <f>IF(AND(ISNUMBER($L249),ISNUMBER($M249)),MAX(0,$M249-$L249),"")</f>
        <v/>
      </c>
      <c r="Q249" s="16">
        <f>IF(ISNUMBER($D249),MAX(0,TODAY()-$D249),"")</f>
        <v/>
      </c>
      <c r="R249" s="14">
        <f>IF(COUNTA($A249:$O249)=0,"",IFERROR(TRIM(TEXTJOIN(" | ",TRUE,IF($A249="","PC kosong",""),IF($C249="","Worker ID kosong",""),IF($D249="","Update Date kosong",IF(NOT(ISNUMBER($D249)),"Update Date bukan tanggal","")),IF($E249="","Song ID YT kosong",""),IF($F249="","Judul kosong",""),IF(TRIM($G249)="","",IF(ISERROR(MATCH(TRIM($G249),{"TuneCore","DistroKid","TooLost","SoundOn","Ditto","Believe","CD Baby","Amuse","Symphonic Distribution","ONErpm","RouteNote","LANDR","Horus Music","Indie"},0)),"Aggregator di luar daftar","")),IF(TRIM($H249)="","Genre kosong",IF((LEN(SUBSTITUTE(SUBSTITUTE(SUBSTITUTE(TRIM($H249),"/",","),";",",")," ",""))-LEN(SUBSTITUTE(SUBSTITUTE(SUBSTITUTE(SUBSTITUTE(TRIM($H249),"/",","),";",","),"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249),"/",","),";",",")," ","")&amp;",")))&lt;&gt;(LEN(SUBSTITUTE(SUBSTITUTE(SUBSTITUTE(TRIM($H249),"/",","),";",",")," ",""))-LEN(SUBSTITUTE(SUBSTITUTE(SUBSTITUTE(SUBSTITUTE(TRIM($H249),"/",","),";",",")," ",""),",",""))+1),"Genre di luar daftar",""))),IF($I249="","Nama Channel kosong",""),IF($J249="","Link Channel kosong",IF(ISERROR(SEARCH("youtu",$J249)),"Link Channel bukan youtube","")),IF($K249="","Link Video kosong",IF(ISERROR(SEARCH("youtu",$K249)),"Link Video bukan youtube","")),IF($L249="","Tgl Dibuat kosong",IF(NOT(ISNUMBER($L249)),"Tgl Dibuat bukan tanggal","")),IF(AND($M249&lt;&gt;"",NOT(ISNUMBER($M249))),"Tgl Publish bukan tanggal",""),IF(AND(ISNUMBER($L249),ISNUMBER($M249),$M249&lt;$L249),"Tgl Publish &lt; Tgl buat",""),IF(TRIM($N249)="","Status kosong",IF(ISERROR(MATCH(TRIM($N249),{"Draft","Menunggu Review","Revisi","Terjadwal","Upload","Publish","Published","Batal"},0)),"Status di luar daftar","")))),""))</f>
        <v/>
      </c>
      <c r="S249" s="12">
        <f>IF(AND($A249&lt;&gt;"",$C249&lt;&gt;""),IF(COUNTIFS($A$2:$A$1000,$A249,$C$2:$C$1000,$C249)&gt;1,"DUPLICAT",""),"")</f>
        <v/>
      </c>
    </row>
    <row r="250">
      <c r="A250" s="17" t="n"/>
      <c r="B250" s="17" t="n"/>
      <c r="C250" s="17" t="n"/>
      <c r="D250" s="18" t="n"/>
      <c r="E250" s="17" t="n"/>
      <c r="F250" s="19" t="n"/>
      <c r="G250" s="17" t="n"/>
      <c r="H250" s="17" t="n"/>
      <c r="I250" s="17" t="n"/>
      <c r="J250" s="19" t="n"/>
      <c r="K250" s="19" t="n"/>
      <c r="L250" s="20" t="n"/>
      <c r="M250" s="20" t="n"/>
      <c r="N250" s="17" t="n"/>
      <c r="O250" s="17" t="n"/>
      <c r="P250" s="21">
        <f>IF(AND(ISNUMBER($L250),ISNUMBER($M250)),MAX(0,$M250-$L250),"")</f>
        <v/>
      </c>
      <c r="Q250" s="21">
        <f>IF(ISNUMBER($D250),MAX(0,TODAY()-$D250),"")</f>
        <v/>
      </c>
      <c r="R250" s="19">
        <f>IF(COUNTA($A250:$O250)=0,"",IFERROR(TRIM(TEXTJOIN(" | ",TRUE,IF($A250="","PC kosong",""),IF($C250="","Worker ID kosong",""),IF($D250="","Update Date kosong",IF(NOT(ISNUMBER($D250)),"Update Date bukan tanggal","")),IF($E250="","Song ID YT kosong",""),IF($F250="","Judul kosong",""),IF(TRIM($G250)="","",IF(ISERROR(MATCH(TRIM($G250),{"TuneCore","DistroKid","TooLost","SoundOn","Ditto","Believe","CD Baby","Amuse","Symphonic Distribution","ONErpm","RouteNote","LANDR","Horus Music","Indie"},0)),"Aggregator di luar daftar","")),IF(TRIM($H250)="","Genre kosong",IF((LEN(SUBSTITUTE(SUBSTITUTE(SUBSTITUTE(TRIM($H250),"/",","),";",",")," ",""))-LEN(SUBSTITUTE(SUBSTITUTE(SUBSTITUTE(SUBSTITUTE(TRIM($H250),"/",","),";",","),"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250),"/",","),";",",")," ","")&amp;",")))&lt;&gt;(LEN(SUBSTITUTE(SUBSTITUTE(SUBSTITUTE(TRIM($H250),"/",","),";",",")," ",""))-LEN(SUBSTITUTE(SUBSTITUTE(SUBSTITUTE(SUBSTITUTE(TRIM($H250),"/",","),";",",")," ",""),",",""))+1),"Genre di luar daftar",""))),IF($I250="","Nama Channel kosong",""),IF($J250="","Link Channel kosong",IF(ISERROR(SEARCH("youtu",$J250)),"Link Channel bukan youtube","")),IF($K250="","Link Video kosong",IF(ISERROR(SEARCH("youtu",$K250)),"Link Video bukan youtube","")),IF($L250="","Tgl Dibuat kosong",IF(NOT(ISNUMBER($L250)),"Tgl Dibuat bukan tanggal","")),IF(AND($M250&lt;&gt;"",NOT(ISNUMBER($M250))),"Tgl Publish bukan tanggal",""),IF(AND(ISNUMBER($L250),ISNUMBER($M250),$M250&lt;$L250),"Tgl Publish &lt; Tgl buat",""),IF(TRIM($N250)="","Status kosong",IF(ISERROR(MATCH(TRIM($N250),{"Draft","Menunggu Review","Revisi","Terjadwal","Upload","Publish","Published","Batal"},0)),"Status di luar daftar","")))),""))</f>
        <v/>
      </c>
      <c r="S250" s="17">
        <f>IF(AND($A250&lt;&gt;"",$C250&lt;&gt;""),IF(COUNTIFS($A$2:$A$1000,$A250,$C$2:$C$1000,$C250)&gt;1,"DUPLICAT",""),"")</f>
        <v/>
      </c>
    </row>
    <row r="251">
      <c r="A251" s="12" t="n"/>
      <c r="B251" s="12" t="n"/>
      <c r="C251" s="12" t="n"/>
      <c r="D251" s="13" t="n"/>
      <c r="E251" s="12" t="n"/>
      <c r="F251" s="14" t="n"/>
      <c r="G251" s="12" t="n"/>
      <c r="H251" s="12" t="n"/>
      <c r="I251" s="12" t="n"/>
      <c r="J251" s="14" t="n"/>
      <c r="K251" s="14" t="n"/>
      <c r="L251" s="15" t="n"/>
      <c r="M251" s="15" t="n"/>
      <c r="N251" s="12" t="n"/>
      <c r="O251" s="12" t="n"/>
      <c r="P251" s="16">
        <f>IF(AND(ISNUMBER($L251),ISNUMBER($M251)),MAX(0,$M251-$L251),"")</f>
        <v/>
      </c>
      <c r="Q251" s="16">
        <f>IF(ISNUMBER($D251),MAX(0,TODAY()-$D251),"")</f>
        <v/>
      </c>
      <c r="R251" s="14">
        <f>IF(COUNTA($A251:$O251)=0,"",IFERROR(TRIM(TEXTJOIN(" | ",TRUE,IF($A251="","PC kosong",""),IF($C251="","Worker ID kosong",""),IF($D251="","Update Date kosong",IF(NOT(ISNUMBER($D251)),"Update Date bukan tanggal","")),IF($E251="","Song ID YT kosong",""),IF($F251="","Judul kosong",""),IF(TRIM($G251)="","",IF(ISERROR(MATCH(TRIM($G251),{"TuneCore","DistroKid","TooLost","SoundOn","Ditto","Believe","CD Baby","Amuse","Symphonic Distribution","ONErpm","RouteNote","LANDR","Horus Music","Indie"},0)),"Aggregator di luar daftar","")),IF(TRIM($H251)="","Genre kosong",IF((LEN(SUBSTITUTE(SUBSTITUTE(SUBSTITUTE(TRIM($H251),"/",","),";",",")," ",""))-LEN(SUBSTITUTE(SUBSTITUTE(SUBSTITUTE(SUBSTITUTE(TRIM($H251),"/",","),";",","),"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251),"/",","),";",",")," ","")&amp;",")))&lt;&gt;(LEN(SUBSTITUTE(SUBSTITUTE(SUBSTITUTE(TRIM($H251),"/",","),";",",")," ",""))-LEN(SUBSTITUTE(SUBSTITUTE(SUBSTITUTE(SUBSTITUTE(TRIM($H251),"/",","),";",",")," ",""),",",""))+1),"Genre di luar daftar",""))),IF($I251="","Nama Channel kosong",""),IF($J251="","Link Channel kosong",IF(ISERROR(SEARCH("youtu",$J251)),"Link Channel bukan youtube","")),IF($K251="","Link Video kosong",IF(ISERROR(SEARCH("youtu",$K251)),"Link Video bukan youtube","")),IF($L251="","Tgl Dibuat kosong",IF(NOT(ISNUMBER($L251)),"Tgl Dibuat bukan tanggal","")),IF(AND($M251&lt;&gt;"",NOT(ISNUMBER($M251))),"Tgl Publish bukan tanggal",""),IF(AND(ISNUMBER($L251),ISNUMBER($M251),$M251&lt;$L251),"Tgl Publish &lt; Tgl buat",""),IF(TRIM($N251)="","Status kosong",IF(ISERROR(MATCH(TRIM($N251),{"Draft","Menunggu Review","Revisi","Terjadwal","Upload","Publish","Published","Batal"},0)),"Status di luar daftar","")))),""))</f>
        <v/>
      </c>
      <c r="S251" s="12">
        <f>IF(AND($A251&lt;&gt;"",$C251&lt;&gt;""),IF(COUNTIFS($A$2:$A$1000,$A251,$C$2:$C$1000,$C251)&gt;1,"DUPLICAT",""),"")</f>
        <v/>
      </c>
    </row>
    <row r="252">
      <c r="A252" s="17" t="n"/>
      <c r="B252" s="17" t="n"/>
      <c r="C252" s="17" t="n"/>
      <c r="D252" s="18" t="n"/>
      <c r="E252" s="17" t="n"/>
      <c r="F252" s="19" t="n"/>
      <c r="G252" s="17" t="n"/>
      <c r="H252" s="17" t="n"/>
      <c r="I252" s="17" t="n"/>
      <c r="J252" s="19" t="n"/>
      <c r="K252" s="19" t="n"/>
      <c r="L252" s="20" t="n"/>
      <c r="M252" s="20" t="n"/>
      <c r="N252" s="17" t="n"/>
      <c r="O252" s="17" t="n"/>
      <c r="P252" s="21">
        <f>IF(AND(ISNUMBER($L252),ISNUMBER($M252)),MAX(0,$M252-$L252),"")</f>
        <v/>
      </c>
      <c r="Q252" s="21">
        <f>IF(ISNUMBER($D252),MAX(0,TODAY()-$D252),"")</f>
        <v/>
      </c>
      <c r="R252" s="19">
        <f>IF(COUNTA($A252:$O252)=0,"",IFERROR(TRIM(TEXTJOIN(" | ",TRUE,IF($A252="","PC kosong",""),IF($C252="","Worker ID kosong",""),IF($D252="","Update Date kosong",IF(NOT(ISNUMBER($D252)),"Update Date bukan tanggal","")),IF($E252="","Song ID YT kosong",""),IF($F252="","Judul kosong",""),IF(TRIM($G252)="","",IF(ISERROR(MATCH(TRIM($G252),{"TuneCore","DistroKid","TooLost","SoundOn","Ditto","Believe","CD Baby","Amuse","Symphonic Distribution","ONErpm","RouteNote","LANDR","Horus Music","Indie"},0)),"Aggregator di luar daftar","")),IF(TRIM($H252)="","Genre kosong",IF((LEN(SUBSTITUTE(SUBSTITUTE(SUBSTITUTE(TRIM($H252),"/",","),";",",")," ",""))-LEN(SUBSTITUTE(SUBSTITUTE(SUBSTITUTE(SUBSTITUTE(TRIM($H252),"/",","),";",","),"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252),"/",","),";",",")," ","")&amp;",")))&lt;&gt;(LEN(SUBSTITUTE(SUBSTITUTE(SUBSTITUTE(TRIM($H252),"/",","),";",",")," ",""))-LEN(SUBSTITUTE(SUBSTITUTE(SUBSTITUTE(SUBSTITUTE(TRIM($H252),"/",","),";",",")," ",""),",",""))+1),"Genre di luar daftar",""))),IF($I252="","Nama Channel kosong",""),IF($J252="","Link Channel kosong",IF(ISERROR(SEARCH("youtu",$J252)),"Link Channel bukan youtube","")),IF($K252="","Link Video kosong",IF(ISERROR(SEARCH("youtu",$K252)),"Link Video bukan youtube","")),IF($L252="","Tgl Dibuat kosong",IF(NOT(ISNUMBER($L252)),"Tgl Dibuat bukan tanggal","")),IF(AND($M252&lt;&gt;"",NOT(ISNUMBER($M252))),"Tgl Publish bukan tanggal",""),IF(AND(ISNUMBER($L252),ISNUMBER($M252),$M252&lt;$L252),"Tgl Publish &lt; Tgl buat",""),IF(TRIM($N252)="","Status kosong",IF(ISERROR(MATCH(TRIM($N252),{"Draft","Menunggu Review","Revisi","Terjadwal","Upload","Publish","Published","Batal"},0)),"Status di luar daftar","")))),""))</f>
        <v/>
      </c>
      <c r="S252" s="17">
        <f>IF(AND($A252&lt;&gt;"",$C252&lt;&gt;""),IF(COUNTIFS($A$2:$A$1000,$A252,$C$2:$C$1000,$C252)&gt;1,"DUPLICAT",""),"")</f>
        <v/>
      </c>
    </row>
    <row r="253">
      <c r="A253" s="12" t="n"/>
      <c r="B253" s="12" t="n"/>
      <c r="C253" s="12" t="n"/>
      <c r="D253" s="13" t="n"/>
      <c r="E253" s="12" t="n"/>
      <c r="F253" s="14" t="n"/>
      <c r="G253" s="12" t="n"/>
      <c r="H253" s="12" t="n"/>
      <c r="I253" s="12" t="n"/>
      <c r="J253" s="14" t="n"/>
      <c r="K253" s="14" t="n"/>
      <c r="L253" s="15" t="n"/>
      <c r="M253" s="15" t="n"/>
      <c r="N253" s="12" t="n"/>
      <c r="O253" s="12" t="n"/>
      <c r="P253" s="16">
        <f>IF(AND(ISNUMBER($L253),ISNUMBER($M253)),MAX(0,$M253-$L253),"")</f>
        <v/>
      </c>
      <c r="Q253" s="16">
        <f>IF(ISNUMBER($D253),MAX(0,TODAY()-$D253),"")</f>
        <v/>
      </c>
      <c r="R253" s="14">
        <f>IF(COUNTA($A253:$O253)=0,"",IFERROR(TRIM(TEXTJOIN(" | ",TRUE,IF($A253="","PC kosong",""),IF($C253="","Worker ID kosong",""),IF($D253="","Update Date kosong",IF(NOT(ISNUMBER($D253)),"Update Date bukan tanggal","")),IF($E253="","Song ID YT kosong",""),IF($F253="","Judul kosong",""),IF(TRIM($G253)="","",IF(ISERROR(MATCH(TRIM($G253),{"TuneCore","DistroKid","TooLost","SoundOn","Ditto","Believe","CD Baby","Amuse","Symphonic Distribution","ONErpm","RouteNote","LANDR","Horus Music","Indie"},0)),"Aggregator di luar daftar","")),IF(TRIM($H253)="","Genre kosong",IF((LEN(SUBSTITUTE(SUBSTITUTE(SUBSTITUTE(TRIM($H253),"/",","),";",",")," ",""))-LEN(SUBSTITUTE(SUBSTITUTE(SUBSTITUTE(SUBSTITUTE(TRIM($H253),"/",","),";",","),"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253),"/",","),";",",")," ","")&amp;",")))&lt;&gt;(LEN(SUBSTITUTE(SUBSTITUTE(SUBSTITUTE(TRIM($H253),"/",","),";",",")," ",""))-LEN(SUBSTITUTE(SUBSTITUTE(SUBSTITUTE(SUBSTITUTE(TRIM($H253),"/",","),";",",")," ",""),",",""))+1),"Genre di luar daftar",""))),IF($I253="","Nama Channel kosong",""),IF($J253="","Link Channel kosong",IF(ISERROR(SEARCH("youtu",$J253)),"Link Channel bukan youtube","")),IF($K253="","Link Video kosong",IF(ISERROR(SEARCH("youtu",$K253)),"Link Video bukan youtube","")),IF($L253="","Tgl Dibuat kosong",IF(NOT(ISNUMBER($L253)),"Tgl Dibuat bukan tanggal","")),IF(AND($M253&lt;&gt;"",NOT(ISNUMBER($M253))),"Tgl Publish bukan tanggal",""),IF(AND(ISNUMBER($L253),ISNUMBER($M253),$M253&lt;$L253),"Tgl Publish &lt; Tgl buat",""),IF(TRIM($N253)="","Status kosong",IF(ISERROR(MATCH(TRIM($N253),{"Draft","Menunggu Review","Revisi","Terjadwal","Upload","Publish","Published","Batal"},0)),"Status di luar daftar","")))),""))</f>
        <v/>
      </c>
      <c r="S253" s="12">
        <f>IF(AND($A253&lt;&gt;"",$C253&lt;&gt;""),IF(COUNTIFS($A$2:$A$1000,$A253,$C$2:$C$1000,$C253)&gt;1,"DUPLICAT",""),"")</f>
        <v/>
      </c>
    </row>
    <row r="254">
      <c r="A254" s="17" t="n"/>
      <c r="B254" s="17" t="n"/>
      <c r="C254" s="17" t="n"/>
      <c r="D254" s="18" t="n"/>
      <c r="E254" s="17" t="n"/>
      <c r="F254" s="19" t="n"/>
      <c r="G254" s="17" t="n"/>
      <c r="H254" s="17" t="n"/>
      <c r="I254" s="17" t="n"/>
      <c r="J254" s="19" t="n"/>
      <c r="K254" s="19" t="n"/>
      <c r="L254" s="20" t="n"/>
      <c r="M254" s="20" t="n"/>
      <c r="N254" s="17" t="n"/>
      <c r="O254" s="17" t="n"/>
      <c r="P254" s="21">
        <f>IF(AND(ISNUMBER($L254),ISNUMBER($M254)),MAX(0,$M254-$L254),"")</f>
        <v/>
      </c>
      <c r="Q254" s="21">
        <f>IF(ISNUMBER($D254),MAX(0,TODAY()-$D254),"")</f>
        <v/>
      </c>
      <c r="R254" s="19">
        <f>IF(COUNTA($A254:$O254)=0,"",IFERROR(TRIM(TEXTJOIN(" | ",TRUE,IF($A254="","PC kosong",""),IF($C254="","Worker ID kosong",""),IF($D254="","Update Date kosong",IF(NOT(ISNUMBER($D254)),"Update Date bukan tanggal","")),IF($E254="","Song ID YT kosong",""),IF($F254="","Judul kosong",""),IF(TRIM($G254)="","",IF(ISERROR(MATCH(TRIM($G254),{"TuneCore","DistroKid","TooLost","SoundOn","Ditto","Believe","CD Baby","Amuse","Symphonic Distribution","ONErpm","RouteNote","LANDR","Horus Music","Indie"},0)),"Aggregator di luar daftar","")),IF(TRIM($H254)="","Genre kosong",IF((LEN(SUBSTITUTE(SUBSTITUTE(SUBSTITUTE(TRIM($H254),"/",","),";",",")," ",""))-LEN(SUBSTITUTE(SUBSTITUTE(SUBSTITUTE(SUBSTITUTE(TRIM($H254),"/",","),";",","),"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254),"/",","),";",",")," ","")&amp;",")))&lt;&gt;(LEN(SUBSTITUTE(SUBSTITUTE(SUBSTITUTE(TRIM($H254),"/",","),";",",")," ",""))-LEN(SUBSTITUTE(SUBSTITUTE(SUBSTITUTE(SUBSTITUTE(TRIM($H254),"/",","),";",",")," ",""),",",""))+1),"Genre di luar daftar",""))),IF($I254="","Nama Channel kosong",""),IF($J254="","Link Channel kosong",IF(ISERROR(SEARCH("youtu",$J254)),"Link Channel bukan youtube","")),IF($K254="","Link Video kosong",IF(ISERROR(SEARCH("youtu",$K254)),"Link Video bukan youtube","")),IF($L254="","Tgl Dibuat kosong",IF(NOT(ISNUMBER($L254)),"Tgl Dibuat bukan tanggal","")),IF(AND($M254&lt;&gt;"",NOT(ISNUMBER($M254))),"Tgl Publish bukan tanggal",""),IF(AND(ISNUMBER($L254),ISNUMBER($M254),$M254&lt;$L254),"Tgl Publish &lt; Tgl buat",""),IF(TRIM($N254)="","Status kosong",IF(ISERROR(MATCH(TRIM($N254),{"Draft","Menunggu Review","Revisi","Terjadwal","Upload","Publish","Published","Batal"},0)),"Status di luar daftar","")))),""))</f>
        <v/>
      </c>
      <c r="S254" s="17">
        <f>IF(AND($A254&lt;&gt;"",$C254&lt;&gt;""),IF(COUNTIFS($A$2:$A$1000,$A254,$C$2:$C$1000,$C254)&gt;1,"DUPLICAT",""),"")</f>
        <v/>
      </c>
    </row>
    <row r="255">
      <c r="A255" s="12" t="n"/>
      <c r="B255" s="12" t="n"/>
      <c r="C255" s="12" t="n"/>
      <c r="D255" s="13" t="n"/>
      <c r="E255" s="12" t="n"/>
      <c r="F255" s="14" t="n"/>
      <c r="G255" s="12" t="n"/>
      <c r="H255" s="12" t="n"/>
      <c r="I255" s="12" t="n"/>
      <c r="J255" s="14" t="n"/>
      <c r="K255" s="14" t="n"/>
      <c r="L255" s="15" t="n"/>
      <c r="M255" s="15" t="n"/>
      <c r="N255" s="12" t="n"/>
      <c r="O255" s="12" t="n"/>
      <c r="P255" s="16">
        <f>IF(AND(ISNUMBER($L255),ISNUMBER($M255)),MAX(0,$M255-$L255),"")</f>
        <v/>
      </c>
      <c r="Q255" s="16">
        <f>IF(ISNUMBER($D255),MAX(0,TODAY()-$D255),"")</f>
        <v/>
      </c>
      <c r="R255" s="14">
        <f>IF(COUNTA($A255:$O255)=0,"",IFERROR(TRIM(TEXTJOIN(" | ",TRUE,IF($A255="","PC kosong",""),IF($C255="","Worker ID kosong",""),IF($D255="","Update Date kosong",IF(NOT(ISNUMBER($D255)),"Update Date bukan tanggal","")),IF($E255="","Song ID YT kosong",""),IF($F255="","Judul kosong",""),IF(TRIM($G255)="","",IF(ISERROR(MATCH(TRIM($G255),{"TuneCore","DistroKid","TooLost","SoundOn","Ditto","Believe","CD Baby","Amuse","Symphonic Distribution","ONErpm","RouteNote","LANDR","Horus Music","Indie"},0)),"Aggregator di luar daftar","")),IF(TRIM($H255)="","Genre kosong",IF((LEN(SUBSTITUTE(SUBSTITUTE(SUBSTITUTE(TRIM($H255),"/",","),";",",")," ",""))-LEN(SUBSTITUTE(SUBSTITUTE(SUBSTITUTE(SUBSTITUTE(TRIM($H255),"/",","),";",","),"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255),"/",","),";",",")," ","")&amp;",")))&lt;&gt;(LEN(SUBSTITUTE(SUBSTITUTE(SUBSTITUTE(TRIM($H255),"/",","),";",",")," ",""))-LEN(SUBSTITUTE(SUBSTITUTE(SUBSTITUTE(SUBSTITUTE(TRIM($H255),"/",","),";",",")," ",""),",",""))+1),"Genre di luar daftar",""))),IF($I255="","Nama Channel kosong",""),IF($J255="","Link Channel kosong",IF(ISERROR(SEARCH("youtu",$J255)),"Link Channel bukan youtube","")),IF($K255="","Link Video kosong",IF(ISERROR(SEARCH("youtu",$K255)),"Link Video bukan youtube","")),IF($L255="","Tgl Dibuat kosong",IF(NOT(ISNUMBER($L255)),"Tgl Dibuat bukan tanggal","")),IF(AND($M255&lt;&gt;"",NOT(ISNUMBER($M255))),"Tgl Publish bukan tanggal",""),IF(AND(ISNUMBER($L255),ISNUMBER($M255),$M255&lt;$L255),"Tgl Publish &lt; Tgl buat",""),IF(TRIM($N255)="","Status kosong",IF(ISERROR(MATCH(TRIM($N255),{"Draft","Menunggu Review","Revisi","Terjadwal","Upload","Publish","Published","Batal"},0)),"Status di luar daftar","")))),""))</f>
        <v/>
      </c>
      <c r="S255" s="12">
        <f>IF(AND($A255&lt;&gt;"",$C255&lt;&gt;""),IF(COUNTIFS($A$2:$A$1000,$A255,$C$2:$C$1000,$C255)&gt;1,"DUPLICAT",""),"")</f>
        <v/>
      </c>
    </row>
    <row r="256">
      <c r="A256" s="17" t="n"/>
      <c r="B256" s="17" t="n"/>
      <c r="C256" s="17" t="n"/>
      <c r="D256" s="18" t="n"/>
      <c r="E256" s="17" t="n"/>
      <c r="F256" s="19" t="n"/>
      <c r="G256" s="17" t="n"/>
      <c r="H256" s="17" t="n"/>
      <c r="I256" s="17" t="n"/>
      <c r="J256" s="19" t="n"/>
      <c r="K256" s="19" t="n"/>
      <c r="L256" s="20" t="n"/>
      <c r="M256" s="20" t="n"/>
      <c r="N256" s="17" t="n"/>
      <c r="O256" s="17" t="n"/>
      <c r="P256" s="21">
        <f>IF(AND(ISNUMBER($L256),ISNUMBER($M256)),MAX(0,$M256-$L256),"")</f>
        <v/>
      </c>
      <c r="Q256" s="21">
        <f>IF(ISNUMBER($D256),MAX(0,TODAY()-$D256),"")</f>
        <v/>
      </c>
      <c r="R256" s="19">
        <f>IF(COUNTA($A256:$O256)=0,"",IFERROR(TRIM(TEXTJOIN(" | ",TRUE,IF($A256="","PC kosong",""),IF($C256="","Worker ID kosong",""),IF($D256="","Update Date kosong",IF(NOT(ISNUMBER($D256)),"Update Date bukan tanggal","")),IF($E256="","Song ID YT kosong",""),IF($F256="","Judul kosong",""),IF(TRIM($G256)="","",IF(ISERROR(MATCH(TRIM($G256),{"TuneCore","DistroKid","TooLost","SoundOn","Ditto","Believe","CD Baby","Amuse","Symphonic Distribution","ONErpm","RouteNote","LANDR","Horus Music","Indie"},0)),"Aggregator di luar daftar","")),IF(TRIM($H256)="","Genre kosong",IF((LEN(SUBSTITUTE(SUBSTITUTE(SUBSTITUTE(TRIM($H256),"/",","),";",",")," ",""))-LEN(SUBSTITUTE(SUBSTITUTE(SUBSTITUTE(SUBSTITUTE(TRIM($H256),"/",","),";",","),"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256),"/",","),";",",")," ","")&amp;",")))&lt;&gt;(LEN(SUBSTITUTE(SUBSTITUTE(SUBSTITUTE(TRIM($H256),"/",","),";",",")," ",""))-LEN(SUBSTITUTE(SUBSTITUTE(SUBSTITUTE(SUBSTITUTE(TRIM($H256),"/",","),";",",")," ",""),",",""))+1),"Genre di luar daftar",""))),IF($I256="","Nama Channel kosong",""),IF($J256="","Link Channel kosong",IF(ISERROR(SEARCH("youtu",$J256)),"Link Channel bukan youtube","")),IF($K256="","Link Video kosong",IF(ISERROR(SEARCH("youtu",$K256)),"Link Video bukan youtube","")),IF($L256="","Tgl Dibuat kosong",IF(NOT(ISNUMBER($L256)),"Tgl Dibuat bukan tanggal","")),IF(AND($M256&lt;&gt;"",NOT(ISNUMBER($M256))),"Tgl Publish bukan tanggal",""),IF(AND(ISNUMBER($L256),ISNUMBER($M256),$M256&lt;$L256),"Tgl Publish &lt; Tgl buat",""),IF(TRIM($N256)="","Status kosong",IF(ISERROR(MATCH(TRIM($N256),{"Draft","Menunggu Review","Revisi","Terjadwal","Upload","Publish","Published","Batal"},0)),"Status di luar daftar","")))),""))</f>
        <v/>
      </c>
      <c r="S256" s="17">
        <f>IF(AND($A256&lt;&gt;"",$C256&lt;&gt;""),IF(COUNTIFS($A$2:$A$1000,$A256,$C$2:$C$1000,$C256)&gt;1,"DUPLICAT",""),"")</f>
        <v/>
      </c>
    </row>
    <row r="257">
      <c r="A257" s="12" t="n"/>
      <c r="B257" s="12" t="n"/>
      <c r="C257" s="12" t="n"/>
      <c r="D257" s="13" t="n"/>
      <c r="E257" s="12" t="n"/>
      <c r="F257" s="14" t="n"/>
      <c r="G257" s="12" t="n"/>
      <c r="H257" s="12" t="n"/>
      <c r="I257" s="12" t="n"/>
      <c r="J257" s="14" t="n"/>
      <c r="K257" s="14" t="n"/>
      <c r="L257" s="15" t="n"/>
      <c r="M257" s="15" t="n"/>
      <c r="N257" s="12" t="n"/>
      <c r="O257" s="12" t="n"/>
      <c r="P257" s="16">
        <f>IF(AND(ISNUMBER($L257),ISNUMBER($M257)),MAX(0,$M257-$L257),"")</f>
        <v/>
      </c>
      <c r="Q257" s="16">
        <f>IF(ISNUMBER($D257),MAX(0,TODAY()-$D257),"")</f>
        <v/>
      </c>
      <c r="R257" s="14">
        <f>IF(COUNTA($A257:$O257)=0,"",IFERROR(TRIM(TEXTJOIN(" | ",TRUE,IF($A257="","PC kosong",""),IF($C257="","Worker ID kosong",""),IF($D257="","Update Date kosong",IF(NOT(ISNUMBER($D257)),"Update Date bukan tanggal","")),IF($E257="","Song ID YT kosong",""),IF($F257="","Judul kosong",""),IF(TRIM($G257)="","",IF(ISERROR(MATCH(TRIM($G257),{"TuneCore","DistroKid","TooLost","SoundOn","Ditto","Believe","CD Baby","Amuse","Symphonic Distribution","ONErpm","RouteNote","LANDR","Horus Music","Indie"},0)),"Aggregator di luar daftar","")),IF(TRIM($H257)="","Genre kosong",IF((LEN(SUBSTITUTE(SUBSTITUTE(SUBSTITUTE(TRIM($H257),"/",","),";",",")," ",""))-LEN(SUBSTITUTE(SUBSTITUTE(SUBSTITUTE(SUBSTITUTE(TRIM($H257),"/",","),";",","),"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257),"/",","),";",",")," ","")&amp;",")))&lt;&gt;(LEN(SUBSTITUTE(SUBSTITUTE(SUBSTITUTE(TRIM($H257),"/",","),";",",")," ",""))-LEN(SUBSTITUTE(SUBSTITUTE(SUBSTITUTE(SUBSTITUTE(TRIM($H257),"/",","),";",",")," ",""),",",""))+1),"Genre di luar daftar",""))),IF($I257="","Nama Channel kosong",""),IF($J257="","Link Channel kosong",IF(ISERROR(SEARCH("youtu",$J257)),"Link Channel bukan youtube","")),IF($K257="","Link Video kosong",IF(ISERROR(SEARCH("youtu",$K257)),"Link Video bukan youtube","")),IF($L257="","Tgl Dibuat kosong",IF(NOT(ISNUMBER($L257)),"Tgl Dibuat bukan tanggal","")),IF(AND($M257&lt;&gt;"",NOT(ISNUMBER($M257))),"Tgl Publish bukan tanggal",""),IF(AND(ISNUMBER($L257),ISNUMBER($M257),$M257&lt;$L257),"Tgl Publish &lt; Tgl buat",""),IF(TRIM($N257)="","Status kosong",IF(ISERROR(MATCH(TRIM($N257),{"Draft","Menunggu Review","Revisi","Terjadwal","Upload","Publish","Published","Batal"},0)),"Status di luar daftar","")))),""))</f>
        <v/>
      </c>
      <c r="S257" s="12">
        <f>IF(AND($A257&lt;&gt;"",$C257&lt;&gt;""),IF(COUNTIFS($A$2:$A$1000,$A257,$C$2:$C$1000,$C257)&gt;1,"DUPLICAT",""),"")</f>
        <v/>
      </c>
    </row>
    <row r="258">
      <c r="A258" s="17" t="n"/>
      <c r="B258" s="17" t="n"/>
      <c r="C258" s="17" t="n"/>
      <c r="D258" s="18" t="n"/>
      <c r="E258" s="17" t="n"/>
      <c r="F258" s="19" t="n"/>
      <c r="G258" s="17" t="n"/>
      <c r="H258" s="17" t="n"/>
      <c r="I258" s="17" t="n"/>
      <c r="J258" s="19" t="n"/>
      <c r="K258" s="19" t="n"/>
      <c r="L258" s="20" t="n"/>
      <c r="M258" s="20" t="n"/>
      <c r="N258" s="17" t="n"/>
      <c r="O258" s="17" t="n"/>
      <c r="P258" s="21">
        <f>IF(AND(ISNUMBER($L258),ISNUMBER($M258)),MAX(0,$M258-$L258),"")</f>
        <v/>
      </c>
      <c r="Q258" s="21">
        <f>IF(ISNUMBER($D258),MAX(0,TODAY()-$D258),"")</f>
        <v/>
      </c>
      <c r="R258" s="19">
        <f>IF(COUNTA($A258:$O258)=0,"",IFERROR(TRIM(TEXTJOIN(" | ",TRUE,IF($A258="","PC kosong",""),IF($C258="","Worker ID kosong",""),IF($D258="","Update Date kosong",IF(NOT(ISNUMBER($D258)),"Update Date bukan tanggal","")),IF($E258="","Song ID YT kosong",""),IF($F258="","Judul kosong",""),IF(TRIM($G258)="","",IF(ISERROR(MATCH(TRIM($G258),{"TuneCore","DistroKid","TooLost","SoundOn","Ditto","Believe","CD Baby","Amuse","Symphonic Distribution","ONErpm","RouteNote","LANDR","Horus Music","Indie"},0)),"Aggregator di luar daftar","")),IF(TRIM($H258)="","Genre kosong",IF((LEN(SUBSTITUTE(SUBSTITUTE(SUBSTITUTE(TRIM($H258),"/",","),";",",")," ",""))-LEN(SUBSTITUTE(SUBSTITUTE(SUBSTITUTE(SUBSTITUTE(TRIM($H258),"/",","),";",","),"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258),"/",","),";",",")," ","")&amp;",")))&lt;&gt;(LEN(SUBSTITUTE(SUBSTITUTE(SUBSTITUTE(TRIM($H258),"/",","),";",",")," ",""))-LEN(SUBSTITUTE(SUBSTITUTE(SUBSTITUTE(SUBSTITUTE(TRIM($H258),"/",","),";",",")," ",""),",",""))+1),"Genre di luar daftar",""))),IF($I258="","Nama Channel kosong",""),IF($J258="","Link Channel kosong",IF(ISERROR(SEARCH("youtu",$J258)),"Link Channel bukan youtube","")),IF($K258="","Link Video kosong",IF(ISERROR(SEARCH("youtu",$K258)),"Link Video bukan youtube","")),IF($L258="","Tgl Dibuat kosong",IF(NOT(ISNUMBER($L258)),"Tgl Dibuat bukan tanggal","")),IF(AND($M258&lt;&gt;"",NOT(ISNUMBER($M258))),"Tgl Publish bukan tanggal",""),IF(AND(ISNUMBER($L258),ISNUMBER($M258),$M258&lt;$L258),"Tgl Publish &lt; Tgl buat",""),IF(TRIM($N258)="","Status kosong",IF(ISERROR(MATCH(TRIM($N258),{"Draft","Menunggu Review","Revisi","Terjadwal","Upload","Publish","Published","Batal"},0)),"Status di luar daftar","")))),""))</f>
        <v/>
      </c>
      <c r="S258" s="17">
        <f>IF(AND($A258&lt;&gt;"",$C258&lt;&gt;""),IF(COUNTIFS($A$2:$A$1000,$A258,$C$2:$C$1000,$C258)&gt;1,"DUPLICAT",""),"")</f>
        <v/>
      </c>
    </row>
    <row r="259">
      <c r="A259" s="12" t="n"/>
      <c r="B259" s="12" t="n"/>
      <c r="C259" s="12" t="n"/>
      <c r="D259" s="13" t="n"/>
      <c r="E259" s="12" t="n"/>
      <c r="F259" s="14" t="n"/>
      <c r="G259" s="12" t="n"/>
      <c r="H259" s="12" t="n"/>
      <c r="I259" s="12" t="n"/>
      <c r="J259" s="14" t="n"/>
      <c r="K259" s="14" t="n"/>
      <c r="L259" s="15" t="n"/>
      <c r="M259" s="15" t="n"/>
      <c r="N259" s="12" t="n"/>
      <c r="O259" s="12" t="n"/>
      <c r="P259" s="16">
        <f>IF(AND(ISNUMBER($L259),ISNUMBER($M259)),MAX(0,$M259-$L259),"")</f>
        <v/>
      </c>
      <c r="Q259" s="16">
        <f>IF(ISNUMBER($D259),MAX(0,TODAY()-$D259),"")</f>
        <v/>
      </c>
      <c r="R259" s="14">
        <f>IF(COUNTA($A259:$O259)=0,"",IFERROR(TRIM(TEXTJOIN(" | ",TRUE,IF($A259="","PC kosong",""),IF($C259="","Worker ID kosong",""),IF($D259="","Update Date kosong",IF(NOT(ISNUMBER($D259)),"Update Date bukan tanggal","")),IF($E259="","Song ID YT kosong",""),IF($F259="","Judul kosong",""),IF(TRIM($G259)="","",IF(ISERROR(MATCH(TRIM($G259),{"TuneCore","DistroKid","TooLost","SoundOn","Ditto","Believe","CD Baby","Amuse","Symphonic Distribution","ONErpm","RouteNote","LANDR","Horus Music","Indie"},0)),"Aggregator di luar daftar","")),IF(TRIM($H259)="","Genre kosong",IF((LEN(SUBSTITUTE(SUBSTITUTE(SUBSTITUTE(TRIM($H259),"/",","),";",",")," ",""))-LEN(SUBSTITUTE(SUBSTITUTE(SUBSTITUTE(SUBSTITUTE(TRIM($H259),"/",","),";",","),"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259),"/",","),";",",")," ","")&amp;",")))&lt;&gt;(LEN(SUBSTITUTE(SUBSTITUTE(SUBSTITUTE(TRIM($H259),"/",","),";",",")," ",""))-LEN(SUBSTITUTE(SUBSTITUTE(SUBSTITUTE(SUBSTITUTE(TRIM($H259),"/",","),";",",")," ",""),",",""))+1),"Genre di luar daftar",""))),IF($I259="","Nama Channel kosong",""),IF($J259="","Link Channel kosong",IF(ISERROR(SEARCH("youtu",$J259)),"Link Channel bukan youtube","")),IF($K259="","Link Video kosong",IF(ISERROR(SEARCH("youtu",$K259)),"Link Video bukan youtube","")),IF($L259="","Tgl Dibuat kosong",IF(NOT(ISNUMBER($L259)),"Tgl Dibuat bukan tanggal","")),IF(AND($M259&lt;&gt;"",NOT(ISNUMBER($M259))),"Tgl Publish bukan tanggal",""),IF(AND(ISNUMBER($L259),ISNUMBER($M259),$M259&lt;$L259),"Tgl Publish &lt; Tgl buat",""),IF(TRIM($N259)="","Status kosong",IF(ISERROR(MATCH(TRIM($N259),{"Draft","Menunggu Review","Revisi","Terjadwal","Upload","Publish","Published","Batal"},0)),"Status di luar daftar","")))),""))</f>
        <v/>
      </c>
      <c r="S259" s="12">
        <f>IF(AND($A259&lt;&gt;"",$C259&lt;&gt;""),IF(COUNTIFS($A$2:$A$1000,$A259,$C$2:$C$1000,$C259)&gt;1,"DUPLICAT",""),"")</f>
        <v/>
      </c>
    </row>
    <row r="260">
      <c r="A260" s="17" t="n"/>
      <c r="B260" s="17" t="n"/>
      <c r="C260" s="17" t="n"/>
      <c r="D260" s="18" t="n"/>
      <c r="E260" s="17" t="n"/>
      <c r="F260" s="19" t="n"/>
      <c r="G260" s="17" t="n"/>
      <c r="H260" s="17" t="n"/>
      <c r="I260" s="17" t="n"/>
      <c r="J260" s="19" t="n"/>
      <c r="K260" s="19" t="n"/>
      <c r="L260" s="20" t="n"/>
      <c r="M260" s="20" t="n"/>
      <c r="N260" s="17" t="n"/>
      <c r="O260" s="17" t="n"/>
      <c r="P260" s="21">
        <f>IF(AND(ISNUMBER($L260),ISNUMBER($M260)),MAX(0,$M260-$L260),"")</f>
        <v/>
      </c>
      <c r="Q260" s="21">
        <f>IF(ISNUMBER($D260),MAX(0,TODAY()-$D260),"")</f>
        <v/>
      </c>
      <c r="R260" s="19">
        <f>IF(COUNTA($A260:$O260)=0,"",IFERROR(TRIM(TEXTJOIN(" | ",TRUE,IF($A260="","PC kosong",""),IF($C260="","Worker ID kosong",""),IF($D260="","Update Date kosong",IF(NOT(ISNUMBER($D260)),"Update Date bukan tanggal","")),IF($E260="","Song ID YT kosong",""),IF($F260="","Judul kosong",""),IF(TRIM($G260)="","",IF(ISERROR(MATCH(TRIM($G260),{"TuneCore","DistroKid","TooLost","SoundOn","Ditto","Believe","CD Baby","Amuse","Symphonic Distribution","ONErpm","RouteNote","LANDR","Horus Music","Indie"},0)),"Aggregator di luar daftar","")),IF(TRIM($H260)="","Genre kosong",IF((LEN(SUBSTITUTE(SUBSTITUTE(SUBSTITUTE(TRIM($H260),"/",","),";",",")," ",""))-LEN(SUBSTITUTE(SUBSTITUTE(SUBSTITUTE(SUBSTITUTE(TRIM($H260),"/",","),";",","),"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260),"/",","),";",",")," ","")&amp;",")))&lt;&gt;(LEN(SUBSTITUTE(SUBSTITUTE(SUBSTITUTE(TRIM($H260),"/",","),";",",")," ",""))-LEN(SUBSTITUTE(SUBSTITUTE(SUBSTITUTE(SUBSTITUTE(TRIM($H260),"/",","),";",",")," ",""),",",""))+1),"Genre di luar daftar",""))),IF($I260="","Nama Channel kosong",""),IF($J260="","Link Channel kosong",IF(ISERROR(SEARCH("youtu",$J260)),"Link Channel bukan youtube","")),IF($K260="","Link Video kosong",IF(ISERROR(SEARCH("youtu",$K260)),"Link Video bukan youtube","")),IF($L260="","Tgl Dibuat kosong",IF(NOT(ISNUMBER($L260)),"Tgl Dibuat bukan tanggal","")),IF(AND($M260&lt;&gt;"",NOT(ISNUMBER($M260))),"Tgl Publish bukan tanggal",""),IF(AND(ISNUMBER($L260),ISNUMBER($M260),$M260&lt;$L260),"Tgl Publish &lt; Tgl buat",""),IF(TRIM($N260)="","Status kosong",IF(ISERROR(MATCH(TRIM($N260),{"Draft","Menunggu Review","Revisi","Terjadwal","Upload","Publish","Published","Batal"},0)),"Status di luar daftar","")))),""))</f>
        <v/>
      </c>
      <c r="S260" s="17">
        <f>IF(AND($A260&lt;&gt;"",$C260&lt;&gt;""),IF(COUNTIFS($A$2:$A$1000,$A260,$C$2:$C$1000,$C260)&gt;1,"DUPLICAT",""),"")</f>
        <v/>
      </c>
    </row>
    <row r="261">
      <c r="A261" s="12" t="n"/>
      <c r="B261" s="12" t="n"/>
      <c r="C261" s="12" t="n"/>
      <c r="D261" s="13" t="n"/>
      <c r="E261" s="12" t="n"/>
      <c r="F261" s="14" t="n"/>
      <c r="G261" s="12" t="n"/>
      <c r="H261" s="12" t="n"/>
      <c r="I261" s="12" t="n"/>
      <c r="J261" s="14" t="n"/>
      <c r="K261" s="14" t="n"/>
      <c r="L261" s="15" t="n"/>
      <c r="M261" s="15" t="n"/>
      <c r="N261" s="12" t="n"/>
      <c r="O261" s="12" t="n"/>
      <c r="P261" s="16">
        <f>IF(AND(ISNUMBER($L261),ISNUMBER($M261)),MAX(0,$M261-$L261),"")</f>
        <v/>
      </c>
      <c r="Q261" s="16">
        <f>IF(ISNUMBER($D261),MAX(0,TODAY()-$D261),"")</f>
        <v/>
      </c>
      <c r="R261" s="14">
        <f>IF(COUNTA($A261:$O261)=0,"",IFERROR(TRIM(TEXTJOIN(" | ",TRUE,IF($A261="","PC kosong",""),IF($C261="","Worker ID kosong",""),IF($D261="","Update Date kosong",IF(NOT(ISNUMBER($D261)),"Update Date bukan tanggal","")),IF($E261="","Song ID YT kosong",""),IF($F261="","Judul kosong",""),IF(TRIM($G261)="","",IF(ISERROR(MATCH(TRIM($G261),{"TuneCore","DistroKid","TooLost","SoundOn","Ditto","Believe","CD Baby","Amuse","Symphonic Distribution","ONErpm","RouteNote","LANDR","Horus Music","Indie"},0)),"Aggregator di luar daftar","")),IF(TRIM($H261)="","Genre kosong",IF((LEN(SUBSTITUTE(SUBSTITUTE(SUBSTITUTE(TRIM($H261),"/",","),";",",")," ",""))-LEN(SUBSTITUTE(SUBSTITUTE(SUBSTITUTE(SUBSTITUTE(TRIM($H261),"/",","),";",","),"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261),"/",","),";",",")," ","")&amp;",")))&lt;&gt;(LEN(SUBSTITUTE(SUBSTITUTE(SUBSTITUTE(TRIM($H261),"/",","),";",",")," ",""))-LEN(SUBSTITUTE(SUBSTITUTE(SUBSTITUTE(SUBSTITUTE(TRIM($H261),"/",","),";",",")," ",""),",",""))+1),"Genre di luar daftar",""))),IF($I261="","Nama Channel kosong",""),IF($J261="","Link Channel kosong",IF(ISERROR(SEARCH("youtu",$J261)),"Link Channel bukan youtube","")),IF($K261="","Link Video kosong",IF(ISERROR(SEARCH("youtu",$K261)),"Link Video bukan youtube","")),IF($L261="","Tgl Dibuat kosong",IF(NOT(ISNUMBER($L261)),"Tgl Dibuat bukan tanggal","")),IF(AND($M261&lt;&gt;"",NOT(ISNUMBER($M261))),"Tgl Publish bukan tanggal",""),IF(AND(ISNUMBER($L261),ISNUMBER($M261),$M261&lt;$L261),"Tgl Publish &lt; Tgl buat",""),IF(TRIM($N261)="","Status kosong",IF(ISERROR(MATCH(TRIM($N261),{"Draft","Menunggu Review","Revisi","Terjadwal","Upload","Publish","Published","Batal"},0)),"Status di luar daftar","")))),""))</f>
        <v/>
      </c>
      <c r="S261" s="12">
        <f>IF(AND($A261&lt;&gt;"",$C261&lt;&gt;""),IF(COUNTIFS($A$2:$A$1000,$A261,$C$2:$C$1000,$C261)&gt;1,"DUPLICAT",""),"")</f>
        <v/>
      </c>
    </row>
    <row r="262">
      <c r="A262" s="17" t="n"/>
      <c r="B262" s="17" t="n"/>
      <c r="C262" s="17" t="n"/>
      <c r="D262" s="18" t="n"/>
      <c r="E262" s="17" t="n"/>
      <c r="F262" s="19" t="n"/>
      <c r="G262" s="17" t="n"/>
      <c r="H262" s="17" t="n"/>
      <c r="I262" s="17" t="n"/>
      <c r="J262" s="19" t="n"/>
      <c r="K262" s="19" t="n"/>
      <c r="L262" s="20" t="n"/>
      <c r="M262" s="20" t="n"/>
      <c r="N262" s="17" t="n"/>
      <c r="O262" s="17" t="n"/>
      <c r="P262" s="21">
        <f>IF(AND(ISNUMBER($L262),ISNUMBER($M262)),MAX(0,$M262-$L262),"")</f>
        <v/>
      </c>
      <c r="Q262" s="21">
        <f>IF(ISNUMBER($D262),MAX(0,TODAY()-$D262),"")</f>
        <v/>
      </c>
      <c r="R262" s="19">
        <f>IF(COUNTA($A262:$O262)=0,"",IFERROR(TRIM(TEXTJOIN(" | ",TRUE,IF($A262="","PC kosong",""),IF($C262="","Worker ID kosong",""),IF($D262="","Update Date kosong",IF(NOT(ISNUMBER($D262)),"Update Date bukan tanggal","")),IF($E262="","Song ID YT kosong",""),IF($F262="","Judul kosong",""),IF(TRIM($G262)="","",IF(ISERROR(MATCH(TRIM($G262),{"TuneCore","DistroKid","TooLost","SoundOn","Ditto","Believe","CD Baby","Amuse","Symphonic Distribution","ONErpm","RouteNote","LANDR","Horus Music","Indie"},0)),"Aggregator di luar daftar","")),IF(TRIM($H262)="","Genre kosong",IF((LEN(SUBSTITUTE(SUBSTITUTE(SUBSTITUTE(TRIM($H262),"/",","),";",",")," ",""))-LEN(SUBSTITUTE(SUBSTITUTE(SUBSTITUTE(SUBSTITUTE(TRIM($H262),"/",","),";",","),"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262),"/",","),";",",")," ","")&amp;",")))&lt;&gt;(LEN(SUBSTITUTE(SUBSTITUTE(SUBSTITUTE(TRIM($H262),"/",","),";",",")," ",""))-LEN(SUBSTITUTE(SUBSTITUTE(SUBSTITUTE(SUBSTITUTE(TRIM($H262),"/",","),";",",")," ",""),",",""))+1),"Genre di luar daftar",""))),IF($I262="","Nama Channel kosong",""),IF($J262="","Link Channel kosong",IF(ISERROR(SEARCH("youtu",$J262)),"Link Channel bukan youtube","")),IF($K262="","Link Video kosong",IF(ISERROR(SEARCH("youtu",$K262)),"Link Video bukan youtube","")),IF($L262="","Tgl Dibuat kosong",IF(NOT(ISNUMBER($L262)),"Tgl Dibuat bukan tanggal","")),IF(AND($M262&lt;&gt;"",NOT(ISNUMBER($M262))),"Tgl Publish bukan tanggal",""),IF(AND(ISNUMBER($L262),ISNUMBER($M262),$M262&lt;$L262),"Tgl Publish &lt; Tgl buat",""),IF(TRIM($N262)="","Status kosong",IF(ISERROR(MATCH(TRIM($N262),{"Draft","Menunggu Review","Revisi","Terjadwal","Upload","Publish","Published","Batal"},0)),"Status di luar daftar","")))),""))</f>
        <v/>
      </c>
      <c r="S262" s="17">
        <f>IF(AND($A262&lt;&gt;"",$C262&lt;&gt;""),IF(COUNTIFS($A$2:$A$1000,$A262,$C$2:$C$1000,$C262)&gt;1,"DUPLICAT",""),"")</f>
        <v/>
      </c>
    </row>
    <row r="263">
      <c r="A263" s="12" t="n"/>
      <c r="B263" s="12" t="n"/>
      <c r="C263" s="12" t="n"/>
      <c r="D263" s="13" t="n"/>
      <c r="E263" s="12" t="n"/>
      <c r="F263" s="14" t="n"/>
      <c r="G263" s="12" t="n"/>
      <c r="H263" s="12" t="n"/>
      <c r="I263" s="12" t="n"/>
      <c r="J263" s="14" t="n"/>
      <c r="K263" s="14" t="n"/>
      <c r="L263" s="15" t="n"/>
      <c r="M263" s="15" t="n"/>
      <c r="N263" s="12" t="n"/>
      <c r="O263" s="12" t="n"/>
      <c r="P263" s="16">
        <f>IF(AND(ISNUMBER($L263),ISNUMBER($M263)),MAX(0,$M263-$L263),"")</f>
        <v/>
      </c>
      <c r="Q263" s="16">
        <f>IF(ISNUMBER($D263),MAX(0,TODAY()-$D263),"")</f>
        <v/>
      </c>
      <c r="R263" s="14">
        <f>IF(COUNTA($A263:$O263)=0,"",IFERROR(TRIM(TEXTJOIN(" | ",TRUE,IF($A263="","PC kosong",""),IF($C263="","Worker ID kosong",""),IF($D263="","Update Date kosong",IF(NOT(ISNUMBER($D263)),"Update Date bukan tanggal","")),IF($E263="","Song ID YT kosong",""),IF($F263="","Judul kosong",""),IF(TRIM($G263)="","",IF(ISERROR(MATCH(TRIM($G263),{"TuneCore","DistroKid","TooLost","SoundOn","Ditto","Believe","CD Baby","Amuse","Symphonic Distribution","ONErpm","RouteNote","LANDR","Horus Music","Indie"},0)),"Aggregator di luar daftar","")),IF(TRIM($H263)="","Genre kosong",IF((LEN(SUBSTITUTE(SUBSTITUTE(SUBSTITUTE(TRIM($H263),"/",","),";",",")," ",""))-LEN(SUBSTITUTE(SUBSTITUTE(SUBSTITUTE(SUBSTITUTE(TRIM($H263),"/",","),";",","),"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263),"/",","),";",",")," ","")&amp;",")))&lt;&gt;(LEN(SUBSTITUTE(SUBSTITUTE(SUBSTITUTE(TRIM($H263),"/",","),";",",")," ",""))-LEN(SUBSTITUTE(SUBSTITUTE(SUBSTITUTE(SUBSTITUTE(TRIM($H263),"/",","),";",",")," ",""),",",""))+1),"Genre di luar daftar",""))),IF($I263="","Nama Channel kosong",""),IF($J263="","Link Channel kosong",IF(ISERROR(SEARCH("youtu",$J263)),"Link Channel bukan youtube","")),IF($K263="","Link Video kosong",IF(ISERROR(SEARCH("youtu",$K263)),"Link Video bukan youtube","")),IF($L263="","Tgl Dibuat kosong",IF(NOT(ISNUMBER($L263)),"Tgl Dibuat bukan tanggal","")),IF(AND($M263&lt;&gt;"",NOT(ISNUMBER($M263))),"Tgl Publish bukan tanggal",""),IF(AND(ISNUMBER($L263),ISNUMBER($M263),$M263&lt;$L263),"Tgl Publish &lt; Tgl buat",""),IF(TRIM($N263)="","Status kosong",IF(ISERROR(MATCH(TRIM($N263),{"Draft","Menunggu Review","Revisi","Terjadwal","Upload","Publish","Published","Batal"},0)),"Status di luar daftar","")))),""))</f>
        <v/>
      </c>
      <c r="S263" s="12">
        <f>IF(AND($A263&lt;&gt;"",$C263&lt;&gt;""),IF(COUNTIFS($A$2:$A$1000,$A263,$C$2:$C$1000,$C263)&gt;1,"DUPLICAT",""),"")</f>
        <v/>
      </c>
    </row>
    <row r="264">
      <c r="A264" s="17" t="n"/>
      <c r="B264" s="17" t="n"/>
      <c r="C264" s="17" t="n"/>
      <c r="D264" s="18" t="n"/>
      <c r="E264" s="17" t="n"/>
      <c r="F264" s="19" t="n"/>
      <c r="G264" s="17" t="n"/>
      <c r="H264" s="17" t="n"/>
      <c r="I264" s="17" t="n"/>
      <c r="J264" s="19" t="n"/>
      <c r="K264" s="19" t="n"/>
      <c r="L264" s="20" t="n"/>
      <c r="M264" s="20" t="n"/>
      <c r="N264" s="17" t="n"/>
      <c r="O264" s="17" t="n"/>
      <c r="P264" s="21">
        <f>IF(AND(ISNUMBER($L264),ISNUMBER($M264)),MAX(0,$M264-$L264),"")</f>
        <v/>
      </c>
      <c r="Q264" s="21">
        <f>IF(ISNUMBER($D264),MAX(0,TODAY()-$D264),"")</f>
        <v/>
      </c>
      <c r="R264" s="19">
        <f>IF(COUNTA($A264:$O264)=0,"",IFERROR(TRIM(TEXTJOIN(" | ",TRUE,IF($A264="","PC kosong",""),IF($C264="","Worker ID kosong",""),IF($D264="","Update Date kosong",IF(NOT(ISNUMBER($D264)),"Update Date bukan tanggal","")),IF($E264="","Song ID YT kosong",""),IF($F264="","Judul kosong",""),IF(TRIM($G264)="","",IF(ISERROR(MATCH(TRIM($G264),{"TuneCore","DistroKid","TooLost","SoundOn","Ditto","Believe","CD Baby","Amuse","Symphonic Distribution","ONErpm","RouteNote","LANDR","Horus Music","Indie"},0)),"Aggregator di luar daftar","")),IF(TRIM($H264)="","Genre kosong",IF((LEN(SUBSTITUTE(SUBSTITUTE(SUBSTITUTE(TRIM($H264),"/",","),";",",")," ",""))-LEN(SUBSTITUTE(SUBSTITUTE(SUBSTITUTE(SUBSTITUTE(TRIM($H264),"/",","),";",","),"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264),"/",","),";",",")," ","")&amp;",")))&lt;&gt;(LEN(SUBSTITUTE(SUBSTITUTE(SUBSTITUTE(TRIM($H264),"/",","),";",",")," ",""))-LEN(SUBSTITUTE(SUBSTITUTE(SUBSTITUTE(SUBSTITUTE(TRIM($H264),"/",","),";",",")," ",""),",",""))+1),"Genre di luar daftar",""))),IF($I264="","Nama Channel kosong",""),IF($J264="","Link Channel kosong",IF(ISERROR(SEARCH("youtu",$J264)),"Link Channel bukan youtube","")),IF($K264="","Link Video kosong",IF(ISERROR(SEARCH("youtu",$K264)),"Link Video bukan youtube","")),IF($L264="","Tgl Dibuat kosong",IF(NOT(ISNUMBER($L264)),"Tgl Dibuat bukan tanggal","")),IF(AND($M264&lt;&gt;"",NOT(ISNUMBER($M264))),"Tgl Publish bukan tanggal",""),IF(AND(ISNUMBER($L264),ISNUMBER($M264),$M264&lt;$L264),"Tgl Publish &lt; Tgl buat",""),IF(TRIM($N264)="","Status kosong",IF(ISERROR(MATCH(TRIM($N264),{"Draft","Menunggu Review","Revisi","Terjadwal","Upload","Publish","Published","Batal"},0)),"Status di luar daftar","")))),""))</f>
        <v/>
      </c>
      <c r="S264" s="17">
        <f>IF(AND($A264&lt;&gt;"",$C264&lt;&gt;""),IF(COUNTIFS($A$2:$A$1000,$A264,$C$2:$C$1000,$C264)&gt;1,"DUPLICAT",""),"")</f>
        <v/>
      </c>
    </row>
    <row r="265">
      <c r="A265" s="12" t="n"/>
      <c r="B265" s="12" t="n"/>
      <c r="C265" s="12" t="n"/>
      <c r="D265" s="13" t="n"/>
      <c r="E265" s="12" t="n"/>
      <c r="F265" s="14" t="n"/>
      <c r="G265" s="12" t="n"/>
      <c r="H265" s="12" t="n"/>
      <c r="I265" s="12" t="n"/>
      <c r="J265" s="14" t="n"/>
      <c r="K265" s="14" t="n"/>
      <c r="L265" s="15" t="n"/>
      <c r="M265" s="15" t="n"/>
      <c r="N265" s="12" t="n"/>
      <c r="O265" s="12" t="n"/>
      <c r="P265" s="16">
        <f>IF(AND(ISNUMBER($L265),ISNUMBER($M265)),MAX(0,$M265-$L265),"")</f>
        <v/>
      </c>
      <c r="Q265" s="16">
        <f>IF(ISNUMBER($D265),MAX(0,TODAY()-$D265),"")</f>
        <v/>
      </c>
      <c r="R265" s="14">
        <f>IF(COUNTA($A265:$O265)=0,"",IFERROR(TRIM(TEXTJOIN(" | ",TRUE,IF($A265="","PC kosong",""),IF($C265="","Worker ID kosong",""),IF($D265="","Update Date kosong",IF(NOT(ISNUMBER($D265)),"Update Date bukan tanggal","")),IF($E265="","Song ID YT kosong",""),IF($F265="","Judul kosong",""),IF(TRIM($G265)="","",IF(ISERROR(MATCH(TRIM($G265),{"TuneCore","DistroKid","TooLost","SoundOn","Ditto","Believe","CD Baby","Amuse","Symphonic Distribution","ONErpm","RouteNote","LANDR","Horus Music","Indie"},0)),"Aggregator di luar daftar","")),IF(TRIM($H265)="","Genre kosong",IF((LEN(SUBSTITUTE(SUBSTITUTE(SUBSTITUTE(TRIM($H265),"/",","),";",",")," ",""))-LEN(SUBSTITUTE(SUBSTITUTE(SUBSTITUTE(SUBSTITUTE(TRIM($H265),"/",","),";",","),"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265),"/",","),";",",")," ","")&amp;",")))&lt;&gt;(LEN(SUBSTITUTE(SUBSTITUTE(SUBSTITUTE(TRIM($H265),"/",","),";",",")," ",""))-LEN(SUBSTITUTE(SUBSTITUTE(SUBSTITUTE(SUBSTITUTE(TRIM($H265),"/",","),";",",")," ",""),",",""))+1),"Genre di luar daftar",""))),IF($I265="","Nama Channel kosong",""),IF($J265="","Link Channel kosong",IF(ISERROR(SEARCH("youtu",$J265)),"Link Channel bukan youtube","")),IF($K265="","Link Video kosong",IF(ISERROR(SEARCH("youtu",$K265)),"Link Video bukan youtube","")),IF($L265="","Tgl Dibuat kosong",IF(NOT(ISNUMBER($L265)),"Tgl Dibuat bukan tanggal","")),IF(AND($M265&lt;&gt;"",NOT(ISNUMBER($M265))),"Tgl Publish bukan tanggal",""),IF(AND(ISNUMBER($L265),ISNUMBER($M265),$M265&lt;$L265),"Tgl Publish &lt; Tgl buat",""),IF(TRIM($N265)="","Status kosong",IF(ISERROR(MATCH(TRIM($N265),{"Draft","Menunggu Review","Revisi","Terjadwal","Upload","Publish","Published","Batal"},0)),"Status di luar daftar","")))),""))</f>
        <v/>
      </c>
      <c r="S265" s="12">
        <f>IF(AND($A265&lt;&gt;"",$C265&lt;&gt;""),IF(COUNTIFS($A$2:$A$1000,$A265,$C$2:$C$1000,$C265)&gt;1,"DUPLICAT",""),"")</f>
        <v/>
      </c>
    </row>
    <row r="266">
      <c r="A266" s="17" t="n"/>
      <c r="B266" s="17" t="n"/>
      <c r="C266" s="17" t="n"/>
      <c r="D266" s="18" t="n"/>
      <c r="E266" s="17" t="n"/>
      <c r="F266" s="19" t="n"/>
      <c r="G266" s="17" t="n"/>
      <c r="H266" s="17" t="n"/>
      <c r="I266" s="17" t="n"/>
      <c r="J266" s="19" t="n"/>
      <c r="K266" s="19" t="n"/>
      <c r="L266" s="20" t="n"/>
      <c r="M266" s="20" t="n"/>
      <c r="N266" s="17" t="n"/>
      <c r="O266" s="17" t="n"/>
      <c r="P266" s="21">
        <f>IF(AND(ISNUMBER($L266),ISNUMBER($M266)),MAX(0,$M266-$L266),"")</f>
        <v/>
      </c>
      <c r="Q266" s="21">
        <f>IF(ISNUMBER($D266),MAX(0,TODAY()-$D266),"")</f>
        <v/>
      </c>
      <c r="R266" s="19">
        <f>IF(COUNTA($A266:$O266)=0,"",IFERROR(TRIM(TEXTJOIN(" | ",TRUE,IF($A266="","PC kosong",""),IF($C266="","Worker ID kosong",""),IF($D266="","Update Date kosong",IF(NOT(ISNUMBER($D266)),"Update Date bukan tanggal","")),IF($E266="","Song ID YT kosong",""),IF($F266="","Judul kosong",""),IF(TRIM($G266)="","",IF(ISERROR(MATCH(TRIM($G266),{"TuneCore","DistroKid","TooLost","SoundOn","Ditto","Believe","CD Baby","Amuse","Symphonic Distribution","ONErpm","RouteNote","LANDR","Horus Music","Indie"},0)),"Aggregator di luar daftar","")),IF(TRIM($H266)="","Genre kosong",IF((LEN(SUBSTITUTE(SUBSTITUTE(SUBSTITUTE(TRIM($H266),"/",","),";",",")," ",""))-LEN(SUBSTITUTE(SUBSTITUTE(SUBSTITUTE(SUBSTITUTE(TRIM($H266),"/",","),";",","),"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266),"/",","),";",",")," ","")&amp;",")))&lt;&gt;(LEN(SUBSTITUTE(SUBSTITUTE(SUBSTITUTE(TRIM($H266),"/",","),";",",")," ",""))-LEN(SUBSTITUTE(SUBSTITUTE(SUBSTITUTE(SUBSTITUTE(TRIM($H266),"/",","),";",",")," ",""),",",""))+1),"Genre di luar daftar",""))),IF($I266="","Nama Channel kosong",""),IF($J266="","Link Channel kosong",IF(ISERROR(SEARCH("youtu",$J266)),"Link Channel bukan youtube","")),IF($K266="","Link Video kosong",IF(ISERROR(SEARCH("youtu",$K266)),"Link Video bukan youtube","")),IF($L266="","Tgl Dibuat kosong",IF(NOT(ISNUMBER($L266)),"Tgl Dibuat bukan tanggal","")),IF(AND($M266&lt;&gt;"",NOT(ISNUMBER($M266))),"Tgl Publish bukan tanggal",""),IF(AND(ISNUMBER($L266),ISNUMBER($M266),$M266&lt;$L266),"Tgl Publish &lt; Tgl buat",""),IF(TRIM($N266)="","Status kosong",IF(ISERROR(MATCH(TRIM($N266),{"Draft","Menunggu Review","Revisi","Terjadwal","Upload","Publish","Published","Batal"},0)),"Status di luar daftar","")))),""))</f>
        <v/>
      </c>
      <c r="S266" s="17">
        <f>IF(AND($A266&lt;&gt;"",$C266&lt;&gt;""),IF(COUNTIFS($A$2:$A$1000,$A266,$C$2:$C$1000,$C266)&gt;1,"DUPLICAT",""),"")</f>
        <v/>
      </c>
    </row>
    <row r="267">
      <c r="A267" s="12" t="n"/>
      <c r="B267" s="12" t="n"/>
      <c r="C267" s="12" t="n"/>
      <c r="D267" s="13" t="n"/>
      <c r="E267" s="12" t="n"/>
      <c r="F267" s="14" t="n"/>
      <c r="G267" s="12" t="n"/>
      <c r="H267" s="12" t="n"/>
      <c r="I267" s="12" t="n"/>
      <c r="J267" s="14" t="n"/>
      <c r="K267" s="14" t="n"/>
      <c r="L267" s="15" t="n"/>
      <c r="M267" s="15" t="n"/>
      <c r="N267" s="12" t="n"/>
      <c r="O267" s="12" t="n"/>
      <c r="P267" s="16">
        <f>IF(AND(ISNUMBER($L267),ISNUMBER($M267)),MAX(0,$M267-$L267),"")</f>
        <v/>
      </c>
      <c r="Q267" s="16">
        <f>IF(ISNUMBER($D267),MAX(0,TODAY()-$D267),"")</f>
        <v/>
      </c>
      <c r="R267" s="14">
        <f>IF(COUNTA($A267:$O267)=0,"",IFERROR(TRIM(TEXTJOIN(" | ",TRUE,IF($A267="","PC kosong",""),IF($C267="","Worker ID kosong",""),IF($D267="","Update Date kosong",IF(NOT(ISNUMBER($D267)),"Update Date bukan tanggal","")),IF($E267="","Song ID YT kosong",""),IF($F267="","Judul kosong",""),IF(TRIM($G267)="","",IF(ISERROR(MATCH(TRIM($G267),{"TuneCore","DistroKid","TooLost","SoundOn","Ditto","Believe","CD Baby","Amuse","Symphonic Distribution","ONErpm","RouteNote","LANDR","Horus Music","Indie"},0)),"Aggregator di luar daftar","")),IF(TRIM($H267)="","Genre kosong",IF((LEN(SUBSTITUTE(SUBSTITUTE(SUBSTITUTE(TRIM($H267),"/",","),";",",")," ",""))-LEN(SUBSTITUTE(SUBSTITUTE(SUBSTITUTE(SUBSTITUTE(TRIM($H267),"/",","),";",","),"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267),"/",","),";",",")," ","")&amp;",")))&lt;&gt;(LEN(SUBSTITUTE(SUBSTITUTE(SUBSTITUTE(TRIM($H267),"/",","),";",",")," ",""))-LEN(SUBSTITUTE(SUBSTITUTE(SUBSTITUTE(SUBSTITUTE(TRIM($H267),"/",","),";",",")," ",""),",",""))+1),"Genre di luar daftar",""))),IF($I267="","Nama Channel kosong",""),IF($J267="","Link Channel kosong",IF(ISERROR(SEARCH("youtu",$J267)),"Link Channel bukan youtube","")),IF($K267="","Link Video kosong",IF(ISERROR(SEARCH("youtu",$K267)),"Link Video bukan youtube","")),IF($L267="","Tgl Dibuat kosong",IF(NOT(ISNUMBER($L267)),"Tgl Dibuat bukan tanggal","")),IF(AND($M267&lt;&gt;"",NOT(ISNUMBER($M267))),"Tgl Publish bukan tanggal",""),IF(AND(ISNUMBER($L267),ISNUMBER($M267),$M267&lt;$L267),"Tgl Publish &lt; Tgl buat",""),IF(TRIM($N267)="","Status kosong",IF(ISERROR(MATCH(TRIM($N267),{"Draft","Menunggu Review","Revisi","Terjadwal","Upload","Publish","Published","Batal"},0)),"Status di luar daftar","")))),""))</f>
        <v/>
      </c>
      <c r="S267" s="12">
        <f>IF(AND($A267&lt;&gt;"",$C267&lt;&gt;""),IF(COUNTIFS($A$2:$A$1000,$A267,$C$2:$C$1000,$C267)&gt;1,"DUPLICAT",""),"")</f>
        <v/>
      </c>
    </row>
    <row r="268">
      <c r="A268" s="17" t="n"/>
      <c r="B268" s="17" t="n"/>
      <c r="C268" s="17" t="n"/>
      <c r="D268" s="18" t="n"/>
      <c r="E268" s="17" t="n"/>
      <c r="F268" s="19" t="n"/>
      <c r="G268" s="17" t="n"/>
      <c r="H268" s="17" t="n"/>
      <c r="I268" s="17" t="n"/>
      <c r="J268" s="19" t="n"/>
      <c r="K268" s="19" t="n"/>
      <c r="L268" s="20" t="n"/>
      <c r="M268" s="20" t="n"/>
      <c r="N268" s="17" t="n"/>
      <c r="O268" s="17" t="n"/>
      <c r="P268" s="21">
        <f>IF(AND(ISNUMBER($L268),ISNUMBER($M268)),MAX(0,$M268-$L268),"")</f>
        <v/>
      </c>
      <c r="Q268" s="21">
        <f>IF(ISNUMBER($D268),MAX(0,TODAY()-$D268),"")</f>
        <v/>
      </c>
      <c r="R268" s="19">
        <f>IF(COUNTA($A268:$O268)=0,"",IFERROR(TRIM(TEXTJOIN(" | ",TRUE,IF($A268="","PC kosong",""),IF($C268="","Worker ID kosong",""),IF($D268="","Update Date kosong",IF(NOT(ISNUMBER($D268)),"Update Date bukan tanggal","")),IF($E268="","Song ID YT kosong",""),IF($F268="","Judul kosong",""),IF(TRIM($G268)="","",IF(ISERROR(MATCH(TRIM($G268),{"TuneCore","DistroKid","TooLost","SoundOn","Ditto","Believe","CD Baby","Amuse","Symphonic Distribution","ONErpm","RouteNote","LANDR","Horus Music","Indie"},0)),"Aggregator di luar daftar","")),IF(TRIM($H268)="","Genre kosong",IF((LEN(SUBSTITUTE(SUBSTITUTE(SUBSTITUTE(TRIM($H268),"/",","),";",",")," ",""))-LEN(SUBSTITUTE(SUBSTITUTE(SUBSTITUTE(SUBSTITUTE(TRIM($H268),"/",","),";",","),"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268),"/",","),";",",")," ","")&amp;",")))&lt;&gt;(LEN(SUBSTITUTE(SUBSTITUTE(SUBSTITUTE(TRIM($H268),"/",","),";",",")," ",""))-LEN(SUBSTITUTE(SUBSTITUTE(SUBSTITUTE(SUBSTITUTE(TRIM($H268),"/",","),";",",")," ",""),",",""))+1),"Genre di luar daftar",""))),IF($I268="","Nama Channel kosong",""),IF($J268="","Link Channel kosong",IF(ISERROR(SEARCH("youtu",$J268)),"Link Channel bukan youtube","")),IF($K268="","Link Video kosong",IF(ISERROR(SEARCH("youtu",$K268)),"Link Video bukan youtube","")),IF($L268="","Tgl Dibuat kosong",IF(NOT(ISNUMBER($L268)),"Tgl Dibuat bukan tanggal","")),IF(AND($M268&lt;&gt;"",NOT(ISNUMBER($M268))),"Tgl Publish bukan tanggal",""),IF(AND(ISNUMBER($L268),ISNUMBER($M268),$M268&lt;$L268),"Tgl Publish &lt; Tgl buat",""),IF(TRIM($N268)="","Status kosong",IF(ISERROR(MATCH(TRIM($N268),{"Draft","Menunggu Review","Revisi","Terjadwal","Upload","Publish","Published","Batal"},0)),"Status di luar daftar","")))),""))</f>
        <v/>
      </c>
      <c r="S268" s="17">
        <f>IF(AND($A268&lt;&gt;"",$C268&lt;&gt;""),IF(COUNTIFS($A$2:$A$1000,$A268,$C$2:$C$1000,$C268)&gt;1,"DUPLICAT",""),"")</f>
        <v/>
      </c>
    </row>
    <row r="269">
      <c r="A269" s="12" t="n"/>
      <c r="B269" s="12" t="n"/>
      <c r="C269" s="12" t="n"/>
      <c r="D269" s="13" t="n"/>
      <c r="E269" s="12" t="n"/>
      <c r="F269" s="14" t="n"/>
      <c r="G269" s="12" t="n"/>
      <c r="H269" s="12" t="n"/>
      <c r="I269" s="12" t="n"/>
      <c r="J269" s="14" t="n"/>
      <c r="K269" s="14" t="n"/>
      <c r="L269" s="15" t="n"/>
      <c r="M269" s="15" t="n"/>
      <c r="N269" s="12" t="n"/>
      <c r="O269" s="12" t="n"/>
      <c r="P269" s="16">
        <f>IF(AND(ISNUMBER($L269),ISNUMBER($M269)),MAX(0,$M269-$L269),"")</f>
        <v/>
      </c>
      <c r="Q269" s="16">
        <f>IF(ISNUMBER($D269),MAX(0,TODAY()-$D269),"")</f>
        <v/>
      </c>
      <c r="R269" s="14">
        <f>IF(COUNTA($A269:$O269)=0,"",IFERROR(TRIM(TEXTJOIN(" | ",TRUE,IF($A269="","PC kosong",""),IF($C269="","Worker ID kosong",""),IF($D269="","Update Date kosong",IF(NOT(ISNUMBER($D269)),"Update Date bukan tanggal","")),IF($E269="","Song ID YT kosong",""),IF($F269="","Judul kosong",""),IF(TRIM($G269)="","",IF(ISERROR(MATCH(TRIM($G269),{"TuneCore","DistroKid","TooLost","SoundOn","Ditto","Believe","CD Baby","Amuse","Symphonic Distribution","ONErpm","RouteNote","LANDR","Horus Music","Indie"},0)),"Aggregator di luar daftar","")),IF(TRIM($H269)="","Genre kosong",IF((LEN(SUBSTITUTE(SUBSTITUTE(SUBSTITUTE(TRIM($H269),"/",","),";",",")," ",""))-LEN(SUBSTITUTE(SUBSTITUTE(SUBSTITUTE(SUBSTITUTE(TRIM($H269),"/",","),";",","),"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269),"/",","),";",",")," ","")&amp;",")))&lt;&gt;(LEN(SUBSTITUTE(SUBSTITUTE(SUBSTITUTE(TRIM($H269),"/",","),";",",")," ",""))-LEN(SUBSTITUTE(SUBSTITUTE(SUBSTITUTE(SUBSTITUTE(TRIM($H269),"/",","),";",",")," ",""),",",""))+1),"Genre di luar daftar",""))),IF($I269="","Nama Channel kosong",""),IF($J269="","Link Channel kosong",IF(ISERROR(SEARCH("youtu",$J269)),"Link Channel bukan youtube","")),IF($K269="","Link Video kosong",IF(ISERROR(SEARCH("youtu",$K269)),"Link Video bukan youtube","")),IF($L269="","Tgl Dibuat kosong",IF(NOT(ISNUMBER($L269)),"Tgl Dibuat bukan tanggal","")),IF(AND($M269&lt;&gt;"",NOT(ISNUMBER($M269))),"Tgl Publish bukan tanggal",""),IF(AND(ISNUMBER($L269),ISNUMBER($M269),$M269&lt;$L269),"Tgl Publish &lt; Tgl buat",""),IF(TRIM($N269)="","Status kosong",IF(ISERROR(MATCH(TRIM($N269),{"Draft","Menunggu Review","Revisi","Terjadwal","Upload","Publish","Published","Batal"},0)),"Status di luar daftar","")))),""))</f>
        <v/>
      </c>
      <c r="S269" s="12">
        <f>IF(AND($A269&lt;&gt;"",$C269&lt;&gt;""),IF(COUNTIFS($A$2:$A$1000,$A269,$C$2:$C$1000,$C269)&gt;1,"DUPLICAT",""),"")</f>
        <v/>
      </c>
    </row>
    <row r="270">
      <c r="A270" s="17" t="n"/>
      <c r="B270" s="17" t="n"/>
      <c r="C270" s="17" t="n"/>
      <c r="D270" s="18" t="n"/>
      <c r="E270" s="17" t="n"/>
      <c r="F270" s="19" t="n"/>
      <c r="G270" s="17" t="n"/>
      <c r="H270" s="17" t="n"/>
      <c r="I270" s="17" t="n"/>
      <c r="J270" s="19" t="n"/>
      <c r="K270" s="19" t="n"/>
      <c r="L270" s="20" t="n"/>
      <c r="M270" s="20" t="n"/>
      <c r="N270" s="17" t="n"/>
      <c r="O270" s="17" t="n"/>
      <c r="P270" s="21">
        <f>IF(AND(ISNUMBER($L270),ISNUMBER($M270)),MAX(0,$M270-$L270),"")</f>
        <v/>
      </c>
      <c r="Q270" s="21">
        <f>IF(ISNUMBER($D270),MAX(0,TODAY()-$D270),"")</f>
        <v/>
      </c>
      <c r="R270" s="19">
        <f>IF(COUNTA($A270:$O270)=0,"",IFERROR(TRIM(TEXTJOIN(" | ",TRUE,IF($A270="","PC kosong",""),IF($C270="","Worker ID kosong",""),IF($D270="","Update Date kosong",IF(NOT(ISNUMBER($D270)),"Update Date bukan tanggal","")),IF($E270="","Song ID YT kosong",""),IF($F270="","Judul kosong",""),IF(TRIM($G270)="","",IF(ISERROR(MATCH(TRIM($G270),{"TuneCore","DistroKid","TooLost","SoundOn","Ditto","Believe","CD Baby","Amuse","Symphonic Distribution","ONErpm","RouteNote","LANDR","Horus Music","Indie"},0)),"Aggregator di luar daftar","")),IF(TRIM($H270)="","Genre kosong",IF((LEN(SUBSTITUTE(SUBSTITUTE(SUBSTITUTE(TRIM($H270),"/",","),";",",")," ",""))-LEN(SUBSTITUTE(SUBSTITUTE(SUBSTITUTE(SUBSTITUTE(TRIM($H270),"/",","),";",","),"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270),"/",","),";",",")," ","")&amp;",")))&lt;&gt;(LEN(SUBSTITUTE(SUBSTITUTE(SUBSTITUTE(TRIM($H270),"/",","),";",",")," ",""))-LEN(SUBSTITUTE(SUBSTITUTE(SUBSTITUTE(SUBSTITUTE(TRIM($H270),"/",","),";",",")," ",""),",",""))+1),"Genre di luar daftar",""))),IF($I270="","Nama Channel kosong",""),IF($J270="","Link Channel kosong",IF(ISERROR(SEARCH("youtu",$J270)),"Link Channel bukan youtube","")),IF($K270="","Link Video kosong",IF(ISERROR(SEARCH("youtu",$K270)),"Link Video bukan youtube","")),IF($L270="","Tgl Dibuat kosong",IF(NOT(ISNUMBER($L270)),"Tgl Dibuat bukan tanggal","")),IF(AND($M270&lt;&gt;"",NOT(ISNUMBER($M270))),"Tgl Publish bukan tanggal",""),IF(AND(ISNUMBER($L270),ISNUMBER($M270),$M270&lt;$L270),"Tgl Publish &lt; Tgl buat",""),IF(TRIM($N270)="","Status kosong",IF(ISERROR(MATCH(TRIM($N270),{"Draft","Menunggu Review","Revisi","Terjadwal","Upload","Publish","Published","Batal"},0)),"Status di luar daftar","")))),""))</f>
        <v/>
      </c>
      <c r="S270" s="17">
        <f>IF(AND($A270&lt;&gt;"",$C270&lt;&gt;""),IF(COUNTIFS($A$2:$A$1000,$A270,$C$2:$C$1000,$C270)&gt;1,"DUPLICAT",""),"")</f>
        <v/>
      </c>
    </row>
    <row r="271">
      <c r="A271" s="12" t="n"/>
      <c r="B271" s="12" t="n"/>
      <c r="C271" s="12" t="n"/>
      <c r="D271" s="13" t="n"/>
      <c r="E271" s="12" t="n"/>
      <c r="F271" s="14" t="n"/>
      <c r="G271" s="12" t="n"/>
      <c r="H271" s="12" t="n"/>
      <c r="I271" s="12" t="n"/>
      <c r="J271" s="14" t="n"/>
      <c r="K271" s="14" t="n"/>
      <c r="L271" s="15" t="n"/>
      <c r="M271" s="15" t="n"/>
      <c r="N271" s="12" t="n"/>
      <c r="O271" s="12" t="n"/>
      <c r="P271" s="16">
        <f>IF(AND(ISNUMBER($L271),ISNUMBER($M271)),MAX(0,$M271-$L271),"")</f>
        <v/>
      </c>
      <c r="Q271" s="16">
        <f>IF(ISNUMBER($D271),MAX(0,TODAY()-$D271),"")</f>
        <v/>
      </c>
      <c r="R271" s="14">
        <f>IF(COUNTA($A271:$O271)=0,"",IFERROR(TRIM(TEXTJOIN(" | ",TRUE,IF($A271="","PC kosong",""),IF($C271="","Worker ID kosong",""),IF($D271="","Update Date kosong",IF(NOT(ISNUMBER($D271)),"Update Date bukan tanggal","")),IF($E271="","Song ID YT kosong",""),IF($F271="","Judul kosong",""),IF(TRIM($G271)="","",IF(ISERROR(MATCH(TRIM($G271),{"TuneCore","DistroKid","TooLost","SoundOn","Ditto","Believe","CD Baby","Amuse","Symphonic Distribution","ONErpm","RouteNote","LANDR","Horus Music","Indie"},0)),"Aggregator di luar daftar","")),IF(TRIM($H271)="","Genre kosong",IF((LEN(SUBSTITUTE(SUBSTITUTE(SUBSTITUTE(TRIM($H271),"/",","),";",",")," ",""))-LEN(SUBSTITUTE(SUBSTITUTE(SUBSTITUTE(SUBSTITUTE(TRIM($H271),"/",","),";",","),"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271),"/",","),";",",")," ","")&amp;",")))&lt;&gt;(LEN(SUBSTITUTE(SUBSTITUTE(SUBSTITUTE(TRIM($H271),"/",","),";",",")," ",""))-LEN(SUBSTITUTE(SUBSTITUTE(SUBSTITUTE(SUBSTITUTE(TRIM($H271),"/",","),";",",")," ",""),",",""))+1),"Genre di luar daftar",""))),IF($I271="","Nama Channel kosong",""),IF($J271="","Link Channel kosong",IF(ISERROR(SEARCH("youtu",$J271)),"Link Channel bukan youtube","")),IF($K271="","Link Video kosong",IF(ISERROR(SEARCH("youtu",$K271)),"Link Video bukan youtube","")),IF($L271="","Tgl Dibuat kosong",IF(NOT(ISNUMBER($L271)),"Tgl Dibuat bukan tanggal","")),IF(AND($M271&lt;&gt;"",NOT(ISNUMBER($M271))),"Tgl Publish bukan tanggal",""),IF(AND(ISNUMBER($L271),ISNUMBER($M271),$M271&lt;$L271),"Tgl Publish &lt; Tgl buat",""),IF(TRIM($N271)="","Status kosong",IF(ISERROR(MATCH(TRIM($N271),{"Draft","Menunggu Review","Revisi","Terjadwal","Upload","Publish","Published","Batal"},0)),"Status di luar daftar","")))),""))</f>
        <v/>
      </c>
      <c r="S271" s="12">
        <f>IF(AND($A271&lt;&gt;"",$C271&lt;&gt;""),IF(COUNTIFS($A$2:$A$1000,$A271,$C$2:$C$1000,$C271)&gt;1,"DUPLICAT",""),"")</f>
        <v/>
      </c>
    </row>
    <row r="272">
      <c r="A272" s="17" t="n"/>
      <c r="B272" s="17" t="n"/>
      <c r="C272" s="17" t="n"/>
      <c r="D272" s="18" t="n"/>
      <c r="E272" s="17" t="n"/>
      <c r="F272" s="19" t="n"/>
      <c r="G272" s="17" t="n"/>
      <c r="H272" s="17" t="n"/>
      <c r="I272" s="17" t="n"/>
      <c r="J272" s="19" t="n"/>
      <c r="K272" s="19" t="n"/>
      <c r="L272" s="20" t="n"/>
      <c r="M272" s="20" t="n"/>
      <c r="N272" s="17" t="n"/>
      <c r="O272" s="17" t="n"/>
      <c r="P272" s="21">
        <f>IF(AND(ISNUMBER($L272),ISNUMBER($M272)),MAX(0,$M272-$L272),"")</f>
        <v/>
      </c>
      <c r="Q272" s="21">
        <f>IF(ISNUMBER($D272),MAX(0,TODAY()-$D272),"")</f>
        <v/>
      </c>
      <c r="R272" s="19">
        <f>IF(COUNTA($A272:$O272)=0,"",IFERROR(TRIM(TEXTJOIN(" | ",TRUE,IF($A272="","PC kosong",""),IF($C272="","Worker ID kosong",""),IF($D272="","Update Date kosong",IF(NOT(ISNUMBER($D272)),"Update Date bukan tanggal","")),IF($E272="","Song ID YT kosong",""),IF($F272="","Judul kosong",""),IF(TRIM($G272)="","",IF(ISERROR(MATCH(TRIM($G272),{"TuneCore","DistroKid","TooLost","SoundOn","Ditto","Believe","CD Baby","Amuse","Symphonic Distribution","ONErpm","RouteNote","LANDR","Horus Music","Indie"},0)),"Aggregator di luar daftar","")),IF(TRIM($H272)="","Genre kosong",IF((LEN(SUBSTITUTE(SUBSTITUTE(SUBSTITUTE(TRIM($H272),"/",","),";",",")," ",""))-LEN(SUBSTITUTE(SUBSTITUTE(SUBSTITUTE(SUBSTITUTE(TRIM($H272),"/",","),";",","),"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272),"/",","),";",",")," ","")&amp;",")))&lt;&gt;(LEN(SUBSTITUTE(SUBSTITUTE(SUBSTITUTE(TRIM($H272),"/",","),";",",")," ",""))-LEN(SUBSTITUTE(SUBSTITUTE(SUBSTITUTE(SUBSTITUTE(TRIM($H272),"/",","),";",",")," ",""),",",""))+1),"Genre di luar daftar",""))),IF($I272="","Nama Channel kosong",""),IF($J272="","Link Channel kosong",IF(ISERROR(SEARCH("youtu",$J272)),"Link Channel bukan youtube","")),IF($K272="","Link Video kosong",IF(ISERROR(SEARCH("youtu",$K272)),"Link Video bukan youtube","")),IF($L272="","Tgl Dibuat kosong",IF(NOT(ISNUMBER($L272)),"Tgl Dibuat bukan tanggal","")),IF(AND($M272&lt;&gt;"",NOT(ISNUMBER($M272))),"Tgl Publish bukan tanggal",""),IF(AND(ISNUMBER($L272),ISNUMBER($M272),$M272&lt;$L272),"Tgl Publish &lt; Tgl buat",""),IF(TRIM($N272)="","Status kosong",IF(ISERROR(MATCH(TRIM($N272),{"Draft","Menunggu Review","Revisi","Terjadwal","Upload","Publish","Published","Batal"},0)),"Status di luar daftar","")))),""))</f>
        <v/>
      </c>
      <c r="S272" s="17">
        <f>IF(AND($A272&lt;&gt;"",$C272&lt;&gt;""),IF(COUNTIFS($A$2:$A$1000,$A272,$C$2:$C$1000,$C272)&gt;1,"DUPLICAT",""),"")</f>
        <v/>
      </c>
    </row>
    <row r="273">
      <c r="A273" s="12" t="n"/>
      <c r="B273" s="12" t="n"/>
      <c r="C273" s="12" t="n"/>
      <c r="D273" s="13" t="n"/>
      <c r="E273" s="12" t="n"/>
      <c r="F273" s="14" t="n"/>
      <c r="G273" s="12" t="n"/>
      <c r="H273" s="12" t="n"/>
      <c r="I273" s="12" t="n"/>
      <c r="J273" s="14" t="n"/>
      <c r="K273" s="14" t="n"/>
      <c r="L273" s="15" t="n"/>
      <c r="M273" s="15" t="n"/>
      <c r="N273" s="12" t="n"/>
      <c r="O273" s="12" t="n"/>
      <c r="P273" s="16">
        <f>IF(AND(ISNUMBER($L273),ISNUMBER($M273)),MAX(0,$M273-$L273),"")</f>
        <v/>
      </c>
      <c r="Q273" s="16">
        <f>IF(ISNUMBER($D273),MAX(0,TODAY()-$D273),"")</f>
        <v/>
      </c>
      <c r="R273" s="14">
        <f>IF(COUNTA($A273:$O273)=0,"",IFERROR(TRIM(TEXTJOIN(" | ",TRUE,IF($A273="","PC kosong",""),IF($C273="","Worker ID kosong",""),IF($D273="","Update Date kosong",IF(NOT(ISNUMBER($D273)),"Update Date bukan tanggal","")),IF($E273="","Song ID YT kosong",""),IF($F273="","Judul kosong",""),IF(TRIM($G273)="","",IF(ISERROR(MATCH(TRIM($G273),{"TuneCore","DistroKid","TooLost","SoundOn","Ditto","Believe","CD Baby","Amuse","Symphonic Distribution","ONErpm","RouteNote","LANDR","Horus Music","Indie"},0)),"Aggregator di luar daftar","")),IF(TRIM($H273)="","Genre kosong",IF((LEN(SUBSTITUTE(SUBSTITUTE(SUBSTITUTE(TRIM($H273),"/",","),";",",")," ",""))-LEN(SUBSTITUTE(SUBSTITUTE(SUBSTITUTE(SUBSTITUTE(TRIM($H273),"/",","),";",","),"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273),"/",","),";",",")," ","")&amp;",")))&lt;&gt;(LEN(SUBSTITUTE(SUBSTITUTE(SUBSTITUTE(TRIM($H273),"/",","),";",",")," ",""))-LEN(SUBSTITUTE(SUBSTITUTE(SUBSTITUTE(SUBSTITUTE(TRIM($H273),"/",","),";",",")," ",""),",",""))+1),"Genre di luar daftar",""))),IF($I273="","Nama Channel kosong",""),IF($J273="","Link Channel kosong",IF(ISERROR(SEARCH("youtu",$J273)),"Link Channel bukan youtube","")),IF($K273="","Link Video kosong",IF(ISERROR(SEARCH("youtu",$K273)),"Link Video bukan youtube","")),IF($L273="","Tgl Dibuat kosong",IF(NOT(ISNUMBER($L273)),"Tgl Dibuat bukan tanggal","")),IF(AND($M273&lt;&gt;"",NOT(ISNUMBER($M273))),"Tgl Publish bukan tanggal",""),IF(AND(ISNUMBER($L273),ISNUMBER($M273),$M273&lt;$L273),"Tgl Publish &lt; Tgl buat",""),IF(TRIM($N273)="","Status kosong",IF(ISERROR(MATCH(TRIM($N273),{"Draft","Menunggu Review","Revisi","Terjadwal","Upload","Publish","Published","Batal"},0)),"Status di luar daftar","")))),""))</f>
        <v/>
      </c>
      <c r="S273" s="12">
        <f>IF(AND($A273&lt;&gt;"",$C273&lt;&gt;""),IF(COUNTIFS($A$2:$A$1000,$A273,$C$2:$C$1000,$C273)&gt;1,"DUPLICAT",""),"")</f>
        <v/>
      </c>
    </row>
    <row r="274">
      <c r="A274" s="17" t="n"/>
      <c r="B274" s="17" t="n"/>
      <c r="C274" s="17" t="n"/>
      <c r="D274" s="18" t="n"/>
      <c r="E274" s="17" t="n"/>
      <c r="F274" s="19" t="n"/>
      <c r="G274" s="17" t="n"/>
      <c r="H274" s="17" t="n"/>
      <c r="I274" s="17" t="n"/>
      <c r="J274" s="19" t="n"/>
      <c r="K274" s="19" t="n"/>
      <c r="L274" s="20" t="n"/>
      <c r="M274" s="20" t="n"/>
      <c r="N274" s="17" t="n"/>
      <c r="O274" s="17" t="n"/>
      <c r="P274" s="21">
        <f>IF(AND(ISNUMBER($L274),ISNUMBER($M274)),MAX(0,$M274-$L274),"")</f>
        <v/>
      </c>
      <c r="Q274" s="21">
        <f>IF(ISNUMBER($D274),MAX(0,TODAY()-$D274),"")</f>
        <v/>
      </c>
      <c r="R274" s="19">
        <f>IF(COUNTA($A274:$O274)=0,"",IFERROR(TRIM(TEXTJOIN(" | ",TRUE,IF($A274="","PC kosong",""),IF($C274="","Worker ID kosong",""),IF($D274="","Update Date kosong",IF(NOT(ISNUMBER($D274)),"Update Date bukan tanggal","")),IF($E274="","Song ID YT kosong",""),IF($F274="","Judul kosong",""),IF(TRIM($G274)="","",IF(ISERROR(MATCH(TRIM($G274),{"TuneCore","DistroKid","TooLost","SoundOn","Ditto","Believe","CD Baby","Amuse","Symphonic Distribution","ONErpm","RouteNote","LANDR","Horus Music","Indie"},0)),"Aggregator di luar daftar","")),IF(TRIM($H274)="","Genre kosong",IF((LEN(SUBSTITUTE(SUBSTITUTE(SUBSTITUTE(TRIM($H274),"/",","),";",",")," ",""))-LEN(SUBSTITUTE(SUBSTITUTE(SUBSTITUTE(SUBSTITUTE(TRIM($H274),"/",","),";",","),"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274),"/",","),";",",")," ","")&amp;",")))&lt;&gt;(LEN(SUBSTITUTE(SUBSTITUTE(SUBSTITUTE(TRIM($H274),"/",","),";",",")," ",""))-LEN(SUBSTITUTE(SUBSTITUTE(SUBSTITUTE(SUBSTITUTE(TRIM($H274),"/",","),";",",")," ",""),",",""))+1),"Genre di luar daftar",""))),IF($I274="","Nama Channel kosong",""),IF($J274="","Link Channel kosong",IF(ISERROR(SEARCH("youtu",$J274)),"Link Channel bukan youtube","")),IF($K274="","Link Video kosong",IF(ISERROR(SEARCH("youtu",$K274)),"Link Video bukan youtube","")),IF($L274="","Tgl Dibuat kosong",IF(NOT(ISNUMBER($L274)),"Tgl Dibuat bukan tanggal","")),IF(AND($M274&lt;&gt;"",NOT(ISNUMBER($M274))),"Tgl Publish bukan tanggal",""),IF(AND(ISNUMBER($L274),ISNUMBER($M274),$M274&lt;$L274),"Tgl Publish &lt; Tgl buat",""),IF(TRIM($N274)="","Status kosong",IF(ISERROR(MATCH(TRIM($N274),{"Draft","Menunggu Review","Revisi","Terjadwal","Upload","Publish","Published","Batal"},0)),"Status di luar daftar","")))),""))</f>
        <v/>
      </c>
      <c r="S274" s="17">
        <f>IF(AND($A274&lt;&gt;"",$C274&lt;&gt;""),IF(COUNTIFS($A$2:$A$1000,$A274,$C$2:$C$1000,$C274)&gt;1,"DUPLICAT",""),"")</f>
        <v/>
      </c>
    </row>
    <row r="275">
      <c r="A275" s="12" t="n"/>
      <c r="B275" s="12" t="n"/>
      <c r="C275" s="12" t="n"/>
      <c r="D275" s="13" t="n"/>
      <c r="E275" s="12" t="n"/>
      <c r="F275" s="14" t="n"/>
      <c r="G275" s="12" t="n"/>
      <c r="H275" s="12" t="n"/>
      <c r="I275" s="12" t="n"/>
      <c r="J275" s="14" t="n"/>
      <c r="K275" s="14" t="n"/>
      <c r="L275" s="15" t="n"/>
      <c r="M275" s="15" t="n"/>
      <c r="N275" s="12" t="n"/>
      <c r="O275" s="12" t="n"/>
      <c r="P275" s="16">
        <f>IF(AND(ISNUMBER($L275),ISNUMBER($M275)),MAX(0,$M275-$L275),"")</f>
        <v/>
      </c>
      <c r="Q275" s="16">
        <f>IF(ISNUMBER($D275),MAX(0,TODAY()-$D275),"")</f>
        <v/>
      </c>
      <c r="R275" s="14">
        <f>IF(COUNTA($A275:$O275)=0,"",IFERROR(TRIM(TEXTJOIN(" | ",TRUE,IF($A275="","PC kosong",""),IF($C275="","Worker ID kosong",""),IF($D275="","Update Date kosong",IF(NOT(ISNUMBER($D275)),"Update Date bukan tanggal","")),IF($E275="","Song ID YT kosong",""),IF($F275="","Judul kosong",""),IF(TRIM($G275)="","",IF(ISERROR(MATCH(TRIM($G275),{"TuneCore","DistroKid","TooLost","SoundOn","Ditto","Believe","CD Baby","Amuse","Symphonic Distribution","ONErpm","RouteNote","LANDR","Horus Music","Indie"},0)),"Aggregator di luar daftar","")),IF(TRIM($H275)="","Genre kosong",IF((LEN(SUBSTITUTE(SUBSTITUTE(SUBSTITUTE(TRIM($H275),"/",","),";",",")," ",""))-LEN(SUBSTITUTE(SUBSTITUTE(SUBSTITUTE(SUBSTITUTE(TRIM($H275),"/",","),";",","),"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275),"/",","),";",",")," ","")&amp;",")))&lt;&gt;(LEN(SUBSTITUTE(SUBSTITUTE(SUBSTITUTE(TRIM($H275),"/",","),";",",")," ",""))-LEN(SUBSTITUTE(SUBSTITUTE(SUBSTITUTE(SUBSTITUTE(TRIM($H275),"/",","),";",",")," ",""),",",""))+1),"Genre di luar daftar",""))),IF($I275="","Nama Channel kosong",""),IF($J275="","Link Channel kosong",IF(ISERROR(SEARCH("youtu",$J275)),"Link Channel bukan youtube","")),IF($K275="","Link Video kosong",IF(ISERROR(SEARCH("youtu",$K275)),"Link Video bukan youtube","")),IF($L275="","Tgl Dibuat kosong",IF(NOT(ISNUMBER($L275)),"Tgl Dibuat bukan tanggal","")),IF(AND($M275&lt;&gt;"",NOT(ISNUMBER($M275))),"Tgl Publish bukan tanggal",""),IF(AND(ISNUMBER($L275),ISNUMBER($M275),$M275&lt;$L275),"Tgl Publish &lt; Tgl buat",""),IF(TRIM($N275)="","Status kosong",IF(ISERROR(MATCH(TRIM($N275),{"Draft","Menunggu Review","Revisi","Terjadwal","Upload","Publish","Published","Batal"},0)),"Status di luar daftar","")))),""))</f>
        <v/>
      </c>
      <c r="S275" s="12">
        <f>IF(AND($A275&lt;&gt;"",$C275&lt;&gt;""),IF(COUNTIFS($A$2:$A$1000,$A275,$C$2:$C$1000,$C275)&gt;1,"DUPLICAT",""),"")</f>
        <v/>
      </c>
    </row>
    <row r="276">
      <c r="A276" s="17" t="n"/>
      <c r="B276" s="17" t="n"/>
      <c r="C276" s="17" t="n"/>
      <c r="D276" s="18" t="n"/>
      <c r="E276" s="17" t="n"/>
      <c r="F276" s="19" t="n"/>
      <c r="G276" s="17" t="n"/>
      <c r="H276" s="17" t="n"/>
      <c r="I276" s="17" t="n"/>
      <c r="J276" s="19" t="n"/>
      <c r="K276" s="19" t="n"/>
      <c r="L276" s="20" t="n"/>
      <c r="M276" s="20" t="n"/>
      <c r="N276" s="17" t="n"/>
      <c r="O276" s="17" t="n"/>
      <c r="P276" s="21">
        <f>IF(AND(ISNUMBER($L276),ISNUMBER($M276)),MAX(0,$M276-$L276),"")</f>
        <v/>
      </c>
      <c r="Q276" s="21">
        <f>IF(ISNUMBER($D276),MAX(0,TODAY()-$D276),"")</f>
        <v/>
      </c>
      <c r="R276" s="19">
        <f>IF(COUNTA($A276:$O276)=0,"",IFERROR(TRIM(TEXTJOIN(" | ",TRUE,IF($A276="","PC kosong",""),IF($C276="","Worker ID kosong",""),IF($D276="","Update Date kosong",IF(NOT(ISNUMBER($D276)),"Update Date bukan tanggal","")),IF($E276="","Song ID YT kosong",""),IF($F276="","Judul kosong",""),IF(TRIM($G276)="","",IF(ISERROR(MATCH(TRIM($G276),{"TuneCore","DistroKid","TooLost","SoundOn","Ditto","Believe","CD Baby","Amuse","Symphonic Distribution","ONErpm","RouteNote","LANDR","Horus Music","Indie"},0)),"Aggregator di luar daftar","")),IF(TRIM($H276)="","Genre kosong",IF((LEN(SUBSTITUTE(SUBSTITUTE(SUBSTITUTE(TRIM($H276),"/",","),";",",")," ",""))-LEN(SUBSTITUTE(SUBSTITUTE(SUBSTITUTE(SUBSTITUTE(TRIM($H276),"/",","),";",","),"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276),"/",","),";",",")," ","")&amp;",")))&lt;&gt;(LEN(SUBSTITUTE(SUBSTITUTE(SUBSTITUTE(TRIM($H276),"/",","),";",",")," ",""))-LEN(SUBSTITUTE(SUBSTITUTE(SUBSTITUTE(SUBSTITUTE(TRIM($H276),"/",","),";",",")," ",""),",",""))+1),"Genre di luar daftar",""))),IF($I276="","Nama Channel kosong",""),IF($J276="","Link Channel kosong",IF(ISERROR(SEARCH("youtu",$J276)),"Link Channel bukan youtube","")),IF($K276="","Link Video kosong",IF(ISERROR(SEARCH("youtu",$K276)),"Link Video bukan youtube","")),IF($L276="","Tgl Dibuat kosong",IF(NOT(ISNUMBER($L276)),"Tgl Dibuat bukan tanggal","")),IF(AND($M276&lt;&gt;"",NOT(ISNUMBER($M276))),"Tgl Publish bukan tanggal",""),IF(AND(ISNUMBER($L276),ISNUMBER($M276),$M276&lt;$L276),"Tgl Publish &lt; Tgl buat",""),IF(TRIM($N276)="","Status kosong",IF(ISERROR(MATCH(TRIM($N276),{"Draft","Menunggu Review","Revisi","Terjadwal","Upload","Publish","Published","Batal"},0)),"Status di luar daftar","")))),""))</f>
        <v/>
      </c>
      <c r="S276" s="17">
        <f>IF(AND($A276&lt;&gt;"",$C276&lt;&gt;""),IF(COUNTIFS($A$2:$A$1000,$A276,$C$2:$C$1000,$C276)&gt;1,"DUPLICAT",""),"")</f>
        <v/>
      </c>
    </row>
    <row r="277">
      <c r="A277" s="12" t="n"/>
      <c r="B277" s="12" t="n"/>
      <c r="C277" s="12" t="n"/>
      <c r="D277" s="13" t="n"/>
      <c r="E277" s="12" t="n"/>
      <c r="F277" s="14" t="n"/>
      <c r="G277" s="12" t="n"/>
      <c r="H277" s="12" t="n"/>
      <c r="I277" s="12" t="n"/>
      <c r="J277" s="14" t="n"/>
      <c r="K277" s="14" t="n"/>
      <c r="L277" s="15" t="n"/>
      <c r="M277" s="15" t="n"/>
      <c r="N277" s="12" t="n"/>
      <c r="O277" s="12" t="n"/>
      <c r="P277" s="16">
        <f>IF(AND(ISNUMBER($L277),ISNUMBER($M277)),MAX(0,$M277-$L277),"")</f>
        <v/>
      </c>
      <c r="Q277" s="16">
        <f>IF(ISNUMBER($D277),MAX(0,TODAY()-$D277),"")</f>
        <v/>
      </c>
      <c r="R277" s="14">
        <f>IF(COUNTA($A277:$O277)=0,"",IFERROR(TRIM(TEXTJOIN(" | ",TRUE,IF($A277="","PC kosong",""),IF($C277="","Worker ID kosong",""),IF($D277="","Update Date kosong",IF(NOT(ISNUMBER($D277)),"Update Date bukan tanggal","")),IF($E277="","Song ID YT kosong",""),IF($F277="","Judul kosong",""),IF(TRIM($G277)="","",IF(ISERROR(MATCH(TRIM($G277),{"TuneCore","DistroKid","TooLost","SoundOn","Ditto","Believe","CD Baby","Amuse","Symphonic Distribution","ONErpm","RouteNote","LANDR","Horus Music","Indie"},0)),"Aggregator di luar daftar","")),IF(TRIM($H277)="","Genre kosong",IF((LEN(SUBSTITUTE(SUBSTITUTE(SUBSTITUTE(TRIM($H277),"/",","),";",",")," ",""))-LEN(SUBSTITUTE(SUBSTITUTE(SUBSTITUTE(SUBSTITUTE(TRIM($H277),"/",","),";",","),"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277),"/",","),";",",")," ","")&amp;",")))&lt;&gt;(LEN(SUBSTITUTE(SUBSTITUTE(SUBSTITUTE(TRIM($H277),"/",","),";",",")," ",""))-LEN(SUBSTITUTE(SUBSTITUTE(SUBSTITUTE(SUBSTITUTE(TRIM($H277),"/",","),";",",")," ",""),",",""))+1),"Genre di luar daftar",""))),IF($I277="","Nama Channel kosong",""),IF($J277="","Link Channel kosong",IF(ISERROR(SEARCH("youtu",$J277)),"Link Channel bukan youtube","")),IF($K277="","Link Video kosong",IF(ISERROR(SEARCH("youtu",$K277)),"Link Video bukan youtube","")),IF($L277="","Tgl Dibuat kosong",IF(NOT(ISNUMBER($L277)),"Tgl Dibuat bukan tanggal","")),IF(AND($M277&lt;&gt;"",NOT(ISNUMBER($M277))),"Tgl Publish bukan tanggal",""),IF(AND(ISNUMBER($L277),ISNUMBER($M277),$M277&lt;$L277),"Tgl Publish &lt; Tgl buat",""),IF(TRIM($N277)="","Status kosong",IF(ISERROR(MATCH(TRIM($N277),{"Draft","Menunggu Review","Revisi","Terjadwal","Upload","Publish","Published","Batal"},0)),"Status di luar daftar","")))),""))</f>
        <v/>
      </c>
      <c r="S277" s="12">
        <f>IF(AND($A277&lt;&gt;"",$C277&lt;&gt;""),IF(COUNTIFS($A$2:$A$1000,$A277,$C$2:$C$1000,$C277)&gt;1,"DUPLICAT",""),"")</f>
        <v/>
      </c>
    </row>
    <row r="278">
      <c r="A278" s="17" t="n"/>
      <c r="B278" s="17" t="n"/>
      <c r="C278" s="17" t="n"/>
      <c r="D278" s="18" t="n"/>
      <c r="E278" s="17" t="n"/>
      <c r="F278" s="19" t="n"/>
      <c r="G278" s="17" t="n"/>
      <c r="H278" s="17" t="n"/>
      <c r="I278" s="17" t="n"/>
      <c r="J278" s="19" t="n"/>
      <c r="K278" s="19" t="n"/>
      <c r="L278" s="20" t="n"/>
      <c r="M278" s="20" t="n"/>
      <c r="N278" s="17" t="n"/>
      <c r="O278" s="17" t="n"/>
      <c r="P278" s="21">
        <f>IF(AND(ISNUMBER($L278),ISNUMBER($M278)),MAX(0,$M278-$L278),"")</f>
        <v/>
      </c>
      <c r="Q278" s="21">
        <f>IF(ISNUMBER($D278),MAX(0,TODAY()-$D278),"")</f>
        <v/>
      </c>
      <c r="R278" s="19">
        <f>IF(COUNTA($A278:$O278)=0,"",IFERROR(TRIM(TEXTJOIN(" | ",TRUE,IF($A278="","PC kosong",""),IF($C278="","Worker ID kosong",""),IF($D278="","Update Date kosong",IF(NOT(ISNUMBER($D278)),"Update Date bukan tanggal","")),IF($E278="","Song ID YT kosong",""),IF($F278="","Judul kosong",""),IF(TRIM($G278)="","",IF(ISERROR(MATCH(TRIM($G278),{"TuneCore","DistroKid","TooLost","SoundOn","Ditto","Believe","CD Baby","Amuse","Symphonic Distribution","ONErpm","RouteNote","LANDR","Horus Music","Indie"},0)),"Aggregator di luar daftar","")),IF(TRIM($H278)="","Genre kosong",IF((LEN(SUBSTITUTE(SUBSTITUTE(SUBSTITUTE(TRIM($H278),"/",","),";",",")," ",""))-LEN(SUBSTITUTE(SUBSTITUTE(SUBSTITUTE(SUBSTITUTE(TRIM($H278),"/",","),";",","),"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278),"/",","),";",",")," ","")&amp;",")))&lt;&gt;(LEN(SUBSTITUTE(SUBSTITUTE(SUBSTITUTE(TRIM($H278),"/",","),";",",")," ",""))-LEN(SUBSTITUTE(SUBSTITUTE(SUBSTITUTE(SUBSTITUTE(TRIM($H278),"/",","),";",",")," ",""),",",""))+1),"Genre di luar daftar",""))),IF($I278="","Nama Channel kosong",""),IF($J278="","Link Channel kosong",IF(ISERROR(SEARCH("youtu",$J278)),"Link Channel bukan youtube","")),IF($K278="","Link Video kosong",IF(ISERROR(SEARCH("youtu",$K278)),"Link Video bukan youtube","")),IF($L278="","Tgl Dibuat kosong",IF(NOT(ISNUMBER($L278)),"Tgl Dibuat bukan tanggal","")),IF(AND($M278&lt;&gt;"",NOT(ISNUMBER($M278))),"Tgl Publish bukan tanggal",""),IF(AND(ISNUMBER($L278),ISNUMBER($M278),$M278&lt;$L278),"Tgl Publish &lt; Tgl buat",""),IF(TRIM($N278)="","Status kosong",IF(ISERROR(MATCH(TRIM($N278),{"Draft","Menunggu Review","Revisi","Terjadwal","Upload","Publish","Published","Batal"},0)),"Status di luar daftar","")))),""))</f>
        <v/>
      </c>
      <c r="S278" s="17">
        <f>IF(AND($A278&lt;&gt;"",$C278&lt;&gt;""),IF(COUNTIFS($A$2:$A$1000,$A278,$C$2:$C$1000,$C278)&gt;1,"DUPLICAT",""),"")</f>
        <v/>
      </c>
    </row>
    <row r="279">
      <c r="A279" s="12" t="n"/>
      <c r="B279" s="12" t="n"/>
      <c r="C279" s="12" t="n"/>
      <c r="D279" s="13" t="n"/>
      <c r="E279" s="12" t="n"/>
      <c r="F279" s="14" t="n"/>
      <c r="G279" s="12" t="n"/>
      <c r="H279" s="12" t="n"/>
      <c r="I279" s="12" t="n"/>
      <c r="J279" s="14" t="n"/>
      <c r="K279" s="14" t="n"/>
      <c r="L279" s="15" t="n"/>
      <c r="M279" s="15" t="n"/>
      <c r="N279" s="12" t="n"/>
      <c r="O279" s="12" t="n"/>
      <c r="P279" s="16">
        <f>IF(AND(ISNUMBER($L279),ISNUMBER($M279)),MAX(0,$M279-$L279),"")</f>
        <v/>
      </c>
      <c r="Q279" s="16">
        <f>IF(ISNUMBER($D279),MAX(0,TODAY()-$D279),"")</f>
        <v/>
      </c>
      <c r="R279" s="14">
        <f>IF(COUNTA($A279:$O279)=0,"",IFERROR(TRIM(TEXTJOIN(" | ",TRUE,IF($A279="","PC kosong",""),IF($C279="","Worker ID kosong",""),IF($D279="","Update Date kosong",IF(NOT(ISNUMBER($D279)),"Update Date bukan tanggal","")),IF($E279="","Song ID YT kosong",""),IF($F279="","Judul kosong",""),IF(TRIM($G279)="","",IF(ISERROR(MATCH(TRIM($G279),{"TuneCore","DistroKid","TooLost","SoundOn","Ditto","Believe","CD Baby","Amuse","Symphonic Distribution","ONErpm","RouteNote","LANDR","Horus Music","Indie"},0)),"Aggregator di luar daftar","")),IF(TRIM($H279)="","Genre kosong",IF((LEN(SUBSTITUTE(SUBSTITUTE(SUBSTITUTE(TRIM($H279),"/",","),";",",")," ",""))-LEN(SUBSTITUTE(SUBSTITUTE(SUBSTITUTE(SUBSTITUTE(TRIM($H279),"/",","),";",","),"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279),"/",","),";",",")," ","")&amp;",")))&lt;&gt;(LEN(SUBSTITUTE(SUBSTITUTE(SUBSTITUTE(TRIM($H279),"/",","),";",",")," ",""))-LEN(SUBSTITUTE(SUBSTITUTE(SUBSTITUTE(SUBSTITUTE(TRIM($H279),"/",","),";",",")," ",""),",",""))+1),"Genre di luar daftar",""))),IF($I279="","Nama Channel kosong",""),IF($J279="","Link Channel kosong",IF(ISERROR(SEARCH("youtu",$J279)),"Link Channel bukan youtube","")),IF($K279="","Link Video kosong",IF(ISERROR(SEARCH("youtu",$K279)),"Link Video bukan youtube","")),IF($L279="","Tgl Dibuat kosong",IF(NOT(ISNUMBER($L279)),"Tgl Dibuat bukan tanggal","")),IF(AND($M279&lt;&gt;"",NOT(ISNUMBER($M279))),"Tgl Publish bukan tanggal",""),IF(AND(ISNUMBER($L279),ISNUMBER($M279),$M279&lt;$L279),"Tgl Publish &lt; Tgl buat",""),IF(TRIM($N279)="","Status kosong",IF(ISERROR(MATCH(TRIM($N279),{"Draft","Menunggu Review","Revisi","Terjadwal","Upload","Publish","Published","Batal"},0)),"Status di luar daftar","")))),""))</f>
        <v/>
      </c>
      <c r="S279" s="12">
        <f>IF(AND($A279&lt;&gt;"",$C279&lt;&gt;""),IF(COUNTIFS($A$2:$A$1000,$A279,$C$2:$C$1000,$C279)&gt;1,"DUPLICAT",""),"")</f>
        <v/>
      </c>
    </row>
    <row r="280">
      <c r="A280" s="17" t="n"/>
      <c r="B280" s="17" t="n"/>
      <c r="C280" s="17" t="n"/>
      <c r="D280" s="18" t="n"/>
      <c r="E280" s="17" t="n"/>
      <c r="F280" s="19" t="n"/>
      <c r="G280" s="17" t="n"/>
      <c r="H280" s="17" t="n"/>
      <c r="I280" s="17" t="n"/>
      <c r="J280" s="19" t="n"/>
      <c r="K280" s="19" t="n"/>
      <c r="L280" s="20" t="n"/>
      <c r="M280" s="20" t="n"/>
      <c r="N280" s="17" t="n"/>
      <c r="O280" s="17" t="n"/>
      <c r="P280" s="21">
        <f>IF(AND(ISNUMBER($L280),ISNUMBER($M280)),MAX(0,$M280-$L280),"")</f>
        <v/>
      </c>
      <c r="Q280" s="21">
        <f>IF(ISNUMBER($D280),MAX(0,TODAY()-$D280),"")</f>
        <v/>
      </c>
      <c r="R280" s="19">
        <f>IF(COUNTA($A280:$O280)=0,"",IFERROR(TRIM(TEXTJOIN(" | ",TRUE,IF($A280="","PC kosong",""),IF($C280="","Worker ID kosong",""),IF($D280="","Update Date kosong",IF(NOT(ISNUMBER($D280)),"Update Date bukan tanggal","")),IF($E280="","Song ID YT kosong",""),IF($F280="","Judul kosong",""),IF(TRIM($G280)="","",IF(ISERROR(MATCH(TRIM($G280),{"TuneCore","DistroKid","TooLost","SoundOn","Ditto","Believe","CD Baby","Amuse","Symphonic Distribution","ONErpm","RouteNote","LANDR","Horus Music","Indie"},0)),"Aggregator di luar daftar","")),IF(TRIM($H280)="","Genre kosong",IF((LEN(SUBSTITUTE(SUBSTITUTE(SUBSTITUTE(TRIM($H280),"/",","),";",",")," ",""))-LEN(SUBSTITUTE(SUBSTITUTE(SUBSTITUTE(SUBSTITUTE(TRIM($H280),"/",","),";",","),"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280),"/",","),";",",")," ","")&amp;",")))&lt;&gt;(LEN(SUBSTITUTE(SUBSTITUTE(SUBSTITUTE(TRIM($H280),"/",","),";",",")," ",""))-LEN(SUBSTITUTE(SUBSTITUTE(SUBSTITUTE(SUBSTITUTE(TRIM($H280),"/",","),";",",")," ",""),",",""))+1),"Genre di luar daftar",""))),IF($I280="","Nama Channel kosong",""),IF($J280="","Link Channel kosong",IF(ISERROR(SEARCH("youtu",$J280)),"Link Channel bukan youtube","")),IF($K280="","Link Video kosong",IF(ISERROR(SEARCH("youtu",$K280)),"Link Video bukan youtube","")),IF($L280="","Tgl Dibuat kosong",IF(NOT(ISNUMBER($L280)),"Tgl Dibuat bukan tanggal","")),IF(AND($M280&lt;&gt;"",NOT(ISNUMBER($M280))),"Tgl Publish bukan tanggal",""),IF(AND(ISNUMBER($L280),ISNUMBER($M280),$M280&lt;$L280),"Tgl Publish &lt; Tgl buat",""),IF(TRIM($N280)="","Status kosong",IF(ISERROR(MATCH(TRIM($N280),{"Draft","Menunggu Review","Revisi","Terjadwal","Upload","Publish","Published","Batal"},0)),"Status di luar daftar","")))),""))</f>
        <v/>
      </c>
      <c r="S280" s="17">
        <f>IF(AND($A280&lt;&gt;"",$C280&lt;&gt;""),IF(COUNTIFS($A$2:$A$1000,$A280,$C$2:$C$1000,$C280)&gt;1,"DUPLICAT",""),"")</f>
        <v/>
      </c>
    </row>
    <row r="281">
      <c r="A281" s="12" t="n"/>
      <c r="B281" s="12" t="n"/>
      <c r="C281" s="12" t="n"/>
      <c r="D281" s="13" t="n"/>
      <c r="E281" s="12" t="n"/>
      <c r="F281" s="14" t="n"/>
      <c r="G281" s="12" t="n"/>
      <c r="H281" s="12" t="n"/>
      <c r="I281" s="12" t="n"/>
      <c r="J281" s="14" t="n"/>
      <c r="K281" s="14" t="n"/>
      <c r="L281" s="15" t="n"/>
      <c r="M281" s="15" t="n"/>
      <c r="N281" s="12" t="n"/>
      <c r="O281" s="12" t="n"/>
      <c r="P281" s="16">
        <f>IF(AND(ISNUMBER($L281),ISNUMBER($M281)),MAX(0,$M281-$L281),"")</f>
        <v/>
      </c>
      <c r="Q281" s="16">
        <f>IF(ISNUMBER($D281),MAX(0,TODAY()-$D281),"")</f>
        <v/>
      </c>
      <c r="R281" s="14">
        <f>IF(COUNTA($A281:$O281)=0,"",IFERROR(TRIM(TEXTJOIN(" | ",TRUE,IF($A281="","PC kosong",""),IF($C281="","Worker ID kosong",""),IF($D281="","Update Date kosong",IF(NOT(ISNUMBER($D281)),"Update Date bukan tanggal","")),IF($E281="","Song ID YT kosong",""),IF($F281="","Judul kosong",""),IF(TRIM($G281)="","",IF(ISERROR(MATCH(TRIM($G281),{"TuneCore","DistroKid","TooLost","SoundOn","Ditto","Believe","CD Baby","Amuse","Symphonic Distribution","ONErpm","RouteNote","LANDR","Horus Music","Indie"},0)),"Aggregator di luar daftar","")),IF(TRIM($H281)="","Genre kosong",IF((LEN(SUBSTITUTE(SUBSTITUTE(SUBSTITUTE(TRIM($H281),"/",","),";",",")," ",""))-LEN(SUBSTITUTE(SUBSTITUTE(SUBSTITUTE(SUBSTITUTE(TRIM($H281),"/",","),";",","),"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281),"/",","),";",",")," ","")&amp;",")))&lt;&gt;(LEN(SUBSTITUTE(SUBSTITUTE(SUBSTITUTE(TRIM($H281),"/",","),";",",")," ",""))-LEN(SUBSTITUTE(SUBSTITUTE(SUBSTITUTE(SUBSTITUTE(TRIM($H281),"/",","),";",",")," ",""),",",""))+1),"Genre di luar daftar",""))),IF($I281="","Nama Channel kosong",""),IF($J281="","Link Channel kosong",IF(ISERROR(SEARCH("youtu",$J281)),"Link Channel bukan youtube","")),IF($K281="","Link Video kosong",IF(ISERROR(SEARCH("youtu",$K281)),"Link Video bukan youtube","")),IF($L281="","Tgl Dibuat kosong",IF(NOT(ISNUMBER($L281)),"Tgl Dibuat bukan tanggal","")),IF(AND($M281&lt;&gt;"",NOT(ISNUMBER($M281))),"Tgl Publish bukan tanggal",""),IF(AND(ISNUMBER($L281),ISNUMBER($M281),$M281&lt;$L281),"Tgl Publish &lt; Tgl buat",""),IF(TRIM($N281)="","Status kosong",IF(ISERROR(MATCH(TRIM($N281),{"Draft","Menunggu Review","Revisi","Terjadwal","Upload","Publish","Published","Batal"},0)),"Status di luar daftar","")))),""))</f>
        <v/>
      </c>
      <c r="S281" s="12">
        <f>IF(AND($A281&lt;&gt;"",$C281&lt;&gt;""),IF(COUNTIFS($A$2:$A$1000,$A281,$C$2:$C$1000,$C281)&gt;1,"DUPLICAT",""),"")</f>
        <v/>
      </c>
    </row>
    <row r="282">
      <c r="A282" s="17" t="n"/>
      <c r="B282" s="17" t="n"/>
      <c r="C282" s="17" t="n"/>
      <c r="D282" s="18" t="n"/>
      <c r="E282" s="17" t="n"/>
      <c r="F282" s="19" t="n"/>
      <c r="G282" s="17" t="n"/>
      <c r="H282" s="17" t="n"/>
      <c r="I282" s="17" t="n"/>
      <c r="J282" s="19" t="n"/>
      <c r="K282" s="19" t="n"/>
      <c r="L282" s="20" t="n"/>
      <c r="M282" s="20" t="n"/>
      <c r="N282" s="17" t="n"/>
      <c r="O282" s="17" t="n"/>
      <c r="P282" s="21">
        <f>IF(AND(ISNUMBER($L282),ISNUMBER($M282)),MAX(0,$M282-$L282),"")</f>
        <v/>
      </c>
      <c r="Q282" s="21">
        <f>IF(ISNUMBER($D282),MAX(0,TODAY()-$D282),"")</f>
        <v/>
      </c>
      <c r="R282" s="19">
        <f>IF(COUNTA($A282:$O282)=0,"",IFERROR(TRIM(TEXTJOIN(" | ",TRUE,IF($A282="","PC kosong",""),IF($C282="","Worker ID kosong",""),IF($D282="","Update Date kosong",IF(NOT(ISNUMBER($D282)),"Update Date bukan tanggal","")),IF($E282="","Song ID YT kosong",""),IF($F282="","Judul kosong",""),IF(TRIM($G282)="","",IF(ISERROR(MATCH(TRIM($G282),{"TuneCore","DistroKid","TooLost","SoundOn","Ditto","Believe","CD Baby","Amuse","Symphonic Distribution","ONErpm","RouteNote","LANDR","Horus Music","Indie"},0)),"Aggregator di luar daftar","")),IF(TRIM($H282)="","Genre kosong",IF((LEN(SUBSTITUTE(SUBSTITUTE(SUBSTITUTE(TRIM($H282),"/",","),";",",")," ",""))-LEN(SUBSTITUTE(SUBSTITUTE(SUBSTITUTE(SUBSTITUTE(TRIM($H282),"/",","),";",","),"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282),"/",","),";",",")," ","")&amp;",")))&lt;&gt;(LEN(SUBSTITUTE(SUBSTITUTE(SUBSTITUTE(TRIM($H282),"/",","),";",",")," ",""))-LEN(SUBSTITUTE(SUBSTITUTE(SUBSTITUTE(SUBSTITUTE(TRIM($H282),"/",","),";",",")," ",""),",",""))+1),"Genre di luar daftar",""))),IF($I282="","Nama Channel kosong",""),IF($J282="","Link Channel kosong",IF(ISERROR(SEARCH("youtu",$J282)),"Link Channel bukan youtube","")),IF($K282="","Link Video kosong",IF(ISERROR(SEARCH("youtu",$K282)),"Link Video bukan youtube","")),IF($L282="","Tgl Dibuat kosong",IF(NOT(ISNUMBER($L282)),"Tgl Dibuat bukan tanggal","")),IF(AND($M282&lt;&gt;"",NOT(ISNUMBER($M282))),"Tgl Publish bukan tanggal",""),IF(AND(ISNUMBER($L282),ISNUMBER($M282),$M282&lt;$L282),"Tgl Publish &lt; Tgl buat",""),IF(TRIM($N282)="","Status kosong",IF(ISERROR(MATCH(TRIM($N282),{"Draft","Menunggu Review","Revisi","Terjadwal","Upload","Publish","Published","Batal"},0)),"Status di luar daftar","")))),""))</f>
        <v/>
      </c>
      <c r="S282" s="17">
        <f>IF(AND($A282&lt;&gt;"",$C282&lt;&gt;""),IF(COUNTIFS($A$2:$A$1000,$A282,$C$2:$C$1000,$C282)&gt;1,"DUPLICAT",""),"")</f>
        <v/>
      </c>
    </row>
    <row r="283">
      <c r="A283" s="12" t="n"/>
      <c r="B283" s="12" t="n"/>
      <c r="C283" s="12" t="n"/>
      <c r="D283" s="13" t="n"/>
      <c r="E283" s="12" t="n"/>
      <c r="F283" s="14" t="n"/>
      <c r="G283" s="12" t="n"/>
      <c r="H283" s="12" t="n"/>
      <c r="I283" s="12" t="n"/>
      <c r="J283" s="14" t="n"/>
      <c r="K283" s="14" t="n"/>
      <c r="L283" s="15" t="n"/>
      <c r="M283" s="15" t="n"/>
      <c r="N283" s="12" t="n"/>
      <c r="O283" s="12" t="n"/>
      <c r="P283" s="16">
        <f>IF(AND(ISNUMBER($L283),ISNUMBER($M283)),MAX(0,$M283-$L283),"")</f>
        <v/>
      </c>
      <c r="Q283" s="16">
        <f>IF(ISNUMBER($D283),MAX(0,TODAY()-$D283),"")</f>
        <v/>
      </c>
      <c r="R283" s="14">
        <f>IF(COUNTA($A283:$O283)=0,"",IFERROR(TRIM(TEXTJOIN(" | ",TRUE,IF($A283="","PC kosong",""),IF($C283="","Worker ID kosong",""),IF($D283="","Update Date kosong",IF(NOT(ISNUMBER($D283)),"Update Date bukan tanggal","")),IF($E283="","Song ID YT kosong",""),IF($F283="","Judul kosong",""),IF(TRIM($G283)="","",IF(ISERROR(MATCH(TRIM($G283),{"TuneCore","DistroKid","TooLost","SoundOn","Ditto","Believe","CD Baby","Amuse","Symphonic Distribution","ONErpm","RouteNote","LANDR","Horus Music","Indie"},0)),"Aggregator di luar daftar","")),IF(TRIM($H283)="","Genre kosong",IF((LEN(SUBSTITUTE(SUBSTITUTE(SUBSTITUTE(TRIM($H283),"/",","),";",",")," ",""))-LEN(SUBSTITUTE(SUBSTITUTE(SUBSTITUTE(SUBSTITUTE(TRIM($H283),"/",","),";",","),"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283),"/",","),";",",")," ","")&amp;",")))&lt;&gt;(LEN(SUBSTITUTE(SUBSTITUTE(SUBSTITUTE(TRIM($H283),"/",","),";",",")," ",""))-LEN(SUBSTITUTE(SUBSTITUTE(SUBSTITUTE(SUBSTITUTE(TRIM($H283),"/",","),";",",")," ",""),",",""))+1),"Genre di luar daftar",""))),IF($I283="","Nama Channel kosong",""),IF($J283="","Link Channel kosong",IF(ISERROR(SEARCH("youtu",$J283)),"Link Channel bukan youtube","")),IF($K283="","Link Video kosong",IF(ISERROR(SEARCH("youtu",$K283)),"Link Video bukan youtube","")),IF($L283="","Tgl Dibuat kosong",IF(NOT(ISNUMBER($L283)),"Tgl Dibuat bukan tanggal","")),IF(AND($M283&lt;&gt;"",NOT(ISNUMBER($M283))),"Tgl Publish bukan tanggal",""),IF(AND(ISNUMBER($L283),ISNUMBER($M283),$M283&lt;$L283),"Tgl Publish &lt; Tgl buat",""),IF(TRIM($N283)="","Status kosong",IF(ISERROR(MATCH(TRIM($N283),{"Draft","Menunggu Review","Revisi","Terjadwal","Upload","Publish","Published","Batal"},0)),"Status di luar daftar","")))),""))</f>
        <v/>
      </c>
      <c r="S283" s="12">
        <f>IF(AND($A283&lt;&gt;"",$C283&lt;&gt;""),IF(COUNTIFS($A$2:$A$1000,$A283,$C$2:$C$1000,$C283)&gt;1,"DUPLICAT",""),"")</f>
        <v/>
      </c>
    </row>
    <row r="284">
      <c r="A284" s="17" t="n"/>
      <c r="B284" s="17" t="n"/>
      <c r="C284" s="17" t="n"/>
      <c r="D284" s="18" t="n"/>
      <c r="E284" s="17" t="n"/>
      <c r="F284" s="19" t="n"/>
      <c r="G284" s="17" t="n"/>
      <c r="H284" s="17" t="n"/>
      <c r="I284" s="17" t="n"/>
      <c r="J284" s="19" t="n"/>
      <c r="K284" s="19" t="n"/>
      <c r="L284" s="20" t="n"/>
      <c r="M284" s="20" t="n"/>
      <c r="N284" s="17" t="n"/>
      <c r="O284" s="17" t="n"/>
      <c r="P284" s="21">
        <f>IF(AND(ISNUMBER($L284),ISNUMBER($M284)),MAX(0,$M284-$L284),"")</f>
        <v/>
      </c>
      <c r="Q284" s="21">
        <f>IF(ISNUMBER($D284),MAX(0,TODAY()-$D284),"")</f>
        <v/>
      </c>
      <c r="R284" s="19">
        <f>IF(COUNTA($A284:$O284)=0,"",IFERROR(TRIM(TEXTJOIN(" | ",TRUE,IF($A284="","PC kosong",""),IF($C284="","Worker ID kosong",""),IF($D284="","Update Date kosong",IF(NOT(ISNUMBER($D284)),"Update Date bukan tanggal","")),IF($E284="","Song ID YT kosong",""),IF($F284="","Judul kosong",""),IF(TRIM($G284)="","",IF(ISERROR(MATCH(TRIM($G284),{"TuneCore","DistroKid","TooLost","SoundOn","Ditto","Believe","CD Baby","Amuse","Symphonic Distribution","ONErpm","RouteNote","LANDR","Horus Music","Indie"},0)),"Aggregator di luar daftar","")),IF(TRIM($H284)="","Genre kosong",IF((LEN(SUBSTITUTE(SUBSTITUTE(SUBSTITUTE(TRIM($H284),"/",","),";",",")," ",""))-LEN(SUBSTITUTE(SUBSTITUTE(SUBSTITUTE(SUBSTITUTE(TRIM($H284),"/",","),";",","),"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284),"/",","),";",",")," ","")&amp;",")))&lt;&gt;(LEN(SUBSTITUTE(SUBSTITUTE(SUBSTITUTE(TRIM($H284),"/",","),";",",")," ",""))-LEN(SUBSTITUTE(SUBSTITUTE(SUBSTITUTE(SUBSTITUTE(TRIM($H284),"/",","),";",",")," ",""),",",""))+1),"Genre di luar daftar",""))),IF($I284="","Nama Channel kosong",""),IF($J284="","Link Channel kosong",IF(ISERROR(SEARCH("youtu",$J284)),"Link Channel bukan youtube","")),IF($K284="","Link Video kosong",IF(ISERROR(SEARCH("youtu",$K284)),"Link Video bukan youtube","")),IF($L284="","Tgl Dibuat kosong",IF(NOT(ISNUMBER($L284)),"Tgl Dibuat bukan tanggal","")),IF(AND($M284&lt;&gt;"",NOT(ISNUMBER($M284))),"Tgl Publish bukan tanggal",""),IF(AND(ISNUMBER($L284),ISNUMBER($M284),$M284&lt;$L284),"Tgl Publish &lt; Tgl buat",""),IF(TRIM($N284)="","Status kosong",IF(ISERROR(MATCH(TRIM($N284),{"Draft","Menunggu Review","Revisi","Terjadwal","Upload","Publish","Published","Batal"},0)),"Status di luar daftar","")))),""))</f>
        <v/>
      </c>
      <c r="S284" s="17">
        <f>IF(AND($A284&lt;&gt;"",$C284&lt;&gt;""),IF(COUNTIFS($A$2:$A$1000,$A284,$C$2:$C$1000,$C284)&gt;1,"DUPLICAT",""),"")</f>
        <v/>
      </c>
    </row>
    <row r="285">
      <c r="A285" s="12" t="n"/>
      <c r="B285" s="12" t="n"/>
      <c r="C285" s="12" t="n"/>
      <c r="D285" s="13" t="n"/>
      <c r="E285" s="12" t="n"/>
      <c r="F285" s="14" t="n"/>
      <c r="G285" s="12" t="n"/>
      <c r="H285" s="12" t="n"/>
      <c r="I285" s="12" t="n"/>
      <c r="J285" s="14" t="n"/>
      <c r="K285" s="14" t="n"/>
      <c r="L285" s="15" t="n"/>
      <c r="M285" s="15" t="n"/>
      <c r="N285" s="12" t="n"/>
      <c r="O285" s="12" t="n"/>
      <c r="P285" s="16">
        <f>IF(AND(ISNUMBER($L285),ISNUMBER($M285)),MAX(0,$M285-$L285),"")</f>
        <v/>
      </c>
      <c r="Q285" s="16">
        <f>IF(ISNUMBER($D285),MAX(0,TODAY()-$D285),"")</f>
        <v/>
      </c>
      <c r="R285" s="14">
        <f>IF(COUNTA($A285:$O285)=0,"",IFERROR(TRIM(TEXTJOIN(" | ",TRUE,IF($A285="","PC kosong",""),IF($C285="","Worker ID kosong",""),IF($D285="","Update Date kosong",IF(NOT(ISNUMBER($D285)),"Update Date bukan tanggal","")),IF($E285="","Song ID YT kosong",""),IF($F285="","Judul kosong",""),IF(TRIM($G285)="","",IF(ISERROR(MATCH(TRIM($G285),{"TuneCore","DistroKid","TooLost","SoundOn","Ditto","Believe","CD Baby","Amuse","Symphonic Distribution","ONErpm","RouteNote","LANDR","Horus Music","Indie"},0)),"Aggregator di luar daftar","")),IF(TRIM($H285)="","Genre kosong",IF((LEN(SUBSTITUTE(SUBSTITUTE(SUBSTITUTE(TRIM($H285),"/",","),";",",")," ",""))-LEN(SUBSTITUTE(SUBSTITUTE(SUBSTITUTE(SUBSTITUTE(TRIM($H285),"/",","),";",","),"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285),"/",","),";",",")," ","")&amp;",")))&lt;&gt;(LEN(SUBSTITUTE(SUBSTITUTE(SUBSTITUTE(TRIM($H285),"/",","),";",",")," ",""))-LEN(SUBSTITUTE(SUBSTITUTE(SUBSTITUTE(SUBSTITUTE(TRIM($H285),"/",","),";",",")," ",""),",",""))+1),"Genre di luar daftar",""))),IF($I285="","Nama Channel kosong",""),IF($J285="","Link Channel kosong",IF(ISERROR(SEARCH("youtu",$J285)),"Link Channel bukan youtube","")),IF($K285="","Link Video kosong",IF(ISERROR(SEARCH("youtu",$K285)),"Link Video bukan youtube","")),IF($L285="","Tgl Dibuat kosong",IF(NOT(ISNUMBER($L285)),"Tgl Dibuat bukan tanggal","")),IF(AND($M285&lt;&gt;"",NOT(ISNUMBER($M285))),"Tgl Publish bukan tanggal",""),IF(AND(ISNUMBER($L285),ISNUMBER($M285),$M285&lt;$L285),"Tgl Publish &lt; Tgl buat",""),IF(TRIM($N285)="","Status kosong",IF(ISERROR(MATCH(TRIM($N285),{"Draft","Menunggu Review","Revisi","Terjadwal","Upload","Publish","Published","Batal"},0)),"Status di luar daftar","")))),""))</f>
        <v/>
      </c>
      <c r="S285" s="12">
        <f>IF(AND($A285&lt;&gt;"",$C285&lt;&gt;""),IF(COUNTIFS($A$2:$A$1000,$A285,$C$2:$C$1000,$C285)&gt;1,"DUPLICAT",""),"")</f>
        <v/>
      </c>
    </row>
    <row r="286">
      <c r="A286" s="17" t="n"/>
      <c r="B286" s="17" t="n"/>
      <c r="C286" s="17" t="n"/>
      <c r="D286" s="18" t="n"/>
      <c r="E286" s="17" t="n"/>
      <c r="F286" s="19" t="n"/>
      <c r="G286" s="17" t="n"/>
      <c r="H286" s="17" t="n"/>
      <c r="I286" s="17" t="n"/>
      <c r="J286" s="19" t="n"/>
      <c r="K286" s="19" t="n"/>
      <c r="L286" s="20" t="n"/>
      <c r="M286" s="20" t="n"/>
      <c r="N286" s="17" t="n"/>
      <c r="O286" s="17" t="n"/>
      <c r="P286" s="21">
        <f>IF(AND(ISNUMBER($L286),ISNUMBER($M286)),MAX(0,$M286-$L286),"")</f>
        <v/>
      </c>
      <c r="Q286" s="21">
        <f>IF(ISNUMBER($D286),MAX(0,TODAY()-$D286),"")</f>
        <v/>
      </c>
      <c r="R286" s="19">
        <f>IF(COUNTA($A286:$O286)=0,"",IFERROR(TRIM(TEXTJOIN(" | ",TRUE,IF($A286="","PC kosong",""),IF($C286="","Worker ID kosong",""),IF($D286="","Update Date kosong",IF(NOT(ISNUMBER($D286)),"Update Date bukan tanggal","")),IF($E286="","Song ID YT kosong",""),IF($F286="","Judul kosong",""),IF(TRIM($G286)="","",IF(ISERROR(MATCH(TRIM($G286),{"TuneCore","DistroKid","TooLost","SoundOn","Ditto","Believe","CD Baby","Amuse","Symphonic Distribution","ONErpm","RouteNote","LANDR","Horus Music","Indie"},0)),"Aggregator di luar daftar","")),IF(TRIM($H286)="","Genre kosong",IF((LEN(SUBSTITUTE(SUBSTITUTE(SUBSTITUTE(TRIM($H286),"/",","),";",",")," ",""))-LEN(SUBSTITUTE(SUBSTITUTE(SUBSTITUTE(SUBSTITUTE(TRIM($H286),"/",","),";",","),"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286),"/",","),";",",")," ","")&amp;",")))&lt;&gt;(LEN(SUBSTITUTE(SUBSTITUTE(SUBSTITUTE(TRIM($H286),"/",","),";",",")," ",""))-LEN(SUBSTITUTE(SUBSTITUTE(SUBSTITUTE(SUBSTITUTE(TRIM($H286),"/",","),";",",")," ",""),",",""))+1),"Genre di luar daftar",""))),IF($I286="","Nama Channel kosong",""),IF($J286="","Link Channel kosong",IF(ISERROR(SEARCH("youtu",$J286)),"Link Channel bukan youtube","")),IF($K286="","Link Video kosong",IF(ISERROR(SEARCH("youtu",$K286)),"Link Video bukan youtube","")),IF($L286="","Tgl Dibuat kosong",IF(NOT(ISNUMBER($L286)),"Tgl Dibuat bukan tanggal","")),IF(AND($M286&lt;&gt;"",NOT(ISNUMBER($M286))),"Tgl Publish bukan tanggal",""),IF(AND(ISNUMBER($L286),ISNUMBER($M286),$M286&lt;$L286),"Tgl Publish &lt; Tgl buat",""),IF(TRIM($N286)="","Status kosong",IF(ISERROR(MATCH(TRIM($N286),{"Draft","Menunggu Review","Revisi","Terjadwal","Upload","Publish","Published","Batal"},0)),"Status di luar daftar","")))),""))</f>
        <v/>
      </c>
      <c r="S286" s="17">
        <f>IF(AND($A286&lt;&gt;"",$C286&lt;&gt;""),IF(COUNTIFS($A$2:$A$1000,$A286,$C$2:$C$1000,$C286)&gt;1,"DUPLICAT",""),"")</f>
        <v/>
      </c>
    </row>
    <row r="287">
      <c r="A287" s="12" t="n"/>
      <c r="B287" s="12" t="n"/>
      <c r="C287" s="12" t="n"/>
      <c r="D287" s="13" t="n"/>
      <c r="E287" s="12" t="n"/>
      <c r="F287" s="14" t="n"/>
      <c r="G287" s="12" t="n"/>
      <c r="H287" s="12" t="n"/>
      <c r="I287" s="12" t="n"/>
      <c r="J287" s="14" t="n"/>
      <c r="K287" s="14" t="n"/>
      <c r="L287" s="15" t="n"/>
      <c r="M287" s="15" t="n"/>
      <c r="N287" s="12" t="n"/>
      <c r="O287" s="12" t="n"/>
      <c r="P287" s="16">
        <f>IF(AND(ISNUMBER($L287),ISNUMBER($M287)),MAX(0,$M287-$L287),"")</f>
        <v/>
      </c>
      <c r="Q287" s="16">
        <f>IF(ISNUMBER($D287),MAX(0,TODAY()-$D287),"")</f>
        <v/>
      </c>
      <c r="R287" s="14">
        <f>IF(COUNTA($A287:$O287)=0,"",IFERROR(TRIM(TEXTJOIN(" | ",TRUE,IF($A287="","PC kosong",""),IF($C287="","Worker ID kosong",""),IF($D287="","Update Date kosong",IF(NOT(ISNUMBER($D287)),"Update Date bukan tanggal","")),IF($E287="","Song ID YT kosong",""),IF($F287="","Judul kosong",""),IF(TRIM($G287)="","",IF(ISERROR(MATCH(TRIM($G287),{"TuneCore","DistroKid","TooLost","SoundOn","Ditto","Believe","CD Baby","Amuse","Symphonic Distribution","ONErpm","RouteNote","LANDR","Horus Music","Indie"},0)),"Aggregator di luar daftar","")),IF(TRIM($H287)="","Genre kosong",IF((LEN(SUBSTITUTE(SUBSTITUTE(SUBSTITUTE(TRIM($H287),"/",","),";",",")," ",""))-LEN(SUBSTITUTE(SUBSTITUTE(SUBSTITUTE(SUBSTITUTE(TRIM($H287),"/",","),";",","),"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287),"/",","),";",",")," ","")&amp;",")))&lt;&gt;(LEN(SUBSTITUTE(SUBSTITUTE(SUBSTITUTE(TRIM($H287),"/",","),";",",")," ",""))-LEN(SUBSTITUTE(SUBSTITUTE(SUBSTITUTE(SUBSTITUTE(TRIM($H287),"/",","),";",",")," ",""),",",""))+1),"Genre di luar daftar",""))),IF($I287="","Nama Channel kosong",""),IF($J287="","Link Channel kosong",IF(ISERROR(SEARCH("youtu",$J287)),"Link Channel bukan youtube","")),IF($K287="","Link Video kosong",IF(ISERROR(SEARCH("youtu",$K287)),"Link Video bukan youtube","")),IF($L287="","Tgl Dibuat kosong",IF(NOT(ISNUMBER($L287)),"Tgl Dibuat bukan tanggal","")),IF(AND($M287&lt;&gt;"",NOT(ISNUMBER($M287))),"Tgl Publish bukan tanggal",""),IF(AND(ISNUMBER($L287),ISNUMBER($M287),$M287&lt;$L287),"Tgl Publish &lt; Tgl buat",""),IF(TRIM($N287)="","Status kosong",IF(ISERROR(MATCH(TRIM($N287),{"Draft","Menunggu Review","Revisi","Terjadwal","Upload","Publish","Published","Batal"},0)),"Status di luar daftar","")))),""))</f>
        <v/>
      </c>
      <c r="S287" s="12">
        <f>IF(AND($A287&lt;&gt;"",$C287&lt;&gt;""),IF(COUNTIFS($A$2:$A$1000,$A287,$C$2:$C$1000,$C287)&gt;1,"DUPLICAT",""),"")</f>
        <v/>
      </c>
    </row>
    <row r="288">
      <c r="A288" s="17" t="n"/>
      <c r="B288" s="17" t="n"/>
      <c r="C288" s="17" t="n"/>
      <c r="D288" s="18" t="n"/>
      <c r="E288" s="17" t="n"/>
      <c r="F288" s="19" t="n"/>
      <c r="G288" s="17" t="n"/>
      <c r="H288" s="17" t="n"/>
      <c r="I288" s="17" t="n"/>
      <c r="J288" s="19" t="n"/>
      <c r="K288" s="19" t="n"/>
      <c r="L288" s="20" t="n"/>
      <c r="M288" s="20" t="n"/>
      <c r="N288" s="17" t="n"/>
      <c r="O288" s="17" t="n"/>
      <c r="P288" s="21">
        <f>IF(AND(ISNUMBER($L288),ISNUMBER($M288)),MAX(0,$M288-$L288),"")</f>
        <v/>
      </c>
      <c r="Q288" s="21">
        <f>IF(ISNUMBER($D288),MAX(0,TODAY()-$D288),"")</f>
        <v/>
      </c>
      <c r="R288" s="19">
        <f>IF(COUNTA($A288:$O288)=0,"",IFERROR(TRIM(TEXTJOIN(" | ",TRUE,IF($A288="","PC kosong",""),IF($C288="","Worker ID kosong",""),IF($D288="","Update Date kosong",IF(NOT(ISNUMBER($D288)),"Update Date bukan tanggal","")),IF($E288="","Song ID YT kosong",""),IF($F288="","Judul kosong",""),IF(TRIM($G288)="","",IF(ISERROR(MATCH(TRIM($G288),{"TuneCore","DistroKid","TooLost","SoundOn","Ditto","Believe","CD Baby","Amuse","Symphonic Distribution","ONErpm","RouteNote","LANDR","Horus Music","Indie"},0)),"Aggregator di luar daftar","")),IF(TRIM($H288)="","Genre kosong",IF((LEN(SUBSTITUTE(SUBSTITUTE(SUBSTITUTE(TRIM($H288),"/",","),";",",")," ",""))-LEN(SUBSTITUTE(SUBSTITUTE(SUBSTITUTE(SUBSTITUTE(TRIM($H288),"/",","),";",","),"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288),"/",","),";",",")," ","")&amp;",")))&lt;&gt;(LEN(SUBSTITUTE(SUBSTITUTE(SUBSTITUTE(TRIM($H288),"/",","),";",",")," ",""))-LEN(SUBSTITUTE(SUBSTITUTE(SUBSTITUTE(SUBSTITUTE(TRIM($H288),"/",","),";",",")," ",""),",",""))+1),"Genre di luar daftar",""))),IF($I288="","Nama Channel kosong",""),IF($J288="","Link Channel kosong",IF(ISERROR(SEARCH("youtu",$J288)),"Link Channel bukan youtube","")),IF($K288="","Link Video kosong",IF(ISERROR(SEARCH("youtu",$K288)),"Link Video bukan youtube","")),IF($L288="","Tgl Dibuat kosong",IF(NOT(ISNUMBER($L288)),"Tgl Dibuat bukan tanggal","")),IF(AND($M288&lt;&gt;"",NOT(ISNUMBER($M288))),"Tgl Publish bukan tanggal",""),IF(AND(ISNUMBER($L288),ISNUMBER($M288),$M288&lt;$L288),"Tgl Publish &lt; Tgl buat",""),IF(TRIM($N288)="","Status kosong",IF(ISERROR(MATCH(TRIM($N288),{"Draft","Menunggu Review","Revisi","Terjadwal","Upload","Publish","Published","Batal"},0)),"Status di luar daftar","")))),""))</f>
        <v/>
      </c>
      <c r="S288" s="17">
        <f>IF(AND($A288&lt;&gt;"",$C288&lt;&gt;""),IF(COUNTIFS($A$2:$A$1000,$A288,$C$2:$C$1000,$C288)&gt;1,"DUPLICAT",""),"")</f>
        <v/>
      </c>
    </row>
    <row r="289">
      <c r="A289" s="12" t="n"/>
      <c r="B289" s="12" t="n"/>
      <c r="C289" s="12" t="n"/>
      <c r="D289" s="13" t="n"/>
      <c r="E289" s="12" t="n"/>
      <c r="F289" s="14" t="n"/>
      <c r="G289" s="12" t="n"/>
      <c r="H289" s="12" t="n"/>
      <c r="I289" s="12" t="n"/>
      <c r="J289" s="14" t="n"/>
      <c r="K289" s="14" t="n"/>
      <c r="L289" s="15" t="n"/>
      <c r="M289" s="15" t="n"/>
      <c r="N289" s="12" t="n"/>
      <c r="O289" s="12" t="n"/>
      <c r="P289" s="16">
        <f>IF(AND(ISNUMBER($L289),ISNUMBER($M289)),MAX(0,$M289-$L289),"")</f>
        <v/>
      </c>
      <c r="Q289" s="16">
        <f>IF(ISNUMBER($D289),MAX(0,TODAY()-$D289),"")</f>
        <v/>
      </c>
      <c r="R289" s="14">
        <f>IF(COUNTA($A289:$O289)=0,"",IFERROR(TRIM(TEXTJOIN(" | ",TRUE,IF($A289="","PC kosong",""),IF($C289="","Worker ID kosong",""),IF($D289="","Update Date kosong",IF(NOT(ISNUMBER($D289)),"Update Date bukan tanggal","")),IF($E289="","Song ID YT kosong",""),IF($F289="","Judul kosong",""),IF(TRIM($G289)="","",IF(ISERROR(MATCH(TRIM($G289),{"TuneCore","DistroKid","TooLost","SoundOn","Ditto","Believe","CD Baby","Amuse","Symphonic Distribution","ONErpm","RouteNote","LANDR","Horus Music","Indie"},0)),"Aggregator di luar daftar","")),IF(TRIM($H289)="","Genre kosong",IF((LEN(SUBSTITUTE(SUBSTITUTE(SUBSTITUTE(TRIM($H289),"/",","),";",",")," ",""))-LEN(SUBSTITUTE(SUBSTITUTE(SUBSTITUTE(SUBSTITUTE(TRIM($H289),"/",","),";",","),"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289),"/",","),";",",")," ","")&amp;",")))&lt;&gt;(LEN(SUBSTITUTE(SUBSTITUTE(SUBSTITUTE(TRIM($H289),"/",","),";",",")," ",""))-LEN(SUBSTITUTE(SUBSTITUTE(SUBSTITUTE(SUBSTITUTE(TRIM($H289),"/",","),";",",")," ",""),",",""))+1),"Genre di luar daftar",""))),IF($I289="","Nama Channel kosong",""),IF($J289="","Link Channel kosong",IF(ISERROR(SEARCH("youtu",$J289)),"Link Channel bukan youtube","")),IF($K289="","Link Video kosong",IF(ISERROR(SEARCH("youtu",$K289)),"Link Video bukan youtube","")),IF($L289="","Tgl Dibuat kosong",IF(NOT(ISNUMBER($L289)),"Tgl Dibuat bukan tanggal","")),IF(AND($M289&lt;&gt;"",NOT(ISNUMBER($M289))),"Tgl Publish bukan tanggal",""),IF(AND(ISNUMBER($L289),ISNUMBER($M289),$M289&lt;$L289),"Tgl Publish &lt; Tgl buat",""),IF(TRIM($N289)="","Status kosong",IF(ISERROR(MATCH(TRIM($N289),{"Draft","Menunggu Review","Revisi","Terjadwal","Upload","Publish","Published","Batal"},0)),"Status di luar daftar","")))),""))</f>
        <v/>
      </c>
      <c r="S289" s="12">
        <f>IF(AND($A289&lt;&gt;"",$C289&lt;&gt;""),IF(COUNTIFS($A$2:$A$1000,$A289,$C$2:$C$1000,$C289)&gt;1,"DUPLICAT",""),"")</f>
        <v/>
      </c>
    </row>
    <row r="290">
      <c r="A290" s="17" t="n"/>
      <c r="B290" s="17" t="n"/>
      <c r="C290" s="17" t="n"/>
      <c r="D290" s="18" t="n"/>
      <c r="E290" s="17" t="n"/>
      <c r="F290" s="19" t="n"/>
      <c r="G290" s="17" t="n"/>
      <c r="H290" s="17" t="n"/>
      <c r="I290" s="17" t="n"/>
      <c r="J290" s="19" t="n"/>
      <c r="K290" s="19" t="n"/>
      <c r="L290" s="20" t="n"/>
      <c r="M290" s="20" t="n"/>
      <c r="N290" s="17" t="n"/>
      <c r="O290" s="17" t="n"/>
      <c r="P290" s="21">
        <f>IF(AND(ISNUMBER($L290),ISNUMBER($M290)),MAX(0,$M290-$L290),"")</f>
        <v/>
      </c>
      <c r="Q290" s="21">
        <f>IF(ISNUMBER($D290),MAX(0,TODAY()-$D290),"")</f>
        <v/>
      </c>
      <c r="R290" s="19">
        <f>IF(COUNTA($A290:$O290)=0,"",IFERROR(TRIM(TEXTJOIN(" | ",TRUE,IF($A290="","PC kosong",""),IF($C290="","Worker ID kosong",""),IF($D290="","Update Date kosong",IF(NOT(ISNUMBER($D290)),"Update Date bukan tanggal","")),IF($E290="","Song ID YT kosong",""),IF($F290="","Judul kosong",""),IF(TRIM($G290)="","",IF(ISERROR(MATCH(TRIM($G290),{"TuneCore","DistroKid","TooLost","SoundOn","Ditto","Believe","CD Baby","Amuse","Symphonic Distribution","ONErpm","RouteNote","LANDR","Horus Music","Indie"},0)),"Aggregator di luar daftar","")),IF(TRIM($H290)="","Genre kosong",IF((LEN(SUBSTITUTE(SUBSTITUTE(SUBSTITUTE(TRIM($H290),"/",","),";",",")," ",""))-LEN(SUBSTITUTE(SUBSTITUTE(SUBSTITUTE(SUBSTITUTE(TRIM($H290),"/",","),";",","),"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290),"/",","),";",",")," ","")&amp;",")))&lt;&gt;(LEN(SUBSTITUTE(SUBSTITUTE(SUBSTITUTE(TRIM($H290),"/",","),";",",")," ",""))-LEN(SUBSTITUTE(SUBSTITUTE(SUBSTITUTE(SUBSTITUTE(TRIM($H290),"/",","),";",",")," ",""),",",""))+1),"Genre di luar daftar",""))),IF($I290="","Nama Channel kosong",""),IF($J290="","Link Channel kosong",IF(ISERROR(SEARCH("youtu",$J290)),"Link Channel bukan youtube","")),IF($K290="","Link Video kosong",IF(ISERROR(SEARCH("youtu",$K290)),"Link Video bukan youtube","")),IF($L290="","Tgl Dibuat kosong",IF(NOT(ISNUMBER($L290)),"Tgl Dibuat bukan tanggal","")),IF(AND($M290&lt;&gt;"",NOT(ISNUMBER($M290))),"Tgl Publish bukan tanggal",""),IF(AND(ISNUMBER($L290),ISNUMBER($M290),$M290&lt;$L290),"Tgl Publish &lt; Tgl buat",""),IF(TRIM($N290)="","Status kosong",IF(ISERROR(MATCH(TRIM($N290),{"Draft","Menunggu Review","Revisi","Terjadwal","Upload","Publish","Published","Batal"},0)),"Status di luar daftar","")))),""))</f>
        <v/>
      </c>
      <c r="S290" s="17">
        <f>IF(AND($A290&lt;&gt;"",$C290&lt;&gt;""),IF(COUNTIFS($A$2:$A$1000,$A290,$C$2:$C$1000,$C290)&gt;1,"DUPLICAT",""),"")</f>
        <v/>
      </c>
    </row>
    <row r="291">
      <c r="A291" s="12" t="n"/>
      <c r="B291" s="12" t="n"/>
      <c r="C291" s="12" t="n"/>
      <c r="D291" s="13" t="n"/>
      <c r="E291" s="12" t="n"/>
      <c r="F291" s="14" t="n"/>
      <c r="G291" s="12" t="n"/>
      <c r="H291" s="12" t="n"/>
      <c r="I291" s="12" t="n"/>
      <c r="J291" s="14" t="n"/>
      <c r="K291" s="14" t="n"/>
      <c r="L291" s="15" t="n"/>
      <c r="M291" s="15" t="n"/>
      <c r="N291" s="12" t="n"/>
      <c r="O291" s="12" t="n"/>
      <c r="P291" s="16">
        <f>IF(AND(ISNUMBER($L291),ISNUMBER($M291)),MAX(0,$M291-$L291),"")</f>
        <v/>
      </c>
      <c r="Q291" s="16">
        <f>IF(ISNUMBER($D291),MAX(0,TODAY()-$D291),"")</f>
        <v/>
      </c>
      <c r="R291" s="14">
        <f>IF(COUNTA($A291:$O291)=0,"",IFERROR(TRIM(TEXTJOIN(" | ",TRUE,IF($A291="","PC kosong",""),IF($C291="","Worker ID kosong",""),IF($D291="","Update Date kosong",IF(NOT(ISNUMBER($D291)),"Update Date bukan tanggal","")),IF($E291="","Song ID YT kosong",""),IF($F291="","Judul kosong",""),IF(TRIM($G291)="","",IF(ISERROR(MATCH(TRIM($G291),{"TuneCore","DistroKid","TooLost","SoundOn","Ditto","Believe","CD Baby","Amuse","Symphonic Distribution","ONErpm","RouteNote","LANDR","Horus Music","Indie"},0)),"Aggregator di luar daftar","")),IF(TRIM($H291)="","Genre kosong",IF((LEN(SUBSTITUTE(SUBSTITUTE(SUBSTITUTE(TRIM($H291),"/",","),";",",")," ",""))-LEN(SUBSTITUTE(SUBSTITUTE(SUBSTITUTE(SUBSTITUTE(TRIM($H291),"/",","),";",","),"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291),"/",","),";",",")," ","")&amp;",")))&lt;&gt;(LEN(SUBSTITUTE(SUBSTITUTE(SUBSTITUTE(TRIM($H291),"/",","),";",",")," ",""))-LEN(SUBSTITUTE(SUBSTITUTE(SUBSTITUTE(SUBSTITUTE(TRIM($H291),"/",","),";",",")," ",""),",",""))+1),"Genre di luar daftar",""))),IF($I291="","Nama Channel kosong",""),IF($J291="","Link Channel kosong",IF(ISERROR(SEARCH("youtu",$J291)),"Link Channel bukan youtube","")),IF($K291="","Link Video kosong",IF(ISERROR(SEARCH("youtu",$K291)),"Link Video bukan youtube","")),IF($L291="","Tgl Dibuat kosong",IF(NOT(ISNUMBER($L291)),"Tgl Dibuat bukan tanggal","")),IF(AND($M291&lt;&gt;"",NOT(ISNUMBER($M291))),"Tgl Publish bukan tanggal",""),IF(AND(ISNUMBER($L291),ISNUMBER($M291),$M291&lt;$L291),"Tgl Publish &lt; Tgl buat",""),IF(TRIM($N291)="","Status kosong",IF(ISERROR(MATCH(TRIM($N291),{"Draft","Menunggu Review","Revisi","Terjadwal","Upload","Publish","Published","Batal"},0)),"Status di luar daftar","")))),""))</f>
        <v/>
      </c>
      <c r="S291" s="12">
        <f>IF(AND($A291&lt;&gt;"",$C291&lt;&gt;""),IF(COUNTIFS($A$2:$A$1000,$A291,$C$2:$C$1000,$C291)&gt;1,"DUPLICAT",""),"")</f>
        <v/>
      </c>
    </row>
    <row r="292">
      <c r="A292" s="17" t="n"/>
      <c r="B292" s="17" t="n"/>
      <c r="C292" s="17" t="n"/>
      <c r="D292" s="18" t="n"/>
      <c r="E292" s="17" t="n"/>
      <c r="F292" s="19" t="n"/>
      <c r="G292" s="17" t="n"/>
      <c r="H292" s="17" t="n"/>
      <c r="I292" s="17" t="n"/>
      <c r="J292" s="19" t="n"/>
      <c r="K292" s="19" t="n"/>
      <c r="L292" s="20" t="n"/>
      <c r="M292" s="20" t="n"/>
      <c r="N292" s="17" t="n"/>
      <c r="O292" s="17" t="n"/>
      <c r="P292" s="21">
        <f>IF(AND(ISNUMBER($L292),ISNUMBER($M292)),MAX(0,$M292-$L292),"")</f>
        <v/>
      </c>
      <c r="Q292" s="21">
        <f>IF(ISNUMBER($D292),MAX(0,TODAY()-$D292),"")</f>
        <v/>
      </c>
      <c r="R292" s="19">
        <f>IF(COUNTA($A292:$O292)=0,"",IFERROR(TRIM(TEXTJOIN(" | ",TRUE,IF($A292="","PC kosong",""),IF($C292="","Worker ID kosong",""),IF($D292="","Update Date kosong",IF(NOT(ISNUMBER($D292)),"Update Date bukan tanggal","")),IF($E292="","Song ID YT kosong",""),IF($F292="","Judul kosong",""),IF(TRIM($G292)="","",IF(ISERROR(MATCH(TRIM($G292),{"TuneCore","DistroKid","TooLost","SoundOn","Ditto","Believe","CD Baby","Amuse","Symphonic Distribution","ONErpm","RouteNote","LANDR","Horus Music","Indie"},0)),"Aggregator di luar daftar","")),IF(TRIM($H292)="","Genre kosong",IF((LEN(SUBSTITUTE(SUBSTITUTE(SUBSTITUTE(TRIM($H292),"/",","),";",",")," ",""))-LEN(SUBSTITUTE(SUBSTITUTE(SUBSTITUTE(SUBSTITUTE(TRIM($H292),"/",","),";",","),"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292),"/",","),";",",")," ","")&amp;",")))&lt;&gt;(LEN(SUBSTITUTE(SUBSTITUTE(SUBSTITUTE(TRIM($H292),"/",","),";",",")," ",""))-LEN(SUBSTITUTE(SUBSTITUTE(SUBSTITUTE(SUBSTITUTE(TRIM($H292),"/",","),";",",")," ",""),",",""))+1),"Genre di luar daftar",""))),IF($I292="","Nama Channel kosong",""),IF($J292="","Link Channel kosong",IF(ISERROR(SEARCH("youtu",$J292)),"Link Channel bukan youtube","")),IF($K292="","Link Video kosong",IF(ISERROR(SEARCH("youtu",$K292)),"Link Video bukan youtube","")),IF($L292="","Tgl Dibuat kosong",IF(NOT(ISNUMBER($L292)),"Tgl Dibuat bukan tanggal","")),IF(AND($M292&lt;&gt;"",NOT(ISNUMBER($M292))),"Tgl Publish bukan tanggal",""),IF(AND(ISNUMBER($L292),ISNUMBER($M292),$M292&lt;$L292),"Tgl Publish &lt; Tgl buat",""),IF(TRIM($N292)="","Status kosong",IF(ISERROR(MATCH(TRIM($N292),{"Draft","Menunggu Review","Revisi","Terjadwal","Upload","Publish","Published","Batal"},0)),"Status di luar daftar","")))),""))</f>
        <v/>
      </c>
      <c r="S292" s="17">
        <f>IF(AND($A292&lt;&gt;"",$C292&lt;&gt;""),IF(COUNTIFS($A$2:$A$1000,$A292,$C$2:$C$1000,$C292)&gt;1,"DUPLICAT",""),"")</f>
        <v/>
      </c>
    </row>
    <row r="293">
      <c r="A293" s="12" t="n"/>
      <c r="B293" s="12" t="n"/>
      <c r="C293" s="12" t="n"/>
      <c r="D293" s="13" t="n"/>
      <c r="E293" s="12" t="n"/>
      <c r="F293" s="14" t="n"/>
      <c r="G293" s="12" t="n"/>
      <c r="H293" s="12" t="n"/>
      <c r="I293" s="12" t="n"/>
      <c r="J293" s="14" t="n"/>
      <c r="K293" s="14" t="n"/>
      <c r="L293" s="15" t="n"/>
      <c r="M293" s="15" t="n"/>
      <c r="N293" s="12" t="n"/>
      <c r="O293" s="12" t="n"/>
      <c r="P293" s="16">
        <f>IF(AND(ISNUMBER($L293),ISNUMBER($M293)),MAX(0,$M293-$L293),"")</f>
        <v/>
      </c>
      <c r="Q293" s="16">
        <f>IF(ISNUMBER($D293),MAX(0,TODAY()-$D293),"")</f>
        <v/>
      </c>
      <c r="R293" s="14">
        <f>IF(COUNTA($A293:$O293)=0,"",IFERROR(TRIM(TEXTJOIN(" | ",TRUE,IF($A293="","PC kosong",""),IF($C293="","Worker ID kosong",""),IF($D293="","Update Date kosong",IF(NOT(ISNUMBER($D293)),"Update Date bukan tanggal","")),IF($E293="","Song ID YT kosong",""),IF($F293="","Judul kosong",""),IF(TRIM($G293)="","",IF(ISERROR(MATCH(TRIM($G293),{"TuneCore","DistroKid","TooLost","SoundOn","Ditto","Believe","CD Baby","Amuse","Symphonic Distribution","ONErpm","RouteNote","LANDR","Horus Music","Indie"},0)),"Aggregator di luar daftar","")),IF(TRIM($H293)="","Genre kosong",IF((LEN(SUBSTITUTE(SUBSTITUTE(SUBSTITUTE(TRIM($H293),"/",","),";",",")," ",""))-LEN(SUBSTITUTE(SUBSTITUTE(SUBSTITUTE(SUBSTITUTE(TRIM($H293),"/",","),";",","),"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293),"/",","),";",",")," ","")&amp;",")))&lt;&gt;(LEN(SUBSTITUTE(SUBSTITUTE(SUBSTITUTE(TRIM($H293),"/",","),";",",")," ",""))-LEN(SUBSTITUTE(SUBSTITUTE(SUBSTITUTE(SUBSTITUTE(TRIM($H293),"/",","),";",",")," ",""),",",""))+1),"Genre di luar daftar",""))),IF($I293="","Nama Channel kosong",""),IF($J293="","Link Channel kosong",IF(ISERROR(SEARCH("youtu",$J293)),"Link Channel bukan youtube","")),IF($K293="","Link Video kosong",IF(ISERROR(SEARCH("youtu",$K293)),"Link Video bukan youtube","")),IF($L293="","Tgl Dibuat kosong",IF(NOT(ISNUMBER($L293)),"Tgl Dibuat bukan tanggal","")),IF(AND($M293&lt;&gt;"",NOT(ISNUMBER($M293))),"Tgl Publish bukan tanggal",""),IF(AND(ISNUMBER($L293),ISNUMBER($M293),$M293&lt;$L293),"Tgl Publish &lt; Tgl buat",""),IF(TRIM($N293)="","Status kosong",IF(ISERROR(MATCH(TRIM($N293),{"Draft","Menunggu Review","Revisi","Terjadwal","Upload","Publish","Published","Batal"},0)),"Status di luar daftar","")))),""))</f>
        <v/>
      </c>
      <c r="S293" s="12">
        <f>IF(AND($A293&lt;&gt;"",$C293&lt;&gt;""),IF(COUNTIFS($A$2:$A$1000,$A293,$C$2:$C$1000,$C293)&gt;1,"DUPLICAT",""),"")</f>
        <v/>
      </c>
    </row>
    <row r="294">
      <c r="A294" s="17" t="n"/>
      <c r="B294" s="17" t="n"/>
      <c r="C294" s="17" t="n"/>
      <c r="D294" s="18" t="n"/>
      <c r="E294" s="17" t="n"/>
      <c r="F294" s="19" t="n"/>
      <c r="G294" s="17" t="n"/>
      <c r="H294" s="17" t="n"/>
      <c r="I294" s="17" t="n"/>
      <c r="J294" s="19" t="n"/>
      <c r="K294" s="19" t="n"/>
      <c r="L294" s="20" t="n"/>
      <c r="M294" s="20" t="n"/>
      <c r="N294" s="17" t="n"/>
      <c r="O294" s="17" t="n"/>
      <c r="P294" s="21">
        <f>IF(AND(ISNUMBER($L294),ISNUMBER($M294)),MAX(0,$M294-$L294),"")</f>
        <v/>
      </c>
      <c r="Q294" s="21">
        <f>IF(ISNUMBER($D294),MAX(0,TODAY()-$D294),"")</f>
        <v/>
      </c>
      <c r="R294" s="19">
        <f>IF(COUNTA($A294:$O294)=0,"",IFERROR(TRIM(TEXTJOIN(" | ",TRUE,IF($A294="","PC kosong",""),IF($C294="","Worker ID kosong",""),IF($D294="","Update Date kosong",IF(NOT(ISNUMBER($D294)),"Update Date bukan tanggal","")),IF($E294="","Song ID YT kosong",""),IF($F294="","Judul kosong",""),IF(TRIM($G294)="","",IF(ISERROR(MATCH(TRIM($G294),{"TuneCore","DistroKid","TooLost","SoundOn","Ditto","Believe","CD Baby","Amuse","Symphonic Distribution","ONErpm","RouteNote","LANDR","Horus Music","Indie"},0)),"Aggregator di luar daftar","")),IF(TRIM($H294)="","Genre kosong",IF((LEN(SUBSTITUTE(SUBSTITUTE(SUBSTITUTE(TRIM($H294),"/",","),";",",")," ",""))-LEN(SUBSTITUTE(SUBSTITUTE(SUBSTITUTE(SUBSTITUTE(TRIM($H294),"/",","),";",","),"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294),"/",","),";",",")," ","")&amp;",")))&lt;&gt;(LEN(SUBSTITUTE(SUBSTITUTE(SUBSTITUTE(TRIM($H294),"/",","),";",",")," ",""))-LEN(SUBSTITUTE(SUBSTITUTE(SUBSTITUTE(SUBSTITUTE(TRIM($H294),"/",","),";",",")," ",""),",",""))+1),"Genre di luar daftar",""))),IF($I294="","Nama Channel kosong",""),IF($J294="","Link Channel kosong",IF(ISERROR(SEARCH("youtu",$J294)),"Link Channel bukan youtube","")),IF($K294="","Link Video kosong",IF(ISERROR(SEARCH("youtu",$K294)),"Link Video bukan youtube","")),IF($L294="","Tgl Dibuat kosong",IF(NOT(ISNUMBER($L294)),"Tgl Dibuat bukan tanggal","")),IF(AND($M294&lt;&gt;"",NOT(ISNUMBER($M294))),"Tgl Publish bukan tanggal",""),IF(AND(ISNUMBER($L294),ISNUMBER($M294),$M294&lt;$L294),"Tgl Publish &lt; Tgl buat",""),IF(TRIM($N294)="","Status kosong",IF(ISERROR(MATCH(TRIM($N294),{"Draft","Menunggu Review","Revisi","Terjadwal","Upload","Publish","Published","Batal"},0)),"Status di luar daftar","")))),""))</f>
        <v/>
      </c>
      <c r="S294" s="17">
        <f>IF(AND($A294&lt;&gt;"",$C294&lt;&gt;""),IF(COUNTIFS($A$2:$A$1000,$A294,$C$2:$C$1000,$C294)&gt;1,"DUPLICAT",""),"")</f>
        <v/>
      </c>
    </row>
    <row r="295">
      <c r="A295" s="12" t="n"/>
      <c r="B295" s="12" t="n"/>
      <c r="C295" s="12" t="n"/>
      <c r="D295" s="13" t="n"/>
      <c r="E295" s="12" t="n"/>
      <c r="F295" s="14" t="n"/>
      <c r="G295" s="12" t="n"/>
      <c r="H295" s="12" t="n"/>
      <c r="I295" s="12" t="n"/>
      <c r="J295" s="14" t="n"/>
      <c r="K295" s="14" t="n"/>
      <c r="L295" s="15" t="n"/>
      <c r="M295" s="15" t="n"/>
      <c r="N295" s="12" t="n"/>
      <c r="O295" s="12" t="n"/>
      <c r="P295" s="16">
        <f>IF(AND(ISNUMBER($L295),ISNUMBER($M295)),MAX(0,$M295-$L295),"")</f>
        <v/>
      </c>
      <c r="Q295" s="16">
        <f>IF(ISNUMBER($D295),MAX(0,TODAY()-$D295),"")</f>
        <v/>
      </c>
      <c r="R295" s="14">
        <f>IF(COUNTA($A295:$O295)=0,"",IFERROR(TRIM(TEXTJOIN(" | ",TRUE,IF($A295="","PC kosong",""),IF($C295="","Worker ID kosong",""),IF($D295="","Update Date kosong",IF(NOT(ISNUMBER($D295)),"Update Date bukan tanggal","")),IF($E295="","Song ID YT kosong",""),IF($F295="","Judul kosong",""),IF(TRIM($G295)="","",IF(ISERROR(MATCH(TRIM($G295),{"TuneCore","DistroKid","TooLost","SoundOn","Ditto","Believe","CD Baby","Amuse","Symphonic Distribution","ONErpm","RouteNote","LANDR","Horus Music","Indie"},0)),"Aggregator di luar daftar","")),IF(TRIM($H295)="","Genre kosong",IF((LEN(SUBSTITUTE(SUBSTITUTE(SUBSTITUTE(TRIM($H295),"/",","),";",",")," ",""))-LEN(SUBSTITUTE(SUBSTITUTE(SUBSTITUTE(SUBSTITUTE(TRIM($H295),"/",","),";",","),"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295),"/",","),";",",")," ","")&amp;",")))&lt;&gt;(LEN(SUBSTITUTE(SUBSTITUTE(SUBSTITUTE(TRIM($H295),"/",","),";",",")," ",""))-LEN(SUBSTITUTE(SUBSTITUTE(SUBSTITUTE(SUBSTITUTE(TRIM($H295),"/",","),";",",")," ",""),",",""))+1),"Genre di luar daftar",""))),IF($I295="","Nama Channel kosong",""),IF($J295="","Link Channel kosong",IF(ISERROR(SEARCH("youtu",$J295)),"Link Channel bukan youtube","")),IF($K295="","Link Video kosong",IF(ISERROR(SEARCH("youtu",$K295)),"Link Video bukan youtube","")),IF($L295="","Tgl Dibuat kosong",IF(NOT(ISNUMBER($L295)),"Tgl Dibuat bukan tanggal","")),IF(AND($M295&lt;&gt;"",NOT(ISNUMBER($M295))),"Tgl Publish bukan tanggal",""),IF(AND(ISNUMBER($L295),ISNUMBER($M295),$M295&lt;$L295),"Tgl Publish &lt; Tgl buat",""),IF(TRIM($N295)="","Status kosong",IF(ISERROR(MATCH(TRIM($N295),{"Draft","Menunggu Review","Revisi","Terjadwal","Upload","Publish","Published","Batal"},0)),"Status di luar daftar","")))),""))</f>
        <v/>
      </c>
      <c r="S295" s="12">
        <f>IF(AND($A295&lt;&gt;"",$C295&lt;&gt;""),IF(COUNTIFS($A$2:$A$1000,$A295,$C$2:$C$1000,$C295)&gt;1,"DUPLICAT",""),"")</f>
        <v/>
      </c>
    </row>
    <row r="296">
      <c r="A296" s="17" t="n"/>
      <c r="B296" s="17" t="n"/>
      <c r="C296" s="17" t="n"/>
      <c r="D296" s="18" t="n"/>
      <c r="E296" s="17" t="n"/>
      <c r="F296" s="19" t="n"/>
      <c r="G296" s="17" t="n"/>
      <c r="H296" s="17" t="n"/>
      <c r="I296" s="17" t="n"/>
      <c r="J296" s="19" t="n"/>
      <c r="K296" s="19" t="n"/>
      <c r="L296" s="20" t="n"/>
      <c r="M296" s="20" t="n"/>
      <c r="N296" s="17" t="n"/>
      <c r="O296" s="17" t="n"/>
      <c r="P296" s="21">
        <f>IF(AND(ISNUMBER($L296),ISNUMBER($M296)),MAX(0,$M296-$L296),"")</f>
        <v/>
      </c>
      <c r="Q296" s="21">
        <f>IF(ISNUMBER($D296),MAX(0,TODAY()-$D296),"")</f>
        <v/>
      </c>
      <c r="R296" s="19">
        <f>IF(COUNTA($A296:$O296)=0,"",IFERROR(TRIM(TEXTJOIN(" | ",TRUE,IF($A296="","PC kosong",""),IF($C296="","Worker ID kosong",""),IF($D296="","Update Date kosong",IF(NOT(ISNUMBER($D296)),"Update Date bukan tanggal","")),IF($E296="","Song ID YT kosong",""),IF($F296="","Judul kosong",""),IF(TRIM($G296)="","",IF(ISERROR(MATCH(TRIM($G296),{"TuneCore","DistroKid","TooLost","SoundOn","Ditto","Believe","CD Baby","Amuse","Symphonic Distribution","ONErpm","RouteNote","LANDR","Horus Music","Indie"},0)),"Aggregator di luar daftar","")),IF(TRIM($H296)="","Genre kosong",IF((LEN(SUBSTITUTE(SUBSTITUTE(SUBSTITUTE(TRIM($H296),"/",","),";",",")," ",""))-LEN(SUBSTITUTE(SUBSTITUTE(SUBSTITUTE(SUBSTITUTE(TRIM($H296),"/",","),";",","),"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296),"/",","),";",",")," ","")&amp;",")))&lt;&gt;(LEN(SUBSTITUTE(SUBSTITUTE(SUBSTITUTE(TRIM($H296),"/",","),";",",")," ",""))-LEN(SUBSTITUTE(SUBSTITUTE(SUBSTITUTE(SUBSTITUTE(TRIM($H296),"/",","),";",",")," ",""),",",""))+1),"Genre di luar daftar",""))),IF($I296="","Nama Channel kosong",""),IF($J296="","Link Channel kosong",IF(ISERROR(SEARCH("youtu",$J296)),"Link Channel bukan youtube","")),IF($K296="","Link Video kosong",IF(ISERROR(SEARCH("youtu",$K296)),"Link Video bukan youtube","")),IF($L296="","Tgl Dibuat kosong",IF(NOT(ISNUMBER($L296)),"Tgl Dibuat bukan tanggal","")),IF(AND($M296&lt;&gt;"",NOT(ISNUMBER($M296))),"Tgl Publish bukan tanggal",""),IF(AND(ISNUMBER($L296),ISNUMBER($M296),$M296&lt;$L296),"Tgl Publish &lt; Tgl buat",""),IF(TRIM($N296)="","Status kosong",IF(ISERROR(MATCH(TRIM($N296),{"Draft","Menunggu Review","Revisi","Terjadwal","Upload","Publish","Published","Batal"},0)),"Status di luar daftar","")))),""))</f>
        <v/>
      </c>
      <c r="S296" s="17">
        <f>IF(AND($A296&lt;&gt;"",$C296&lt;&gt;""),IF(COUNTIFS($A$2:$A$1000,$A296,$C$2:$C$1000,$C296)&gt;1,"DUPLICAT",""),"")</f>
        <v/>
      </c>
    </row>
    <row r="297">
      <c r="A297" s="12" t="n"/>
      <c r="B297" s="12" t="n"/>
      <c r="C297" s="12" t="n"/>
      <c r="D297" s="13" t="n"/>
      <c r="E297" s="12" t="n"/>
      <c r="F297" s="14" t="n"/>
      <c r="G297" s="12" t="n"/>
      <c r="H297" s="12" t="n"/>
      <c r="I297" s="12" t="n"/>
      <c r="J297" s="14" t="n"/>
      <c r="K297" s="14" t="n"/>
      <c r="L297" s="15" t="n"/>
      <c r="M297" s="15" t="n"/>
      <c r="N297" s="12" t="n"/>
      <c r="O297" s="12" t="n"/>
      <c r="P297" s="16">
        <f>IF(AND(ISNUMBER($L297),ISNUMBER($M297)),MAX(0,$M297-$L297),"")</f>
        <v/>
      </c>
      <c r="Q297" s="16">
        <f>IF(ISNUMBER($D297),MAX(0,TODAY()-$D297),"")</f>
        <v/>
      </c>
      <c r="R297" s="14">
        <f>IF(COUNTA($A297:$O297)=0,"",IFERROR(TRIM(TEXTJOIN(" | ",TRUE,IF($A297="","PC kosong",""),IF($C297="","Worker ID kosong",""),IF($D297="","Update Date kosong",IF(NOT(ISNUMBER($D297)),"Update Date bukan tanggal","")),IF($E297="","Song ID YT kosong",""),IF($F297="","Judul kosong",""),IF(TRIM($G297)="","",IF(ISERROR(MATCH(TRIM($G297),{"TuneCore","DistroKid","TooLost","SoundOn","Ditto","Believe","CD Baby","Amuse","Symphonic Distribution","ONErpm","RouteNote","LANDR","Horus Music","Indie"},0)),"Aggregator di luar daftar","")),IF(TRIM($H297)="","Genre kosong",IF((LEN(SUBSTITUTE(SUBSTITUTE(SUBSTITUTE(TRIM($H297),"/",","),";",",")," ",""))-LEN(SUBSTITUTE(SUBSTITUTE(SUBSTITUTE(SUBSTITUTE(TRIM($H297),"/",","),";",","),"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297),"/",","),";",",")," ","")&amp;",")))&lt;&gt;(LEN(SUBSTITUTE(SUBSTITUTE(SUBSTITUTE(TRIM($H297),"/",","),";",",")," ",""))-LEN(SUBSTITUTE(SUBSTITUTE(SUBSTITUTE(SUBSTITUTE(TRIM($H297),"/",","),";",",")," ",""),",",""))+1),"Genre di luar daftar",""))),IF($I297="","Nama Channel kosong",""),IF($J297="","Link Channel kosong",IF(ISERROR(SEARCH("youtu",$J297)),"Link Channel bukan youtube","")),IF($K297="","Link Video kosong",IF(ISERROR(SEARCH("youtu",$K297)),"Link Video bukan youtube","")),IF($L297="","Tgl Dibuat kosong",IF(NOT(ISNUMBER($L297)),"Tgl Dibuat bukan tanggal","")),IF(AND($M297&lt;&gt;"",NOT(ISNUMBER($M297))),"Tgl Publish bukan tanggal",""),IF(AND(ISNUMBER($L297),ISNUMBER($M297),$M297&lt;$L297),"Tgl Publish &lt; Tgl buat",""),IF(TRIM($N297)="","Status kosong",IF(ISERROR(MATCH(TRIM($N297),{"Draft","Menunggu Review","Revisi","Terjadwal","Upload","Publish","Published","Batal"},0)),"Status di luar daftar","")))),""))</f>
        <v/>
      </c>
      <c r="S297" s="12">
        <f>IF(AND($A297&lt;&gt;"",$C297&lt;&gt;""),IF(COUNTIFS($A$2:$A$1000,$A297,$C$2:$C$1000,$C297)&gt;1,"DUPLICAT",""),"")</f>
        <v/>
      </c>
    </row>
    <row r="298">
      <c r="A298" s="17" t="n"/>
      <c r="B298" s="17" t="n"/>
      <c r="C298" s="17" t="n"/>
      <c r="D298" s="18" t="n"/>
      <c r="E298" s="17" t="n"/>
      <c r="F298" s="19" t="n"/>
      <c r="G298" s="17" t="n"/>
      <c r="H298" s="17" t="n"/>
      <c r="I298" s="17" t="n"/>
      <c r="J298" s="19" t="n"/>
      <c r="K298" s="19" t="n"/>
      <c r="L298" s="20" t="n"/>
      <c r="M298" s="20" t="n"/>
      <c r="N298" s="17" t="n"/>
      <c r="O298" s="17" t="n"/>
      <c r="P298" s="21">
        <f>IF(AND(ISNUMBER($L298),ISNUMBER($M298)),MAX(0,$M298-$L298),"")</f>
        <v/>
      </c>
      <c r="Q298" s="21">
        <f>IF(ISNUMBER($D298),MAX(0,TODAY()-$D298),"")</f>
        <v/>
      </c>
      <c r="R298" s="19">
        <f>IF(COUNTA($A298:$O298)=0,"",IFERROR(TRIM(TEXTJOIN(" | ",TRUE,IF($A298="","PC kosong",""),IF($C298="","Worker ID kosong",""),IF($D298="","Update Date kosong",IF(NOT(ISNUMBER($D298)),"Update Date bukan tanggal","")),IF($E298="","Song ID YT kosong",""),IF($F298="","Judul kosong",""),IF(TRIM($G298)="","",IF(ISERROR(MATCH(TRIM($G298),{"TuneCore","DistroKid","TooLost","SoundOn","Ditto","Believe","CD Baby","Amuse","Symphonic Distribution","ONErpm","RouteNote","LANDR","Horus Music","Indie"},0)),"Aggregator di luar daftar","")),IF(TRIM($H298)="","Genre kosong",IF((LEN(SUBSTITUTE(SUBSTITUTE(SUBSTITUTE(TRIM($H298),"/",","),";",",")," ",""))-LEN(SUBSTITUTE(SUBSTITUTE(SUBSTITUTE(SUBSTITUTE(TRIM($H298),"/",","),";",","),"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298),"/",","),";",",")," ","")&amp;",")))&lt;&gt;(LEN(SUBSTITUTE(SUBSTITUTE(SUBSTITUTE(TRIM($H298),"/",","),";",",")," ",""))-LEN(SUBSTITUTE(SUBSTITUTE(SUBSTITUTE(SUBSTITUTE(TRIM($H298),"/",","),";",",")," ",""),",",""))+1),"Genre di luar daftar",""))),IF($I298="","Nama Channel kosong",""),IF($J298="","Link Channel kosong",IF(ISERROR(SEARCH("youtu",$J298)),"Link Channel bukan youtube","")),IF($K298="","Link Video kosong",IF(ISERROR(SEARCH("youtu",$K298)),"Link Video bukan youtube","")),IF($L298="","Tgl Dibuat kosong",IF(NOT(ISNUMBER($L298)),"Tgl Dibuat bukan tanggal","")),IF(AND($M298&lt;&gt;"",NOT(ISNUMBER($M298))),"Tgl Publish bukan tanggal",""),IF(AND(ISNUMBER($L298),ISNUMBER($M298),$M298&lt;$L298),"Tgl Publish &lt; Tgl buat",""),IF(TRIM($N298)="","Status kosong",IF(ISERROR(MATCH(TRIM($N298),{"Draft","Menunggu Review","Revisi","Terjadwal","Upload","Publish","Published","Batal"},0)),"Status di luar daftar","")))),""))</f>
        <v/>
      </c>
      <c r="S298" s="17">
        <f>IF(AND($A298&lt;&gt;"",$C298&lt;&gt;""),IF(COUNTIFS($A$2:$A$1000,$A298,$C$2:$C$1000,$C298)&gt;1,"DUPLICAT",""),"")</f>
        <v/>
      </c>
    </row>
    <row r="299">
      <c r="A299" s="12" t="n"/>
      <c r="B299" s="12" t="n"/>
      <c r="C299" s="12" t="n"/>
      <c r="D299" s="13" t="n"/>
      <c r="E299" s="12" t="n"/>
      <c r="F299" s="14" t="n"/>
      <c r="G299" s="12" t="n"/>
      <c r="H299" s="12" t="n"/>
      <c r="I299" s="12" t="n"/>
      <c r="J299" s="14" t="n"/>
      <c r="K299" s="14" t="n"/>
      <c r="L299" s="15" t="n"/>
      <c r="M299" s="15" t="n"/>
      <c r="N299" s="12" t="n"/>
      <c r="O299" s="12" t="n"/>
      <c r="P299" s="16">
        <f>IF(AND(ISNUMBER($L299),ISNUMBER($M299)),MAX(0,$M299-$L299),"")</f>
        <v/>
      </c>
      <c r="Q299" s="16">
        <f>IF(ISNUMBER($D299),MAX(0,TODAY()-$D299),"")</f>
        <v/>
      </c>
      <c r="R299" s="14">
        <f>IF(COUNTA($A299:$O299)=0,"",IFERROR(TRIM(TEXTJOIN(" | ",TRUE,IF($A299="","PC kosong",""),IF($C299="","Worker ID kosong",""),IF($D299="","Update Date kosong",IF(NOT(ISNUMBER($D299)),"Update Date bukan tanggal","")),IF($E299="","Song ID YT kosong",""),IF($F299="","Judul kosong",""),IF(TRIM($G299)="","",IF(ISERROR(MATCH(TRIM($G299),{"TuneCore","DistroKid","TooLost","SoundOn","Ditto","Believe","CD Baby","Amuse","Symphonic Distribution","ONErpm","RouteNote","LANDR","Horus Music","Indie"},0)),"Aggregator di luar daftar","")),IF(TRIM($H299)="","Genre kosong",IF((LEN(SUBSTITUTE(SUBSTITUTE(SUBSTITUTE(TRIM($H299),"/",","),";",",")," ",""))-LEN(SUBSTITUTE(SUBSTITUTE(SUBSTITUTE(SUBSTITUTE(TRIM($H299),"/",","),";",","),"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299),"/",","),";",",")," ","")&amp;",")))&lt;&gt;(LEN(SUBSTITUTE(SUBSTITUTE(SUBSTITUTE(TRIM($H299),"/",","),";",",")," ",""))-LEN(SUBSTITUTE(SUBSTITUTE(SUBSTITUTE(SUBSTITUTE(TRIM($H299),"/",","),";",",")," ",""),",",""))+1),"Genre di luar daftar",""))),IF($I299="","Nama Channel kosong",""),IF($J299="","Link Channel kosong",IF(ISERROR(SEARCH("youtu",$J299)),"Link Channel bukan youtube","")),IF($K299="","Link Video kosong",IF(ISERROR(SEARCH("youtu",$K299)),"Link Video bukan youtube","")),IF($L299="","Tgl Dibuat kosong",IF(NOT(ISNUMBER($L299)),"Tgl Dibuat bukan tanggal","")),IF(AND($M299&lt;&gt;"",NOT(ISNUMBER($M299))),"Tgl Publish bukan tanggal",""),IF(AND(ISNUMBER($L299),ISNUMBER($M299),$M299&lt;$L299),"Tgl Publish &lt; Tgl buat",""),IF(TRIM($N299)="","Status kosong",IF(ISERROR(MATCH(TRIM($N299),{"Draft","Menunggu Review","Revisi","Terjadwal","Upload","Publish","Published","Batal"},0)),"Status di luar daftar","")))),""))</f>
        <v/>
      </c>
      <c r="S299" s="12">
        <f>IF(AND($A299&lt;&gt;"",$C299&lt;&gt;""),IF(COUNTIFS($A$2:$A$1000,$A299,$C$2:$C$1000,$C299)&gt;1,"DUPLICAT",""),"")</f>
        <v/>
      </c>
    </row>
    <row r="300">
      <c r="A300" s="17" t="n"/>
      <c r="B300" s="17" t="n"/>
      <c r="C300" s="17" t="n"/>
      <c r="D300" s="18" t="n"/>
      <c r="E300" s="17" t="n"/>
      <c r="F300" s="19" t="n"/>
      <c r="G300" s="17" t="n"/>
      <c r="H300" s="17" t="n"/>
      <c r="I300" s="17" t="n"/>
      <c r="J300" s="19" t="n"/>
      <c r="K300" s="19" t="n"/>
      <c r="L300" s="20" t="n"/>
      <c r="M300" s="20" t="n"/>
      <c r="N300" s="17" t="n"/>
      <c r="O300" s="17" t="n"/>
      <c r="P300" s="21">
        <f>IF(AND(ISNUMBER($L300),ISNUMBER($M300)),MAX(0,$M300-$L300),"")</f>
        <v/>
      </c>
      <c r="Q300" s="21">
        <f>IF(ISNUMBER($D300),MAX(0,TODAY()-$D300),"")</f>
        <v/>
      </c>
      <c r="R300" s="19">
        <f>IF(COUNTA($A300:$O300)=0,"",IFERROR(TRIM(TEXTJOIN(" | ",TRUE,IF($A300="","PC kosong",""),IF($C300="","Worker ID kosong",""),IF($D300="","Update Date kosong",IF(NOT(ISNUMBER($D300)),"Update Date bukan tanggal","")),IF($E300="","Song ID YT kosong",""),IF($F300="","Judul kosong",""),IF(TRIM($G300)="","",IF(ISERROR(MATCH(TRIM($G300),{"TuneCore","DistroKid","TooLost","SoundOn","Ditto","Believe","CD Baby","Amuse","Symphonic Distribution","ONErpm","RouteNote","LANDR","Horus Music","Indie"},0)),"Aggregator di luar daftar","")),IF(TRIM($H300)="","Genre kosong",IF((LEN(SUBSTITUTE(SUBSTITUTE(SUBSTITUTE(TRIM($H300),"/",","),";",",")," ",""))-LEN(SUBSTITUTE(SUBSTITUTE(SUBSTITUTE(SUBSTITUTE(TRIM($H300),"/",","),";",","),"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300),"/",","),";",",")," ","")&amp;",")))&lt;&gt;(LEN(SUBSTITUTE(SUBSTITUTE(SUBSTITUTE(TRIM($H300),"/",","),";",",")," ",""))-LEN(SUBSTITUTE(SUBSTITUTE(SUBSTITUTE(SUBSTITUTE(TRIM($H300),"/",","),";",",")," ",""),",",""))+1),"Genre di luar daftar",""))),IF($I300="","Nama Channel kosong",""),IF($J300="","Link Channel kosong",IF(ISERROR(SEARCH("youtu",$J300)),"Link Channel bukan youtube","")),IF($K300="","Link Video kosong",IF(ISERROR(SEARCH("youtu",$K300)),"Link Video bukan youtube","")),IF($L300="","Tgl Dibuat kosong",IF(NOT(ISNUMBER($L300)),"Tgl Dibuat bukan tanggal","")),IF(AND($M300&lt;&gt;"",NOT(ISNUMBER($M300))),"Tgl Publish bukan tanggal",""),IF(AND(ISNUMBER($L300),ISNUMBER($M300),$M300&lt;$L300),"Tgl Publish &lt; Tgl buat",""),IF(TRIM($N300)="","Status kosong",IF(ISERROR(MATCH(TRIM($N300),{"Draft","Menunggu Review","Revisi","Terjadwal","Upload","Publish","Published","Batal"},0)),"Status di luar daftar","")))),""))</f>
        <v/>
      </c>
      <c r="S300" s="17">
        <f>IF(AND($A300&lt;&gt;"",$C300&lt;&gt;""),IF(COUNTIFS($A$2:$A$1000,$A300,$C$2:$C$1000,$C300)&gt;1,"DUPLICAT",""),"")</f>
        <v/>
      </c>
    </row>
    <row r="301">
      <c r="A301" s="12" t="n"/>
      <c r="B301" s="12" t="n"/>
      <c r="C301" s="12" t="n"/>
      <c r="D301" s="13" t="n"/>
      <c r="E301" s="12" t="n"/>
      <c r="F301" s="14" t="n"/>
      <c r="G301" s="12" t="n"/>
      <c r="H301" s="12" t="n"/>
      <c r="I301" s="12" t="n"/>
      <c r="J301" s="14" t="n"/>
      <c r="K301" s="14" t="n"/>
      <c r="L301" s="15" t="n"/>
      <c r="M301" s="15" t="n"/>
      <c r="N301" s="12" t="n"/>
      <c r="O301" s="12" t="n"/>
      <c r="P301" s="16">
        <f>IF(AND(ISNUMBER($L301),ISNUMBER($M301)),MAX(0,$M301-$L301),"")</f>
        <v/>
      </c>
      <c r="Q301" s="16">
        <f>IF(ISNUMBER($D301),MAX(0,TODAY()-$D301),"")</f>
        <v/>
      </c>
      <c r="R301" s="14">
        <f>IF(COUNTA($A301:$O301)=0,"",IFERROR(TRIM(TEXTJOIN(" | ",TRUE,IF($A301="","PC kosong",""),IF($C301="","Worker ID kosong",""),IF($D301="","Update Date kosong",IF(NOT(ISNUMBER($D301)),"Update Date bukan tanggal","")),IF($E301="","Song ID YT kosong",""),IF($F301="","Judul kosong",""),IF(TRIM($G301)="","",IF(ISERROR(MATCH(TRIM($G301),{"TuneCore","DistroKid","TooLost","SoundOn","Ditto","Believe","CD Baby","Amuse","Symphonic Distribution","ONErpm","RouteNote","LANDR","Horus Music","Indie"},0)),"Aggregator di luar daftar","")),IF(TRIM($H301)="","Genre kosong",IF((LEN(SUBSTITUTE(SUBSTITUTE(SUBSTITUTE(TRIM($H301),"/",","),";",",")," ",""))-LEN(SUBSTITUTE(SUBSTITUTE(SUBSTITUTE(SUBSTITUTE(TRIM($H301),"/",","),";",","),"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301),"/",","),";",",")," ","")&amp;",")))&lt;&gt;(LEN(SUBSTITUTE(SUBSTITUTE(SUBSTITUTE(TRIM($H301),"/",","),";",",")," ",""))-LEN(SUBSTITUTE(SUBSTITUTE(SUBSTITUTE(SUBSTITUTE(TRIM($H301),"/",","),";",",")," ",""),",",""))+1),"Genre di luar daftar",""))),IF($I301="","Nama Channel kosong",""),IF($J301="","Link Channel kosong",IF(ISERROR(SEARCH("youtu",$J301)),"Link Channel bukan youtube","")),IF($K301="","Link Video kosong",IF(ISERROR(SEARCH("youtu",$K301)),"Link Video bukan youtube","")),IF($L301="","Tgl Dibuat kosong",IF(NOT(ISNUMBER($L301)),"Tgl Dibuat bukan tanggal","")),IF(AND($M301&lt;&gt;"",NOT(ISNUMBER($M301))),"Tgl Publish bukan tanggal",""),IF(AND(ISNUMBER($L301),ISNUMBER($M301),$M301&lt;$L301),"Tgl Publish &lt; Tgl buat",""),IF(TRIM($N301)="","Status kosong",IF(ISERROR(MATCH(TRIM($N301),{"Draft","Menunggu Review","Revisi","Terjadwal","Upload","Publish","Published","Batal"},0)),"Status di luar daftar","")))),""))</f>
        <v/>
      </c>
      <c r="S301" s="12">
        <f>IF(AND($A301&lt;&gt;"",$C301&lt;&gt;""),IF(COUNTIFS($A$2:$A$1000,$A301,$C$2:$C$1000,$C301)&gt;1,"DUPLICAT",""),"")</f>
        <v/>
      </c>
    </row>
    <row r="302">
      <c r="A302" s="17" t="n"/>
      <c r="B302" s="17" t="n"/>
      <c r="C302" s="17" t="n"/>
      <c r="D302" s="18" t="n"/>
      <c r="E302" s="17" t="n"/>
      <c r="F302" s="19" t="n"/>
      <c r="G302" s="17" t="n"/>
      <c r="H302" s="17" t="n"/>
      <c r="I302" s="17" t="n"/>
      <c r="J302" s="19" t="n"/>
      <c r="K302" s="19" t="n"/>
      <c r="L302" s="20" t="n"/>
      <c r="M302" s="20" t="n"/>
      <c r="N302" s="17" t="n"/>
      <c r="O302" s="17" t="n"/>
      <c r="P302" s="21">
        <f>IF(AND(ISNUMBER($L302),ISNUMBER($M302)),MAX(0,$M302-$L302),"")</f>
        <v/>
      </c>
      <c r="Q302" s="21">
        <f>IF(ISNUMBER($D302),MAX(0,TODAY()-$D302),"")</f>
        <v/>
      </c>
      <c r="R302" s="19">
        <f>IF(COUNTA($A302:$O302)=0,"",IFERROR(TRIM(TEXTJOIN(" | ",TRUE,IF($A302="","PC kosong",""),IF($C302="","Worker ID kosong",""),IF($D302="","Update Date kosong",IF(NOT(ISNUMBER($D302)),"Update Date bukan tanggal","")),IF($E302="","Song ID YT kosong",""),IF($F302="","Judul kosong",""),IF(TRIM($G302)="","",IF(ISERROR(MATCH(TRIM($G302),{"TuneCore","DistroKid","TooLost","SoundOn","Ditto","Believe","CD Baby","Amuse","Symphonic Distribution","ONErpm","RouteNote","LANDR","Horus Music","Indie"},0)),"Aggregator di luar daftar","")),IF(TRIM($H302)="","Genre kosong",IF((LEN(SUBSTITUTE(SUBSTITUTE(SUBSTITUTE(TRIM($H302),"/",","),";",",")," ",""))-LEN(SUBSTITUTE(SUBSTITUTE(SUBSTITUTE(SUBSTITUTE(TRIM($H302),"/",","),";",","),"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302),"/",","),";",",")," ","")&amp;",")))&lt;&gt;(LEN(SUBSTITUTE(SUBSTITUTE(SUBSTITUTE(TRIM($H302),"/",","),";",",")," ",""))-LEN(SUBSTITUTE(SUBSTITUTE(SUBSTITUTE(SUBSTITUTE(TRIM($H302),"/",","),";",",")," ",""),",",""))+1),"Genre di luar daftar",""))),IF($I302="","Nama Channel kosong",""),IF($J302="","Link Channel kosong",IF(ISERROR(SEARCH("youtu",$J302)),"Link Channel bukan youtube","")),IF($K302="","Link Video kosong",IF(ISERROR(SEARCH("youtu",$K302)),"Link Video bukan youtube","")),IF($L302="","Tgl Dibuat kosong",IF(NOT(ISNUMBER($L302)),"Tgl Dibuat bukan tanggal","")),IF(AND($M302&lt;&gt;"",NOT(ISNUMBER($M302))),"Tgl Publish bukan tanggal",""),IF(AND(ISNUMBER($L302),ISNUMBER($M302),$M302&lt;$L302),"Tgl Publish &lt; Tgl buat",""),IF(TRIM($N302)="","Status kosong",IF(ISERROR(MATCH(TRIM($N302),{"Draft","Menunggu Review","Revisi","Terjadwal","Upload","Publish","Published","Batal"},0)),"Status di luar daftar","")))),""))</f>
        <v/>
      </c>
      <c r="S302" s="17">
        <f>IF(AND($A302&lt;&gt;"",$C302&lt;&gt;""),IF(COUNTIFS($A$2:$A$1000,$A302,$C$2:$C$1000,$C302)&gt;1,"DUPLICAT",""),"")</f>
        <v/>
      </c>
    </row>
    <row r="303">
      <c r="A303" s="12" t="n"/>
      <c r="B303" s="12" t="n"/>
      <c r="C303" s="12" t="n"/>
      <c r="D303" s="13" t="n"/>
      <c r="E303" s="12" t="n"/>
      <c r="F303" s="14" t="n"/>
      <c r="G303" s="12" t="n"/>
      <c r="H303" s="12" t="n"/>
      <c r="I303" s="12" t="n"/>
      <c r="J303" s="14" t="n"/>
      <c r="K303" s="14" t="n"/>
      <c r="L303" s="15" t="n"/>
      <c r="M303" s="15" t="n"/>
      <c r="N303" s="12" t="n"/>
      <c r="O303" s="12" t="n"/>
      <c r="P303" s="16">
        <f>IF(AND(ISNUMBER($L303),ISNUMBER($M303)),MAX(0,$M303-$L303),"")</f>
        <v/>
      </c>
      <c r="Q303" s="16">
        <f>IF(ISNUMBER($D303),MAX(0,TODAY()-$D303),"")</f>
        <v/>
      </c>
      <c r="R303" s="14">
        <f>IF(COUNTA($A303:$O303)=0,"",IFERROR(TRIM(TEXTJOIN(" | ",TRUE,IF($A303="","PC kosong",""),IF($C303="","Worker ID kosong",""),IF($D303="","Update Date kosong",IF(NOT(ISNUMBER($D303)),"Update Date bukan tanggal","")),IF($E303="","Song ID YT kosong",""),IF($F303="","Judul kosong",""),IF(TRIM($G303)="","",IF(ISERROR(MATCH(TRIM($G303),{"TuneCore","DistroKid","TooLost","SoundOn","Ditto","Believe","CD Baby","Amuse","Symphonic Distribution","ONErpm","RouteNote","LANDR","Horus Music","Indie"},0)),"Aggregator di luar daftar","")),IF(TRIM($H303)="","Genre kosong",IF((LEN(SUBSTITUTE(SUBSTITUTE(SUBSTITUTE(TRIM($H303),"/",","),";",",")," ",""))-LEN(SUBSTITUTE(SUBSTITUTE(SUBSTITUTE(SUBSTITUTE(TRIM($H303),"/",","),";",","),"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303),"/",","),";",",")," ","")&amp;",")))&lt;&gt;(LEN(SUBSTITUTE(SUBSTITUTE(SUBSTITUTE(TRIM($H303),"/",","),";",",")," ",""))-LEN(SUBSTITUTE(SUBSTITUTE(SUBSTITUTE(SUBSTITUTE(TRIM($H303),"/",","),";",",")," ",""),",",""))+1),"Genre di luar daftar",""))),IF($I303="","Nama Channel kosong",""),IF($J303="","Link Channel kosong",IF(ISERROR(SEARCH("youtu",$J303)),"Link Channel bukan youtube","")),IF($K303="","Link Video kosong",IF(ISERROR(SEARCH("youtu",$K303)),"Link Video bukan youtube","")),IF($L303="","Tgl Dibuat kosong",IF(NOT(ISNUMBER($L303)),"Tgl Dibuat bukan tanggal","")),IF(AND($M303&lt;&gt;"",NOT(ISNUMBER($M303))),"Tgl Publish bukan tanggal",""),IF(AND(ISNUMBER($L303),ISNUMBER($M303),$M303&lt;$L303),"Tgl Publish &lt; Tgl buat",""),IF(TRIM($N303)="","Status kosong",IF(ISERROR(MATCH(TRIM($N303),{"Draft","Menunggu Review","Revisi","Terjadwal","Upload","Publish","Published","Batal"},0)),"Status di luar daftar","")))),""))</f>
        <v/>
      </c>
      <c r="S303" s="12">
        <f>IF(AND($A303&lt;&gt;"",$C303&lt;&gt;""),IF(COUNTIFS($A$2:$A$1000,$A303,$C$2:$C$1000,$C303)&gt;1,"DUPLICAT",""),"")</f>
        <v/>
      </c>
    </row>
    <row r="304">
      <c r="A304" s="17" t="n"/>
      <c r="B304" s="17" t="n"/>
      <c r="C304" s="17" t="n"/>
      <c r="D304" s="18" t="n"/>
      <c r="E304" s="17" t="n"/>
      <c r="F304" s="19" t="n"/>
      <c r="G304" s="17" t="n"/>
      <c r="H304" s="17" t="n"/>
      <c r="I304" s="17" t="n"/>
      <c r="J304" s="19" t="n"/>
      <c r="K304" s="19" t="n"/>
      <c r="L304" s="20" t="n"/>
      <c r="M304" s="20" t="n"/>
      <c r="N304" s="17" t="n"/>
      <c r="O304" s="17" t="n"/>
      <c r="P304" s="21">
        <f>IF(AND(ISNUMBER($L304),ISNUMBER($M304)),MAX(0,$M304-$L304),"")</f>
        <v/>
      </c>
      <c r="Q304" s="21">
        <f>IF(ISNUMBER($D304),MAX(0,TODAY()-$D304),"")</f>
        <v/>
      </c>
      <c r="R304" s="19">
        <f>IF(COUNTA($A304:$O304)=0,"",IFERROR(TRIM(TEXTJOIN(" | ",TRUE,IF($A304="","PC kosong",""),IF($C304="","Worker ID kosong",""),IF($D304="","Update Date kosong",IF(NOT(ISNUMBER($D304)),"Update Date bukan tanggal","")),IF($E304="","Song ID YT kosong",""),IF($F304="","Judul kosong",""),IF(TRIM($G304)="","",IF(ISERROR(MATCH(TRIM($G304),{"TuneCore","DistroKid","TooLost","SoundOn","Ditto","Believe","CD Baby","Amuse","Symphonic Distribution","ONErpm","RouteNote","LANDR","Horus Music","Indie"},0)),"Aggregator di luar daftar","")),IF(TRIM($H304)="","Genre kosong",IF((LEN(SUBSTITUTE(SUBSTITUTE(SUBSTITUTE(TRIM($H304),"/",","),";",",")," ",""))-LEN(SUBSTITUTE(SUBSTITUTE(SUBSTITUTE(SUBSTITUTE(TRIM($H304),"/",","),";",","),"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304),"/",","),";",",")," ","")&amp;",")))&lt;&gt;(LEN(SUBSTITUTE(SUBSTITUTE(SUBSTITUTE(TRIM($H304),"/",","),";",",")," ",""))-LEN(SUBSTITUTE(SUBSTITUTE(SUBSTITUTE(SUBSTITUTE(TRIM($H304),"/",","),";",",")," ",""),",",""))+1),"Genre di luar daftar",""))),IF($I304="","Nama Channel kosong",""),IF($J304="","Link Channel kosong",IF(ISERROR(SEARCH("youtu",$J304)),"Link Channel bukan youtube","")),IF($K304="","Link Video kosong",IF(ISERROR(SEARCH("youtu",$K304)),"Link Video bukan youtube","")),IF($L304="","Tgl Dibuat kosong",IF(NOT(ISNUMBER($L304)),"Tgl Dibuat bukan tanggal","")),IF(AND($M304&lt;&gt;"",NOT(ISNUMBER($M304))),"Tgl Publish bukan tanggal",""),IF(AND(ISNUMBER($L304),ISNUMBER($M304),$M304&lt;$L304),"Tgl Publish &lt; Tgl buat",""),IF(TRIM($N304)="","Status kosong",IF(ISERROR(MATCH(TRIM($N304),{"Draft","Menunggu Review","Revisi","Terjadwal","Upload","Publish","Published","Batal"},0)),"Status di luar daftar","")))),""))</f>
        <v/>
      </c>
      <c r="S304" s="17">
        <f>IF(AND($A304&lt;&gt;"",$C304&lt;&gt;""),IF(COUNTIFS($A$2:$A$1000,$A304,$C$2:$C$1000,$C304)&gt;1,"DUPLICAT",""),"")</f>
        <v/>
      </c>
    </row>
    <row r="305">
      <c r="A305" s="12" t="n"/>
      <c r="B305" s="12" t="n"/>
      <c r="C305" s="12" t="n"/>
      <c r="D305" s="13" t="n"/>
      <c r="E305" s="12" t="n"/>
      <c r="F305" s="14" t="n"/>
      <c r="G305" s="12" t="n"/>
      <c r="H305" s="12" t="n"/>
      <c r="I305" s="12" t="n"/>
      <c r="J305" s="14" t="n"/>
      <c r="K305" s="14" t="n"/>
      <c r="L305" s="15" t="n"/>
      <c r="M305" s="15" t="n"/>
      <c r="N305" s="12" t="n"/>
      <c r="O305" s="12" t="n"/>
      <c r="P305" s="16">
        <f>IF(AND(ISNUMBER($L305),ISNUMBER($M305)),MAX(0,$M305-$L305),"")</f>
        <v/>
      </c>
      <c r="Q305" s="16">
        <f>IF(ISNUMBER($D305),MAX(0,TODAY()-$D305),"")</f>
        <v/>
      </c>
      <c r="R305" s="14">
        <f>IF(COUNTA($A305:$O305)=0,"",IFERROR(TRIM(TEXTJOIN(" | ",TRUE,IF($A305="","PC kosong",""),IF($C305="","Worker ID kosong",""),IF($D305="","Update Date kosong",IF(NOT(ISNUMBER($D305)),"Update Date bukan tanggal","")),IF($E305="","Song ID YT kosong",""),IF($F305="","Judul kosong",""),IF(TRIM($G305)="","",IF(ISERROR(MATCH(TRIM($G305),{"TuneCore","DistroKid","TooLost","SoundOn","Ditto","Believe","CD Baby","Amuse","Symphonic Distribution","ONErpm","RouteNote","LANDR","Horus Music","Indie"},0)),"Aggregator di luar daftar","")),IF(TRIM($H305)="","Genre kosong",IF((LEN(SUBSTITUTE(SUBSTITUTE(SUBSTITUTE(TRIM($H305),"/",","),";",",")," ",""))-LEN(SUBSTITUTE(SUBSTITUTE(SUBSTITUTE(SUBSTITUTE(TRIM($H305),"/",","),";",","),"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305),"/",","),";",",")," ","")&amp;",")))&lt;&gt;(LEN(SUBSTITUTE(SUBSTITUTE(SUBSTITUTE(TRIM($H305),"/",","),";",",")," ",""))-LEN(SUBSTITUTE(SUBSTITUTE(SUBSTITUTE(SUBSTITUTE(TRIM($H305),"/",","),";",",")," ",""),",",""))+1),"Genre di luar daftar",""))),IF($I305="","Nama Channel kosong",""),IF($J305="","Link Channel kosong",IF(ISERROR(SEARCH("youtu",$J305)),"Link Channel bukan youtube","")),IF($K305="","Link Video kosong",IF(ISERROR(SEARCH("youtu",$K305)),"Link Video bukan youtube","")),IF($L305="","Tgl Dibuat kosong",IF(NOT(ISNUMBER($L305)),"Tgl Dibuat bukan tanggal","")),IF(AND($M305&lt;&gt;"",NOT(ISNUMBER($M305))),"Tgl Publish bukan tanggal",""),IF(AND(ISNUMBER($L305),ISNUMBER($M305),$M305&lt;$L305),"Tgl Publish &lt; Tgl buat",""),IF(TRIM($N305)="","Status kosong",IF(ISERROR(MATCH(TRIM($N305),{"Draft","Menunggu Review","Revisi","Terjadwal","Upload","Publish","Published","Batal"},0)),"Status di luar daftar","")))),""))</f>
        <v/>
      </c>
      <c r="S305" s="12">
        <f>IF(AND($A305&lt;&gt;"",$C305&lt;&gt;""),IF(COUNTIFS($A$2:$A$1000,$A305,$C$2:$C$1000,$C305)&gt;1,"DUPLICAT",""),"")</f>
        <v/>
      </c>
    </row>
    <row r="306">
      <c r="A306" s="17" t="n"/>
      <c r="B306" s="17" t="n"/>
      <c r="C306" s="17" t="n"/>
      <c r="D306" s="18" t="n"/>
      <c r="E306" s="17" t="n"/>
      <c r="F306" s="19" t="n"/>
      <c r="G306" s="17" t="n"/>
      <c r="H306" s="17" t="n"/>
      <c r="I306" s="17" t="n"/>
      <c r="J306" s="19" t="n"/>
      <c r="K306" s="19" t="n"/>
      <c r="L306" s="20" t="n"/>
      <c r="M306" s="20" t="n"/>
      <c r="N306" s="17" t="n"/>
      <c r="O306" s="17" t="n"/>
      <c r="P306" s="21">
        <f>IF(AND(ISNUMBER($L306),ISNUMBER($M306)),MAX(0,$M306-$L306),"")</f>
        <v/>
      </c>
      <c r="Q306" s="21">
        <f>IF(ISNUMBER($D306),MAX(0,TODAY()-$D306),"")</f>
        <v/>
      </c>
      <c r="R306" s="19">
        <f>IF(COUNTA($A306:$O306)=0,"",IFERROR(TRIM(TEXTJOIN(" | ",TRUE,IF($A306="","PC kosong",""),IF($C306="","Worker ID kosong",""),IF($D306="","Update Date kosong",IF(NOT(ISNUMBER($D306)),"Update Date bukan tanggal","")),IF($E306="","Song ID YT kosong",""),IF($F306="","Judul kosong",""),IF(TRIM($G306)="","",IF(ISERROR(MATCH(TRIM($G306),{"TuneCore","DistroKid","TooLost","SoundOn","Ditto","Believe","CD Baby","Amuse","Symphonic Distribution","ONErpm","RouteNote","LANDR","Horus Music","Indie"},0)),"Aggregator di luar daftar","")),IF(TRIM($H306)="","Genre kosong",IF((LEN(SUBSTITUTE(SUBSTITUTE(SUBSTITUTE(TRIM($H306),"/",","),";",",")," ",""))-LEN(SUBSTITUTE(SUBSTITUTE(SUBSTITUTE(SUBSTITUTE(TRIM($H306),"/",","),";",","),"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306),"/",","),";",",")," ","")&amp;",")))&lt;&gt;(LEN(SUBSTITUTE(SUBSTITUTE(SUBSTITUTE(TRIM($H306),"/",","),";",",")," ",""))-LEN(SUBSTITUTE(SUBSTITUTE(SUBSTITUTE(SUBSTITUTE(TRIM($H306),"/",","),";",",")," ",""),",",""))+1),"Genre di luar daftar",""))),IF($I306="","Nama Channel kosong",""),IF($J306="","Link Channel kosong",IF(ISERROR(SEARCH("youtu",$J306)),"Link Channel bukan youtube","")),IF($K306="","Link Video kosong",IF(ISERROR(SEARCH("youtu",$K306)),"Link Video bukan youtube","")),IF($L306="","Tgl Dibuat kosong",IF(NOT(ISNUMBER($L306)),"Tgl Dibuat bukan tanggal","")),IF(AND($M306&lt;&gt;"",NOT(ISNUMBER($M306))),"Tgl Publish bukan tanggal",""),IF(AND(ISNUMBER($L306),ISNUMBER($M306),$M306&lt;$L306),"Tgl Publish &lt; Tgl buat",""),IF(TRIM($N306)="","Status kosong",IF(ISERROR(MATCH(TRIM($N306),{"Draft","Menunggu Review","Revisi","Terjadwal","Upload","Publish","Published","Batal"},0)),"Status di luar daftar","")))),""))</f>
        <v/>
      </c>
      <c r="S306" s="17">
        <f>IF(AND($A306&lt;&gt;"",$C306&lt;&gt;""),IF(COUNTIFS($A$2:$A$1000,$A306,$C$2:$C$1000,$C306)&gt;1,"DUPLICAT",""),"")</f>
        <v/>
      </c>
    </row>
    <row r="307">
      <c r="A307" s="12" t="n"/>
      <c r="B307" s="12" t="n"/>
      <c r="C307" s="12" t="n"/>
      <c r="D307" s="13" t="n"/>
      <c r="E307" s="12" t="n"/>
      <c r="F307" s="14" t="n"/>
      <c r="G307" s="12" t="n"/>
      <c r="H307" s="12" t="n"/>
      <c r="I307" s="12" t="n"/>
      <c r="J307" s="14" t="n"/>
      <c r="K307" s="14" t="n"/>
      <c r="L307" s="15" t="n"/>
      <c r="M307" s="15" t="n"/>
      <c r="N307" s="12" t="n"/>
      <c r="O307" s="12" t="n"/>
      <c r="P307" s="16">
        <f>IF(AND(ISNUMBER($L307),ISNUMBER($M307)),MAX(0,$M307-$L307),"")</f>
        <v/>
      </c>
      <c r="Q307" s="16">
        <f>IF(ISNUMBER($D307),MAX(0,TODAY()-$D307),"")</f>
        <v/>
      </c>
      <c r="R307" s="14">
        <f>IF(COUNTA($A307:$O307)=0,"",IFERROR(TRIM(TEXTJOIN(" | ",TRUE,IF($A307="","PC kosong",""),IF($C307="","Worker ID kosong",""),IF($D307="","Update Date kosong",IF(NOT(ISNUMBER($D307)),"Update Date bukan tanggal","")),IF($E307="","Song ID YT kosong",""),IF($F307="","Judul kosong",""),IF(TRIM($G307)="","",IF(ISERROR(MATCH(TRIM($G307),{"TuneCore","DistroKid","TooLost","SoundOn","Ditto","Believe","CD Baby","Amuse","Symphonic Distribution","ONErpm","RouteNote","LANDR","Horus Music","Indie"},0)),"Aggregator di luar daftar","")),IF(TRIM($H307)="","Genre kosong",IF((LEN(SUBSTITUTE(SUBSTITUTE(SUBSTITUTE(TRIM($H307),"/",","),";",",")," ",""))-LEN(SUBSTITUTE(SUBSTITUTE(SUBSTITUTE(SUBSTITUTE(TRIM($H307),"/",","),";",","),"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307),"/",","),";",",")," ","")&amp;",")))&lt;&gt;(LEN(SUBSTITUTE(SUBSTITUTE(SUBSTITUTE(TRIM($H307),"/",","),";",",")," ",""))-LEN(SUBSTITUTE(SUBSTITUTE(SUBSTITUTE(SUBSTITUTE(TRIM($H307),"/",","),";",",")," ",""),",",""))+1),"Genre di luar daftar",""))),IF($I307="","Nama Channel kosong",""),IF($J307="","Link Channel kosong",IF(ISERROR(SEARCH("youtu",$J307)),"Link Channel bukan youtube","")),IF($K307="","Link Video kosong",IF(ISERROR(SEARCH("youtu",$K307)),"Link Video bukan youtube","")),IF($L307="","Tgl Dibuat kosong",IF(NOT(ISNUMBER($L307)),"Tgl Dibuat bukan tanggal","")),IF(AND($M307&lt;&gt;"",NOT(ISNUMBER($M307))),"Tgl Publish bukan tanggal",""),IF(AND(ISNUMBER($L307),ISNUMBER($M307),$M307&lt;$L307),"Tgl Publish &lt; Tgl buat",""),IF(TRIM($N307)="","Status kosong",IF(ISERROR(MATCH(TRIM($N307),{"Draft","Menunggu Review","Revisi","Terjadwal","Upload","Publish","Published","Batal"},0)),"Status di luar daftar","")))),""))</f>
        <v/>
      </c>
      <c r="S307" s="12">
        <f>IF(AND($A307&lt;&gt;"",$C307&lt;&gt;""),IF(COUNTIFS($A$2:$A$1000,$A307,$C$2:$C$1000,$C307)&gt;1,"DUPLICAT",""),"")</f>
        <v/>
      </c>
    </row>
    <row r="308">
      <c r="A308" s="17" t="n"/>
      <c r="B308" s="17" t="n"/>
      <c r="C308" s="17" t="n"/>
      <c r="D308" s="18" t="n"/>
      <c r="E308" s="17" t="n"/>
      <c r="F308" s="19" t="n"/>
      <c r="G308" s="17" t="n"/>
      <c r="H308" s="17" t="n"/>
      <c r="I308" s="17" t="n"/>
      <c r="J308" s="19" t="n"/>
      <c r="K308" s="19" t="n"/>
      <c r="L308" s="20" t="n"/>
      <c r="M308" s="20" t="n"/>
      <c r="N308" s="17" t="n"/>
      <c r="O308" s="17" t="n"/>
      <c r="P308" s="21">
        <f>IF(AND(ISNUMBER($L308),ISNUMBER($M308)),MAX(0,$M308-$L308),"")</f>
        <v/>
      </c>
      <c r="Q308" s="21">
        <f>IF(ISNUMBER($D308),MAX(0,TODAY()-$D308),"")</f>
        <v/>
      </c>
      <c r="R308" s="19">
        <f>IF(COUNTA($A308:$O308)=0,"",IFERROR(TRIM(TEXTJOIN(" | ",TRUE,IF($A308="","PC kosong",""),IF($C308="","Worker ID kosong",""),IF($D308="","Update Date kosong",IF(NOT(ISNUMBER($D308)),"Update Date bukan tanggal","")),IF($E308="","Song ID YT kosong",""),IF($F308="","Judul kosong",""),IF(TRIM($G308)="","",IF(ISERROR(MATCH(TRIM($G308),{"TuneCore","DistroKid","TooLost","SoundOn","Ditto","Believe","CD Baby","Amuse","Symphonic Distribution","ONErpm","RouteNote","LANDR","Horus Music","Indie"},0)),"Aggregator di luar daftar","")),IF(TRIM($H308)="","Genre kosong",IF((LEN(SUBSTITUTE(SUBSTITUTE(SUBSTITUTE(TRIM($H308),"/",","),";",",")," ",""))-LEN(SUBSTITUTE(SUBSTITUTE(SUBSTITUTE(SUBSTITUTE(TRIM($H308),"/",","),";",","),"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308),"/",","),";",",")," ","")&amp;",")))&lt;&gt;(LEN(SUBSTITUTE(SUBSTITUTE(SUBSTITUTE(TRIM($H308),"/",","),";",",")," ",""))-LEN(SUBSTITUTE(SUBSTITUTE(SUBSTITUTE(SUBSTITUTE(TRIM($H308),"/",","),";",",")," ",""),",",""))+1),"Genre di luar daftar",""))),IF($I308="","Nama Channel kosong",""),IF($J308="","Link Channel kosong",IF(ISERROR(SEARCH("youtu",$J308)),"Link Channel bukan youtube","")),IF($K308="","Link Video kosong",IF(ISERROR(SEARCH("youtu",$K308)),"Link Video bukan youtube","")),IF($L308="","Tgl Dibuat kosong",IF(NOT(ISNUMBER($L308)),"Tgl Dibuat bukan tanggal","")),IF(AND($M308&lt;&gt;"",NOT(ISNUMBER($M308))),"Tgl Publish bukan tanggal",""),IF(AND(ISNUMBER($L308),ISNUMBER($M308),$M308&lt;$L308),"Tgl Publish &lt; Tgl buat",""),IF(TRIM($N308)="","Status kosong",IF(ISERROR(MATCH(TRIM($N308),{"Draft","Menunggu Review","Revisi","Terjadwal","Upload","Publish","Published","Batal"},0)),"Status di luar daftar","")))),""))</f>
        <v/>
      </c>
      <c r="S308" s="17">
        <f>IF(AND($A308&lt;&gt;"",$C308&lt;&gt;""),IF(COUNTIFS($A$2:$A$1000,$A308,$C$2:$C$1000,$C308)&gt;1,"DUPLICAT",""),"")</f>
        <v/>
      </c>
    </row>
    <row r="309">
      <c r="A309" s="12" t="n"/>
      <c r="B309" s="12" t="n"/>
      <c r="C309" s="12" t="n"/>
      <c r="D309" s="13" t="n"/>
      <c r="E309" s="12" t="n"/>
      <c r="F309" s="14" t="n"/>
      <c r="G309" s="12" t="n"/>
      <c r="H309" s="12" t="n"/>
      <c r="I309" s="12" t="n"/>
      <c r="J309" s="14" t="n"/>
      <c r="K309" s="14" t="n"/>
      <c r="L309" s="15" t="n"/>
      <c r="M309" s="15" t="n"/>
      <c r="N309" s="12" t="n"/>
      <c r="O309" s="12" t="n"/>
      <c r="P309" s="16">
        <f>IF(AND(ISNUMBER($L309),ISNUMBER($M309)),MAX(0,$M309-$L309),"")</f>
        <v/>
      </c>
      <c r="Q309" s="16">
        <f>IF(ISNUMBER($D309),MAX(0,TODAY()-$D309),"")</f>
        <v/>
      </c>
      <c r="R309" s="14">
        <f>IF(COUNTA($A309:$O309)=0,"",IFERROR(TRIM(TEXTJOIN(" | ",TRUE,IF($A309="","PC kosong",""),IF($C309="","Worker ID kosong",""),IF($D309="","Update Date kosong",IF(NOT(ISNUMBER($D309)),"Update Date bukan tanggal","")),IF($E309="","Song ID YT kosong",""),IF($F309="","Judul kosong",""),IF(TRIM($G309)="","",IF(ISERROR(MATCH(TRIM($G309),{"TuneCore","DistroKid","TooLost","SoundOn","Ditto","Believe","CD Baby","Amuse","Symphonic Distribution","ONErpm","RouteNote","LANDR","Horus Music","Indie"},0)),"Aggregator di luar daftar","")),IF(TRIM($H309)="","Genre kosong",IF((LEN(SUBSTITUTE(SUBSTITUTE(SUBSTITUTE(TRIM($H309),"/",","),";",",")," ",""))-LEN(SUBSTITUTE(SUBSTITUTE(SUBSTITUTE(SUBSTITUTE(TRIM($H309),"/",","),";",","),"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309),"/",","),";",",")," ","")&amp;",")))&lt;&gt;(LEN(SUBSTITUTE(SUBSTITUTE(SUBSTITUTE(TRIM($H309),"/",","),";",",")," ",""))-LEN(SUBSTITUTE(SUBSTITUTE(SUBSTITUTE(SUBSTITUTE(TRIM($H309),"/",","),";",",")," ",""),",",""))+1),"Genre di luar daftar",""))),IF($I309="","Nama Channel kosong",""),IF($J309="","Link Channel kosong",IF(ISERROR(SEARCH("youtu",$J309)),"Link Channel bukan youtube","")),IF($K309="","Link Video kosong",IF(ISERROR(SEARCH("youtu",$K309)),"Link Video bukan youtube","")),IF($L309="","Tgl Dibuat kosong",IF(NOT(ISNUMBER($L309)),"Tgl Dibuat bukan tanggal","")),IF(AND($M309&lt;&gt;"",NOT(ISNUMBER($M309))),"Tgl Publish bukan tanggal",""),IF(AND(ISNUMBER($L309),ISNUMBER($M309),$M309&lt;$L309),"Tgl Publish &lt; Tgl buat",""),IF(TRIM($N309)="","Status kosong",IF(ISERROR(MATCH(TRIM($N309),{"Draft","Menunggu Review","Revisi","Terjadwal","Upload","Publish","Published","Batal"},0)),"Status di luar daftar","")))),""))</f>
        <v/>
      </c>
      <c r="S309" s="12">
        <f>IF(AND($A309&lt;&gt;"",$C309&lt;&gt;""),IF(COUNTIFS($A$2:$A$1000,$A309,$C$2:$C$1000,$C309)&gt;1,"DUPLICAT",""),"")</f>
        <v/>
      </c>
    </row>
    <row r="310">
      <c r="A310" s="17" t="n"/>
      <c r="B310" s="17" t="n"/>
      <c r="C310" s="17" t="n"/>
      <c r="D310" s="18" t="n"/>
      <c r="E310" s="17" t="n"/>
      <c r="F310" s="19" t="n"/>
      <c r="G310" s="17" t="n"/>
      <c r="H310" s="17" t="n"/>
      <c r="I310" s="17" t="n"/>
      <c r="J310" s="19" t="n"/>
      <c r="K310" s="19" t="n"/>
      <c r="L310" s="20" t="n"/>
      <c r="M310" s="20" t="n"/>
      <c r="N310" s="17" t="n"/>
      <c r="O310" s="17" t="n"/>
      <c r="P310" s="21">
        <f>IF(AND(ISNUMBER($L310),ISNUMBER($M310)),MAX(0,$M310-$L310),"")</f>
        <v/>
      </c>
      <c r="Q310" s="21">
        <f>IF(ISNUMBER($D310),MAX(0,TODAY()-$D310),"")</f>
        <v/>
      </c>
      <c r="R310" s="19">
        <f>IF(COUNTA($A310:$O310)=0,"",IFERROR(TRIM(TEXTJOIN(" | ",TRUE,IF($A310="","PC kosong",""),IF($C310="","Worker ID kosong",""),IF($D310="","Update Date kosong",IF(NOT(ISNUMBER($D310)),"Update Date bukan tanggal","")),IF($E310="","Song ID YT kosong",""),IF($F310="","Judul kosong",""),IF(TRIM($G310)="","",IF(ISERROR(MATCH(TRIM($G310),{"TuneCore","DistroKid","TooLost","SoundOn","Ditto","Believe","CD Baby","Amuse","Symphonic Distribution","ONErpm","RouteNote","LANDR","Horus Music","Indie"},0)),"Aggregator di luar daftar","")),IF(TRIM($H310)="","Genre kosong",IF((LEN(SUBSTITUTE(SUBSTITUTE(SUBSTITUTE(TRIM($H310),"/",","),";",",")," ",""))-LEN(SUBSTITUTE(SUBSTITUTE(SUBSTITUTE(SUBSTITUTE(TRIM($H310),"/",","),";",","),"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310),"/",","),";",",")," ","")&amp;",")))&lt;&gt;(LEN(SUBSTITUTE(SUBSTITUTE(SUBSTITUTE(TRIM($H310),"/",","),";",",")," ",""))-LEN(SUBSTITUTE(SUBSTITUTE(SUBSTITUTE(SUBSTITUTE(TRIM($H310),"/",","),";",",")," ",""),",",""))+1),"Genre di luar daftar",""))),IF($I310="","Nama Channel kosong",""),IF($J310="","Link Channel kosong",IF(ISERROR(SEARCH("youtu",$J310)),"Link Channel bukan youtube","")),IF($K310="","Link Video kosong",IF(ISERROR(SEARCH("youtu",$K310)),"Link Video bukan youtube","")),IF($L310="","Tgl Dibuat kosong",IF(NOT(ISNUMBER($L310)),"Tgl Dibuat bukan tanggal","")),IF(AND($M310&lt;&gt;"",NOT(ISNUMBER($M310))),"Tgl Publish bukan tanggal",""),IF(AND(ISNUMBER($L310),ISNUMBER($M310),$M310&lt;$L310),"Tgl Publish &lt; Tgl buat",""),IF(TRIM($N310)="","Status kosong",IF(ISERROR(MATCH(TRIM($N310),{"Draft","Menunggu Review","Revisi","Terjadwal","Upload","Publish","Published","Batal"},0)),"Status di luar daftar","")))),""))</f>
        <v/>
      </c>
      <c r="S310" s="17">
        <f>IF(AND($A310&lt;&gt;"",$C310&lt;&gt;""),IF(COUNTIFS($A$2:$A$1000,$A310,$C$2:$C$1000,$C310)&gt;1,"DUPLICAT",""),"")</f>
        <v/>
      </c>
    </row>
    <row r="311">
      <c r="A311" s="12" t="n"/>
      <c r="B311" s="12" t="n"/>
      <c r="C311" s="12" t="n"/>
      <c r="D311" s="13" t="n"/>
      <c r="E311" s="12" t="n"/>
      <c r="F311" s="14" t="n"/>
      <c r="G311" s="12" t="n"/>
      <c r="H311" s="12" t="n"/>
      <c r="I311" s="12" t="n"/>
      <c r="J311" s="14" t="n"/>
      <c r="K311" s="14" t="n"/>
      <c r="L311" s="15" t="n"/>
      <c r="M311" s="15" t="n"/>
      <c r="N311" s="12" t="n"/>
      <c r="O311" s="12" t="n"/>
      <c r="P311" s="16">
        <f>IF(AND(ISNUMBER($L311),ISNUMBER($M311)),MAX(0,$M311-$L311),"")</f>
        <v/>
      </c>
      <c r="Q311" s="16">
        <f>IF(ISNUMBER($D311),MAX(0,TODAY()-$D311),"")</f>
        <v/>
      </c>
      <c r="R311" s="14">
        <f>IF(COUNTA($A311:$O311)=0,"",IFERROR(TRIM(TEXTJOIN(" | ",TRUE,IF($A311="","PC kosong",""),IF($C311="","Worker ID kosong",""),IF($D311="","Update Date kosong",IF(NOT(ISNUMBER($D311)),"Update Date bukan tanggal","")),IF($E311="","Song ID YT kosong",""),IF($F311="","Judul kosong",""),IF(TRIM($G311)="","",IF(ISERROR(MATCH(TRIM($G311),{"TuneCore","DistroKid","TooLost","SoundOn","Ditto","Believe","CD Baby","Amuse","Symphonic Distribution","ONErpm","RouteNote","LANDR","Horus Music","Indie"},0)),"Aggregator di luar daftar","")),IF(TRIM($H311)="","Genre kosong",IF((LEN(SUBSTITUTE(SUBSTITUTE(SUBSTITUTE(TRIM($H311),"/",","),";",",")," ",""))-LEN(SUBSTITUTE(SUBSTITUTE(SUBSTITUTE(SUBSTITUTE(TRIM($H311),"/",","),";",","),"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311),"/",","),";",",")," ","")&amp;",")))&lt;&gt;(LEN(SUBSTITUTE(SUBSTITUTE(SUBSTITUTE(TRIM($H311),"/",","),";",",")," ",""))-LEN(SUBSTITUTE(SUBSTITUTE(SUBSTITUTE(SUBSTITUTE(TRIM($H311),"/",","),";",",")," ",""),",",""))+1),"Genre di luar daftar",""))),IF($I311="","Nama Channel kosong",""),IF($J311="","Link Channel kosong",IF(ISERROR(SEARCH("youtu",$J311)),"Link Channel bukan youtube","")),IF($K311="","Link Video kosong",IF(ISERROR(SEARCH("youtu",$K311)),"Link Video bukan youtube","")),IF($L311="","Tgl Dibuat kosong",IF(NOT(ISNUMBER($L311)),"Tgl Dibuat bukan tanggal","")),IF(AND($M311&lt;&gt;"",NOT(ISNUMBER($M311))),"Tgl Publish bukan tanggal",""),IF(AND(ISNUMBER($L311),ISNUMBER($M311),$M311&lt;$L311),"Tgl Publish &lt; Tgl buat",""),IF(TRIM($N311)="","Status kosong",IF(ISERROR(MATCH(TRIM($N311),{"Draft","Menunggu Review","Revisi","Terjadwal","Upload","Publish","Published","Batal"},0)),"Status di luar daftar","")))),""))</f>
        <v/>
      </c>
      <c r="S311" s="12">
        <f>IF(AND($A311&lt;&gt;"",$C311&lt;&gt;""),IF(COUNTIFS($A$2:$A$1000,$A311,$C$2:$C$1000,$C311)&gt;1,"DUPLICAT",""),"")</f>
        <v/>
      </c>
    </row>
    <row r="312">
      <c r="A312" s="17" t="n"/>
      <c r="B312" s="17" t="n"/>
      <c r="C312" s="17" t="n"/>
      <c r="D312" s="18" t="n"/>
      <c r="E312" s="17" t="n"/>
      <c r="F312" s="19" t="n"/>
      <c r="G312" s="17" t="n"/>
      <c r="H312" s="17" t="n"/>
      <c r="I312" s="17" t="n"/>
      <c r="J312" s="19" t="n"/>
      <c r="K312" s="19" t="n"/>
      <c r="L312" s="20" t="n"/>
      <c r="M312" s="20" t="n"/>
      <c r="N312" s="17" t="n"/>
      <c r="O312" s="17" t="n"/>
      <c r="P312" s="21">
        <f>IF(AND(ISNUMBER($L312),ISNUMBER($M312)),MAX(0,$M312-$L312),"")</f>
        <v/>
      </c>
      <c r="Q312" s="21">
        <f>IF(ISNUMBER($D312),MAX(0,TODAY()-$D312),"")</f>
        <v/>
      </c>
      <c r="R312" s="19">
        <f>IF(COUNTA($A312:$O312)=0,"",IFERROR(TRIM(TEXTJOIN(" | ",TRUE,IF($A312="","PC kosong",""),IF($C312="","Worker ID kosong",""),IF($D312="","Update Date kosong",IF(NOT(ISNUMBER($D312)),"Update Date bukan tanggal","")),IF($E312="","Song ID YT kosong",""),IF($F312="","Judul kosong",""),IF(TRIM($G312)="","",IF(ISERROR(MATCH(TRIM($G312),{"TuneCore","DistroKid","TooLost","SoundOn","Ditto","Believe","CD Baby","Amuse","Symphonic Distribution","ONErpm","RouteNote","LANDR","Horus Music","Indie"},0)),"Aggregator di luar daftar","")),IF(TRIM($H312)="","Genre kosong",IF((LEN(SUBSTITUTE(SUBSTITUTE(SUBSTITUTE(TRIM($H312),"/",","),";",",")," ",""))-LEN(SUBSTITUTE(SUBSTITUTE(SUBSTITUTE(SUBSTITUTE(TRIM($H312),"/",","),";",","),"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312),"/",","),";",",")," ","")&amp;",")))&lt;&gt;(LEN(SUBSTITUTE(SUBSTITUTE(SUBSTITUTE(TRIM($H312),"/",","),";",",")," ",""))-LEN(SUBSTITUTE(SUBSTITUTE(SUBSTITUTE(SUBSTITUTE(TRIM($H312),"/",","),";",",")," ",""),",",""))+1),"Genre di luar daftar",""))),IF($I312="","Nama Channel kosong",""),IF($J312="","Link Channel kosong",IF(ISERROR(SEARCH("youtu",$J312)),"Link Channel bukan youtube","")),IF($K312="","Link Video kosong",IF(ISERROR(SEARCH("youtu",$K312)),"Link Video bukan youtube","")),IF($L312="","Tgl Dibuat kosong",IF(NOT(ISNUMBER($L312)),"Tgl Dibuat bukan tanggal","")),IF(AND($M312&lt;&gt;"",NOT(ISNUMBER($M312))),"Tgl Publish bukan tanggal",""),IF(AND(ISNUMBER($L312),ISNUMBER($M312),$M312&lt;$L312),"Tgl Publish &lt; Tgl buat",""),IF(TRIM($N312)="","Status kosong",IF(ISERROR(MATCH(TRIM($N312),{"Draft","Menunggu Review","Revisi","Terjadwal","Upload","Publish","Published","Batal"},0)),"Status di luar daftar","")))),""))</f>
        <v/>
      </c>
      <c r="S312" s="17">
        <f>IF(AND($A312&lt;&gt;"",$C312&lt;&gt;""),IF(COUNTIFS($A$2:$A$1000,$A312,$C$2:$C$1000,$C312)&gt;1,"DUPLICAT",""),"")</f>
        <v/>
      </c>
    </row>
    <row r="313">
      <c r="A313" s="12" t="n"/>
      <c r="B313" s="12" t="n"/>
      <c r="C313" s="12" t="n"/>
      <c r="D313" s="13" t="n"/>
      <c r="E313" s="12" t="n"/>
      <c r="F313" s="14" t="n"/>
      <c r="G313" s="12" t="n"/>
      <c r="H313" s="12" t="n"/>
      <c r="I313" s="12" t="n"/>
      <c r="J313" s="14" t="n"/>
      <c r="K313" s="14" t="n"/>
      <c r="L313" s="15" t="n"/>
      <c r="M313" s="15" t="n"/>
      <c r="N313" s="12" t="n"/>
      <c r="O313" s="12" t="n"/>
      <c r="P313" s="16">
        <f>IF(AND(ISNUMBER($L313),ISNUMBER($M313)),MAX(0,$M313-$L313),"")</f>
        <v/>
      </c>
      <c r="Q313" s="16">
        <f>IF(ISNUMBER($D313),MAX(0,TODAY()-$D313),"")</f>
        <v/>
      </c>
      <c r="R313" s="14">
        <f>IF(COUNTA($A313:$O313)=0,"",IFERROR(TRIM(TEXTJOIN(" | ",TRUE,IF($A313="","PC kosong",""),IF($C313="","Worker ID kosong",""),IF($D313="","Update Date kosong",IF(NOT(ISNUMBER($D313)),"Update Date bukan tanggal","")),IF($E313="","Song ID YT kosong",""),IF($F313="","Judul kosong",""),IF(TRIM($G313)="","",IF(ISERROR(MATCH(TRIM($G313),{"TuneCore","DistroKid","TooLost","SoundOn","Ditto","Believe","CD Baby","Amuse","Symphonic Distribution","ONErpm","RouteNote","LANDR","Horus Music","Indie"},0)),"Aggregator di luar daftar","")),IF(TRIM($H313)="","Genre kosong",IF((LEN(SUBSTITUTE(SUBSTITUTE(SUBSTITUTE(TRIM($H313),"/",","),";",",")," ",""))-LEN(SUBSTITUTE(SUBSTITUTE(SUBSTITUTE(SUBSTITUTE(TRIM($H313),"/",","),";",","),"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313),"/",","),";",",")," ","")&amp;",")))&lt;&gt;(LEN(SUBSTITUTE(SUBSTITUTE(SUBSTITUTE(TRIM($H313),"/",","),";",",")," ",""))-LEN(SUBSTITUTE(SUBSTITUTE(SUBSTITUTE(SUBSTITUTE(TRIM($H313),"/",","),";",",")," ",""),",",""))+1),"Genre di luar daftar",""))),IF($I313="","Nama Channel kosong",""),IF($J313="","Link Channel kosong",IF(ISERROR(SEARCH("youtu",$J313)),"Link Channel bukan youtube","")),IF($K313="","Link Video kosong",IF(ISERROR(SEARCH("youtu",$K313)),"Link Video bukan youtube","")),IF($L313="","Tgl Dibuat kosong",IF(NOT(ISNUMBER($L313)),"Tgl Dibuat bukan tanggal","")),IF(AND($M313&lt;&gt;"",NOT(ISNUMBER($M313))),"Tgl Publish bukan tanggal",""),IF(AND(ISNUMBER($L313),ISNUMBER($M313),$M313&lt;$L313),"Tgl Publish &lt; Tgl buat",""),IF(TRIM($N313)="","Status kosong",IF(ISERROR(MATCH(TRIM($N313),{"Draft","Menunggu Review","Revisi","Terjadwal","Upload","Publish","Published","Batal"},0)),"Status di luar daftar","")))),""))</f>
        <v/>
      </c>
      <c r="S313" s="12">
        <f>IF(AND($A313&lt;&gt;"",$C313&lt;&gt;""),IF(COUNTIFS($A$2:$A$1000,$A313,$C$2:$C$1000,$C313)&gt;1,"DUPLICAT",""),"")</f>
        <v/>
      </c>
    </row>
    <row r="314">
      <c r="A314" s="17" t="n"/>
      <c r="B314" s="17" t="n"/>
      <c r="C314" s="17" t="n"/>
      <c r="D314" s="18" t="n"/>
      <c r="E314" s="17" t="n"/>
      <c r="F314" s="19" t="n"/>
      <c r="G314" s="17" t="n"/>
      <c r="H314" s="17" t="n"/>
      <c r="I314" s="17" t="n"/>
      <c r="J314" s="19" t="n"/>
      <c r="K314" s="19" t="n"/>
      <c r="L314" s="20" t="n"/>
      <c r="M314" s="20" t="n"/>
      <c r="N314" s="17" t="n"/>
      <c r="O314" s="17" t="n"/>
      <c r="P314" s="21">
        <f>IF(AND(ISNUMBER($L314),ISNUMBER($M314)),MAX(0,$M314-$L314),"")</f>
        <v/>
      </c>
      <c r="Q314" s="21">
        <f>IF(ISNUMBER($D314),MAX(0,TODAY()-$D314),"")</f>
        <v/>
      </c>
      <c r="R314" s="19">
        <f>IF(COUNTA($A314:$O314)=0,"",IFERROR(TRIM(TEXTJOIN(" | ",TRUE,IF($A314="","PC kosong",""),IF($C314="","Worker ID kosong",""),IF($D314="","Update Date kosong",IF(NOT(ISNUMBER($D314)),"Update Date bukan tanggal","")),IF($E314="","Song ID YT kosong",""),IF($F314="","Judul kosong",""),IF(TRIM($G314)="","",IF(ISERROR(MATCH(TRIM($G314),{"TuneCore","DistroKid","TooLost","SoundOn","Ditto","Believe","CD Baby","Amuse","Symphonic Distribution","ONErpm","RouteNote","LANDR","Horus Music","Indie"},0)),"Aggregator di luar daftar","")),IF(TRIM($H314)="","Genre kosong",IF((LEN(SUBSTITUTE(SUBSTITUTE(SUBSTITUTE(TRIM($H314),"/",","),";",",")," ",""))-LEN(SUBSTITUTE(SUBSTITUTE(SUBSTITUTE(SUBSTITUTE(TRIM($H314),"/",","),";",","),"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314),"/",","),";",",")," ","")&amp;",")))&lt;&gt;(LEN(SUBSTITUTE(SUBSTITUTE(SUBSTITUTE(TRIM($H314),"/",","),";",",")," ",""))-LEN(SUBSTITUTE(SUBSTITUTE(SUBSTITUTE(SUBSTITUTE(TRIM($H314),"/",","),";",",")," ",""),",",""))+1),"Genre di luar daftar",""))),IF($I314="","Nama Channel kosong",""),IF($J314="","Link Channel kosong",IF(ISERROR(SEARCH("youtu",$J314)),"Link Channel bukan youtube","")),IF($K314="","Link Video kosong",IF(ISERROR(SEARCH("youtu",$K314)),"Link Video bukan youtube","")),IF($L314="","Tgl Dibuat kosong",IF(NOT(ISNUMBER($L314)),"Tgl Dibuat bukan tanggal","")),IF(AND($M314&lt;&gt;"",NOT(ISNUMBER($M314))),"Tgl Publish bukan tanggal",""),IF(AND(ISNUMBER($L314),ISNUMBER($M314),$M314&lt;$L314),"Tgl Publish &lt; Tgl buat",""),IF(TRIM($N314)="","Status kosong",IF(ISERROR(MATCH(TRIM($N314),{"Draft","Menunggu Review","Revisi","Terjadwal","Upload","Publish","Published","Batal"},0)),"Status di luar daftar","")))),""))</f>
        <v/>
      </c>
      <c r="S314" s="17">
        <f>IF(AND($A314&lt;&gt;"",$C314&lt;&gt;""),IF(COUNTIFS($A$2:$A$1000,$A314,$C$2:$C$1000,$C314)&gt;1,"DUPLICAT",""),"")</f>
        <v/>
      </c>
    </row>
    <row r="315">
      <c r="A315" s="12" t="n"/>
      <c r="B315" s="12" t="n"/>
      <c r="C315" s="12" t="n"/>
      <c r="D315" s="13" t="n"/>
      <c r="E315" s="12" t="n"/>
      <c r="F315" s="14" t="n"/>
      <c r="G315" s="12" t="n"/>
      <c r="H315" s="12" t="n"/>
      <c r="I315" s="12" t="n"/>
      <c r="J315" s="14" t="n"/>
      <c r="K315" s="14" t="n"/>
      <c r="L315" s="15" t="n"/>
      <c r="M315" s="15" t="n"/>
      <c r="N315" s="12" t="n"/>
      <c r="O315" s="12" t="n"/>
      <c r="P315" s="16">
        <f>IF(AND(ISNUMBER($L315),ISNUMBER($M315)),MAX(0,$M315-$L315),"")</f>
        <v/>
      </c>
      <c r="Q315" s="16">
        <f>IF(ISNUMBER($D315),MAX(0,TODAY()-$D315),"")</f>
        <v/>
      </c>
      <c r="R315" s="14">
        <f>IF(COUNTA($A315:$O315)=0,"",IFERROR(TRIM(TEXTJOIN(" | ",TRUE,IF($A315="","PC kosong",""),IF($C315="","Worker ID kosong",""),IF($D315="","Update Date kosong",IF(NOT(ISNUMBER($D315)),"Update Date bukan tanggal","")),IF($E315="","Song ID YT kosong",""),IF($F315="","Judul kosong",""),IF(TRIM($G315)="","",IF(ISERROR(MATCH(TRIM($G315),{"TuneCore","DistroKid","TooLost","SoundOn","Ditto","Believe","CD Baby","Amuse","Symphonic Distribution","ONErpm","RouteNote","LANDR","Horus Music","Indie"},0)),"Aggregator di luar daftar","")),IF(TRIM($H315)="","Genre kosong",IF((LEN(SUBSTITUTE(SUBSTITUTE(SUBSTITUTE(TRIM($H315),"/",","),";",",")," ",""))-LEN(SUBSTITUTE(SUBSTITUTE(SUBSTITUTE(SUBSTITUTE(TRIM($H315),"/",","),";",","),"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315),"/",","),";",",")," ","")&amp;",")))&lt;&gt;(LEN(SUBSTITUTE(SUBSTITUTE(SUBSTITUTE(TRIM($H315),"/",","),";",",")," ",""))-LEN(SUBSTITUTE(SUBSTITUTE(SUBSTITUTE(SUBSTITUTE(TRIM($H315),"/",","),";",",")," ",""),",",""))+1),"Genre di luar daftar",""))),IF($I315="","Nama Channel kosong",""),IF($J315="","Link Channel kosong",IF(ISERROR(SEARCH("youtu",$J315)),"Link Channel bukan youtube","")),IF($K315="","Link Video kosong",IF(ISERROR(SEARCH("youtu",$K315)),"Link Video bukan youtube","")),IF($L315="","Tgl Dibuat kosong",IF(NOT(ISNUMBER($L315)),"Tgl Dibuat bukan tanggal","")),IF(AND($M315&lt;&gt;"",NOT(ISNUMBER($M315))),"Tgl Publish bukan tanggal",""),IF(AND(ISNUMBER($L315),ISNUMBER($M315),$M315&lt;$L315),"Tgl Publish &lt; Tgl buat",""),IF(TRIM($N315)="","Status kosong",IF(ISERROR(MATCH(TRIM($N315),{"Draft","Menunggu Review","Revisi","Terjadwal","Upload","Publish","Published","Batal"},0)),"Status di luar daftar","")))),""))</f>
        <v/>
      </c>
      <c r="S315" s="12">
        <f>IF(AND($A315&lt;&gt;"",$C315&lt;&gt;""),IF(COUNTIFS($A$2:$A$1000,$A315,$C$2:$C$1000,$C315)&gt;1,"DUPLICAT",""),"")</f>
        <v/>
      </c>
    </row>
    <row r="316">
      <c r="A316" s="17" t="n"/>
      <c r="B316" s="17" t="n"/>
      <c r="C316" s="17" t="n"/>
      <c r="D316" s="18" t="n"/>
      <c r="E316" s="17" t="n"/>
      <c r="F316" s="19" t="n"/>
      <c r="G316" s="17" t="n"/>
      <c r="H316" s="17" t="n"/>
      <c r="I316" s="17" t="n"/>
      <c r="J316" s="19" t="n"/>
      <c r="K316" s="19" t="n"/>
      <c r="L316" s="20" t="n"/>
      <c r="M316" s="20" t="n"/>
      <c r="N316" s="17" t="n"/>
      <c r="O316" s="17" t="n"/>
      <c r="P316" s="21">
        <f>IF(AND(ISNUMBER($L316),ISNUMBER($M316)),MAX(0,$M316-$L316),"")</f>
        <v/>
      </c>
      <c r="Q316" s="21">
        <f>IF(ISNUMBER($D316),MAX(0,TODAY()-$D316),"")</f>
        <v/>
      </c>
      <c r="R316" s="19">
        <f>IF(COUNTA($A316:$O316)=0,"",IFERROR(TRIM(TEXTJOIN(" | ",TRUE,IF($A316="","PC kosong",""),IF($C316="","Worker ID kosong",""),IF($D316="","Update Date kosong",IF(NOT(ISNUMBER($D316)),"Update Date bukan tanggal","")),IF($E316="","Song ID YT kosong",""),IF($F316="","Judul kosong",""),IF(TRIM($G316)="","",IF(ISERROR(MATCH(TRIM($G316),{"TuneCore","DistroKid","TooLost","SoundOn","Ditto","Believe","CD Baby","Amuse","Symphonic Distribution","ONErpm","RouteNote","LANDR","Horus Music","Indie"},0)),"Aggregator di luar daftar","")),IF(TRIM($H316)="","Genre kosong",IF((LEN(SUBSTITUTE(SUBSTITUTE(SUBSTITUTE(TRIM($H316),"/",","),";",",")," ",""))-LEN(SUBSTITUTE(SUBSTITUTE(SUBSTITUTE(SUBSTITUTE(TRIM($H316),"/",","),";",","),"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316),"/",","),";",",")," ","")&amp;",")))&lt;&gt;(LEN(SUBSTITUTE(SUBSTITUTE(SUBSTITUTE(TRIM($H316),"/",","),";",",")," ",""))-LEN(SUBSTITUTE(SUBSTITUTE(SUBSTITUTE(SUBSTITUTE(TRIM($H316),"/",","),";",",")," ",""),",",""))+1),"Genre di luar daftar",""))),IF($I316="","Nama Channel kosong",""),IF($J316="","Link Channel kosong",IF(ISERROR(SEARCH("youtu",$J316)),"Link Channel bukan youtube","")),IF($K316="","Link Video kosong",IF(ISERROR(SEARCH("youtu",$K316)),"Link Video bukan youtube","")),IF($L316="","Tgl Dibuat kosong",IF(NOT(ISNUMBER($L316)),"Tgl Dibuat bukan tanggal","")),IF(AND($M316&lt;&gt;"",NOT(ISNUMBER($M316))),"Tgl Publish bukan tanggal",""),IF(AND(ISNUMBER($L316),ISNUMBER($M316),$M316&lt;$L316),"Tgl Publish &lt; Tgl buat",""),IF(TRIM($N316)="","Status kosong",IF(ISERROR(MATCH(TRIM($N316),{"Draft","Menunggu Review","Revisi","Terjadwal","Upload","Publish","Published","Batal"},0)),"Status di luar daftar","")))),""))</f>
        <v/>
      </c>
      <c r="S316" s="17">
        <f>IF(AND($A316&lt;&gt;"",$C316&lt;&gt;""),IF(COUNTIFS($A$2:$A$1000,$A316,$C$2:$C$1000,$C316)&gt;1,"DUPLICAT",""),"")</f>
        <v/>
      </c>
    </row>
    <row r="317">
      <c r="A317" s="12" t="n"/>
      <c r="B317" s="12" t="n"/>
      <c r="C317" s="12" t="n"/>
      <c r="D317" s="13" t="n"/>
      <c r="E317" s="12" t="n"/>
      <c r="F317" s="14" t="n"/>
      <c r="G317" s="12" t="n"/>
      <c r="H317" s="12" t="n"/>
      <c r="I317" s="12" t="n"/>
      <c r="J317" s="14" t="n"/>
      <c r="K317" s="14" t="n"/>
      <c r="L317" s="15" t="n"/>
      <c r="M317" s="15" t="n"/>
      <c r="N317" s="12" t="n"/>
      <c r="O317" s="12" t="n"/>
      <c r="P317" s="16">
        <f>IF(AND(ISNUMBER($L317),ISNUMBER($M317)),MAX(0,$M317-$L317),"")</f>
        <v/>
      </c>
      <c r="Q317" s="16">
        <f>IF(ISNUMBER($D317),MAX(0,TODAY()-$D317),"")</f>
        <v/>
      </c>
      <c r="R317" s="14">
        <f>IF(COUNTA($A317:$O317)=0,"",IFERROR(TRIM(TEXTJOIN(" | ",TRUE,IF($A317="","PC kosong",""),IF($C317="","Worker ID kosong",""),IF($D317="","Update Date kosong",IF(NOT(ISNUMBER($D317)),"Update Date bukan tanggal","")),IF($E317="","Song ID YT kosong",""),IF($F317="","Judul kosong",""),IF(TRIM($G317)="","",IF(ISERROR(MATCH(TRIM($G317),{"TuneCore","DistroKid","TooLost","SoundOn","Ditto","Believe","CD Baby","Amuse","Symphonic Distribution","ONErpm","RouteNote","LANDR","Horus Music","Indie"},0)),"Aggregator di luar daftar","")),IF(TRIM($H317)="","Genre kosong",IF((LEN(SUBSTITUTE(SUBSTITUTE(SUBSTITUTE(TRIM($H317),"/",","),";",",")," ",""))-LEN(SUBSTITUTE(SUBSTITUTE(SUBSTITUTE(SUBSTITUTE(TRIM($H317),"/",","),";",","),"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317),"/",","),";",",")," ","")&amp;",")))&lt;&gt;(LEN(SUBSTITUTE(SUBSTITUTE(SUBSTITUTE(TRIM($H317),"/",","),";",",")," ",""))-LEN(SUBSTITUTE(SUBSTITUTE(SUBSTITUTE(SUBSTITUTE(TRIM($H317),"/",","),";",",")," ",""),",",""))+1),"Genre di luar daftar",""))),IF($I317="","Nama Channel kosong",""),IF($J317="","Link Channel kosong",IF(ISERROR(SEARCH("youtu",$J317)),"Link Channel bukan youtube","")),IF($K317="","Link Video kosong",IF(ISERROR(SEARCH("youtu",$K317)),"Link Video bukan youtube","")),IF($L317="","Tgl Dibuat kosong",IF(NOT(ISNUMBER($L317)),"Tgl Dibuat bukan tanggal","")),IF(AND($M317&lt;&gt;"",NOT(ISNUMBER($M317))),"Tgl Publish bukan tanggal",""),IF(AND(ISNUMBER($L317),ISNUMBER($M317),$M317&lt;$L317),"Tgl Publish &lt; Tgl buat",""),IF(TRIM($N317)="","Status kosong",IF(ISERROR(MATCH(TRIM($N317),{"Draft","Menunggu Review","Revisi","Terjadwal","Upload","Publish","Published","Batal"},0)),"Status di luar daftar","")))),""))</f>
        <v/>
      </c>
      <c r="S317" s="12">
        <f>IF(AND($A317&lt;&gt;"",$C317&lt;&gt;""),IF(COUNTIFS($A$2:$A$1000,$A317,$C$2:$C$1000,$C317)&gt;1,"DUPLICAT",""),"")</f>
        <v/>
      </c>
    </row>
    <row r="318">
      <c r="A318" s="17" t="n"/>
      <c r="B318" s="17" t="n"/>
      <c r="C318" s="17" t="n"/>
      <c r="D318" s="18" t="n"/>
      <c r="E318" s="17" t="n"/>
      <c r="F318" s="19" t="n"/>
      <c r="G318" s="17" t="n"/>
      <c r="H318" s="17" t="n"/>
      <c r="I318" s="17" t="n"/>
      <c r="J318" s="19" t="n"/>
      <c r="K318" s="19" t="n"/>
      <c r="L318" s="20" t="n"/>
      <c r="M318" s="20" t="n"/>
      <c r="N318" s="17" t="n"/>
      <c r="O318" s="17" t="n"/>
      <c r="P318" s="21">
        <f>IF(AND(ISNUMBER($L318),ISNUMBER($M318)),MAX(0,$M318-$L318),"")</f>
        <v/>
      </c>
      <c r="Q318" s="21">
        <f>IF(ISNUMBER($D318),MAX(0,TODAY()-$D318),"")</f>
        <v/>
      </c>
      <c r="R318" s="19">
        <f>IF(COUNTA($A318:$O318)=0,"",IFERROR(TRIM(TEXTJOIN(" | ",TRUE,IF($A318="","PC kosong",""),IF($C318="","Worker ID kosong",""),IF($D318="","Update Date kosong",IF(NOT(ISNUMBER($D318)),"Update Date bukan tanggal","")),IF($E318="","Song ID YT kosong",""),IF($F318="","Judul kosong",""),IF(TRIM($G318)="","",IF(ISERROR(MATCH(TRIM($G318),{"TuneCore","DistroKid","TooLost","SoundOn","Ditto","Believe","CD Baby","Amuse","Symphonic Distribution","ONErpm","RouteNote","LANDR","Horus Music","Indie"},0)),"Aggregator di luar daftar","")),IF(TRIM($H318)="","Genre kosong",IF((LEN(SUBSTITUTE(SUBSTITUTE(SUBSTITUTE(TRIM($H318),"/",","),";",",")," ",""))-LEN(SUBSTITUTE(SUBSTITUTE(SUBSTITUTE(SUBSTITUTE(TRIM($H318),"/",","),";",","),"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318),"/",","),";",",")," ","")&amp;",")))&lt;&gt;(LEN(SUBSTITUTE(SUBSTITUTE(SUBSTITUTE(TRIM($H318),"/",","),";",",")," ",""))-LEN(SUBSTITUTE(SUBSTITUTE(SUBSTITUTE(SUBSTITUTE(TRIM($H318),"/",","),";",",")," ",""),",",""))+1),"Genre di luar daftar",""))),IF($I318="","Nama Channel kosong",""),IF($J318="","Link Channel kosong",IF(ISERROR(SEARCH("youtu",$J318)),"Link Channel bukan youtube","")),IF($K318="","Link Video kosong",IF(ISERROR(SEARCH("youtu",$K318)),"Link Video bukan youtube","")),IF($L318="","Tgl Dibuat kosong",IF(NOT(ISNUMBER($L318)),"Tgl Dibuat bukan tanggal","")),IF(AND($M318&lt;&gt;"",NOT(ISNUMBER($M318))),"Tgl Publish bukan tanggal",""),IF(AND(ISNUMBER($L318),ISNUMBER($M318),$M318&lt;$L318),"Tgl Publish &lt; Tgl buat",""),IF(TRIM($N318)="","Status kosong",IF(ISERROR(MATCH(TRIM($N318),{"Draft","Menunggu Review","Revisi","Terjadwal","Upload","Publish","Published","Batal"},0)),"Status di luar daftar","")))),""))</f>
        <v/>
      </c>
      <c r="S318" s="17">
        <f>IF(AND($A318&lt;&gt;"",$C318&lt;&gt;""),IF(COUNTIFS($A$2:$A$1000,$A318,$C$2:$C$1000,$C318)&gt;1,"DUPLICAT",""),"")</f>
        <v/>
      </c>
    </row>
    <row r="319">
      <c r="A319" s="12" t="n"/>
      <c r="B319" s="12" t="n"/>
      <c r="C319" s="12" t="n"/>
      <c r="D319" s="13" t="n"/>
      <c r="E319" s="12" t="n"/>
      <c r="F319" s="14" t="n"/>
      <c r="G319" s="12" t="n"/>
      <c r="H319" s="12" t="n"/>
      <c r="I319" s="12" t="n"/>
      <c r="J319" s="14" t="n"/>
      <c r="K319" s="14" t="n"/>
      <c r="L319" s="15" t="n"/>
      <c r="M319" s="15" t="n"/>
      <c r="N319" s="12" t="n"/>
      <c r="O319" s="12" t="n"/>
      <c r="P319" s="16">
        <f>IF(AND(ISNUMBER($L319),ISNUMBER($M319)),MAX(0,$M319-$L319),"")</f>
        <v/>
      </c>
      <c r="Q319" s="16">
        <f>IF(ISNUMBER($D319),MAX(0,TODAY()-$D319),"")</f>
        <v/>
      </c>
      <c r="R319" s="14">
        <f>IF(COUNTA($A319:$O319)=0,"",IFERROR(TRIM(TEXTJOIN(" | ",TRUE,IF($A319="","PC kosong",""),IF($C319="","Worker ID kosong",""),IF($D319="","Update Date kosong",IF(NOT(ISNUMBER($D319)),"Update Date bukan tanggal","")),IF($E319="","Song ID YT kosong",""),IF($F319="","Judul kosong",""),IF(TRIM($G319)="","",IF(ISERROR(MATCH(TRIM($G319),{"TuneCore","DistroKid","TooLost","SoundOn","Ditto","Believe","CD Baby","Amuse","Symphonic Distribution","ONErpm","RouteNote","LANDR","Horus Music","Indie"},0)),"Aggregator di luar daftar","")),IF(TRIM($H319)="","Genre kosong",IF((LEN(SUBSTITUTE(SUBSTITUTE(SUBSTITUTE(TRIM($H319),"/",","),";",",")," ",""))-LEN(SUBSTITUTE(SUBSTITUTE(SUBSTITUTE(SUBSTITUTE(TRIM($H319),"/",","),";",","),"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319),"/",","),";",",")," ","")&amp;",")))&lt;&gt;(LEN(SUBSTITUTE(SUBSTITUTE(SUBSTITUTE(TRIM($H319),"/",","),";",",")," ",""))-LEN(SUBSTITUTE(SUBSTITUTE(SUBSTITUTE(SUBSTITUTE(TRIM($H319),"/",","),";",",")," ",""),",",""))+1),"Genre di luar daftar",""))),IF($I319="","Nama Channel kosong",""),IF($J319="","Link Channel kosong",IF(ISERROR(SEARCH("youtu",$J319)),"Link Channel bukan youtube","")),IF($K319="","Link Video kosong",IF(ISERROR(SEARCH("youtu",$K319)),"Link Video bukan youtube","")),IF($L319="","Tgl Dibuat kosong",IF(NOT(ISNUMBER($L319)),"Tgl Dibuat bukan tanggal","")),IF(AND($M319&lt;&gt;"",NOT(ISNUMBER($M319))),"Tgl Publish bukan tanggal",""),IF(AND(ISNUMBER($L319),ISNUMBER($M319),$M319&lt;$L319),"Tgl Publish &lt; Tgl buat",""),IF(TRIM($N319)="","Status kosong",IF(ISERROR(MATCH(TRIM($N319),{"Draft","Menunggu Review","Revisi","Terjadwal","Upload","Publish","Published","Batal"},0)),"Status di luar daftar","")))),""))</f>
        <v/>
      </c>
      <c r="S319" s="12">
        <f>IF(AND($A319&lt;&gt;"",$C319&lt;&gt;""),IF(COUNTIFS($A$2:$A$1000,$A319,$C$2:$C$1000,$C319)&gt;1,"DUPLICAT",""),"")</f>
        <v/>
      </c>
    </row>
    <row r="320">
      <c r="A320" s="17" t="n"/>
      <c r="B320" s="17" t="n"/>
      <c r="C320" s="17" t="n"/>
      <c r="D320" s="18" t="n"/>
      <c r="E320" s="17" t="n"/>
      <c r="F320" s="19" t="n"/>
      <c r="G320" s="17" t="n"/>
      <c r="H320" s="17" t="n"/>
      <c r="I320" s="17" t="n"/>
      <c r="J320" s="19" t="n"/>
      <c r="K320" s="19" t="n"/>
      <c r="L320" s="20" t="n"/>
      <c r="M320" s="20" t="n"/>
      <c r="N320" s="17" t="n"/>
      <c r="O320" s="17" t="n"/>
      <c r="P320" s="21">
        <f>IF(AND(ISNUMBER($L320),ISNUMBER($M320)),MAX(0,$M320-$L320),"")</f>
        <v/>
      </c>
      <c r="Q320" s="21">
        <f>IF(ISNUMBER($D320),MAX(0,TODAY()-$D320),"")</f>
        <v/>
      </c>
      <c r="R320" s="19">
        <f>IF(COUNTA($A320:$O320)=0,"",IFERROR(TRIM(TEXTJOIN(" | ",TRUE,IF($A320="","PC kosong",""),IF($C320="","Worker ID kosong",""),IF($D320="","Update Date kosong",IF(NOT(ISNUMBER($D320)),"Update Date bukan tanggal","")),IF($E320="","Song ID YT kosong",""),IF($F320="","Judul kosong",""),IF(TRIM($G320)="","",IF(ISERROR(MATCH(TRIM($G320),{"TuneCore","DistroKid","TooLost","SoundOn","Ditto","Believe","CD Baby","Amuse","Symphonic Distribution","ONErpm","RouteNote","LANDR","Horus Music","Indie"},0)),"Aggregator di luar daftar","")),IF(TRIM($H320)="","Genre kosong",IF((LEN(SUBSTITUTE(SUBSTITUTE(SUBSTITUTE(TRIM($H320),"/",","),";",",")," ",""))-LEN(SUBSTITUTE(SUBSTITUTE(SUBSTITUTE(SUBSTITUTE(TRIM($H320),"/",","),";",","),"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320),"/",","),";",",")," ","")&amp;",")))&lt;&gt;(LEN(SUBSTITUTE(SUBSTITUTE(SUBSTITUTE(TRIM($H320),"/",","),";",",")," ",""))-LEN(SUBSTITUTE(SUBSTITUTE(SUBSTITUTE(SUBSTITUTE(TRIM($H320),"/",","),";",",")," ",""),",",""))+1),"Genre di luar daftar",""))),IF($I320="","Nama Channel kosong",""),IF($J320="","Link Channel kosong",IF(ISERROR(SEARCH("youtu",$J320)),"Link Channel bukan youtube","")),IF($K320="","Link Video kosong",IF(ISERROR(SEARCH("youtu",$K320)),"Link Video bukan youtube","")),IF($L320="","Tgl Dibuat kosong",IF(NOT(ISNUMBER($L320)),"Tgl Dibuat bukan tanggal","")),IF(AND($M320&lt;&gt;"",NOT(ISNUMBER($M320))),"Tgl Publish bukan tanggal",""),IF(AND(ISNUMBER($L320),ISNUMBER($M320),$M320&lt;$L320),"Tgl Publish &lt; Tgl buat",""),IF(TRIM($N320)="","Status kosong",IF(ISERROR(MATCH(TRIM($N320),{"Draft","Menunggu Review","Revisi","Terjadwal","Upload","Publish","Published","Batal"},0)),"Status di luar daftar","")))),""))</f>
        <v/>
      </c>
      <c r="S320" s="17">
        <f>IF(AND($A320&lt;&gt;"",$C320&lt;&gt;""),IF(COUNTIFS($A$2:$A$1000,$A320,$C$2:$C$1000,$C320)&gt;1,"DUPLICAT",""),"")</f>
        <v/>
      </c>
    </row>
    <row r="321">
      <c r="A321" s="12" t="n"/>
      <c r="B321" s="12" t="n"/>
      <c r="C321" s="12" t="n"/>
      <c r="D321" s="13" t="n"/>
      <c r="E321" s="12" t="n"/>
      <c r="F321" s="14" t="n"/>
      <c r="G321" s="12" t="n"/>
      <c r="H321" s="12" t="n"/>
      <c r="I321" s="12" t="n"/>
      <c r="J321" s="14" t="n"/>
      <c r="K321" s="14" t="n"/>
      <c r="L321" s="15" t="n"/>
      <c r="M321" s="15" t="n"/>
      <c r="N321" s="12" t="n"/>
      <c r="O321" s="12" t="n"/>
      <c r="P321" s="16">
        <f>IF(AND(ISNUMBER($L321),ISNUMBER($M321)),MAX(0,$M321-$L321),"")</f>
        <v/>
      </c>
      <c r="Q321" s="16">
        <f>IF(ISNUMBER($D321),MAX(0,TODAY()-$D321),"")</f>
        <v/>
      </c>
      <c r="R321" s="14">
        <f>IF(COUNTA($A321:$O321)=0,"",IFERROR(TRIM(TEXTJOIN(" | ",TRUE,IF($A321="","PC kosong",""),IF($C321="","Worker ID kosong",""),IF($D321="","Update Date kosong",IF(NOT(ISNUMBER($D321)),"Update Date bukan tanggal","")),IF($E321="","Song ID YT kosong",""),IF($F321="","Judul kosong",""),IF(TRIM($G321)="","",IF(ISERROR(MATCH(TRIM($G321),{"TuneCore","DistroKid","TooLost","SoundOn","Ditto","Believe","CD Baby","Amuse","Symphonic Distribution","ONErpm","RouteNote","LANDR","Horus Music","Indie"},0)),"Aggregator di luar daftar","")),IF(TRIM($H321)="","Genre kosong",IF((LEN(SUBSTITUTE(SUBSTITUTE(SUBSTITUTE(TRIM($H321),"/",","),";",",")," ",""))-LEN(SUBSTITUTE(SUBSTITUTE(SUBSTITUTE(SUBSTITUTE(TRIM($H321),"/",","),";",","),"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321),"/",","),";",",")," ","")&amp;",")))&lt;&gt;(LEN(SUBSTITUTE(SUBSTITUTE(SUBSTITUTE(TRIM($H321),"/",","),";",",")," ",""))-LEN(SUBSTITUTE(SUBSTITUTE(SUBSTITUTE(SUBSTITUTE(TRIM($H321),"/",","),";",",")," ",""),",",""))+1),"Genre di luar daftar",""))),IF($I321="","Nama Channel kosong",""),IF($J321="","Link Channel kosong",IF(ISERROR(SEARCH("youtu",$J321)),"Link Channel bukan youtube","")),IF($K321="","Link Video kosong",IF(ISERROR(SEARCH("youtu",$K321)),"Link Video bukan youtube","")),IF($L321="","Tgl Dibuat kosong",IF(NOT(ISNUMBER($L321)),"Tgl Dibuat bukan tanggal","")),IF(AND($M321&lt;&gt;"",NOT(ISNUMBER($M321))),"Tgl Publish bukan tanggal",""),IF(AND(ISNUMBER($L321),ISNUMBER($M321),$M321&lt;$L321),"Tgl Publish &lt; Tgl buat",""),IF(TRIM($N321)="","Status kosong",IF(ISERROR(MATCH(TRIM($N321),{"Draft","Menunggu Review","Revisi","Terjadwal","Upload","Publish","Published","Batal"},0)),"Status di luar daftar","")))),""))</f>
        <v/>
      </c>
      <c r="S321" s="12">
        <f>IF(AND($A321&lt;&gt;"",$C321&lt;&gt;""),IF(COUNTIFS($A$2:$A$1000,$A321,$C$2:$C$1000,$C321)&gt;1,"DUPLICAT",""),"")</f>
        <v/>
      </c>
    </row>
    <row r="322">
      <c r="A322" s="17" t="n"/>
      <c r="B322" s="17" t="n"/>
      <c r="C322" s="17" t="n"/>
      <c r="D322" s="18" t="n"/>
      <c r="E322" s="17" t="n"/>
      <c r="F322" s="19" t="n"/>
      <c r="G322" s="17" t="n"/>
      <c r="H322" s="17" t="n"/>
      <c r="I322" s="17" t="n"/>
      <c r="J322" s="19" t="n"/>
      <c r="K322" s="19" t="n"/>
      <c r="L322" s="20" t="n"/>
      <c r="M322" s="20" t="n"/>
      <c r="N322" s="17" t="n"/>
      <c r="O322" s="17" t="n"/>
      <c r="P322" s="21">
        <f>IF(AND(ISNUMBER($L322),ISNUMBER($M322)),MAX(0,$M322-$L322),"")</f>
        <v/>
      </c>
      <c r="Q322" s="21">
        <f>IF(ISNUMBER($D322),MAX(0,TODAY()-$D322),"")</f>
        <v/>
      </c>
      <c r="R322" s="19">
        <f>IF(COUNTA($A322:$O322)=0,"",IFERROR(TRIM(TEXTJOIN(" | ",TRUE,IF($A322="","PC kosong",""),IF($C322="","Worker ID kosong",""),IF($D322="","Update Date kosong",IF(NOT(ISNUMBER($D322)),"Update Date bukan tanggal","")),IF($E322="","Song ID YT kosong",""),IF($F322="","Judul kosong",""),IF(TRIM($G322)="","",IF(ISERROR(MATCH(TRIM($G322),{"TuneCore","DistroKid","TooLost","SoundOn","Ditto","Believe","CD Baby","Amuse","Symphonic Distribution","ONErpm","RouteNote","LANDR","Horus Music","Indie"},0)),"Aggregator di luar daftar","")),IF(TRIM($H322)="","Genre kosong",IF((LEN(SUBSTITUTE(SUBSTITUTE(SUBSTITUTE(TRIM($H322),"/",","),";",",")," ",""))-LEN(SUBSTITUTE(SUBSTITUTE(SUBSTITUTE(SUBSTITUTE(TRIM($H322),"/",","),";",","),"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322),"/",","),";",",")," ","")&amp;",")))&lt;&gt;(LEN(SUBSTITUTE(SUBSTITUTE(SUBSTITUTE(TRIM($H322),"/",","),";",",")," ",""))-LEN(SUBSTITUTE(SUBSTITUTE(SUBSTITUTE(SUBSTITUTE(TRIM($H322),"/",","),";",",")," ",""),",",""))+1),"Genre di luar daftar",""))),IF($I322="","Nama Channel kosong",""),IF($J322="","Link Channel kosong",IF(ISERROR(SEARCH("youtu",$J322)),"Link Channel bukan youtube","")),IF($K322="","Link Video kosong",IF(ISERROR(SEARCH("youtu",$K322)),"Link Video bukan youtube","")),IF($L322="","Tgl Dibuat kosong",IF(NOT(ISNUMBER($L322)),"Tgl Dibuat bukan tanggal","")),IF(AND($M322&lt;&gt;"",NOT(ISNUMBER($M322))),"Tgl Publish bukan tanggal",""),IF(AND(ISNUMBER($L322),ISNUMBER($M322),$M322&lt;$L322),"Tgl Publish &lt; Tgl buat",""),IF(TRIM($N322)="","Status kosong",IF(ISERROR(MATCH(TRIM($N322),{"Draft","Menunggu Review","Revisi","Terjadwal","Upload","Publish","Published","Batal"},0)),"Status di luar daftar","")))),""))</f>
        <v/>
      </c>
      <c r="S322" s="17">
        <f>IF(AND($A322&lt;&gt;"",$C322&lt;&gt;""),IF(COUNTIFS($A$2:$A$1000,$A322,$C$2:$C$1000,$C322)&gt;1,"DUPLICAT",""),"")</f>
        <v/>
      </c>
    </row>
    <row r="323">
      <c r="A323" s="12" t="n"/>
      <c r="B323" s="12" t="n"/>
      <c r="C323" s="12" t="n"/>
      <c r="D323" s="13" t="n"/>
      <c r="E323" s="12" t="n"/>
      <c r="F323" s="14" t="n"/>
      <c r="G323" s="12" t="n"/>
      <c r="H323" s="12" t="n"/>
      <c r="I323" s="12" t="n"/>
      <c r="J323" s="14" t="n"/>
      <c r="K323" s="14" t="n"/>
      <c r="L323" s="15" t="n"/>
      <c r="M323" s="15" t="n"/>
      <c r="N323" s="12" t="n"/>
      <c r="O323" s="12" t="n"/>
      <c r="P323" s="16">
        <f>IF(AND(ISNUMBER($L323),ISNUMBER($M323)),MAX(0,$M323-$L323),"")</f>
        <v/>
      </c>
      <c r="Q323" s="16">
        <f>IF(ISNUMBER($D323),MAX(0,TODAY()-$D323),"")</f>
        <v/>
      </c>
      <c r="R323" s="14">
        <f>IF(COUNTA($A323:$O323)=0,"",IFERROR(TRIM(TEXTJOIN(" | ",TRUE,IF($A323="","PC kosong",""),IF($C323="","Worker ID kosong",""),IF($D323="","Update Date kosong",IF(NOT(ISNUMBER($D323)),"Update Date bukan tanggal","")),IF($E323="","Song ID YT kosong",""),IF($F323="","Judul kosong",""),IF(TRIM($G323)="","",IF(ISERROR(MATCH(TRIM($G323),{"TuneCore","DistroKid","TooLost","SoundOn","Ditto","Believe","CD Baby","Amuse","Symphonic Distribution","ONErpm","RouteNote","LANDR","Horus Music","Indie"},0)),"Aggregator di luar daftar","")),IF(TRIM($H323)="","Genre kosong",IF((LEN(SUBSTITUTE(SUBSTITUTE(SUBSTITUTE(TRIM($H323),"/",","),";",",")," ",""))-LEN(SUBSTITUTE(SUBSTITUTE(SUBSTITUTE(SUBSTITUTE(TRIM($H323),"/",","),";",","),"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323),"/",","),";",",")," ","")&amp;",")))&lt;&gt;(LEN(SUBSTITUTE(SUBSTITUTE(SUBSTITUTE(TRIM($H323),"/",","),";",",")," ",""))-LEN(SUBSTITUTE(SUBSTITUTE(SUBSTITUTE(SUBSTITUTE(TRIM($H323),"/",","),";",",")," ",""),",",""))+1),"Genre di luar daftar",""))),IF($I323="","Nama Channel kosong",""),IF($J323="","Link Channel kosong",IF(ISERROR(SEARCH("youtu",$J323)),"Link Channel bukan youtube","")),IF($K323="","Link Video kosong",IF(ISERROR(SEARCH("youtu",$K323)),"Link Video bukan youtube","")),IF($L323="","Tgl Dibuat kosong",IF(NOT(ISNUMBER($L323)),"Tgl Dibuat bukan tanggal","")),IF(AND($M323&lt;&gt;"",NOT(ISNUMBER($M323))),"Tgl Publish bukan tanggal",""),IF(AND(ISNUMBER($L323),ISNUMBER($M323),$M323&lt;$L323),"Tgl Publish &lt; Tgl buat",""),IF(TRIM($N323)="","Status kosong",IF(ISERROR(MATCH(TRIM($N323),{"Draft","Menunggu Review","Revisi","Terjadwal","Upload","Publish","Published","Batal"},0)),"Status di luar daftar","")))),""))</f>
        <v/>
      </c>
      <c r="S323" s="12">
        <f>IF(AND($A323&lt;&gt;"",$C323&lt;&gt;""),IF(COUNTIFS($A$2:$A$1000,$A323,$C$2:$C$1000,$C323)&gt;1,"DUPLICAT",""),"")</f>
        <v/>
      </c>
    </row>
    <row r="324">
      <c r="A324" s="17" t="n"/>
      <c r="B324" s="17" t="n"/>
      <c r="C324" s="17" t="n"/>
      <c r="D324" s="18" t="n"/>
      <c r="E324" s="17" t="n"/>
      <c r="F324" s="19" t="n"/>
      <c r="G324" s="17" t="n"/>
      <c r="H324" s="17" t="n"/>
      <c r="I324" s="17" t="n"/>
      <c r="J324" s="19" t="n"/>
      <c r="K324" s="19" t="n"/>
      <c r="L324" s="20" t="n"/>
      <c r="M324" s="20" t="n"/>
      <c r="N324" s="17" t="n"/>
      <c r="O324" s="17" t="n"/>
      <c r="P324" s="21">
        <f>IF(AND(ISNUMBER($L324),ISNUMBER($M324)),MAX(0,$M324-$L324),"")</f>
        <v/>
      </c>
      <c r="Q324" s="21">
        <f>IF(ISNUMBER($D324),MAX(0,TODAY()-$D324),"")</f>
        <v/>
      </c>
      <c r="R324" s="19">
        <f>IF(COUNTA($A324:$O324)=0,"",IFERROR(TRIM(TEXTJOIN(" | ",TRUE,IF($A324="","PC kosong",""),IF($C324="","Worker ID kosong",""),IF($D324="","Update Date kosong",IF(NOT(ISNUMBER($D324)),"Update Date bukan tanggal","")),IF($E324="","Song ID YT kosong",""),IF($F324="","Judul kosong",""),IF(TRIM($G324)="","",IF(ISERROR(MATCH(TRIM($G324),{"TuneCore","DistroKid","TooLost","SoundOn","Ditto","Believe","CD Baby","Amuse","Symphonic Distribution","ONErpm","RouteNote","LANDR","Horus Music","Indie"},0)),"Aggregator di luar daftar","")),IF(TRIM($H324)="","Genre kosong",IF((LEN(SUBSTITUTE(SUBSTITUTE(SUBSTITUTE(TRIM($H324),"/",","),";",",")," ",""))-LEN(SUBSTITUTE(SUBSTITUTE(SUBSTITUTE(SUBSTITUTE(TRIM($H324),"/",","),";",","),"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324),"/",","),";",",")," ","")&amp;",")))&lt;&gt;(LEN(SUBSTITUTE(SUBSTITUTE(SUBSTITUTE(TRIM($H324),"/",","),";",",")," ",""))-LEN(SUBSTITUTE(SUBSTITUTE(SUBSTITUTE(SUBSTITUTE(TRIM($H324),"/",","),";",",")," ",""),",",""))+1),"Genre di luar daftar",""))),IF($I324="","Nama Channel kosong",""),IF($J324="","Link Channel kosong",IF(ISERROR(SEARCH("youtu",$J324)),"Link Channel bukan youtube","")),IF($K324="","Link Video kosong",IF(ISERROR(SEARCH("youtu",$K324)),"Link Video bukan youtube","")),IF($L324="","Tgl Dibuat kosong",IF(NOT(ISNUMBER($L324)),"Tgl Dibuat bukan tanggal","")),IF(AND($M324&lt;&gt;"",NOT(ISNUMBER($M324))),"Tgl Publish bukan tanggal",""),IF(AND(ISNUMBER($L324),ISNUMBER($M324),$M324&lt;$L324),"Tgl Publish &lt; Tgl buat",""),IF(TRIM($N324)="","Status kosong",IF(ISERROR(MATCH(TRIM($N324),{"Draft","Menunggu Review","Revisi","Terjadwal","Upload","Publish","Published","Batal"},0)),"Status di luar daftar","")))),""))</f>
        <v/>
      </c>
      <c r="S324" s="17">
        <f>IF(AND($A324&lt;&gt;"",$C324&lt;&gt;""),IF(COUNTIFS($A$2:$A$1000,$A324,$C$2:$C$1000,$C324)&gt;1,"DUPLICAT",""),"")</f>
        <v/>
      </c>
    </row>
    <row r="325">
      <c r="A325" s="12" t="n"/>
      <c r="B325" s="12" t="n"/>
      <c r="C325" s="12" t="n"/>
      <c r="D325" s="13" t="n"/>
      <c r="E325" s="12" t="n"/>
      <c r="F325" s="14" t="n"/>
      <c r="G325" s="12" t="n"/>
      <c r="H325" s="12" t="n"/>
      <c r="I325" s="12" t="n"/>
      <c r="J325" s="14" t="n"/>
      <c r="K325" s="14" t="n"/>
      <c r="L325" s="15" t="n"/>
      <c r="M325" s="15" t="n"/>
      <c r="N325" s="12" t="n"/>
      <c r="O325" s="12" t="n"/>
      <c r="P325" s="16">
        <f>IF(AND(ISNUMBER($L325),ISNUMBER($M325)),MAX(0,$M325-$L325),"")</f>
        <v/>
      </c>
      <c r="Q325" s="16">
        <f>IF(ISNUMBER($D325),MAX(0,TODAY()-$D325),"")</f>
        <v/>
      </c>
      <c r="R325" s="14">
        <f>IF(COUNTA($A325:$O325)=0,"",IFERROR(TRIM(TEXTJOIN(" | ",TRUE,IF($A325="","PC kosong",""),IF($C325="","Worker ID kosong",""),IF($D325="","Update Date kosong",IF(NOT(ISNUMBER($D325)),"Update Date bukan tanggal","")),IF($E325="","Song ID YT kosong",""),IF($F325="","Judul kosong",""),IF(TRIM($G325)="","",IF(ISERROR(MATCH(TRIM($G325),{"TuneCore","DistroKid","TooLost","SoundOn","Ditto","Believe","CD Baby","Amuse","Symphonic Distribution","ONErpm","RouteNote","LANDR","Horus Music","Indie"},0)),"Aggregator di luar daftar","")),IF(TRIM($H325)="","Genre kosong",IF((LEN(SUBSTITUTE(SUBSTITUTE(SUBSTITUTE(TRIM($H325),"/",","),";",",")," ",""))-LEN(SUBSTITUTE(SUBSTITUTE(SUBSTITUTE(SUBSTITUTE(TRIM($H325),"/",","),";",","),"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325),"/",","),";",",")," ","")&amp;",")))&lt;&gt;(LEN(SUBSTITUTE(SUBSTITUTE(SUBSTITUTE(TRIM($H325),"/",","),";",",")," ",""))-LEN(SUBSTITUTE(SUBSTITUTE(SUBSTITUTE(SUBSTITUTE(TRIM($H325),"/",","),";",",")," ",""),",",""))+1),"Genre di luar daftar",""))),IF($I325="","Nama Channel kosong",""),IF($J325="","Link Channel kosong",IF(ISERROR(SEARCH("youtu",$J325)),"Link Channel bukan youtube","")),IF($K325="","Link Video kosong",IF(ISERROR(SEARCH("youtu",$K325)),"Link Video bukan youtube","")),IF($L325="","Tgl Dibuat kosong",IF(NOT(ISNUMBER($L325)),"Tgl Dibuat bukan tanggal","")),IF(AND($M325&lt;&gt;"",NOT(ISNUMBER($M325))),"Tgl Publish bukan tanggal",""),IF(AND(ISNUMBER($L325),ISNUMBER($M325),$M325&lt;$L325),"Tgl Publish &lt; Tgl buat",""),IF(TRIM($N325)="","Status kosong",IF(ISERROR(MATCH(TRIM($N325),{"Draft","Menunggu Review","Revisi","Terjadwal","Upload","Publish","Published","Batal"},0)),"Status di luar daftar","")))),""))</f>
        <v/>
      </c>
      <c r="S325" s="12">
        <f>IF(AND($A325&lt;&gt;"",$C325&lt;&gt;""),IF(COUNTIFS($A$2:$A$1000,$A325,$C$2:$C$1000,$C325)&gt;1,"DUPLICAT",""),"")</f>
        <v/>
      </c>
    </row>
    <row r="326">
      <c r="A326" s="17" t="n"/>
      <c r="B326" s="17" t="n"/>
      <c r="C326" s="17" t="n"/>
      <c r="D326" s="18" t="n"/>
      <c r="E326" s="17" t="n"/>
      <c r="F326" s="19" t="n"/>
      <c r="G326" s="17" t="n"/>
      <c r="H326" s="17" t="n"/>
      <c r="I326" s="17" t="n"/>
      <c r="J326" s="19" t="n"/>
      <c r="K326" s="19" t="n"/>
      <c r="L326" s="20" t="n"/>
      <c r="M326" s="20" t="n"/>
      <c r="N326" s="17" t="n"/>
      <c r="O326" s="17" t="n"/>
      <c r="P326" s="21">
        <f>IF(AND(ISNUMBER($L326),ISNUMBER($M326)),MAX(0,$M326-$L326),"")</f>
        <v/>
      </c>
      <c r="Q326" s="21">
        <f>IF(ISNUMBER($D326),MAX(0,TODAY()-$D326),"")</f>
        <v/>
      </c>
      <c r="R326" s="19">
        <f>IF(COUNTA($A326:$O326)=0,"",IFERROR(TRIM(TEXTJOIN(" | ",TRUE,IF($A326="","PC kosong",""),IF($C326="","Worker ID kosong",""),IF($D326="","Update Date kosong",IF(NOT(ISNUMBER($D326)),"Update Date bukan tanggal","")),IF($E326="","Song ID YT kosong",""),IF($F326="","Judul kosong",""),IF(TRIM($G326)="","",IF(ISERROR(MATCH(TRIM($G326),{"TuneCore","DistroKid","TooLost","SoundOn","Ditto","Believe","CD Baby","Amuse","Symphonic Distribution","ONErpm","RouteNote","LANDR","Horus Music","Indie"},0)),"Aggregator di luar daftar","")),IF(TRIM($H326)="","Genre kosong",IF((LEN(SUBSTITUTE(SUBSTITUTE(SUBSTITUTE(TRIM($H326),"/",","),";",",")," ",""))-LEN(SUBSTITUTE(SUBSTITUTE(SUBSTITUTE(SUBSTITUTE(TRIM($H326),"/",","),";",","),"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326),"/",","),";",",")," ","")&amp;",")))&lt;&gt;(LEN(SUBSTITUTE(SUBSTITUTE(SUBSTITUTE(TRIM($H326),"/",","),";",",")," ",""))-LEN(SUBSTITUTE(SUBSTITUTE(SUBSTITUTE(SUBSTITUTE(TRIM($H326),"/",","),";",",")," ",""),",",""))+1),"Genre di luar daftar",""))),IF($I326="","Nama Channel kosong",""),IF($J326="","Link Channel kosong",IF(ISERROR(SEARCH("youtu",$J326)),"Link Channel bukan youtube","")),IF($K326="","Link Video kosong",IF(ISERROR(SEARCH("youtu",$K326)),"Link Video bukan youtube","")),IF($L326="","Tgl Dibuat kosong",IF(NOT(ISNUMBER($L326)),"Tgl Dibuat bukan tanggal","")),IF(AND($M326&lt;&gt;"",NOT(ISNUMBER($M326))),"Tgl Publish bukan tanggal",""),IF(AND(ISNUMBER($L326),ISNUMBER($M326),$M326&lt;$L326),"Tgl Publish &lt; Tgl buat",""),IF(TRIM($N326)="","Status kosong",IF(ISERROR(MATCH(TRIM($N326),{"Draft","Menunggu Review","Revisi","Terjadwal","Upload","Publish","Published","Batal"},0)),"Status di luar daftar","")))),""))</f>
        <v/>
      </c>
      <c r="S326" s="17">
        <f>IF(AND($A326&lt;&gt;"",$C326&lt;&gt;""),IF(COUNTIFS($A$2:$A$1000,$A326,$C$2:$C$1000,$C326)&gt;1,"DUPLICAT",""),"")</f>
        <v/>
      </c>
    </row>
    <row r="327">
      <c r="A327" s="12" t="n"/>
      <c r="B327" s="12" t="n"/>
      <c r="C327" s="12" t="n"/>
      <c r="D327" s="13" t="n"/>
      <c r="E327" s="12" t="n"/>
      <c r="F327" s="14" t="n"/>
      <c r="G327" s="12" t="n"/>
      <c r="H327" s="12" t="n"/>
      <c r="I327" s="12" t="n"/>
      <c r="J327" s="14" t="n"/>
      <c r="K327" s="14" t="n"/>
      <c r="L327" s="15" t="n"/>
      <c r="M327" s="15" t="n"/>
      <c r="N327" s="12" t="n"/>
      <c r="O327" s="12" t="n"/>
      <c r="P327" s="16">
        <f>IF(AND(ISNUMBER($L327),ISNUMBER($M327)),MAX(0,$M327-$L327),"")</f>
        <v/>
      </c>
      <c r="Q327" s="16">
        <f>IF(ISNUMBER($D327),MAX(0,TODAY()-$D327),"")</f>
        <v/>
      </c>
      <c r="R327" s="14">
        <f>IF(COUNTA($A327:$O327)=0,"",IFERROR(TRIM(TEXTJOIN(" | ",TRUE,IF($A327="","PC kosong",""),IF($C327="","Worker ID kosong",""),IF($D327="","Update Date kosong",IF(NOT(ISNUMBER($D327)),"Update Date bukan tanggal","")),IF($E327="","Song ID YT kosong",""),IF($F327="","Judul kosong",""),IF(TRIM($G327)="","",IF(ISERROR(MATCH(TRIM($G327),{"TuneCore","DistroKid","TooLost","SoundOn","Ditto","Believe","CD Baby","Amuse","Symphonic Distribution","ONErpm","RouteNote","LANDR","Horus Music","Indie"},0)),"Aggregator di luar daftar","")),IF(TRIM($H327)="","Genre kosong",IF((LEN(SUBSTITUTE(SUBSTITUTE(SUBSTITUTE(TRIM($H327),"/",","),";",",")," ",""))-LEN(SUBSTITUTE(SUBSTITUTE(SUBSTITUTE(SUBSTITUTE(TRIM($H327),"/",","),";",","),"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327),"/",","),";",",")," ","")&amp;",")))&lt;&gt;(LEN(SUBSTITUTE(SUBSTITUTE(SUBSTITUTE(TRIM($H327),"/",","),";",",")," ",""))-LEN(SUBSTITUTE(SUBSTITUTE(SUBSTITUTE(SUBSTITUTE(TRIM($H327),"/",","),";",",")," ",""),",",""))+1),"Genre di luar daftar",""))),IF($I327="","Nama Channel kosong",""),IF($J327="","Link Channel kosong",IF(ISERROR(SEARCH("youtu",$J327)),"Link Channel bukan youtube","")),IF($K327="","Link Video kosong",IF(ISERROR(SEARCH("youtu",$K327)),"Link Video bukan youtube","")),IF($L327="","Tgl Dibuat kosong",IF(NOT(ISNUMBER($L327)),"Tgl Dibuat bukan tanggal","")),IF(AND($M327&lt;&gt;"",NOT(ISNUMBER($M327))),"Tgl Publish bukan tanggal",""),IF(AND(ISNUMBER($L327),ISNUMBER($M327),$M327&lt;$L327),"Tgl Publish &lt; Tgl buat",""),IF(TRIM($N327)="","Status kosong",IF(ISERROR(MATCH(TRIM($N327),{"Draft","Menunggu Review","Revisi","Terjadwal","Upload","Publish","Published","Batal"},0)),"Status di luar daftar","")))),""))</f>
        <v/>
      </c>
      <c r="S327" s="12">
        <f>IF(AND($A327&lt;&gt;"",$C327&lt;&gt;""),IF(COUNTIFS($A$2:$A$1000,$A327,$C$2:$C$1000,$C327)&gt;1,"DUPLICAT",""),"")</f>
        <v/>
      </c>
    </row>
    <row r="328">
      <c r="A328" s="17" t="n"/>
      <c r="B328" s="17" t="n"/>
      <c r="C328" s="17" t="n"/>
      <c r="D328" s="18" t="n"/>
      <c r="E328" s="17" t="n"/>
      <c r="F328" s="19" t="n"/>
      <c r="G328" s="17" t="n"/>
      <c r="H328" s="17" t="n"/>
      <c r="I328" s="17" t="n"/>
      <c r="J328" s="19" t="n"/>
      <c r="K328" s="19" t="n"/>
      <c r="L328" s="20" t="n"/>
      <c r="M328" s="20" t="n"/>
      <c r="N328" s="17" t="n"/>
      <c r="O328" s="17" t="n"/>
      <c r="P328" s="21">
        <f>IF(AND(ISNUMBER($L328),ISNUMBER($M328)),MAX(0,$M328-$L328),"")</f>
        <v/>
      </c>
      <c r="Q328" s="21">
        <f>IF(ISNUMBER($D328),MAX(0,TODAY()-$D328),"")</f>
        <v/>
      </c>
      <c r="R328" s="19">
        <f>IF(COUNTA($A328:$O328)=0,"",IFERROR(TRIM(TEXTJOIN(" | ",TRUE,IF($A328="","PC kosong",""),IF($C328="","Worker ID kosong",""),IF($D328="","Update Date kosong",IF(NOT(ISNUMBER($D328)),"Update Date bukan tanggal","")),IF($E328="","Song ID YT kosong",""),IF($F328="","Judul kosong",""),IF(TRIM($G328)="","",IF(ISERROR(MATCH(TRIM($G328),{"TuneCore","DistroKid","TooLost","SoundOn","Ditto","Believe","CD Baby","Amuse","Symphonic Distribution","ONErpm","RouteNote","LANDR","Horus Music","Indie"},0)),"Aggregator di luar daftar","")),IF(TRIM($H328)="","Genre kosong",IF((LEN(SUBSTITUTE(SUBSTITUTE(SUBSTITUTE(TRIM($H328),"/",","),";",",")," ",""))-LEN(SUBSTITUTE(SUBSTITUTE(SUBSTITUTE(SUBSTITUTE(TRIM($H328),"/",","),";",","),"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328),"/",","),";",",")," ","")&amp;",")))&lt;&gt;(LEN(SUBSTITUTE(SUBSTITUTE(SUBSTITUTE(TRIM($H328),"/",","),";",",")," ",""))-LEN(SUBSTITUTE(SUBSTITUTE(SUBSTITUTE(SUBSTITUTE(TRIM($H328),"/",","),";",",")," ",""),",",""))+1),"Genre di luar daftar",""))),IF($I328="","Nama Channel kosong",""),IF($J328="","Link Channel kosong",IF(ISERROR(SEARCH("youtu",$J328)),"Link Channel bukan youtube","")),IF($K328="","Link Video kosong",IF(ISERROR(SEARCH("youtu",$K328)),"Link Video bukan youtube","")),IF($L328="","Tgl Dibuat kosong",IF(NOT(ISNUMBER($L328)),"Tgl Dibuat bukan tanggal","")),IF(AND($M328&lt;&gt;"",NOT(ISNUMBER($M328))),"Tgl Publish bukan tanggal",""),IF(AND(ISNUMBER($L328),ISNUMBER($M328),$M328&lt;$L328),"Tgl Publish &lt; Tgl buat",""),IF(TRIM($N328)="","Status kosong",IF(ISERROR(MATCH(TRIM($N328),{"Draft","Menunggu Review","Revisi","Terjadwal","Upload","Publish","Published","Batal"},0)),"Status di luar daftar","")))),""))</f>
        <v/>
      </c>
      <c r="S328" s="17">
        <f>IF(AND($A328&lt;&gt;"",$C328&lt;&gt;""),IF(COUNTIFS($A$2:$A$1000,$A328,$C$2:$C$1000,$C328)&gt;1,"DUPLICAT",""),"")</f>
        <v/>
      </c>
    </row>
    <row r="329">
      <c r="A329" s="12" t="n"/>
      <c r="B329" s="12" t="n"/>
      <c r="C329" s="12" t="n"/>
      <c r="D329" s="13" t="n"/>
      <c r="E329" s="12" t="n"/>
      <c r="F329" s="14" t="n"/>
      <c r="G329" s="12" t="n"/>
      <c r="H329" s="12" t="n"/>
      <c r="I329" s="12" t="n"/>
      <c r="J329" s="14" t="n"/>
      <c r="K329" s="14" t="n"/>
      <c r="L329" s="15" t="n"/>
      <c r="M329" s="15" t="n"/>
      <c r="N329" s="12" t="n"/>
      <c r="O329" s="12" t="n"/>
      <c r="P329" s="16">
        <f>IF(AND(ISNUMBER($L329),ISNUMBER($M329)),MAX(0,$M329-$L329),"")</f>
        <v/>
      </c>
      <c r="Q329" s="16">
        <f>IF(ISNUMBER($D329),MAX(0,TODAY()-$D329),"")</f>
        <v/>
      </c>
      <c r="R329" s="14">
        <f>IF(COUNTA($A329:$O329)=0,"",IFERROR(TRIM(TEXTJOIN(" | ",TRUE,IF($A329="","PC kosong",""),IF($C329="","Worker ID kosong",""),IF($D329="","Update Date kosong",IF(NOT(ISNUMBER($D329)),"Update Date bukan tanggal","")),IF($E329="","Song ID YT kosong",""),IF($F329="","Judul kosong",""),IF(TRIM($G329)="","",IF(ISERROR(MATCH(TRIM($G329),{"TuneCore","DistroKid","TooLost","SoundOn","Ditto","Believe","CD Baby","Amuse","Symphonic Distribution","ONErpm","RouteNote","LANDR","Horus Music","Indie"},0)),"Aggregator di luar daftar","")),IF(TRIM($H329)="","Genre kosong",IF((LEN(SUBSTITUTE(SUBSTITUTE(SUBSTITUTE(TRIM($H329),"/",","),";",",")," ",""))-LEN(SUBSTITUTE(SUBSTITUTE(SUBSTITUTE(SUBSTITUTE(TRIM($H329),"/",","),";",","),"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329),"/",","),";",",")," ","")&amp;",")))&lt;&gt;(LEN(SUBSTITUTE(SUBSTITUTE(SUBSTITUTE(TRIM($H329),"/",","),";",",")," ",""))-LEN(SUBSTITUTE(SUBSTITUTE(SUBSTITUTE(SUBSTITUTE(TRIM($H329),"/",","),";",",")," ",""),",",""))+1),"Genre di luar daftar",""))),IF($I329="","Nama Channel kosong",""),IF($J329="","Link Channel kosong",IF(ISERROR(SEARCH("youtu",$J329)),"Link Channel bukan youtube","")),IF($K329="","Link Video kosong",IF(ISERROR(SEARCH("youtu",$K329)),"Link Video bukan youtube","")),IF($L329="","Tgl Dibuat kosong",IF(NOT(ISNUMBER($L329)),"Tgl Dibuat bukan tanggal","")),IF(AND($M329&lt;&gt;"",NOT(ISNUMBER($M329))),"Tgl Publish bukan tanggal",""),IF(AND(ISNUMBER($L329),ISNUMBER($M329),$M329&lt;$L329),"Tgl Publish &lt; Tgl buat",""),IF(TRIM($N329)="","Status kosong",IF(ISERROR(MATCH(TRIM($N329),{"Draft","Menunggu Review","Revisi","Terjadwal","Upload","Publish","Published","Batal"},0)),"Status di luar daftar","")))),""))</f>
        <v/>
      </c>
      <c r="S329" s="12">
        <f>IF(AND($A329&lt;&gt;"",$C329&lt;&gt;""),IF(COUNTIFS($A$2:$A$1000,$A329,$C$2:$C$1000,$C329)&gt;1,"DUPLICAT",""),"")</f>
        <v/>
      </c>
    </row>
    <row r="330">
      <c r="A330" s="17" t="n"/>
      <c r="B330" s="17" t="n"/>
      <c r="C330" s="17" t="n"/>
      <c r="D330" s="18" t="n"/>
      <c r="E330" s="17" t="n"/>
      <c r="F330" s="19" t="n"/>
      <c r="G330" s="17" t="n"/>
      <c r="H330" s="17" t="n"/>
      <c r="I330" s="17" t="n"/>
      <c r="J330" s="19" t="n"/>
      <c r="K330" s="19" t="n"/>
      <c r="L330" s="20" t="n"/>
      <c r="M330" s="20" t="n"/>
      <c r="N330" s="17" t="n"/>
      <c r="O330" s="17" t="n"/>
      <c r="P330" s="21">
        <f>IF(AND(ISNUMBER($L330),ISNUMBER($M330)),MAX(0,$M330-$L330),"")</f>
        <v/>
      </c>
      <c r="Q330" s="21">
        <f>IF(ISNUMBER($D330),MAX(0,TODAY()-$D330),"")</f>
        <v/>
      </c>
      <c r="R330" s="19">
        <f>IF(COUNTA($A330:$O330)=0,"",IFERROR(TRIM(TEXTJOIN(" | ",TRUE,IF($A330="","PC kosong",""),IF($C330="","Worker ID kosong",""),IF($D330="","Update Date kosong",IF(NOT(ISNUMBER($D330)),"Update Date bukan tanggal","")),IF($E330="","Song ID YT kosong",""),IF($F330="","Judul kosong",""),IF(TRIM($G330)="","",IF(ISERROR(MATCH(TRIM($G330),{"TuneCore","DistroKid","TooLost","SoundOn","Ditto","Believe","CD Baby","Amuse","Symphonic Distribution","ONErpm","RouteNote","LANDR","Horus Music","Indie"},0)),"Aggregator di luar daftar","")),IF(TRIM($H330)="","Genre kosong",IF((LEN(SUBSTITUTE(SUBSTITUTE(SUBSTITUTE(TRIM($H330),"/",","),";",",")," ",""))-LEN(SUBSTITUTE(SUBSTITUTE(SUBSTITUTE(SUBSTITUTE(TRIM($H330),"/",","),";",","),"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330),"/",","),";",",")," ","")&amp;",")))&lt;&gt;(LEN(SUBSTITUTE(SUBSTITUTE(SUBSTITUTE(TRIM($H330),"/",","),";",",")," ",""))-LEN(SUBSTITUTE(SUBSTITUTE(SUBSTITUTE(SUBSTITUTE(TRIM($H330),"/",","),";",",")," ",""),",",""))+1),"Genre di luar daftar",""))),IF($I330="","Nama Channel kosong",""),IF($J330="","Link Channel kosong",IF(ISERROR(SEARCH("youtu",$J330)),"Link Channel bukan youtube","")),IF($K330="","Link Video kosong",IF(ISERROR(SEARCH("youtu",$K330)),"Link Video bukan youtube","")),IF($L330="","Tgl Dibuat kosong",IF(NOT(ISNUMBER($L330)),"Tgl Dibuat bukan tanggal","")),IF(AND($M330&lt;&gt;"",NOT(ISNUMBER($M330))),"Tgl Publish bukan tanggal",""),IF(AND(ISNUMBER($L330),ISNUMBER($M330),$M330&lt;$L330),"Tgl Publish &lt; Tgl buat",""),IF(TRIM($N330)="","Status kosong",IF(ISERROR(MATCH(TRIM($N330),{"Draft","Menunggu Review","Revisi","Terjadwal","Upload","Publish","Published","Batal"},0)),"Status di luar daftar","")))),""))</f>
        <v/>
      </c>
      <c r="S330" s="17">
        <f>IF(AND($A330&lt;&gt;"",$C330&lt;&gt;""),IF(COUNTIFS($A$2:$A$1000,$A330,$C$2:$C$1000,$C330)&gt;1,"DUPLICAT",""),"")</f>
        <v/>
      </c>
    </row>
    <row r="331">
      <c r="A331" s="12" t="n"/>
      <c r="B331" s="12" t="n"/>
      <c r="C331" s="12" t="n"/>
      <c r="D331" s="13" t="n"/>
      <c r="E331" s="12" t="n"/>
      <c r="F331" s="14" t="n"/>
      <c r="G331" s="12" t="n"/>
      <c r="H331" s="12" t="n"/>
      <c r="I331" s="12" t="n"/>
      <c r="J331" s="14" t="n"/>
      <c r="K331" s="14" t="n"/>
      <c r="L331" s="15" t="n"/>
      <c r="M331" s="15" t="n"/>
      <c r="N331" s="12" t="n"/>
      <c r="O331" s="12" t="n"/>
      <c r="P331" s="16">
        <f>IF(AND(ISNUMBER($L331),ISNUMBER($M331)),MAX(0,$M331-$L331),"")</f>
        <v/>
      </c>
      <c r="Q331" s="16">
        <f>IF(ISNUMBER($D331),MAX(0,TODAY()-$D331),"")</f>
        <v/>
      </c>
      <c r="R331" s="14">
        <f>IF(COUNTA($A331:$O331)=0,"",IFERROR(TRIM(TEXTJOIN(" | ",TRUE,IF($A331="","PC kosong",""),IF($C331="","Worker ID kosong",""),IF($D331="","Update Date kosong",IF(NOT(ISNUMBER($D331)),"Update Date bukan tanggal","")),IF($E331="","Song ID YT kosong",""),IF($F331="","Judul kosong",""),IF(TRIM($G331)="","",IF(ISERROR(MATCH(TRIM($G331),{"TuneCore","DistroKid","TooLost","SoundOn","Ditto","Believe","CD Baby","Amuse","Symphonic Distribution","ONErpm","RouteNote","LANDR","Horus Music","Indie"},0)),"Aggregator di luar daftar","")),IF(TRIM($H331)="","Genre kosong",IF((LEN(SUBSTITUTE(SUBSTITUTE(SUBSTITUTE(TRIM($H331),"/",","),";",",")," ",""))-LEN(SUBSTITUTE(SUBSTITUTE(SUBSTITUTE(SUBSTITUTE(TRIM($H331),"/",","),";",","),"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331),"/",","),";",",")," ","")&amp;",")))&lt;&gt;(LEN(SUBSTITUTE(SUBSTITUTE(SUBSTITUTE(TRIM($H331),"/",","),";",",")," ",""))-LEN(SUBSTITUTE(SUBSTITUTE(SUBSTITUTE(SUBSTITUTE(TRIM($H331),"/",","),";",",")," ",""),",",""))+1),"Genre di luar daftar",""))),IF($I331="","Nama Channel kosong",""),IF($J331="","Link Channel kosong",IF(ISERROR(SEARCH("youtu",$J331)),"Link Channel bukan youtube","")),IF($K331="","Link Video kosong",IF(ISERROR(SEARCH("youtu",$K331)),"Link Video bukan youtube","")),IF($L331="","Tgl Dibuat kosong",IF(NOT(ISNUMBER($L331)),"Tgl Dibuat bukan tanggal","")),IF(AND($M331&lt;&gt;"",NOT(ISNUMBER($M331))),"Tgl Publish bukan tanggal",""),IF(AND(ISNUMBER($L331),ISNUMBER($M331),$M331&lt;$L331),"Tgl Publish &lt; Tgl buat",""),IF(TRIM($N331)="","Status kosong",IF(ISERROR(MATCH(TRIM($N331),{"Draft","Menunggu Review","Revisi","Terjadwal","Upload","Publish","Published","Batal"},0)),"Status di luar daftar","")))),""))</f>
        <v/>
      </c>
      <c r="S331" s="12">
        <f>IF(AND($A331&lt;&gt;"",$C331&lt;&gt;""),IF(COUNTIFS($A$2:$A$1000,$A331,$C$2:$C$1000,$C331)&gt;1,"DUPLICAT",""),"")</f>
        <v/>
      </c>
    </row>
    <row r="332">
      <c r="A332" s="17" t="n"/>
      <c r="B332" s="17" t="n"/>
      <c r="C332" s="17" t="n"/>
      <c r="D332" s="18" t="n"/>
      <c r="E332" s="17" t="n"/>
      <c r="F332" s="19" t="n"/>
      <c r="G332" s="17" t="n"/>
      <c r="H332" s="17" t="n"/>
      <c r="I332" s="17" t="n"/>
      <c r="J332" s="19" t="n"/>
      <c r="K332" s="19" t="n"/>
      <c r="L332" s="20" t="n"/>
      <c r="M332" s="20" t="n"/>
      <c r="N332" s="17" t="n"/>
      <c r="O332" s="17" t="n"/>
      <c r="P332" s="21">
        <f>IF(AND(ISNUMBER($L332),ISNUMBER($M332)),MAX(0,$M332-$L332),"")</f>
        <v/>
      </c>
      <c r="Q332" s="21">
        <f>IF(ISNUMBER($D332),MAX(0,TODAY()-$D332),"")</f>
        <v/>
      </c>
      <c r="R332" s="19">
        <f>IF(COUNTA($A332:$O332)=0,"",IFERROR(TRIM(TEXTJOIN(" | ",TRUE,IF($A332="","PC kosong",""),IF($C332="","Worker ID kosong",""),IF($D332="","Update Date kosong",IF(NOT(ISNUMBER($D332)),"Update Date bukan tanggal","")),IF($E332="","Song ID YT kosong",""),IF($F332="","Judul kosong",""),IF(TRIM($G332)="","",IF(ISERROR(MATCH(TRIM($G332),{"TuneCore","DistroKid","TooLost","SoundOn","Ditto","Believe","CD Baby","Amuse","Symphonic Distribution","ONErpm","RouteNote","LANDR","Horus Music","Indie"},0)),"Aggregator di luar daftar","")),IF(TRIM($H332)="","Genre kosong",IF((LEN(SUBSTITUTE(SUBSTITUTE(SUBSTITUTE(TRIM($H332),"/",","),";",",")," ",""))-LEN(SUBSTITUTE(SUBSTITUTE(SUBSTITUTE(SUBSTITUTE(TRIM($H332),"/",","),";",","),"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332),"/",","),";",",")," ","")&amp;",")))&lt;&gt;(LEN(SUBSTITUTE(SUBSTITUTE(SUBSTITUTE(TRIM($H332),"/",","),";",",")," ",""))-LEN(SUBSTITUTE(SUBSTITUTE(SUBSTITUTE(SUBSTITUTE(TRIM($H332),"/",","),";",",")," ",""),",",""))+1),"Genre di luar daftar",""))),IF($I332="","Nama Channel kosong",""),IF($J332="","Link Channel kosong",IF(ISERROR(SEARCH("youtu",$J332)),"Link Channel bukan youtube","")),IF($K332="","Link Video kosong",IF(ISERROR(SEARCH("youtu",$K332)),"Link Video bukan youtube","")),IF($L332="","Tgl Dibuat kosong",IF(NOT(ISNUMBER($L332)),"Tgl Dibuat bukan tanggal","")),IF(AND($M332&lt;&gt;"",NOT(ISNUMBER($M332))),"Tgl Publish bukan tanggal",""),IF(AND(ISNUMBER($L332),ISNUMBER($M332),$M332&lt;$L332),"Tgl Publish &lt; Tgl buat",""),IF(TRIM($N332)="","Status kosong",IF(ISERROR(MATCH(TRIM($N332),{"Draft","Menunggu Review","Revisi","Terjadwal","Upload","Publish","Published","Batal"},0)),"Status di luar daftar","")))),""))</f>
        <v/>
      </c>
      <c r="S332" s="17">
        <f>IF(AND($A332&lt;&gt;"",$C332&lt;&gt;""),IF(COUNTIFS($A$2:$A$1000,$A332,$C$2:$C$1000,$C332)&gt;1,"DUPLICAT",""),"")</f>
        <v/>
      </c>
    </row>
    <row r="333">
      <c r="A333" s="12" t="n"/>
      <c r="B333" s="12" t="n"/>
      <c r="C333" s="12" t="n"/>
      <c r="D333" s="13" t="n"/>
      <c r="E333" s="12" t="n"/>
      <c r="F333" s="14" t="n"/>
      <c r="G333" s="12" t="n"/>
      <c r="H333" s="12" t="n"/>
      <c r="I333" s="12" t="n"/>
      <c r="J333" s="14" t="n"/>
      <c r="K333" s="14" t="n"/>
      <c r="L333" s="15" t="n"/>
      <c r="M333" s="15" t="n"/>
      <c r="N333" s="12" t="n"/>
      <c r="O333" s="12" t="n"/>
      <c r="P333" s="16">
        <f>IF(AND(ISNUMBER($L333),ISNUMBER($M333)),MAX(0,$M333-$L333),"")</f>
        <v/>
      </c>
      <c r="Q333" s="16">
        <f>IF(ISNUMBER($D333),MAX(0,TODAY()-$D333),"")</f>
        <v/>
      </c>
      <c r="R333" s="14">
        <f>IF(COUNTA($A333:$O333)=0,"",IFERROR(TRIM(TEXTJOIN(" | ",TRUE,IF($A333="","PC kosong",""),IF($C333="","Worker ID kosong",""),IF($D333="","Update Date kosong",IF(NOT(ISNUMBER($D333)),"Update Date bukan tanggal","")),IF($E333="","Song ID YT kosong",""),IF($F333="","Judul kosong",""),IF(TRIM($G333)="","",IF(ISERROR(MATCH(TRIM($G333),{"TuneCore","DistroKid","TooLost","SoundOn","Ditto","Believe","CD Baby","Amuse","Symphonic Distribution","ONErpm","RouteNote","LANDR","Horus Music","Indie"},0)),"Aggregator di luar daftar","")),IF(TRIM($H333)="","Genre kosong",IF((LEN(SUBSTITUTE(SUBSTITUTE(SUBSTITUTE(TRIM($H333),"/",","),";",",")," ",""))-LEN(SUBSTITUTE(SUBSTITUTE(SUBSTITUTE(SUBSTITUTE(TRIM($H333),"/",","),";",","),"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333),"/",","),";",",")," ","")&amp;",")))&lt;&gt;(LEN(SUBSTITUTE(SUBSTITUTE(SUBSTITUTE(TRIM($H333),"/",","),";",",")," ",""))-LEN(SUBSTITUTE(SUBSTITUTE(SUBSTITUTE(SUBSTITUTE(TRIM($H333),"/",","),";",",")," ",""),",",""))+1),"Genre di luar daftar",""))),IF($I333="","Nama Channel kosong",""),IF($J333="","Link Channel kosong",IF(ISERROR(SEARCH("youtu",$J333)),"Link Channel bukan youtube","")),IF($K333="","Link Video kosong",IF(ISERROR(SEARCH("youtu",$K333)),"Link Video bukan youtube","")),IF($L333="","Tgl Dibuat kosong",IF(NOT(ISNUMBER($L333)),"Tgl Dibuat bukan tanggal","")),IF(AND($M333&lt;&gt;"",NOT(ISNUMBER($M333))),"Tgl Publish bukan tanggal",""),IF(AND(ISNUMBER($L333),ISNUMBER($M333),$M333&lt;$L333),"Tgl Publish &lt; Tgl buat",""),IF(TRIM($N333)="","Status kosong",IF(ISERROR(MATCH(TRIM($N333),{"Draft","Menunggu Review","Revisi","Terjadwal","Upload","Publish","Published","Batal"},0)),"Status di luar daftar","")))),""))</f>
        <v/>
      </c>
      <c r="S333" s="12">
        <f>IF(AND($A333&lt;&gt;"",$C333&lt;&gt;""),IF(COUNTIFS($A$2:$A$1000,$A333,$C$2:$C$1000,$C333)&gt;1,"DUPLICAT",""),"")</f>
        <v/>
      </c>
    </row>
    <row r="334">
      <c r="A334" s="17" t="n"/>
      <c r="B334" s="17" t="n"/>
      <c r="C334" s="17" t="n"/>
      <c r="D334" s="18" t="n"/>
      <c r="E334" s="17" t="n"/>
      <c r="F334" s="19" t="n"/>
      <c r="G334" s="17" t="n"/>
      <c r="H334" s="17" t="n"/>
      <c r="I334" s="17" t="n"/>
      <c r="J334" s="19" t="n"/>
      <c r="K334" s="19" t="n"/>
      <c r="L334" s="20" t="n"/>
      <c r="M334" s="20" t="n"/>
      <c r="N334" s="17" t="n"/>
      <c r="O334" s="17" t="n"/>
      <c r="P334" s="21">
        <f>IF(AND(ISNUMBER($L334),ISNUMBER($M334)),MAX(0,$M334-$L334),"")</f>
        <v/>
      </c>
      <c r="Q334" s="21">
        <f>IF(ISNUMBER($D334),MAX(0,TODAY()-$D334),"")</f>
        <v/>
      </c>
      <c r="R334" s="19">
        <f>IF(COUNTA($A334:$O334)=0,"",IFERROR(TRIM(TEXTJOIN(" | ",TRUE,IF($A334="","PC kosong",""),IF($C334="","Worker ID kosong",""),IF($D334="","Update Date kosong",IF(NOT(ISNUMBER($D334)),"Update Date bukan tanggal","")),IF($E334="","Song ID YT kosong",""),IF($F334="","Judul kosong",""),IF(TRIM($G334)="","",IF(ISERROR(MATCH(TRIM($G334),{"TuneCore","DistroKid","TooLost","SoundOn","Ditto","Believe","CD Baby","Amuse","Symphonic Distribution","ONErpm","RouteNote","LANDR","Horus Music","Indie"},0)),"Aggregator di luar daftar","")),IF(TRIM($H334)="","Genre kosong",IF((LEN(SUBSTITUTE(SUBSTITUTE(SUBSTITUTE(TRIM($H334),"/",","),";",",")," ",""))-LEN(SUBSTITUTE(SUBSTITUTE(SUBSTITUTE(SUBSTITUTE(TRIM($H334),"/",","),";",","),"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334),"/",","),";",",")," ","")&amp;",")))&lt;&gt;(LEN(SUBSTITUTE(SUBSTITUTE(SUBSTITUTE(TRIM($H334),"/",","),";",",")," ",""))-LEN(SUBSTITUTE(SUBSTITUTE(SUBSTITUTE(SUBSTITUTE(TRIM($H334),"/",","),";",",")," ",""),",",""))+1),"Genre di luar daftar",""))),IF($I334="","Nama Channel kosong",""),IF($J334="","Link Channel kosong",IF(ISERROR(SEARCH("youtu",$J334)),"Link Channel bukan youtube","")),IF($K334="","Link Video kosong",IF(ISERROR(SEARCH("youtu",$K334)),"Link Video bukan youtube","")),IF($L334="","Tgl Dibuat kosong",IF(NOT(ISNUMBER($L334)),"Tgl Dibuat bukan tanggal","")),IF(AND($M334&lt;&gt;"",NOT(ISNUMBER($M334))),"Tgl Publish bukan tanggal",""),IF(AND(ISNUMBER($L334),ISNUMBER($M334),$M334&lt;$L334),"Tgl Publish &lt; Tgl buat",""),IF(TRIM($N334)="","Status kosong",IF(ISERROR(MATCH(TRIM($N334),{"Draft","Menunggu Review","Revisi","Terjadwal","Upload","Publish","Published","Batal"},0)),"Status di luar daftar","")))),""))</f>
        <v/>
      </c>
      <c r="S334" s="17">
        <f>IF(AND($A334&lt;&gt;"",$C334&lt;&gt;""),IF(COUNTIFS($A$2:$A$1000,$A334,$C$2:$C$1000,$C334)&gt;1,"DUPLICAT",""),"")</f>
        <v/>
      </c>
    </row>
    <row r="335">
      <c r="A335" s="12" t="n"/>
      <c r="B335" s="12" t="n"/>
      <c r="C335" s="12" t="n"/>
      <c r="D335" s="13" t="n"/>
      <c r="E335" s="12" t="n"/>
      <c r="F335" s="14" t="n"/>
      <c r="G335" s="12" t="n"/>
      <c r="H335" s="12" t="n"/>
      <c r="I335" s="12" t="n"/>
      <c r="J335" s="14" t="n"/>
      <c r="K335" s="14" t="n"/>
      <c r="L335" s="15" t="n"/>
      <c r="M335" s="15" t="n"/>
      <c r="N335" s="12" t="n"/>
      <c r="O335" s="12" t="n"/>
      <c r="P335" s="16">
        <f>IF(AND(ISNUMBER($L335),ISNUMBER($M335)),MAX(0,$M335-$L335),"")</f>
        <v/>
      </c>
      <c r="Q335" s="16">
        <f>IF(ISNUMBER($D335),MAX(0,TODAY()-$D335),"")</f>
        <v/>
      </c>
      <c r="R335" s="14">
        <f>IF(COUNTA($A335:$O335)=0,"",IFERROR(TRIM(TEXTJOIN(" | ",TRUE,IF($A335="","PC kosong",""),IF($C335="","Worker ID kosong",""),IF($D335="","Update Date kosong",IF(NOT(ISNUMBER($D335)),"Update Date bukan tanggal","")),IF($E335="","Song ID YT kosong",""),IF($F335="","Judul kosong",""),IF(TRIM($G335)="","",IF(ISERROR(MATCH(TRIM($G335),{"TuneCore","DistroKid","TooLost","SoundOn","Ditto","Believe","CD Baby","Amuse","Symphonic Distribution","ONErpm","RouteNote","LANDR","Horus Music","Indie"},0)),"Aggregator di luar daftar","")),IF(TRIM($H335)="","Genre kosong",IF((LEN(SUBSTITUTE(SUBSTITUTE(SUBSTITUTE(TRIM($H335),"/",","),";",",")," ",""))-LEN(SUBSTITUTE(SUBSTITUTE(SUBSTITUTE(SUBSTITUTE(TRIM($H335),"/",","),";",","),"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335),"/",","),";",",")," ","")&amp;",")))&lt;&gt;(LEN(SUBSTITUTE(SUBSTITUTE(SUBSTITUTE(TRIM($H335),"/",","),";",",")," ",""))-LEN(SUBSTITUTE(SUBSTITUTE(SUBSTITUTE(SUBSTITUTE(TRIM($H335),"/",","),";",",")," ",""),",",""))+1),"Genre di luar daftar",""))),IF($I335="","Nama Channel kosong",""),IF($J335="","Link Channel kosong",IF(ISERROR(SEARCH("youtu",$J335)),"Link Channel bukan youtube","")),IF($K335="","Link Video kosong",IF(ISERROR(SEARCH("youtu",$K335)),"Link Video bukan youtube","")),IF($L335="","Tgl Dibuat kosong",IF(NOT(ISNUMBER($L335)),"Tgl Dibuat bukan tanggal","")),IF(AND($M335&lt;&gt;"",NOT(ISNUMBER($M335))),"Tgl Publish bukan tanggal",""),IF(AND(ISNUMBER($L335),ISNUMBER($M335),$M335&lt;$L335),"Tgl Publish &lt; Tgl buat",""),IF(TRIM($N335)="","Status kosong",IF(ISERROR(MATCH(TRIM($N335),{"Draft","Menunggu Review","Revisi","Terjadwal","Upload","Publish","Published","Batal"},0)),"Status di luar daftar","")))),""))</f>
        <v/>
      </c>
      <c r="S335" s="12">
        <f>IF(AND($A335&lt;&gt;"",$C335&lt;&gt;""),IF(COUNTIFS($A$2:$A$1000,$A335,$C$2:$C$1000,$C335)&gt;1,"DUPLICAT",""),"")</f>
        <v/>
      </c>
    </row>
    <row r="336">
      <c r="A336" s="17" t="n"/>
      <c r="B336" s="17" t="n"/>
      <c r="C336" s="17" t="n"/>
      <c r="D336" s="18" t="n"/>
      <c r="E336" s="17" t="n"/>
      <c r="F336" s="19" t="n"/>
      <c r="G336" s="17" t="n"/>
      <c r="H336" s="17" t="n"/>
      <c r="I336" s="17" t="n"/>
      <c r="J336" s="19" t="n"/>
      <c r="K336" s="19" t="n"/>
      <c r="L336" s="20" t="n"/>
      <c r="M336" s="20" t="n"/>
      <c r="N336" s="17" t="n"/>
      <c r="O336" s="17" t="n"/>
      <c r="P336" s="21">
        <f>IF(AND(ISNUMBER($L336),ISNUMBER($M336)),MAX(0,$M336-$L336),"")</f>
        <v/>
      </c>
      <c r="Q336" s="21">
        <f>IF(ISNUMBER($D336),MAX(0,TODAY()-$D336),"")</f>
        <v/>
      </c>
      <c r="R336" s="19">
        <f>IF(COUNTA($A336:$O336)=0,"",IFERROR(TRIM(TEXTJOIN(" | ",TRUE,IF($A336="","PC kosong",""),IF($C336="","Worker ID kosong",""),IF($D336="","Update Date kosong",IF(NOT(ISNUMBER($D336)),"Update Date bukan tanggal","")),IF($E336="","Song ID YT kosong",""),IF($F336="","Judul kosong",""),IF(TRIM($G336)="","",IF(ISERROR(MATCH(TRIM($G336),{"TuneCore","DistroKid","TooLost","SoundOn","Ditto","Believe","CD Baby","Amuse","Symphonic Distribution","ONErpm","RouteNote","LANDR","Horus Music","Indie"},0)),"Aggregator di luar daftar","")),IF(TRIM($H336)="","Genre kosong",IF((LEN(SUBSTITUTE(SUBSTITUTE(SUBSTITUTE(TRIM($H336),"/",","),";",",")," ",""))-LEN(SUBSTITUTE(SUBSTITUTE(SUBSTITUTE(SUBSTITUTE(TRIM($H336),"/",","),";",","),"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336),"/",","),";",",")," ","")&amp;",")))&lt;&gt;(LEN(SUBSTITUTE(SUBSTITUTE(SUBSTITUTE(TRIM($H336),"/",","),";",",")," ",""))-LEN(SUBSTITUTE(SUBSTITUTE(SUBSTITUTE(SUBSTITUTE(TRIM($H336),"/",","),";",",")," ",""),",",""))+1),"Genre di luar daftar",""))),IF($I336="","Nama Channel kosong",""),IF($J336="","Link Channel kosong",IF(ISERROR(SEARCH("youtu",$J336)),"Link Channel bukan youtube","")),IF($K336="","Link Video kosong",IF(ISERROR(SEARCH("youtu",$K336)),"Link Video bukan youtube","")),IF($L336="","Tgl Dibuat kosong",IF(NOT(ISNUMBER($L336)),"Tgl Dibuat bukan tanggal","")),IF(AND($M336&lt;&gt;"",NOT(ISNUMBER($M336))),"Tgl Publish bukan tanggal",""),IF(AND(ISNUMBER($L336),ISNUMBER($M336),$M336&lt;$L336),"Tgl Publish &lt; Tgl buat",""),IF(TRIM($N336)="","Status kosong",IF(ISERROR(MATCH(TRIM($N336),{"Draft","Menunggu Review","Revisi","Terjadwal","Upload","Publish","Published","Batal"},0)),"Status di luar daftar","")))),""))</f>
        <v/>
      </c>
      <c r="S336" s="17">
        <f>IF(AND($A336&lt;&gt;"",$C336&lt;&gt;""),IF(COUNTIFS($A$2:$A$1000,$A336,$C$2:$C$1000,$C336)&gt;1,"DUPLICAT",""),"")</f>
        <v/>
      </c>
    </row>
    <row r="337">
      <c r="A337" s="12" t="n"/>
      <c r="B337" s="12" t="n"/>
      <c r="C337" s="12" t="n"/>
      <c r="D337" s="13" t="n"/>
      <c r="E337" s="12" t="n"/>
      <c r="F337" s="14" t="n"/>
      <c r="G337" s="12" t="n"/>
      <c r="H337" s="12" t="n"/>
      <c r="I337" s="12" t="n"/>
      <c r="J337" s="14" t="n"/>
      <c r="K337" s="14" t="n"/>
      <c r="L337" s="15" t="n"/>
      <c r="M337" s="15" t="n"/>
      <c r="N337" s="12" t="n"/>
      <c r="O337" s="12" t="n"/>
      <c r="P337" s="16">
        <f>IF(AND(ISNUMBER($L337),ISNUMBER($M337)),MAX(0,$M337-$L337),"")</f>
        <v/>
      </c>
      <c r="Q337" s="16">
        <f>IF(ISNUMBER($D337),MAX(0,TODAY()-$D337),"")</f>
        <v/>
      </c>
      <c r="R337" s="14">
        <f>IF(COUNTA($A337:$O337)=0,"",IFERROR(TRIM(TEXTJOIN(" | ",TRUE,IF($A337="","PC kosong",""),IF($C337="","Worker ID kosong",""),IF($D337="","Update Date kosong",IF(NOT(ISNUMBER($D337)),"Update Date bukan tanggal","")),IF($E337="","Song ID YT kosong",""),IF($F337="","Judul kosong",""),IF(TRIM($G337)="","",IF(ISERROR(MATCH(TRIM($G337),{"TuneCore","DistroKid","TooLost","SoundOn","Ditto","Believe","CD Baby","Amuse","Symphonic Distribution","ONErpm","RouteNote","LANDR","Horus Music","Indie"},0)),"Aggregator di luar daftar","")),IF(TRIM($H337)="","Genre kosong",IF((LEN(SUBSTITUTE(SUBSTITUTE(SUBSTITUTE(TRIM($H337),"/",","),";",",")," ",""))-LEN(SUBSTITUTE(SUBSTITUTE(SUBSTITUTE(SUBSTITUTE(TRIM($H337),"/",","),";",","),"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337),"/",","),";",",")," ","")&amp;",")))&lt;&gt;(LEN(SUBSTITUTE(SUBSTITUTE(SUBSTITUTE(TRIM($H337),"/",","),";",",")," ",""))-LEN(SUBSTITUTE(SUBSTITUTE(SUBSTITUTE(SUBSTITUTE(TRIM($H337),"/",","),";",",")," ",""),",",""))+1),"Genre di luar daftar",""))),IF($I337="","Nama Channel kosong",""),IF($J337="","Link Channel kosong",IF(ISERROR(SEARCH("youtu",$J337)),"Link Channel bukan youtube","")),IF($K337="","Link Video kosong",IF(ISERROR(SEARCH("youtu",$K337)),"Link Video bukan youtube","")),IF($L337="","Tgl Dibuat kosong",IF(NOT(ISNUMBER($L337)),"Tgl Dibuat bukan tanggal","")),IF(AND($M337&lt;&gt;"",NOT(ISNUMBER($M337))),"Tgl Publish bukan tanggal",""),IF(AND(ISNUMBER($L337),ISNUMBER($M337),$M337&lt;$L337),"Tgl Publish &lt; Tgl buat",""),IF(TRIM($N337)="","Status kosong",IF(ISERROR(MATCH(TRIM($N337),{"Draft","Menunggu Review","Revisi","Terjadwal","Upload","Publish","Published","Batal"},0)),"Status di luar daftar","")))),""))</f>
        <v/>
      </c>
      <c r="S337" s="12">
        <f>IF(AND($A337&lt;&gt;"",$C337&lt;&gt;""),IF(COUNTIFS($A$2:$A$1000,$A337,$C$2:$C$1000,$C337)&gt;1,"DUPLICAT",""),"")</f>
        <v/>
      </c>
    </row>
    <row r="338">
      <c r="A338" s="17" t="n"/>
      <c r="B338" s="17" t="n"/>
      <c r="C338" s="17" t="n"/>
      <c r="D338" s="18" t="n"/>
      <c r="E338" s="17" t="n"/>
      <c r="F338" s="19" t="n"/>
      <c r="G338" s="17" t="n"/>
      <c r="H338" s="17" t="n"/>
      <c r="I338" s="17" t="n"/>
      <c r="J338" s="19" t="n"/>
      <c r="K338" s="19" t="n"/>
      <c r="L338" s="20" t="n"/>
      <c r="M338" s="20" t="n"/>
      <c r="N338" s="17" t="n"/>
      <c r="O338" s="17" t="n"/>
      <c r="P338" s="21">
        <f>IF(AND(ISNUMBER($L338),ISNUMBER($M338)),MAX(0,$M338-$L338),"")</f>
        <v/>
      </c>
      <c r="Q338" s="21">
        <f>IF(ISNUMBER($D338),MAX(0,TODAY()-$D338),"")</f>
        <v/>
      </c>
      <c r="R338" s="19">
        <f>IF(COUNTA($A338:$O338)=0,"",IFERROR(TRIM(TEXTJOIN(" | ",TRUE,IF($A338="","PC kosong",""),IF($C338="","Worker ID kosong",""),IF($D338="","Update Date kosong",IF(NOT(ISNUMBER($D338)),"Update Date bukan tanggal","")),IF($E338="","Song ID YT kosong",""),IF($F338="","Judul kosong",""),IF(TRIM($G338)="","",IF(ISERROR(MATCH(TRIM($G338),{"TuneCore","DistroKid","TooLost","SoundOn","Ditto","Believe","CD Baby","Amuse","Symphonic Distribution","ONErpm","RouteNote","LANDR","Horus Music","Indie"},0)),"Aggregator di luar daftar","")),IF(TRIM($H338)="","Genre kosong",IF((LEN(SUBSTITUTE(SUBSTITUTE(SUBSTITUTE(TRIM($H338),"/",","),";",",")," ",""))-LEN(SUBSTITUTE(SUBSTITUTE(SUBSTITUTE(SUBSTITUTE(TRIM($H338),"/",","),";",","),"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338),"/",","),";",",")," ","")&amp;",")))&lt;&gt;(LEN(SUBSTITUTE(SUBSTITUTE(SUBSTITUTE(TRIM($H338),"/",","),";",",")," ",""))-LEN(SUBSTITUTE(SUBSTITUTE(SUBSTITUTE(SUBSTITUTE(TRIM($H338),"/",","),";",",")," ",""),",",""))+1),"Genre di luar daftar",""))),IF($I338="","Nama Channel kosong",""),IF($J338="","Link Channel kosong",IF(ISERROR(SEARCH("youtu",$J338)),"Link Channel bukan youtube","")),IF($K338="","Link Video kosong",IF(ISERROR(SEARCH("youtu",$K338)),"Link Video bukan youtube","")),IF($L338="","Tgl Dibuat kosong",IF(NOT(ISNUMBER($L338)),"Tgl Dibuat bukan tanggal","")),IF(AND($M338&lt;&gt;"",NOT(ISNUMBER($M338))),"Tgl Publish bukan tanggal",""),IF(AND(ISNUMBER($L338),ISNUMBER($M338),$M338&lt;$L338),"Tgl Publish &lt; Tgl buat",""),IF(TRIM($N338)="","Status kosong",IF(ISERROR(MATCH(TRIM($N338),{"Draft","Menunggu Review","Revisi","Terjadwal","Upload","Publish","Published","Batal"},0)),"Status di luar daftar","")))),""))</f>
        <v/>
      </c>
      <c r="S338" s="17">
        <f>IF(AND($A338&lt;&gt;"",$C338&lt;&gt;""),IF(COUNTIFS($A$2:$A$1000,$A338,$C$2:$C$1000,$C338)&gt;1,"DUPLICAT",""),"")</f>
        <v/>
      </c>
    </row>
    <row r="339">
      <c r="A339" s="12" t="n"/>
      <c r="B339" s="12" t="n"/>
      <c r="C339" s="12" t="n"/>
      <c r="D339" s="13" t="n"/>
      <c r="E339" s="12" t="n"/>
      <c r="F339" s="14" t="n"/>
      <c r="G339" s="12" t="n"/>
      <c r="H339" s="12" t="n"/>
      <c r="I339" s="12" t="n"/>
      <c r="J339" s="14" t="n"/>
      <c r="K339" s="14" t="n"/>
      <c r="L339" s="15" t="n"/>
      <c r="M339" s="15" t="n"/>
      <c r="N339" s="12" t="n"/>
      <c r="O339" s="12" t="n"/>
      <c r="P339" s="16">
        <f>IF(AND(ISNUMBER($L339),ISNUMBER($M339)),MAX(0,$M339-$L339),"")</f>
        <v/>
      </c>
      <c r="Q339" s="16">
        <f>IF(ISNUMBER($D339),MAX(0,TODAY()-$D339),"")</f>
        <v/>
      </c>
      <c r="R339" s="14">
        <f>IF(COUNTA($A339:$O339)=0,"",IFERROR(TRIM(TEXTJOIN(" | ",TRUE,IF($A339="","PC kosong",""),IF($C339="","Worker ID kosong",""),IF($D339="","Update Date kosong",IF(NOT(ISNUMBER($D339)),"Update Date bukan tanggal","")),IF($E339="","Song ID YT kosong",""),IF($F339="","Judul kosong",""),IF(TRIM($G339)="","",IF(ISERROR(MATCH(TRIM($G339),{"TuneCore","DistroKid","TooLost","SoundOn","Ditto","Believe","CD Baby","Amuse","Symphonic Distribution","ONErpm","RouteNote","LANDR","Horus Music","Indie"},0)),"Aggregator di luar daftar","")),IF(TRIM($H339)="","Genre kosong",IF((LEN(SUBSTITUTE(SUBSTITUTE(SUBSTITUTE(TRIM($H339),"/",","),";",",")," ",""))-LEN(SUBSTITUTE(SUBSTITUTE(SUBSTITUTE(SUBSTITUTE(TRIM($H339),"/",","),";",","),"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339),"/",","),";",",")," ","")&amp;",")))&lt;&gt;(LEN(SUBSTITUTE(SUBSTITUTE(SUBSTITUTE(TRIM($H339),"/",","),";",",")," ",""))-LEN(SUBSTITUTE(SUBSTITUTE(SUBSTITUTE(SUBSTITUTE(TRIM($H339),"/",","),";",",")," ",""),",",""))+1),"Genre di luar daftar",""))),IF($I339="","Nama Channel kosong",""),IF($J339="","Link Channel kosong",IF(ISERROR(SEARCH("youtu",$J339)),"Link Channel bukan youtube","")),IF($K339="","Link Video kosong",IF(ISERROR(SEARCH("youtu",$K339)),"Link Video bukan youtube","")),IF($L339="","Tgl Dibuat kosong",IF(NOT(ISNUMBER($L339)),"Tgl Dibuat bukan tanggal","")),IF(AND($M339&lt;&gt;"",NOT(ISNUMBER($M339))),"Tgl Publish bukan tanggal",""),IF(AND(ISNUMBER($L339),ISNUMBER($M339),$M339&lt;$L339),"Tgl Publish &lt; Tgl buat",""),IF(TRIM($N339)="","Status kosong",IF(ISERROR(MATCH(TRIM($N339),{"Draft","Menunggu Review","Revisi","Terjadwal","Upload","Publish","Published","Batal"},0)),"Status di luar daftar","")))),""))</f>
        <v/>
      </c>
      <c r="S339" s="12">
        <f>IF(AND($A339&lt;&gt;"",$C339&lt;&gt;""),IF(COUNTIFS($A$2:$A$1000,$A339,$C$2:$C$1000,$C339)&gt;1,"DUPLICAT",""),"")</f>
        <v/>
      </c>
    </row>
    <row r="340">
      <c r="A340" s="17" t="n"/>
      <c r="B340" s="17" t="n"/>
      <c r="C340" s="17" t="n"/>
      <c r="D340" s="18" t="n"/>
      <c r="E340" s="17" t="n"/>
      <c r="F340" s="19" t="n"/>
      <c r="G340" s="17" t="n"/>
      <c r="H340" s="17" t="n"/>
      <c r="I340" s="17" t="n"/>
      <c r="J340" s="19" t="n"/>
      <c r="K340" s="19" t="n"/>
      <c r="L340" s="20" t="n"/>
      <c r="M340" s="20" t="n"/>
      <c r="N340" s="17" t="n"/>
      <c r="O340" s="17" t="n"/>
      <c r="P340" s="21">
        <f>IF(AND(ISNUMBER($L340),ISNUMBER($M340)),MAX(0,$M340-$L340),"")</f>
        <v/>
      </c>
      <c r="Q340" s="21">
        <f>IF(ISNUMBER($D340),MAX(0,TODAY()-$D340),"")</f>
        <v/>
      </c>
      <c r="R340" s="19">
        <f>IF(COUNTA($A340:$O340)=0,"",IFERROR(TRIM(TEXTJOIN(" | ",TRUE,IF($A340="","PC kosong",""),IF($C340="","Worker ID kosong",""),IF($D340="","Update Date kosong",IF(NOT(ISNUMBER($D340)),"Update Date bukan tanggal","")),IF($E340="","Song ID YT kosong",""),IF($F340="","Judul kosong",""),IF(TRIM($G340)="","",IF(ISERROR(MATCH(TRIM($G340),{"TuneCore","DistroKid","TooLost","SoundOn","Ditto","Believe","CD Baby","Amuse","Symphonic Distribution","ONErpm","RouteNote","LANDR","Horus Music","Indie"},0)),"Aggregator di luar daftar","")),IF(TRIM($H340)="","Genre kosong",IF((LEN(SUBSTITUTE(SUBSTITUTE(SUBSTITUTE(TRIM($H340),"/",","),";",",")," ",""))-LEN(SUBSTITUTE(SUBSTITUTE(SUBSTITUTE(SUBSTITUTE(TRIM($H340),"/",","),";",","),"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340),"/",","),";",",")," ","")&amp;",")))&lt;&gt;(LEN(SUBSTITUTE(SUBSTITUTE(SUBSTITUTE(TRIM($H340),"/",","),";",",")," ",""))-LEN(SUBSTITUTE(SUBSTITUTE(SUBSTITUTE(SUBSTITUTE(TRIM($H340),"/",","),";",",")," ",""),",",""))+1),"Genre di luar daftar",""))),IF($I340="","Nama Channel kosong",""),IF($J340="","Link Channel kosong",IF(ISERROR(SEARCH("youtu",$J340)),"Link Channel bukan youtube","")),IF($K340="","Link Video kosong",IF(ISERROR(SEARCH("youtu",$K340)),"Link Video bukan youtube","")),IF($L340="","Tgl Dibuat kosong",IF(NOT(ISNUMBER($L340)),"Tgl Dibuat bukan tanggal","")),IF(AND($M340&lt;&gt;"",NOT(ISNUMBER($M340))),"Tgl Publish bukan tanggal",""),IF(AND(ISNUMBER($L340),ISNUMBER($M340),$M340&lt;$L340),"Tgl Publish &lt; Tgl buat",""),IF(TRIM($N340)="","Status kosong",IF(ISERROR(MATCH(TRIM($N340),{"Draft","Menunggu Review","Revisi","Terjadwal","Upload","Publish","Published","Batal"},0)),"Status di luar daftar","")))),""))</f>
        <v/>
      </c>
      <c r="S340" s="17">
        <f>IF(AND($A340&lt;&gt;"",$C340&lt;&gt;""),IF(COUNTIFS($A$2:$A$1000,$A340,$C$2:$C$1000,$C340)&gt;1,"DUPLICAT",""),"")</f>
        <v/>
      </c>
    </row>
    <row r="341">
      <c r="A341" s="12" t="n"/>
      <c r="B341" s="12" t="n"/>
      <c r="C341" s="12" t="n"/>
      <c r="D341" s="13" t="n"/>
      <c r="E341" s="12" t="n"/>
      <c r="F341" s="14" t="n"/>
      <c r="G341" s="12" t="n"/>
      <c r="H341" s="12" t="n"/>
      <c r="I341" s="12" t="n"/>
      <c r="J341" s="14" t="n"/>
      <c r="K341" s="14" t="n"/>
      <c r="L341" s="15" t="n"/>
      <c r="M341" s="15" t="n"/>
      <c r="N341" s="12" t="n"/>
      <c r="O341" s="12" t="n"/>
      <c r="P341" s="16">
        <f>IF(AND(ISNUMBER($L341),ISNUMBER($M341)),MAX(0,$M341-$L341),"")</f>
        <v/>
      </c>
      <c r="Q341" s="16">
        <f>IF(ISNUMBER($D341),MAX(0,TODAY()-$D341),"")</f>
        <v/>
      </c>
      <c r="R341" s="14">
        <f>IF(COUNTA($A341:$O341)=0,"",IFERROR(TRIM(TEXTJOIN(" | ",TRUE,IF($A341="","PC kosong",""),IF($C341="","Worker ID kosong",""),IF($D341="","Update Date kosong",IF(NOT(ISNUMBER($D341)),"Update Date bukan tanggal","")),IF($E341="","Song ID YT kosong",""),IF($F341="","Judul kosong",""),IF(TRIM($G341)="","",IF(ISERROR(MATCH(TRIM($G341),{"TuneCore","DistroKid","TooLost","SoundOn","Ditto","Believe","CD Baby","Amuse","Symphonic Distribution","ONErpm","RouteNote","LANDR","Horus Music","Indie"},0)),"Aggregator di luar daftar","")),IF(TRIM($H341)="","Genre kosong",IF((LEN(SUBSTITUTE(SUBSTITUTE(SUBSTITUTE(TRIM($H341),"/",","),";",",")," ",""))-LEN(SUBSTITUTE(SUBSTITUTE(SUBSTITUTE(SUBSTITUTE(TRIM($H341),"/",","),";",","),"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341),"/",","),";",",")," ","")&amp;",")))&lt;&gt;(LEN(SUBSTITUTE(SUBSTITUTE(SUBSTITUTE(TRIM($H341),"/",","),";",",")," ",""))-LEN(SUBSTITUTE(SUBSTITUTE(SUBSTITUTE(SUBSTITUTE(TRIM($H341),"/",","),";",",")," ",""),",",""))+1),"Genre di luar daftar",""))),IF($I341="","Nama Channel kosong",""),IF($J341="","Link Channel kosong",IF(ISERROR(SEARCH("youtu",$J341)),"Link Channel bukan youtube","")),IF($K341="","Link Video kosong",IF(ISERROR(SEARCH("youtu",$K341)),"Link Video bukan youtube","")),IF($L341="","Tgl Dibuat kosong",IF(NOT(ISNUMBER($L341)),"Tgl Dibuat bukan tanggal","")),IF(AND($M341&lt;&gt;"",NOT(ISNUMBER($M341))),"Tgl Publish bukan tanggal",""),IF(AND(ISNUMBER($L341),ISNUMBER($M341),$M341&lt;$L341),"Tgl Publish &lt; Tgl buat",""),IF(TRIM($N341)="","Status kosong",IF(ISERROR(MATCH(TRIM($N341),{"Draft","Menunggu Review","Revisi","Terjadwal","Upload","Publish","Published","Batal"},0)),"Status di luar daftar","")))),""))</f>
        <v/>
      </c>
      <c r="S341" s="12">
        <f>IF(AND($A341&lt;&gt;"",$C341&lt;&gt;""),IF(COUNTIFS($A$2:$A$1000,$A341,$C$2:$C$1000,$C341)&gt;1,"DUPLICAT",""),"")</f>
        <v/>
      </c>
    </row>
    <row r="342">
      <c r="A342" s="17" t="n"/>
      <c r="B342" s="17" t="n"/>
      <c r="C342" s="17" t="n"/>
      <c r="D342" s="18" t="n"/>
      <c r="E342" s="17" t="n"/>
      <c r="F342" s="19" t="n"/>
      <c r="G342" s="17" t="n"/>
      <c r="H342" s="17" t="n"/>
      <c r="I342" s="17" t="n"/>
      <c r="J342" s="19" t="n"/>
      <c r="K342" s="19" t="n"/>
      <c r="L342" s="20" t="n"/>
      <c r="M342" s="20" t="n"/>
      <c r="N342" s="17" t="n"/>
      <c r="O342" s="17" t="n"/>
      <c r="P342" s="21">
        <f>IF(AND(ISNUMBER($L342),ISNUMBER($M342)),MAX(0,$M342-$L342),"")</f>
        <v/>
      </c>
      <c r="Q342" s="21">
        <f>IF(ISNUMBER($D342),MAX(0,TODAY()-$D342),"")</f>
        <v/>
      </c>
      <c r="R342" s="19">
        <f>IF(COUNTA($A342:$O342)=0,"",IFERROR(TRIM(TEXTJOIN(" | ",TRUE,IF($A342="","PC kosong",""),IF($C342="","Worker ID kosong",""),IF($D342="","Update Date kosong",IF(NOT(ISNUMBER($D342)),"Update Date bukan tanggal","")),IF($E342="","Song ID YT kosong",""),IF($F342="","Judul kosong",""),IF(TRIM($G342)="","",IF(ISERROR(MATCH(TRIM($G342),{"TuneCore","DistroKid","TooLost","SoundOn","Ditto","Believe","CD Baby","Amuse","Symphonic Distribution","ONErpm","RouteNote","LANDR","Horus Music","Indie"},0)),"Aggregator di luar daftar","")),IF(TRIM($H342)="","Genre kosong",IF((LEN(SUBSTITUTE(SUBSTITUTE(SUBSTITUTE(TRIM($H342),"/",","),";",",")," ",""))-LEN(SUBSTITUTE(SUBSTITUTE(SUBSTITUTE(SUBSTITUTE(TRIM($H342),"/",","),";",","),"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342),"/",","),";",",")," ","")&amp;",")))&lt;&gt;(LEN(SUBSTITUTE(SUBSTITUTE(SUBSTITUTE(TRIM($H342),"/",","),";",",")," ",""))-LEN(SUBSTITUTE(SUBSTITUTE(SUBSTITUTE(SUBSTITUTE(TRIM($H342),"/",","),";",",")," ",""),",",""))+1),"Genre di luar daftar",""))),IF($I342="","Nama Channel kosong",""),IF($J342="","Link Channel kosong",IF(ISERROR(SEARCH("youtu",$J342)),"Link Channel bukan youtube","")),IF($K342="","Link Video kosong",IF(ISERROR(SEARCH("youtu",$K342)),"Link Video bukan youtube","")),IF($L342="","Tgl Dibuat kosong",IF(NOT(ISNUMBER($L342)),"Tgl Dibuat bukan tanggal","")),IF(AND($M342&lt;&gt;"",NOT(ISNUMBER($M342))),"Tgl Publish bukan tanggal",""),IF(AND(ISNUMBER($L342),ISNUMBER($M342),$M342&lt;$L342),"Tgl Publish &lt; Tgl buat",""),IF(TRIM($N342)="","Status kosong",IF(ISERROR(MATCH(TRIM($N342),{"Draft","Menunggu Review","Revisi","Terjadwal","Upload","Publish","Published","Batal"},0)),"Status di luar daftar","")))),""))</f>
        <v/>
      </c>
      <c r="S342" s="17">
        <f>IF(AND($A342&lt;&gt;"",$C342&lt;&gt;""),IF(COUNTIFS($A$2:$A$1000,$A342,$C$2:$C$1000,$C342)&gt;1,"DUPLICAT",""),"")</f>
        <v/>
      </c>
    </row>
    <row r="343">
      <c r="A343" s="12" t="n"/>
      <c r="B343" s="12" t="n"/>
      <c r="C343" s="12" t="n"/>
      <c r="D343" s="13" t="n"/>
      <c r="E343" s="12" t="n"/>
      <c r="F343" s="14" t="n"/>
      <c r="G343" s="12" t="n"/>
      <c r="H343" s="12" t="n"/>
      <c r="I343" s="12" t="n"/>
      <c r="J343" s="14" t="n"/>
      <c r="K343" s="14" t="n"/>
      <c r="L343" s="15" t="n"/>
      <c r="M343" s="15" t="n"/>
      <c r="N343" s="12" t="n"/>
      <c r="O343" s="12" t="n"/>
      <c r="P343" s="16">
        <f>IF(AND(ISNUMBER($L343),ISNUMBER($M343)),MAX(0,$M343-$L343),"")</f>
        <v/>
      </c>
      <c r="Q343" s="16">
        <f>IF(ISNUMBER($D343),MAX(0,TODAY()-$D343),"")</f>
        <v/>
      </c>
      <c r="R343" s="14">
        <f>IF(COUNTA($A343:$O343)=0,"",IFERROR(TRIM(TEXTJOIN(" | ",TRUE,IF($A343="","PC kosong",""),IF($C343="","Worker ID kosong",""),IF($D343="","Update Date kosong",IF(NOT(ISNUMBER($D343)),"Update Date bukan tanggal","")),IF($E343="","Song ID YT kosong",""),IF($F343="","Judul kosong",""),IF(TRIM($G343)="","",IF(ISERROR(MATCH(TRIM($G343),{"TuneCore","DistroKid","TooLost","SoundOn","Ditto","Believe","CD Baby","Amuse","Symphonic Distribution","ONErpm","RouteNote","LANDR","Horus Music","Indie"},0)),"Aggregator di luar daftar","")),IF(TRIM($H343)="","Genre kosong",IF((LEN(SUBSTITUTE(SUBSTITUTE(SUBSTITUTE(TRIM($H343),"/",","),";",",")," ",""))-LEN(SUBSTITUTE(SUBSTITUTE(SUBSTITUTE(SUBSTITUTE(TRIM($H343),"/",","),";",","),"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343),"/",","),";",",")," ","")&amp;",")))&lt;&gt;(LEN(SUBSTITUTE(SUBSTITUTE(SUBSTITUTE(TRIM($H343),"/",","),";",",")," ",""))-LEN(SUBSTITUTE(SUBSTITUTE(SUBSTITUTE(SUBSTITUTE(TRIM($H343),"/",","),";",",")," ",""),",",""))+1),"Genre di luar daftar",""))),IF($I343="","Nama Channel kosong",""),IF($J343="","Link Channel kosong",IF(ISERROR(SEARCH("youtu",$J343)),"Link Channel bukan youtube","")),IF($K343="","Link Video kosong",IF(ISERROR(SEARCH("youtu",$K343)),"Link Video bukan youtube","")),IF($L343="","Tgl Dibuat kosong",IF(NOT(ISNUMBER($L343)),"Tgl Dibuat bukan tanggal","")),IF(AND($M343&lt;&gt;"",NOT(ISNUMBER($M343))),"Tgl Publish bukan tanggal",""),IF(AND(ISNUMBER($L343),ISNUMBER($M343),$M343&lt;$L343),"Tgl Publish &lt; Tgl buat",""),IF(TRIM($N343)="","Status kosong",IF(ISERROR(MATCH(TRIM($N343),{"Draft","Menunggu Review","Revisi","Terjadwal","Upload","Publish","Published","Batal"},0)),"Status di luar daftar","")))),""))</f>
        <v/>
      </c>
      <c r="S343" s="12">
        <f>IF(AND($A343&lt;&gt;"",$C343&lt;&gt;""),IF(COUNTIFS($A$2:$A$1000,$A343,$C$2:$C$1000,$C343)&gt;1,"DUPLICAT",""),"")</f>
        <v/>
      </c>
    </row>
    <row r="344">
      <c r="A344" s="17" t="n"/>
      <c r="B344" s="17" t="n"/>
      <c r="C344" s="17" t="n"/>
      <c r="D344" s="18" t="n"/>
      <c r="E344" s="17" t="n"/>
      <c r="F344" s="19" t="n"/>
      <c r="G344" s="17" t="n"/>
      <c r="H344" s="17" t="n"/>
      <c r="I344" s="17" t="n"/>
      <c r="J344" s="19" t="n"/>
      <c r="K344" s="19" t="n"/>
      <c r="L344" s="20" t="n"/>
      <c r="M344" s="20" t="n"/>
      <c r="N344" s="17" t="n"/>
      <c r="O344" s="17" t="n"/>
      <c r="P344" s="21">
        <f>IF(AND(ISNUMBER($L344),ISNUMBER($M344)),MAX(0,$M344-$L344),"")</f>
        <v/>
      </c>
      <c r="Q344" s="21">
        <f>IF(ISNUMBER($D344),MAX(0,TODAY()-$D344),"")</f>
        <v/>
      </c>
      <c r="R344" s="19">
        <f>IF(COUNTA($A344:$O344)=0,"",IFERROR(TRIM(TEXTJOIN(" | ",TRUE,IF($A344="","PC kosong",""),IF($C344="","Worker ID kosong",""),IF($D344="","Update Date kosong",IF(NOT(ISNUMBER($D344)),"Update Date bukan tanggal","")),IF($E344="","Song ID YT kosong",""),IF($F344="","Judul kosong",""),IF(TRIM($G344)="","",IF(ISERROR(MATCH(TRIM($G344),{"TuneCore","DistroKid","TooLost","SoundOn","Ditto","Believe","CD Baby","Amuse","Symphonic Distribution","ONErpm","RouteNote","LANDR","Horus Music","Indie"},0)),"Aggregator di luar daftar","")),IF(TRIM($H344)="","Genre kosong",IF((LEN(SUBSTITUTE(SUBSTITUTE(SUBSTITUTE(TRIM($H344),"/",","),";",",")," ",""))-LEN(SUBSTITUTE(SUBSTITUTE(SUBSTITUTE(SUBSTITUTE(TRIM($H344),"/",","),";",","),"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344),"/",","),";",",")," ","")&amp;",")))&lt;&gt;(LEN(SUBSTITUTE(SUBSTITUTE(SUBSTITUTE(TRIM($H344),"/",","),";",",")," ",""))-LEN(SUBSTITUTE(SUBSTITUTE(SUBSTITUTE(SUBSTITUTE(TRIM($H344),"/",","),";",",")," ",""),",",""))+1),"Genre di luar daftar",""))),IF($I344="","Nama Channel kosong",""),IF($J344="","Link Channel kosong",IF(ISERROR(SEARCH("youtu",$J344)),"Link Channel bukan youtube","")),IF($K344="","Link Video kosong",IF(ISERROR(SEARCH("youtu",$K344)),"Link Video bukan youtube","")),IF($L344="","Tgl Dibuat kosong",IF(NOT(ISNUMBER($L344)),"Tgl Dibuat bukan tanggal","")),IF(AND($M344&lt;&gt;"",NOT(ISNUMBER($M344))),"Tgl Publish bukan tanggal",""),IF(AND(ISNUMBER($L344),ISNUMBER($M344),$M344&lt;$L344),"Tgl Publish &lt; Tgl buat",""),IF(TRIM($N344)="","Status kosong",IF(ISERROR(MATCH(TRIM($N344),{"Draft","Menunggu Review","Revisi","Terjadwal","Upload","Publish","Published","Batal"},0)),"Status di luar daftar","")))),""))</f>
        <v/>
      </c>
      <c r="S344" s="17">
        <f>IF(AND($A344&lt;&gt;"",$C344&lt;&gt;""),IF(COUNTIFS($A$2:$A$1000,$A344,$C$2:$C$1000,$C344)&gt;1,"DUPLICAT",""),"")</f>
        <v/>
      </c>
    </row>
    <row r="345">
      <c r="A345" s="12" t="n"/>
      <c r="B345" s="12" t="n"/>
      <c r="C345" s="12" t="n"/>
      <c r="D345" s="13" t="n"/>
      <c r="E345" s="12" t="n"/>
      <c r="F345" s="14" t="n"/>
      <c r="G345" s="12" t="n"/>
      <c r="H345" s="12" t="n"/>
      <c r="I345" s="12" t="n"/>
      <c r="J345" s="14" t="n"/>
      <c r="K345" s="14" t="n"/>
      <c r="L345" s="15" t="n"/>
      <c r="M345" s="15" t="n"/>
      <c r="N345" s="12" t="n"/>
      <c r="O345" s="12" t="n"/>
      <c r="P345" s="16">
        <f>IF(AND(ISNUMBER($L345),ISNUMBER($M345)),MAX(0,$M345-$L345),"")</f>
        <v/>
      </c>
      <c r="Q345" s="16">
        <f>IF(ISNUMBER($D345),MAX(0,TODAY()-$D345),"")</f>
        <v/>
      </c>
      <c r="R345" s="14">
        <f>IF(COUNTA($A345:$O345)=0,"",IFERROR(TRIM(TEXTJOIN(" | ",TRUE,IF($A345="","PC kosong",""),IF($C345="","Worker ID kosong",""),IF($D345="","Update Date kosong",IF(NOT(ISNUMBER($D345)),"Update Date bukan tanggal","")),IF($E345="","Song ID YT kosong",""),IF($F345="","Judul kosong",""),IF(TRIM($G345)="","",IF(ISERROR(MATCH(TRIM($G345),{"TuneCore","DistroKid","TooLost","SoundOn","Ditto","Believe","CD Baby","Amuse","Symphonic Distribution","ONErpm","RouteNote","LANDR","Horus Music","Indie"},0)),"Aggregator di luar daftar","")),IF(TRIM($H345)="","Genre kosong",IF((LEN(SUBSTITUTE(SUBSTITUTE(SUBSTITUTE(TRIM($H345),"/",","),";",",")," ",""))-LEN(SUBSTITUTE(SUBSTITUTE(SUBSTITUTE(SUBSTITUTE(TRIM($H345),"/",","),";",","),"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345),"/",","),";",",")," ","")&amp;",")))&lt;&gt;(LEN(SUBSTITUTE(SUBSTITUTE(SUBSTITUTE(TRIM($H345),"/",","),";",",")," ",""))-LEN(SUBSTITUTE(SUBSTITUTE(SUBSTITUTE(SUBSTITUTE(TRIM($H345),"/",","),";",",")," ",""),",",""))+1),"Genre di luar daftar",""))),IF($I345="","Nama Channel kosong",""),IF($J345="","Link Channel kosong",IF(ISERROR(SEARCH("youtu",$J345)),"Link Channel bukan youtube","")),IF($K345="","Link Video kosong",IF(ISERROR(SEARCH("youtu",$K345)),"Link Video bukan youtube","")),IF($L345="","Tgl Dibuat kosong",IF(NOT(ISNUMBER($L345)),"Tgl Dibuat bukan tanggal","")),IF(AND($M345&lt;&gt;"",NOT(ISNUMBER($M345))),"Tgl Publish bukan tanggal",""),IF(AND(ISNUMBER($L345),ISNUMBER($M345),$M345&lt;$L345),"Tgl Publish &lt; Tgl buat",""),IF(TRIM($N345)="","Status kosong",IF(ISERROR(MATCH(TRIM($N345),{"Draft","Menunggu Review","Revisi","Terjadwal","Upload","Publish","Published","Batal"},0)),"Status di luar daftar","")))),""))</f>
        <v/>
      </c>
      <c r="S345" s="12">
        <f>IF(AND($A345&lt;&gt;"",$C345&lt;&gt;""),IF(COUNTIFS($A$2:$A$1000,$A345,$C$2:$C$1000,$C345)&gt;1,"DUPLICAT",""),"")</f>
        <v/>
      </c>
    </row>
    <row r="346">
      <c r="A346" s="17" t="n"/>
      <c r="B346" s="17" t="n"/>
      <c r="C346" s="17" t="n"/>
      <c r="D346" s="18" t="n"/>
      <c r="E346" s="17" t="n"/>
      <c r="F346" s="19" t="n"/>
      <c r="G346" s="17" t="n"/>
      <c r="H346" s="17" t="n"/>
      <c r="I346" s="17" t="n"/>
      <c r="J346" s="19" t="n"/>
      <c r="K346" s="19" t="n"/>
      <c r="L346" s="20" t="n"/>
      <c r="M346" s="20" t="n"/>
      <c r="N346" s="17" t="n"/>
      <c r="O346" s="17" t="n"/>
      <c r="P346" s="21">
        <f>IF(AND(ISNUMBER($L346),ISNUMBER($M346)),MAX(0,$M346-$L346),"")</f>
        <v/>
      </c>
      <c r="Q346" s="21">
        <f>IF(ISNUMBER($D346),MAX(0,TODAY()-$D346),"")</f>
        <v/>
      </c>
      <c r="R346" s="19">
        <f>IF(COUNTA($A346:$O346)=0,"",IFERROR(TRIM(TEXTJOIN(" | ",TRUE,IF($A346="","PC kosong",""),IF($C346="","Worker ID kosong",""),IF($D346="","Update Date kosong",IF(NOT(ISNUMBER($D346)),"Update Date bukan tanggal","")),IF($E346="","Song ID YT kosong",""),IF($F346="","Judul kosong",""),IF(TRIM($G346)="","",IF(ISERROR(MATCH(TRIM($G346),{"TuneCore","DistroKid","TooLost","SoundOn","Ditto","Believe","CD Baby","Amuse","Symphonic Distribution","ONErpm","RouteNote","LANDR","Horus Music","Indie"},0)),"Aggregator di luar daftar","")),IF(TRIM($H346)="","Genre kosong",IF((LEN(SUBSTITUTE(SUBSTITUTE(SUBSTITUTE(TRIM($H346),"/",","),";",",")," ",""))-LEN(SUBSTITUTE(SUBSTITUTE(SUBSTITUTE(SUBSTITUTE(TRIM($H346),"/",","),";",","),"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346),"/",","),";",",")," ","")&amp;",")))&lt;&gt;(LEN(SUBSTITUTE(SUBSTITUTE(SUBSTITUTE(TRIM($H346),"/",","),";",",")," ",""))-LEN(SUBSTITUTE(SUBSTITUTE(SUBSTITUTE(SUBSTITUTE(TRIM($H346),"/",","),";",",")," ",""),",",""))+1),"Genre di luar daftar",""))),IF($I346="","Nama Channel kosong",""),IF($J346="","Link Channel kosong",IF(ISERROR(SEARCH("youtu",$J346)),"Link Channel bukan youtube","")),IF($K346="","Link Video kosong",IF(ISERROR(SEARCH("youtu",$K346)),"Link Video bukan youtube","")),IF($L346="","Tgl Dibuat kosong",IF(NOT(ISNUMBER($L346)),"Tgl Dibuat bukan tanggal","")),IF(AND($M346&lt;&gt;"",NOT(ISNUMBER($M346))),"Tgl Publish bukan tanggal",""),IF(AND(ISNUMBER($L346),ISNUMBER($M346),$M346&lt;$L346),"Tgl Publish &lt; Tgl buat",""),IF(TRIM($N346)="","Status kosong",IF(ISERROR(MATCH(TRIM($N346),{"Draft","Menunggu Review","Revisi","Terjadwal","Upload","Publish","Published","Batal"},0)),"Status di luar daftar","")))),""))</f>
        <v/>
      </c>
      <c r="S346" s="17">
        <f>IF(AND($A346&lt;&gt;"",$C346&lt;&gt;""),IF(COUNTIFS($A$2:$A$1000,$A346,$C$2:$C$1000,$C346)&gt;1,"DUPLICAT",""),"")</f>
        <v/>
      </c>
    </row>
    <row r="347">
      <c r="A347" s="12" t="n"/>
      <c r="B347" s="12" t="n"/>
      <c r="C347" s="12" t="n"/>
      <c r="D347" s="13" t="n"/>
      <c r="E347" s="12" t="n"/>
      <c r="F347" s="14" t="n"/>
      <c r="G347" s="12" t="n"/>
      <c r="H347" s="12" t="n"/>
      <c r="I347" s="12" t="n"/>
      <c r="J347" s="14" t="n"/>
      <c r="K347" s="14" t="n"/>
      <c r="L347" s="15" t="n"/>
      <c r="M347" s="15" t="n"/>
      <c r="N347" s="12" t="n"/>
      <c r="O347" s="12" t="n"/>
      <c r="P347" s="16">
        <f>IF(AND(ISNUMBER($L347),ISNUMBER($M347)),MAX(0,$M347-$L347),"")</f>
        <v/>
      </c>
      <c r="Q347" s="16">
        <f>IF(ISNUMBER($D347),MAX(0,TODAY()-$D347),"")</f>
        <v/>
      </c>
      <c r="R347" s="14">
        <f>IF(COUNTA($A347:$O347)=0,"",IFERROR(TRIM(TEXTJOIN(" | ",TRUE,IF($A347="","PC kosong",""),IF($C347="","Worker ID kosong",""),IF($D347="","Update Date kosong",IF(NOT(ISNUMBER($D347)),"Update Date bukan tanggal","")),IF($E347="","Song ID YT kosong",""),IF($F347="","Judul kosong",""),IF(TRIM($G347)="","",IF(ISERROR(MATCH(TRIM($G347),{"TuneCore","DistroKid","TooLost","SoundOn","Ditto","Believe","CD Baby","Amuse","Symphonic Distribution","ONErpm","RouteNote","LANDR","Horus Music","Indie"},0)),"Aggregator di luar daftar","")),IF(TRIM($H347)="","Genre kosong",IF((LEN(SUBSTITUTE(SUBSTITUTE(SUBSTITUTE(TRIM($H347),"/",","),";",",")," ",""))-LEN(SUBSTITUTE(SUBSTITUTE(SUBSTITUTE(SUBSTITUTE(TRIM($H347),"/",","),";",","),"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347),"/",","),";",",")," ","")&amp;",")))&lt;&gt;(LEN(SUBSTITUTE(SUBSTITUTE(SUBSTITUTE(TRIM($H347),"/",","),";",",")," ",""))-LEN(SUBSTITUTE(SUBSTITUTE(SUBSTITUTE(SUBSTITUTE(TRIM($H347),"/",","),";",",")," ",""),",",""))+1),"Genre di luar daftar",""))),IF($I347="","Nama Channel kosong",""),IF($J347="","Link Channel kosong",IF(ISERROR(SEARCH("youtu",$J347)),"Link Channel bukan youtube","")),IF($K347="","Link Video kosong",IF(ISERROR(SEARCH("youtu",$K347)),"Link Video bukan youtube","")),IF($L347="","Tgl Dibuat kosong",IF(NOT(ISNUMBER($L347)),"Tgl Dibuat bukan tanggal","")),IF(AND($M347&lt;&gt;"",NOT(ISNUMBER($M347))),"Tgl Publish bukan tanggal",""),IF(AND(ISNUMBER($L347),ISNUMBER($M347),$M347&lt;$L347),"Tgl Publish &lt; Tgl buat",""),IF(TRIM($N347)="","Status kosong",IF(ISERROR(MATCH(TRIM($N347),{"Draft","Menunggu Review","Revisi","Terjadwal","Upload","Publish","Published","Batal"},0)),"Status di luar daftar","")))),""))</f>
        <v/>
      </c>
      <c r="S347" s="12">
        <f>IF(AND($A347&lt;&gt;"",$C347&lt;&gt;""),IF(COUNTIFS($A$2:$A$1000,$A347,$C$2:$C$1000,$C347)&gt;1,"DUPLICAT",""),"")</f>
        <v/>
      </c>
    </row>
    <row r="348">
      <c r="A348" s="17" t="n"/>
      <c r="B348" s="17" t="n"/>
      <c r="C348" s="17" t="n"/>
      <c r="D348" s="18" t="n"/>
      <c r="E348" s="17" t="n"/>
      <c r="F348" s="19" t="n"/>
      <c r="G348" s="17" t="n"/>
      <c r="H348" s="17" t="n"/>
      <c r="I348" s="17" t="n"/>
      <c r="J348" s="19" t="n"/>
      <c r="K348" s="19" t="n"/>
      <c r="L348" s="20" t="n"/>
      <c r="M348" s="20" t="n"/>
      <c r="N348" s="17" t="n"/>
      <c r="O348" s="17" t="n"/>
      <c r="P348" s="21">
        <f>IF(AND(ISNUMBER($L348),ISNUMBER($M348)),MAX(0,$M348-$L348),"")</f>
        <v/>
      </c>
      <c r="Q348" s="21">
        <f>IF(ISNUMBER($D348),MAX(0,TODAY()-$D348),"")</f>
        <v/>
      </c>
      <c r="R348" s="19">
        <f>IF(COUNTA($A348:$O348)=0,"",IFERROR(TRIM(TEXTJOIN(" | ",TRUE,IF($A348="","PC kosong",""),IF($C348="","Worker ID kosong",""),IF($D348="","Update Date kosong",IF(NOT(ISNUMBER($D348)),"Update Date bukan tanggal","")),IF($E348="","Song ID YT kosong",""),IF($F348="","Judul kosong",""),IF(TRIM($G348)="","",IF(ISERROR(MATCH(TRIM($G348),{"TuneCore","DistroKid","TooLost","SoundOn","Ditto","Believe","CD Baby","Amuse","Symphonic Distribution","ONErpm","RouteNote","LANDR","Horus Music","Indie"},0)),"Aggregator di luar daftar","")),IF(TRIM($H348)="","Genre kosong",IF((LEN(SUBSTITUTE(SUBSTITUTE(SUBSTITUTE(TRIM($H348),"/",","),";",",")," ",""))-LEN(SUBSTITUTE(SUBSTITUTE(SUBSTITUTE(SUBSTITUTE(TRIM($H348),"/",","),";",","),"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348),"/",","),";",",")," ","")&amp;",")))&lt;&gt;(LEN(SUBSTITUTE(SUBSTITUTE(SUBSTITUTE(TRIM($H348),"/",","),";",",")," ",""))-LEN(SUBSTITUTE(SUBSTITUTE(SUBSTITUTE(SUBSTITUTE(TRIM($H348),"/",","),";",",")," ",""),",",""))+1),"Genre di luar daftar",""))),IF($I348="","Nama Channel kosong",""),IF($J348="","Link Channel kosong",IF(ISERROR(SEARCH("youtu",$J348)),"Link Channel bukan youtube","")),IF($K348="","Link Video kosong",IF(ISERROR(SEARCH("youtu",$K348)),"Link Video bukan youtube","")),IF($L348="","Tgl Dibuat kosong",IF(NOT(ISNUMBER($L348)),"Tgl Dibuat bukan tanggal","")),IF(AND($M348&lt;&gt;"",NOT(ISNUMBER($M348))),"Tgl Publish bukan tanggal",""),IF(AND(ISNUMBER($L348),ISNUMBER($M348),$M348&lt;$L348),"Tgl Publish &lt; Tgl buat",""),IF(TRIM($N348)="","Status kosong",IF(ISERROR(MATCH(TRIM($N348),{"Draft","Menunggu Review","Revisi","Terjadwal","Upload","Publish","Published","Batal"},0)),"Status di luar daftar","")))),""))</f>
        <v/>
      </c>
      <c r="S348" s="17">
        <f>IF(AND($A348&lt;&gt;"",$C348&lt;&gt;""),IF(COUNTIFS($A$2:$A$1000,$A348,$C$2:$C$1000,$C348)&gt;1,"DUPLICAT",""),"")</f>
        <v/>
      </c>
    </row>
    <row r="349">
      <c r="A349" s="12" t="n"/>
      <c r="B349" s="12" t="n"/>
      <c r="C349" s="12" t="n"/>
      <c r="D349" s="13" t="n"/>
      <c r="E349" s="12" t="n"/>
      <c r="F349" s="14" t="n"/>
      <c r="G349" s="12" t="n"/>
      <c r="H349" s="12" t="n"/>
      <c r="I349" s="12" t="n"/>
      <c r="J349" s="14" t="n"/>
      <c r="K349" s="14" t="n"/>
      <c r="L349" s="15" t="n"/>
      <c r="M349" s="15" t="n"/>
      <c r="N349" s="12" t="n"/>
      <c r="O349" s="12" t="n"/>
      <c r="P349" s="16">
        <f>IF(AND(ISNUMBER($L349),ISNUMBER($M349)),MAX(0,$M349-$L349),"")</f>
        <v/>
      </c>
      <c r="Q349" s="16">
        <f>IF(ISNUMBER($D349),MAX(0,TODAY()-$D349),"")</f>
        <v/>
      </c>
      <c r="R349" s="14">
        <f>IF(COUNTA($A349:$O349)=0,"",IFERROR(TRIM(TEXTJOIN(" | ",TRUE,IF($A349="","PC kosong",""),IF($C349="","Worker ID kosong",""),IF($D349="","Update Date kosong",IF(NOT(ISNUMBER($D349)),"Update Date bukan tanggal","")),IF($E349="","Song ID YT kosong",""),IF($F349="","Judul kosong",""),IF(TRIM($G349)="","",IF(ISERROR(MATCH(TRIM($G349),{"TuneCore","DistroKid","TooLost","SoundOn","Ditto","Believe","CD Baby","Amuse","Symphonic Distribution","ONErpm","RouteNote","LANDR","Horus Music","Indie"},0)),"Aggregator di luar daftar","")),IF(TRIM($H349)="","Genre kosong",IF((LEN(SUBSTITUTE(SUBSTITUTE(SUBSTITUTE(TRIM($H349),"/",","),";",",")," ",""))-LEN(SUBSTITUTE(SUBSTITUTE(SUBSTITUTE(SUBSTITUTE(TRIM($H349),"/",","),";",","),"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349),"/",","),";",",")," ","")&amp;",")))&lt;&gt;(LEN(SUBSTITUTE(SUBSTITUTE(SUBSTITUTE(TRIM($H349),"/",","),";",",")," ",""))-LEN(SUBSTITUTE(SUBSTITUTE(SUBSTITUTE(SUBSTITUTE(TRIM($H349),"/",","),";",",")," ",""),",",""))+1),"Genre di luar daftar",""))),IF($I349="","Nama Channel kosong",""),IF($J349="","Link Channel kosong",IF(ISERROR(SEARCH("youtu",$J349)),"Link Channel bukan youtube","")),IF($K349="","Link Video kosong",IF(ISERROR(SEARCH("youtu",$K349)),"Link Video bukan youtube","")),IF($L349="","Tgl Dibuat kosong",IF(NOT(ISNUMBER($L349)),"Tgl Dibuat bukan tanggal","")),IF(AND($M349&lt;&gt;"",NOT(ISNUMBER($M349))),"Tgl Publish bukan tanggal",""),IF(AND(ISNUMBER($L349),ISNUMBER($M349),$M349&lt;$L349),"Tgl Publish &lt; Tgl buat",""),IF(TRIM($N349)="","Status kosong",IF(ISERROR(MATCH(TRIM($N349),{"Draft","Menunggu Review","Revisi","Terjadwal","Upload","Publish","Published","Batal"},0)),"Status di luar daftar","")))),""))</f>
        <v/>
      </c>
      <c r="S349" s="12">
        <f>IF(AND($A349&lt;&gt;"",$C349&lt;&gt;""),IF(COUNTIFS($A$2:$A$1000,$A349,$C$2:$C$1000,$C349)&gt;1,"DUPLICAT",""),"")</f>
        <v/>
      </c>
    </row>
    <row r="350">
      <c r="A350" s="17" t="n"/>
      <c r="B350" s="17" t="n"/>
      <c r="C350" s="17" t="n"/>
      <c r="D350" s="18" t="n"/>
      <c r="E350" s="17" t="n"/>
      <c r="F350" s="19" t="n"/>
      <c r="G350" s="17" t="n"/>
      <c r="H350" s="17" t="n"/>
      <c r="I350" s="17" t="n"/>
      <c r="J350" s="19" t="n"/>
      <c r="K350" s="19" t="n"/>
      <c r="L350" s="20" t="n"/>
      <c r="M350" s="20" t="n"/>
      <c r="N350" s="17" t="n"/>
      <c r="O350" s="17" t="n"/>
      <c r="P350" s="21">
        <f>IF(AND(ISNUMBER($L350),ISNUMBER($M350)),MAX(0,$M350-$L350),"")</f>
        <v/>
      </c>
      <c r="Q350" s="21">
        <f>IF(ISNUMBER($D350),MAX(0,TODAY()-$D350),"")</f>
        <v/>
      </c>
      <c r="R350" s="19">
        <f>IF(COUNTA($A350:$O350)=0,"",IFERROR(TRIM(TEXTJOIN(" | ",TRUE,IF($A350="","PC kosong",""),IF($C350="","Worker ID kosong",""),IF($D350="","Update Date kosong",IF(NOT(ISNUMBER($D350)),"Update Date bukan tanggal","")),IF($E350="","Song ID YT kosong",""),IF($F350="","Judul kosong",""),IF(TRIM($G350)="","",IF(ISERROR(MATCH(TRIM($G350),{"TuneCore","DistroKid","TooLost","SoundOn","Ditto","Believe","CD Baby","Amuse","Symphonic Distribution","ONErpm","RouteNote","LANDR","Horus Music","Indie"},0)),"Aggregator di luar daftar","")),IF(TRIM($H350)="","Genre kosong",IF((LEN(SUBSTITUTE(SUBSTITUTE(SUBSTITUTE(TRIM($H350),"/",","),";",",")," ",""))-LEN(SUBSTITUTE(SUBSTITUTE(SUBSTITUTE(SUBSTITUTE(TRIM($H350),"/",","),";",","),"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350),"/",","),";",",")," ","")&amp;",")))&lt;&gt;(LEN(SUBSTITUTE(SUBSTITUTE(SUBSTITUTE(TRIM($H350),"/",","),";",",")," ",""))-LEN(SUBSTITUTE(SUBSTITUTE(SUBSTITUTE(SUBSTITUTE(TRIM($H350),"/",","),";",",")," ",""),",",""))+1),"Genre di luar daftar",""))),IF($I350="","Nama Channel kosong",""),IF($J350="","Link Channel kosong",IF(ISERROR(SEARCH("youtu",$J350)),"Link Channel bukan youtube","")),IF($K350="","Link Video kosong",IF(ISERROR(SEARCH("youtu",$K350)),"Link Video bukan youtube","")),IF($L350="","Tgl Dibuat kosong",IF(NOT(ISNUMBER($L350)),"Tgl Dibuat bukan tanggal","")),IF(AND($M350&lt;&gt;"",NOT(ISNUMBER($M350))),"Tgl Publish bukan tanggal",""),IF(AND(ISNUMBER($L350),ISNUMBER($M350),$M350&lt;$L350),"Tgl Publish &lt; Tgl buat",""),IF(TRIM($N350)="","Status kosong",IF(ISERROR(MATCH(TRIM($N350),{"Draft","Menunggu Review","Revisi","Terjadwal","Upload","Publish","Published","Batal"},0)),"Status di luar daftar","")))),""))</f>
        <v/>
      </c>
      <c r="S350" s="17">
        <f>IF(AND($A350&lt;&gt;"",$C350&lt;&gt;""),IF(COUNTIFS($A$2:$A$1000,$A350,$C$2:$C$1000,$C350)&gt;1,"DUPLICAT",""),"")</f>
        <v/>
      </c>
    </row>
    <row r="351">
      <c r="A351" s="12" t="n"/>
      <c r="B351" s="12" t="n"/>
      <c r="C351" s="12" t="n"/>
      <c r="D351" s="13" t="n"/>
      <c r="E351" s="12" t="n"/>
      <c r="F351" s="14" t="n"/>
      <c r="G351" s="12" t="n"/>
      <c r="H351" s="12" t="n"/>
      <c r="I351" s="12" t="n"/>
      <c r="J351" s="14" t="n"/>
      <c r="K351" s="14" t="n"/>
      <c r="L351" s="15" t="n"/>
      <c r="M351" s="15" t="n"/>
      <c r="N351" s="12" t="n"/>
      <c r="O351" s="12" t="n"/>
      <c r="P351" s="16">
        <f>IF(AND(ISNUMBER($L351),ISNUMBER($M351)),MAX(0,$M351-$L351),"")</f>
        <v/>
      </c>
      <c r="Q351" s="16">
        <f>IF(ISNUMBER($D351),MAX(0,TODAY()-$D351),"")</f>
        <v/>
      </c>
      <c r="R351" s="14">
        <f>IF(COUNTA($A351:$O351)=0,"",IFERROR(TRIM(TEXTJOIN(" | ",TRUE,IF($A351="","PC kosong",""),IF($C351="","Worker ID kosong",""),IF($D351="","Update Date kosong",IF(NOT(ISNUMBER($D351)),"Update Date bukan tanggal","")),IF($E351="","Song ID YT kosong",""),IF($F351="","Judul kosong",""),IF(TRIM($G351)="","",IF(ISERROR(MATCH(TRIM($G351),{"TuneCore","DistroKid","TooLost","SoundOn","Ditto","Believe","CD Baby","Amuse","Symphonic Distribution","ONErpm","RouteNote","LANDR","Horus Music","Indie"},0)),"Aggregator di luar daftar","")),IF(TRIM($H351)="","Genre kosong",IF((LEN(SUBSTITUTE(SUBSTITUTE(SUBSTITUTE(TRIM($H351),"/",","),";",",")," ",""))-LEN(SUBSTITUTE(SUBSTITUTE(SUBSTITUTE(SUBSTITUTE(TRIM($H351),"/",","),";",","),"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351),"/",","),";",",")," ","")&amp;",")))&lt;&gt;(LEN(SUBSTITUTE(SUBSTITUTE(SUBSTITUTE(TRIM($H351),"/",","),";",",")," ",""))-LEN(SUBSTITUTE(SUBSTITUTE(SUBSTITUTE(SUBSTITUTE(TRIM($H351),"/",","),";",",")," ",""),",",""))+1),"Genre di luar daftar",""))),IF($I351="","Nama Channel kosong",""),IF($J351="","Link Channel kosong",IF(ISERROR(SEARCH("youtu",$J351)),"Link Channel bukan youtube","")),IF($K351="","Link Video kosong",IF(ISERROR(SEARCH("youtu",$K351)),"Link Video bukan youtube","")),IF($L351="","Tgl Dibuat kosong",IF(NOT(ISNUMBER($L351)),"Tgl Dibuat bukan tanggal","")),IF(AND($M351&lt;&gt;"",NOT(ISNUMBER($M351))),"Tgl Publish bukan tanggal",""),IF(AND(ISNUMBER($L351),ISNUMBER($M351),$M351&lt;$L351),"Tgl Publish &lt; Tgl buat",""),IF(TRIM($N351)="","Status kosong",IF(ISERROR(MATCH(TRIM($N351),{"Draft","Menunggu Review","Revisi","Terjadwal","Upload","Publish","Published","Batal"},0)),"Status di luar daftar","")))),""))</f>
        <v/>
      </c>
      <c r="S351" s="12">
        <f>IF(AND($A351&lt;&gt;"",$C351&lt;&gt;""),IF(COUNTIFS($A$2:$A$1000,$A351,$C$2:$C$1000,$C351)&gt;1,"DUPLICAT",""),"")</f>
        <v/>
      </c>
    </row>
    <row r="352">
      <c r="A352" s="17" t="n"/>
      <c r="B352" s="17" t="n"/>
      <c r="C352" s="17" t="n"/>
      <c r="D352" s="18" t="n"/>
      <c r="E352" s="17" t="n"/>
      <c r="F352" s="19" t="n"/>
      <c r="G352" s="17" t="n"/>
      <c r="H352" s="17" t="n"/>
      <c r="I352" s="17" t="n"/>
      <c r="J352" s="19" t="n"/>
      <c r="K352" s="19" t="n"/>
      <c r="L352" s="20" t="n"/>
      <c r="M352" s="20" t="n"/>
      <c r="N352" s="17" t="n"/>
      <c r="O352" s="17" t="n"/>
      <c r="P352" s="21">
        <f>IF(AND(ISNUMBER($L352),ISNUMBER($M352)),MAX(0,$M352-$L352),"")</f>
        <v/>
      </c>
      <c r="Q352" s="21">
        <f>IF(ISNUMBER($D352),MAX(0,TODAY()-$D352),"")</f>
        <v/>
      </c>
      <c r="R352" s="19">
        <f>IF(COUNTA($A352:$O352)=0,"",IFERROR(TRIM(TEXTJOIN(" | ",TRUE,IF($A352="","PC kosong",""),IF($C352="","Worker ID kosong",""),IF($D352="","Update Date kosong",IF(NOT(ISNUMBER($D352)),"Update Date bukan tanggal","")),IF($E352="","Song ID YT kosong",""),IF($F352="","Judul kosong",""),IF(TRIM($G352)="","",IF(ISERROR(MATCH(TRIM($G352),{"TuneCore","DistroKid","TooLost","SoundOn","Ditto","Believe","CD Baby","Amuse","Symphonic Distribution","ONErpm","RouteNote","LANDR","Horus Music","Indie"},0)),"Aggregator di luar daftar","")),IF(TRIM($H352)="","Genre kosong",IF((LEN(SUBSTITUTE(SUBSTITUTE(SUBSTITUTE(TRIM($H352),"/",","),";",",")," ",""))-LEN(SUBSTITUTE(SUBSTITUTE(SUBSTITUTE(SUBSTITUTE(TRIM($H352),"/",","),";",","),"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352),"/",","),";",",")," ","")&amp;",")))&lt;&gt;(LEN(SUBSTITUTE(SUBSTITUTE(SUBSTITUTE(TRIM($H352),"/",","),";",",")," ",""))-LEN(SUBSTITUTE(SUBSTITUTE(SUBSTITUTE(SUBSTITUTE(TRIM($H352),"/",","),";",",")," ",""),",",""))+1),"Genre di luar daftar",""))),IF($I352="","Nama Channel kosong",""),IF($J352="","Link Channel kosong",IF(ISERROR(SEARCH("youtu",$J352)),"Link Channel bukan youtube","")),IF($K352="","Link Video kosong",IF(ISERROR(SEARCH("youtu",$K352)),"Link Video bukan youtube","")),IF($L352="","Tgl Dibuat kosong",IF(NOT(ISNUMBER($L352)),"Tgl Dibuat bukan tanggal","")),IF(AND($M352&lt;&gt;"",NOT(ISNUMBER($M352))),"Tgl Publish bukan tanggal",""),IF(AND(ISNUMBER($L352),ISNUMBER($M352),$M352&lt;$L352),"Tgl Publish &lt; Tgl buat",""),IF(TRIM($N352)="","Status kosong",IF(ISERROR(MATCH(TRIM($N352),{"Draft","Menunggu Review","Revisi","Terjadwal","Upload","Publish","Published","Batal"},0)),"Status di luar daftar","")))),""))</f>
        <v/>
      </c>
      <c r="S352" s="17">
        <f>IF(AND($A352&lt;&gt;"",$C352&lt;&gt;""),IF(COUNTIFS($A$2:$A$1000,$A352,$C$2:$C$1000,$C352)&gt;1,"DUPLICAT",""),"")</f>
        <v/>
      </c>
    </row>
    <row r="353">
      <c r="A353" s="12" t="n"/>
      <c r="B353" s="12" t="n"/>
      <c r="C353" s="12" t="n"/>
      <c r="D353" s="13" t="n"/>
      <c r="E353" s="12" t="n"/>
      <c r="F353" s="14" t="n"/>
      <c r="G353" s="12" t="n"/>
      <c r="H353" s="12" t="n"/>
      <c r="I353" s="12" t="n"/>
      <c r="J353" s="14" t="n"/>
      <c r="K353" s="14" t="n"/>
      <c r="L353" s="15" t="n"/>
      <c r="M353" s="15" t="n"/>
      <c r="N353" s="12" t="n"/>
      <c r="O353" s="12" t="n"/>
      <c r="P353" s="16">
        <f>IF(AND(ISNUMBER($L353),ISNUMBER($M353)),MAX(0,$M353-$L353),"")</f>
        <v/>
      </c>
      <c r="Q353" s="16">
        <f>IF(ISNUMBER($D353),MAX(0,TODAY()-$D353),"")</f>
        <v/>
      </c>
      <c r="R353" s="14">
        <f>IF(COUNTA($A353:$O353)=0,"",IFERROR(TRIM(TEXTJOIN(" | ",TRUE,IF($A353="","PC kosong",""),IF($C353="","Worker ID kosong",""),IF($D353="","Update Date kosong",IF(NOT(ISNUMBER($D353)),"Update Date bukan tanggal","")),IF($E353="","Song ID YT kosong",""),IF($F353="","Judul kosong",""),IF(TRIM($G353)="","",IF(ISERROR(MATCH(TRIM($G353),{"TuneCore","DistroKid","TooLost","SoundOn","Ditto","Believe","CD Baby","Amuse","Symphonic Distribution","ONErpm","RouteNote","LANDR","Horus Music","Indie"},0)),"Aggregator di luar daftar","")),IF(TRIM($H353)="","Genre kosong",IF((LEN(SUBSTITUTE(SUBSTITUTE(SUBSTITUTE(TRIM($H353),"/",","),";",",")," ",""))-LEN(SUBSTITUTE(SUBSTITUTE(SUBSTITUTE(SUBSTITUTE(TRIM($H353),"/",","),";",","),"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353),"/",","),";",",")," ","")&amp;",")))&lt;&gt;(LEN(SUBSTITUTE(SUBSTITUTE(SUBSTITUTE(TRIM($H353),"/",","),";",",")," ",""))-LEN(SUBSTITUTE(SUBSTITUTE(SUBSTITUTE(SUBSTITUTE(TRIM($H353),"/",","),";",",")," ",""),",",""))+1),"Genre di luar daftar",""))),IF($I353="","Nama Channel kosong",""),IF($J353="","Link Channel kosong",IF(ISERROR(SEARCH("youtu",$J353)),"Link Channel bukan youtube","")),IF($K353="","Link Video kosong",IF(ISERROR(SEARCH("youtu",$K353)),"Link Video bukan youtube","")),IF($L353="","Tgl Dibuat kosong",IF(NOT(ISNUMBER($L353)),"Tgl Dibuat bukan tanggal","")),IF(AND($M353&lt;&gt;"",NOT(ISNUMBER($M353))),"Tgl Publish bukan tanggal",""),IF(AND(ISNUMBER($L353),ISNUMBER($M353),$M353&lt;$L353),"Tgl Publish &lt; Tgl buat",""),IF(TRIM($N353)="","Status kosong",IF(ISERROR(MATCH(TRIM($N353),{"Draft","Menunggu Review","Revisi","Terjadwal","Upload","Publish","Published","Batal"},0)),"Status di luar daftar","")))),""))</f>
        <v/>
      </c>
      <c r="S353" s="12">
        <f>IF(AND($A353&lt;&gt;"",$C353&lt;&gt;""),IF(COUNTIFS($A$2:$A$1000,$A353,$C$2:$C$1000,$C353)&gt;1,"DUPLICAT",""),"")</f>
        <v/>
      </c>
    </row>
    <row r="354">
      <c r="A354" s="17" t="n"/>
      <c r="B354" s="17" t="n"/>
      <c r="C354" s="17" t="n"/>
      <c r="D354" s="18" t="n"/>
      <c r="E354" s="17" t="n"/>
      <c r="F354" s="19" t="n"/>
      <c r="G354" s="17" t="n"/>
      <c r="H354" s="17" t="n"/>
      <c r="I354" s="17" t="n"/>
      <c r="J354" s="19" t="n"/>
      <c r="K354" s="19" t="n"/>
      <c r="L354" s="20" t="n"/>
      <c r="M354" s="20" t="n"/>
      <c r="N354" s="17" t="n"/>
      <c r="O354" s="17" t="n"/>
      <c r="P354" s="21">
        <f>IF(AND(ISNUMBER($L354),ISNUMBER($M354)),MAX(0,$M354-$L354),"")</f>
        <v/>
      </c>
      <c r="Q354" s="21">
        <f>IF(ISNUMBER($D354),MAX(0,TODAY()-$D354),"")</f>
        <v/>
      </c>
      <c r="R354" s="19">
        <f>IF(COUNTA($A354:$O354)=0,"",IFERROR(TRIM(TEXTJOIN(" | ",TRUE,IF($A354="","PC kosong",""),IF($C354="","Worker ID kosong",""),IF($D354="","Update Date kosong",IF(NOT(ISNUMBER($D354)),"Update Date bukan tanggal","")),IF($E354="","Song ID YT kosong",""),IF($F354="","Judul kosong",""),IF(TRIM($G354)="","",IF(ISERROR(MATCH(TRIM($G354),{"TuneCore","DistroKid","TooLost","SoundOn","Ditto","Believe","CD Baby","Amuse","Symphonic Distribution","ONErpm","RouteNote","LANDR","Horus Music","Indie"},0)),"Aggregator di luar daftar","")),IF(TRIM($H354)="","Genre kosong",IF((LEN(SUBSTITUTE(SUBSTITUTE(SUBSTITUTE(TRIM($H354),"/",","),";",",")," ",""))-LEN(SUBSTITUTE(SUBSTITUTE(SUBSTITUTE(SUBSTITUTE(TRIM($H354),"/",","),";",","),"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354),"/",","),";",",")," ","")&amp;",")))&lt;&gt;(LEN(SUBSTITUTE(SUBSTITUTE(SUBSTITUTE(TRIM($H354),"/",","),";",",")," ",""))-LEN(SUBSTITUTE(SUBSTITUTE(SUBSTITUTE(SUBSTITUTE(TRIM($H354),"/",","),";",",")," ",""),",",""))+1),"Genre di luar daftar",""))),IF($I354="","Nama Channel kosong",""),IF($J354="","Link Channel kosong",IF(ISERROR(SEARCH("youtu",$J354)),"Link Channel bukan youtube","")),IF($K354="","Link Video kosong",IF(ISERROR(SEARCH("youtu",$K354)),"Link Video bukan youtube","")),IF($L354="","Tgl Dibuat kosong",IF(NOT(ISNUMBER($L354)),"Tgl Dibuat bukan tanggal","")),IF(AND($M354&lt;&gt;"",NOT(ISNUMBER($M354))),"Tgl Publish bukan tanggal",""),IF(AND(ISNUMBER($L354),ISNUMBER($M354),$M354&lt;$L354),"Tgl Publish &lt; Tgl buat",""),IF(TRIM($N354)="","Status kosong",IF(ISERROR(MATCH(TRIM($N354),{"Draft","Menunggu Review","Revisi","Terjadwal","Upload","Publish","Published","Batal"},0)),"Status di luar daftar","")))),""))</f>
        <v/>
      </c>
      <c r="S354" s="17">
        <f>IF(AND($A354&lt;&gt;"",$C354&lt;&gt;""),IF(COUNTIFS($A$2:$A$1000,$A354,$C$2:$C$1000,$C354)&gt;1,"DUPLICAT",""),"")</f>
        <v/>
      </c>
    </row>
    <row r="355">
      <c r="A355" s="12" t="n"/>
      <c r="B355" s="12" t="n"/>
      <c r="C355" s="12" t="n"/>
      <c r="D355" s="13" t="n"/>
      <c r="E355" s="12" t="n"/>
      <c r="F355" s="14" t="n"/>
      <c r="G355" s="12" t="n"/>
      <c r="H355" s="12" t="n"/>
      <c r="I355" s="12" t="n"/>
      <c r="J355" s="14" t="n"/>
      <c r="K355" s="14" t="n"/>
      <c r="L355" s="15" t="n"/>
      <c r="M355" s="15" t="n"/>
      <c r="N355" s="12" t="n"/>
      <c r="O355" s="12" t="n"/>
      <c r="P355" s="16">
        <f>IF(AND(ISNUMBER($L355),ISNUMBER($M355)),MAX(0,$M355-$L355),"")</f>
        <v/>
      </c>
      <c r="Q355" s="16">
        <f>IF(ISNUMBER($D355),MAX(0,TODAY()-$D355),"")</f>
        <v/>
      </c>
      <c r="R355" s="14">
        <f>IF(COUNTA($A355:$O355)=0,"",IFERROR(TRIM(TEXTJOIN(" | ",TRUE,IF($A355="","PC kosong",""),IF($C355="","Worker ID kosong",""),IF($D355="","Update Date kosong",IF(NOT(ISNUMBER($D355)),"Update Date bukan tanggal","")),IF($E355="","Song ID YT kosong",""),IF($F355="","Judul kosong",""),IF(TRIM($G355)="","",IF(ISERROR(MATCH(TRIM($G355),{"TuneCore","DistroKid","TooLost","SoundOn","Ditto","Believe","CD Baby","Amuse","Symphonic Distribution","ONErpm","RouteNote","LANDR","Horus Music","Indie"},0)),"Aggregator di luar daftar","")),IF(TRIM($H355)="","Genre kosong",IF((LEN(SUBSTITUTE(SUBSTITUTE(SUBSTITUTE(TRIM($H355),"/",","),";",",")," ",""))-LEN(SUBSTITUTE(SUBSTITUTE(SUBSTITUTE(SUBSTITUTE(TRIM($H355),"/",","),";",","),"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355),"/",","),";",",")," ","")&amp;",")))&lt;&gt;(LEN(SUBSTITUTE(SUBSTITUTE(SUBSTITUTE(TRIM($H355),"/",","),";",",")," ",""))-LEN(SUBSTITUTE(SUBSTITUTE(SUBSTITUTE(SUBSTITUTE(TRIM($H355),"/",","),";",",")," ",""),",",""))+1),"Genre di luar daftar",""))),IF($I355="","Nama Channel kosong",""),IF($J355="","Link Channel kosong",IF(ISERROR(SEARCH("youtu",$J355)),"Link Channel bukan youtube","")),IF($K355="","Link Video kosong",IF(ISERROR(SEARCH("youtu",$K355)),"Link Video bukan youtube","")),IF($L355="","Tgl Dibuat kosong",IF(NOT(ISNUMBER($L355)),"Tgl Dibuat bukan tanggal","")),IF(AND($M355&lt;&gt;"",NOT(ISNUMBER($M355))),"Tgl Publish bukan tanggal",""),IF(AND(ISNUMBER($L355),ISNUMBER($M355),$M355&lt;$L355),"Tgl Publish &lt; Tgl buat",""),IF(TRIM($N355)="","Status kosong",IF(ISERROR(MATCH(TRIM($N355),{"Draft","Menunggu Review","Revisi","Terjadwal","Upload","Publish","Published","Batal"},0)),"Status di luar daftar","")))),""))</f>
        <v/>
      </c>
      <c r="S355" s="12">
        <f>IF(AND($A355&lt;&gt;"",$C355&lt;&gt;""),IF(COUNTIFS($A$2:$A$1000,$A355,$C$2:$C$1000,$C355)&gt;1,"DUPLICAT",""),"")</f>
        <v/>
      </c>
    </row>
    <row r="356">
      <c r="A356" s="17" t="n"/>
      <c r="B356" s="17" t="n"/>
      <c r="C356" s="17" t="n"/>
      <c r="D356" s="18" t="n"/>
      <c r="E356" s="17" t="n"/>
      <c r="F356" s="19" t="n"/>
      <c r="G356" s="17" t="n"/>
      <c r="H356" s="17" t="n"/>
      <c r="I356" s="17" t="n"/>
      <c r="J356" s="19" t="n"/>
      <c r="K356" s="19" t="n"/>
      <c r="L356" s="20" t="n"/>
      <c r="M356" s="20" t="n"/>
      <c r="N356" s="17" t="n"/>
      <c r="O356" s="17" t="n"/>
      <c r="P356" s="21">
        <f>IF(AND(ISNUMBER($L356),ISNUMBER($M356)),MAX(0,$M356-$L356),"")</f>
        <v/>
      </c>
      <c r="Q356" s="21">
        <f>IF(ISNUMBER($D356),MAX(0,TODAY()-$D356),"")</f>
        <v/>
      </c>
      <c r="R356" s="19">
        <f>IF(COUNTA($A356:$O356)=0,"",IFERROR(TRIM(TEXTJOIN(" | ",TRUE,IF($A356="","PC kosong",""),IF($C356="","Worker ID kosong",""),IF($D356="","Update Date kosong",IF(NOT(ISNUMBER($D356)),"Update Date bukan tanggal","")),IF($E356="","Song ID YT kosong",""),IF($F356="","Judul kosong",""),IF(TRIM($G356)="","",IF(ISERROR(MATCH(TRIM($G356),{"TuneCore","DistroKid","TooLost","SoundOn","Ditto","Believe","CD Baby","Amuse","Symphonic Distribution","ONErpm","RouteNote","LANDR","Horus Music","Indie"},0)),"Aggregator di luar daftar","")),IF(TRIM($H356)="","Genre kosong",IF((LEN(SUBSTITUTE(SUBSTITUTE(SUBSTITUTE(TRIM($H356),"/",","),";",",")," ",""))-LEN(SUBSTITUTE(SUBSTITUTE(SUBSTITUTE(SUBSTITUTE(TRIM($H356),"/",","),";",","),"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356),"/",","),";",",")," ","")&amp;",")))&lt;&gt;(LEN(SUBSTITUTE(SUBSTITUTE(SUBSTITUTE(TRIM($H356),"/",","),";",",")," ",""))-LEN(SUBSTITUTE(SUBSTITUTE(SUBSTITUTE(SUBSTITUTE(TRIM($H356),"/",","),";",",")," ",""),",",""))+1),"Genre di luar daftar",""))),IF($I356="","Nama Channel kosong",""),IF($J356="","Link Channel kosong",IF(ISERROR(SEARCH("youtu",$J356)),"Link Channel bukan youtube","")),IF($K356="","Link Video kosong",IF(ISERROR(SEARCH("youtu",$K356)),"Link Video bukan youtube","")),IF($L356="","Tgl Dibuat kosong",IF(NOT(ISNUMBER($L356)),"Tgl Dibuat bukan tanggal","")),IF(AND($M356&lt;&gt;"",NOT(ISNUMBER($M356))),"Tgl Publish bukan tanggal",""),IF(AND(ISNUMBER($L356),ISNUMBER($M356),$M356&lt;$L356),"Tgl Publish &lt; Tgl buat",""),IF(TRIM($N356)="","Status kosong",IF(ISERROR(MATCH(TRIM($N356),{"Draft","Menunggu Review","Revisi","Terjadwal","Upload","Publish","Published","Batal"},0)),"Status di luar daftar","")))),""))</f>
        <v/>
      </c>
      <c r="S356" s="17">
        <f>IF(AND($A356&lt;&gt;"",$C356&lt;&gt;""),IF(COUNTIFS($A$2:$A$1000,$A356,$C$2:$C$1000,$C356)&gt;1,"DUPLICAT",""),"")</f>
        <v/>
      </c>
    </row>
    <row r="357">
      <c r="A357" s="12" t="n"/>
      <c r="B357" s="12" t="n"/>
      <c r="C357" s="12" t="n"/>
      <c r="D357" s="13" t="n"/>
      <c r="E357" s="12" t="n"/>
      <c r="F357" s="14" t="n"/>
      <c r="G357" s="12" t="n"/>
      <c r="H357" s="12" t="n"/>
      <c r="I357" s="12" t="n"/>
      <c r="J357" s="14" t="n"/>
      <c r="K357" s="14" t="n"/>
      <c r="L357" s="15" t="n"/>
      <c r="M357" s="15" t="n"/>
      <c r="N357" s="12" t="n"/>
      <c r="O357" s="12" t="n"/>
      <c r="P357" s="16">
        <f>IF(AND(ISNUMBER($L357),ISNUMBER($M357)),MAX(0,$M357-$L357),"")</f>
        <v/>
      </c>
      <c r="Q357" s="16">
        <f>IF(ISNUMBER($D357),MAX(0,TODAY()-$D357),"")</f>
        <v/>
      </c>
      <c r="R357" s="14">
        <f>IF(COUNTA($A357:$O357)=0,"",IFERROR(TRIM(TEXTJOIN(" | ",TRUE,IF($A357="","PC kosong",""),IF($C357="","Worker ID kosong",""),IF($D357="","Update Date kosong",IF(NOT(ISNUMBER($D357)),"Update Date bukan tanggal","")),IF($E357="","Song ID YT kosong",""),IF($F357="","Judul kosong",""),IF(TRIM($G357)="","",IF(ISERROR(MATCH(TRIM($G357),{"TuneCore","DistroKid","TooLost","SoundOn","Ditto","Believe","CD Baby","Amuse","Symphonic Distribution","ONErpm","RouteNote","LANDR","Horus Music","Indie"},0)),"Aggregator di luar daftar","")),IF(TRIM($H357)="","Genre kosong",IF((LEN(SUBSTITUTE(SUBSTITUTE(SUBSTITUTE(TRIM($H357),"/",","),";",",")," ",""))-LEN(SUBSTITUTE(SUBSTITUTE(SUBSTITUTE(SUBSTITUTE(TRIM($H357),"/",","),";",","),"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357),"/",","),";",",")," ","")&amp;",")))&lt;&gt;(LEN(SUBSTITUTE(SUBSTITUTE(SUBSTITUTE(TRIM($H357),"/",","),";",",")," ",""))-LEN(SUBSTITUTE(SUBSTITUTE(SUBSTITUTE(SUBSTITUTE(TRIM($H357),"/",","),";",",")," ",""),",",""))+1),"Genre di luar daftar",""))),IF($I357="","Nama Channel kosong",""),IF($J357="","Link Channel kosong",IF(ISERROR(SEARCH("youtu",$J357)),"Link Channel bukan youtube","")),IF($K357="","Link Video kosong",IF(ISERROR(SEARCH("youtu",$K357)),"Link Video bukan youtube","")),IF($L357="","Tgl Dibuat kosong",IF(NOT(ISNUMBER($L357)),"Tgl Dibuat bukan tanggal","")),IF(AND($M357&lt;&gt;"",NOT(ISNUMBER($M357))),"Tgl Publish bukan tanggal",""),IF(AND(ISNUMBER($L357),ISNUMBER($M357),$M357&lt;$L357),"Tgl Publish &lt; Tgl buat",""),IF(TRIM($N357)="","Status kosong",IF(ISERROR(MATCH(TRIM($N357),{"Draft","Menunggu Review","Revisi","Terjadwal","Upload","Publish","Published","Batal"},0)),"Status di luar daftar","")))),""))</f>
        <v/>
      </c>
      <c r="S357" s="12">
        <f>IF(AND($A357&lt;&gt;"",$C357&lt;&gt;""),IF(COUNTIFS($A$2:$A$1000,$A357,$C$2:$C$1000,$C357)&gt;1,"DUPLICAT",""),"")</f>
        <v/>
      </c>
    </row>
    <row r="358">
      <c r="A358" s="17" t="n"/>
      <c r="B358" s="17" t="n"/>
      <c r="C358" s="17" t="n"/>
      <c r="D358" s="18" t="n"/>
      <c r="E358" s="17" t="n"/>
      <c r="F358" s="19" t="n"/>
      <c r="G358" s="17" t="n"/>
      <c r="H358" s="17" t="n"/>
      <c r="I358" s="17" t="n"/>
      <c r="J358" s="19" t="n"/>
      <c r="K358" s="19" t="n"/>
      <c r="L358" s="20" t="n"/>
      <c r="M358" s="20" t="n"/>
      <c r="N358" s="17" t="n"/>
      <c r="O358" s="17" t="n"/>
      <c r="P358" s="21">
        <f>IF(AND(ISNUMBER($L358),ISNUMBER($M358)),MAX(0,$M358-$L358),"")</f>
        <v/>
      </c>
      <c r="Q358" s="21">
        <f>IF(ISNUMBER($D358),MAX(0,TODAY()-$D358),"")</f>
        <v/>
      </c>
      <c r="R358" s="19">
        <f>IF(COUNTA($A358:$O358)=0,"",IFERROR(TRIM(TEXTJOIN(" | ",TRUE,IF($A358="","PC kosong",""),IF($C358="","Worker ID kosong",""),IF($D358="","Update Date kosong",IF(NOT(ISNUMBER($D358)),"Update Date bukan tanggal","")),IF($E358="","Song ID YT kosong",""),IF($F358="","Judul kosong",""),IF(TRIM($G358)="","",IF(ISERROR(MATCH(TRIM($G358),{"TuneCore","DistroKid","TooLost","SoundOn","Ditto","Believe","CD Baby","Amuse","Symphonic Distribution","ONErpm","RouteNote","LANDR","Horus Music","Indie"},0)),"Aggregator di luar daftar","")),IF(TRIM($H358)="","Genre kosong",IF((LEN(SUBSTITUTE(SUBSTITUTE(SUBSTITUTE(TRIM($H358),"/",","),";",",")," ",""))-LEN(SUBSTITUTE(SUBSTITUTE(SUBSTITUTE(SUBSTITUTE(TRIM($H358),"/",","),";",","),"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358),"/",","),";",",")," ","")&amp;",")))&lt;&gt;(LEN(SUBSTITUTE(SUBSTITUTE(SUBSTITUTE(TRIM($H358),"/",","),";",",")," ",""))-LEN(SUBSTITUTE(SUBSTITUTE(SUBSTITUTE(SUBSTITUTE(TRIM($H358),"/",","),";",",")," ",""),",",""))+1),"Genre di luar daftar",""))),IF($I358="","Nama Channel kosong",""),IF($J358="","Link Channel kosong",IF(ISERROR(SEARCH("youtu",$J358)),"Link Channel bukan youtube","")),IF($K358="","Link Video kosong",IF(ISERROR(SEARCH("youtu",$K358)),"Link Video bukan youtube","")),IF($L358="","Tgl Dibuat kosong",IF(NOT(ISNUMBER($L358)),"Tgl Dibuat bukan tanggal","")),IF(AND($M358&lt;&gt;"",NOT(ISNUMBER($M358))),"Tgl Publish bukan tanggal",""),IF(AND(ISNUMBER($L358),ISNUMBER($M358),$M358&lt;$L358),"Tgl Publish &lt; Tgl buat",""),IF(TRIM($N358)="","Status kosong",IF(ISERROR(MATCH(TRIM($N358),{"Draft","Menunggu Review","Revisi","Terjadwal","Upload","Publish","Published","Batal"},0)),"Status di luar daftar","")))),""))</f>
        <v/>
      </c>
      <c r="S358" s="17">
        <f>IF(AND($A358&lt;&gt;"",$C358&lt;&gt;""),IF(COUNTIFS($A$2:$A$1000,$A358,$C$2:$C$1000,$C358)&gt;1,"DUPLICAT",""),"")</f>
        <v/>
      </c>
    </row>
    <row r="359">
      <c r="A359" s="12" t="n"/>
      <c r="B359" s="12" t="n"/>
      <c r="C359" s="12" t="n"/>
      <c r="D359" s="13" t="n"/>
      <c r="E359" s="12" t="n"/>
      <c r="F359" s="14" t="n"/>
      <c r="G359" s="12" t="n"/>
      <c r="H359" s="12" t="n"/>
      <c r="I359" s="12" t="n"/>
      <c r="J359" s="14" t="n"/>
      <c r="K359" s="14" t="n"/>
      <c r="L359" s="15" t="n"/>
      <c r="M359" s="15" t="n"/>
      <c r="N359" s="12" t="n"/>
      <c r="O359" s="12" t="n"/>
      <c r="P359" s="16">
        <f>IF(AND(ISNUMBER($L359),ISNUMBER($M359)),MAX(0,$M359-$L359),"")</f>
        <v/>
      </c>
      <c r="Q359" s="16">
        <f>IF(ISNUMBER($D359),MAX(0,TODAY()-$D359),"")</f>
        <v/>
      </c>
      <c r="R359" s="14">
        <f>IF(COUNTA($A359:$O359)=0,"",IFERROR(TRIM(TEXTJOIN(" | ",TRUE,IF($A359="","PC kosong",""),IF($C359="","Worker ID kosong",""),IF($D359="","Update Date kosong",IF(NOT(ISNUMBER($D359)),"Update Date bukan tanggal","")),IF($E359="","Song ID YT kosong",""),IF($F359="","Judul kosong",""),IF(TRIM($G359)="","",IF(ISERROR(MATCH(TRIM($G359),{"TuneCore","DistroKid","TooLost","SoundOn","Ditto","Believe","CD Baby","Amuse","Symphonic Distribution","ONErpm","RouteNote","LANDR","Horus Music","Indie"},0)),"Aggregator di luar daftar","")),IF(TRIM($H359)="","Genre kosong",IF((LEN(SUBSTITUTE(SUBSTITUTE(SUBSTITUTE(TRIM($H359),"/",","),";",",")," ",""))-LEN(SUBSTITUTE(SUBSTITUTE(SUBSTITUTE(SUBSTITUTE(TRIM($H359),"/",","),";",","),"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359),"/",","),";",",")," ","")&amp;",")))&lt;&gt;(LEN(SUBSTITUTE(SUBSTITUTE(SUBSTITUTE(TRIM($H359),"/",","),";",",")," ",""))-LEN(SUBSTITUTE(SUBSTITUTE(SUBSTITUTE(SUBSTITUTE(TRIM($H359),"/",","),";",",")," ",""),",",""))+1),"Genre di luar daftar",""))),IF($I359="","Nama Channel kosong",""),IF($J359="","Link Channel kosong",IF(ISERROR(SEARCH("youtu",$J359)),"Link Channel bukan youtube","")),IF($K359="","Link Video kosong",IF(ISERROR(SEARCH("youtu",$K359)),"Link Video bukan youtube","")),IF($L359="","Tgl Dibuat kosong",IF(NOT(ISNUMBER($L359)),"Tgl Dibuat bukan tanggal","")),IF(AND($M359&lt;&gt;"",NOT(ISNUMBER($M359))),"Tgl Publish bukan tanggal",""),IF(AND(ISNUMBER($L359),ISNUMBER($M359),$M359&lt;$L359),"Tgl Publish &lt; Tgl buat",""),IF(TRIM($N359)="","Status kosong",IF(ISERROR(MATCH(TRIM($N359),{"Draft","Menunggu Review","Revisi","Terjadwal","Upload","Publish","Published","Batal"},0)),"Status di luar daftar","")))),""))</f>
        <v/>
      </c>
      <c r="S359" s="12">
        <f>IF(AND($A359&lt;&gt;"",$C359&lt;&gt;""),IF(COUNTIFS($A$2:$A$1000,$A359,$C$2:$C$1000,$C359)&gt;1,"DUPLICAT",""),"")</f>
        <v/>
      </c>
    </row>
    <row r="360">
      <c r="A360" s="17" t="n"/>
      <c r="B360" s="17" t="n"/>
      <c r="C360" s="17" t="n"/>
      <c r="D360" s="18" t="n"/>
      <c r="E360" s="17" t="n"/>
      <c r="F360" s="19" t="n"/>
      <c r="G360" s="17" t="n"/>
      <c r="H360" s="17" t="n"/>
      <c r="I360" s="17" t="n"/>
      <c r="J360" s="19" t="n"/>
      <c r="K360" s="19" t="n"/>
      <c r="L360" s="20" t="n"/>
      <c r="M360" s="20" t="n"/>
      <c r="N360" s="17" t="n"/>
      <c r="O360" s="17" t="n"/>
      <c r="P360" s="21">
        <f>IF(AND(ISNUMBER($L360),ISNUMBER($M360)),MAX(0,$M360-$L360),"")</f>
        <v/>
      </c>
      <c r="Q360" s="21">
        <f>IF(ISNUMBER($D360),MAX(0,TODAY()-$D360),"")</f>
        <v/>
      </c>
      <c r="R360" s="19">
        <f>IF(COUNTA($A360:$O360)=0,"",IFERROR(TRIM(TEXTJOIN(" | ",TRUE,IF($A360="","PC kosong",""),IF($C360="","Worker ID kosong",""),IF($D360="","Update Date kosong",IF(NOT(ISNUMBER($D360)),"Update Date bukan tanggal","")),IF($E360="","Song ID YT kosong",""),IF($F360="","Judul kosong",""),IF(TRIM($G360)="","",IF(ISERROR(MATCH(TRIM($G360),{"TuneCore","DistroKid","TooLost","SoundOn","Ditto","Believe","CD Baby","Amuse","Symphonic Distribution","ONErpm","RouteNote","LANDR","Horus Music","Indie"},0)),"Aggregator di luar daftar","")),IF(TRIM($H360)="","Genre kosong",IF((LEN(SUBSTITUTE(SUBSTITUTE(SUBSTITUTE(TRIM($H360),"/",","),";",",")," ",""))-LEN(SUBSTITUTE(SUBSTITUTE(SUBSTITUTE(SUBSTITUTE(TRIM($H360),"/",","),";",","),"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360),"/",","),";",",")," ","")&amp;",")))&lt;&gt;(LEN(SUBSTITUTE(SUBSTITUTE(SUBSTITUTE(TRIM($H360),"/",","),";",",")," ",""))-LEN(SUBSTITUTE(SUBSTITUTE(SUBSTITUTE(SUBSTITUTE(TRIM($H360),"/",","),";",",")," ",""),",",""))+1),"Genre di luar daftar",""))),IF($I360="","Nama Channel kosong",""),IF($J360="","Link Channel kosong",IF(ISERROR(SEARCH("youtu",$J360)),"Link Channel bukan youtube","")),IF($K360="","Link Video kosong",IF(ISERROR(SEARCH("youtu",$K360)),"Link Video bukan youtube","")),IF($L360="","Tgl Dibuat kosong",IF(NOT(ISNUMBER($L360)),"Tgl Dibuat bukan tanggal","")),IF(AND($M360&lt;&gt;"",NOT(ISNUMBER($M360))),"Tgl Publish bukan tanggal",""),IF(AND(ISNUMBER($L360),ISNUMBER($M360),$M360&lt;$L360),"Tgl Publish &lt; Tgl buat",""),IF(TRIM($N360)="","Status kosong",IF(ISERROR(MATCH(TRIM($N360),{"Draft","Menunggu Review","Revisi","Terjadwal","Upload","Publish","Published","Batal"},0)),"Status di luar daftar","")))),""))</f>
        <v/>
      </c>
      <c r="S360" s="17">
        <f>IF(AND($A360&lt;&gt;"",$C360&lt;&gt;""),IF(COUNTIFS($A$2:$A$1000,$A360,$C$2:$C$1000,$C360)&gt;1,"DUPLICAT",""),"")</f>
        <v/>
      </c>
    </row>
    <row r="361">
      <c r="A361" s="12" t="n"/>
      <c r="B361" s="12" t="n"/>
      <c r="C361" s="12" t="n"/>
      <c r="D361" s="13" t="n"/>
      <c r="E361" s="12" t="n"/>
      <c r="F361" s="14" t="n"/>
      <c r="G361" s="12" t="n"/>
      <c r="H361" s="12" t="n"/>
      <c r="I361" s="12" t="n"/>
      <c r="J361" s="14" t="n"/>
      <c r="K361" s="14" t="n"/>
      <c r="L361" s="15" t="n"/>
      <c r="M361" s="15" t="n"/>
      <c r="N361" s="12" t="n"/>
      <c r="O361" s="12" t="n"/>
      <c r="P361" s="16">
        <f>IF(AND(ISNUMBER($L361),ISNUMBER($M361)),MAX(0,$M361-$L361),"")</f>
        <v/>
      </c>
      <c r="Q361" s="16">
        <f>IF(ISNUMBER($D361),MAX(0,TODAY()-$D361),"")</f>
        <v/>
      </c>
      <c r="R361" s="14">
        <f>IF(COUNTA($A361:$O361)=0,"",IFERROR(TRIM(TEXTJOIN(" | ",TRUE,IF($A361="","PC kosong",""),IF($C361="","Worker ID kosong",""),IF($D361="","Update Date kosong",IF(NOT(ISNUMBER($D361)),"Update Date bukan tanggal","")),IF($E361="","Song ID YT kosong",""),IF($F361="","Judul kosong",""),IF(TRIM($G361)="","",IF(ISERROR(MATCH(TRIM($G361),{"TuneCore","DistroKid","TooLost","SoundOn","Ditto","Believe","CD Baby","Amuse","Symphonic Distribution","ONErpm","RouteNote","LANDR","Horus Music","Indie"},0)),"Aggregator di luar daftar","")),IF(TRIM($H361)="","Genre kosong",IF((LEN(SUBSTITUTE(SUBSTITUTE(SUBSTITUTE(TRIM($H361),"/",","),";",",")," ",""))-LEN(SUBSTITUTE(SUBSTITUTE(SUBSTITUTE(SUBSTITUTE(TRIM($H361),"/",","),";",","),"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361),"/",","),";",",")," ","")&amp;",")))&lt;&gt;(LEN(SUBSTITUTE(SUBSTITUTE(SUBSTITUTE(TRIM($H361),"/",","),";",",")," ",""))-LEN(SUBSTITUTE(SUBSTITUTE(SUBSTITUTE(SUBSTITUTE(TRIM($H361),"/",","),";",",")," ",""),",",""))+1),"Genre di luar daftar",""))),IF($I361="","Nama Channel kosong",""),IF($J361="","Link Channel kosong",IF(ISERROR(SEARCH("youtu",$J361)),"Link Channel bukan youtube","")),IF($K361="","Link Video kosong",IF(ISERROR(SEARCH("youtu",$K361)),"Link Video bukan youtube","")),IF($L361="","Tgl Dibuat kosong",IF(NOT(ISNUMBER($L361)),"Tgl Dibuat bukan tanggal","")),IF(AND($M361&lt;&gt;"",NOT(ISNUMBER($M361))),"Tgl Publish bukan tanggal",""),IF(AND(ISNUMBER($L361),ISNUMBER($M361),$M361&lt;$L361),"Tgl Publish &lt; Tgl buat",""),IF(TRIM($N361)="","Status kosong",IF(ISERROR(MATCH(TRIM($N361),{"Draft","Menunggu Review","Revisi","Terjadwal","Upload","Publish","Published","Batal"},0)),"Status di luar daftar","")))),""))</f>
        <v/>
      </c>
      <c r="S361" s="12">
        <f>IF(AND($A361&lt;&gt;"",$C361&lt;&gt;""),IF(COUNTIFS($A$2:$A$1000,$A361,$C$2:$C$1000,$C361)&gt;1,"DUPLICAT",""),"")</f>
        <v/>
      </c>
    </row>
    <row r="362">
      <c r="A362" s="17" t="n"/>
      <c r="B362" s="17" t="n"/>
      <c r="C362" s="17" t="n"/>
      <c r="D362" s="18" t="n"/>
      <c r="E362" s="17" t="n"/>
      <c r="F362" s="19" t="n"/>
      <c r="G362" s="17" t="n"/>
      <c r="H362" s="17" t="n"/>
      <c r="I362" s="17" t="n"/>
      <c r="J362" s="19" t="n"/>
      <c r="K362" s="19" t="n"/>
      <c r="L362" s="20" t="n"/>
      <c r="M362" s="20" t="n"/>
      <c r="N362" s="17" t="n"/>
      <c r="O362" s="17" t="n"/>
      <c r="P362" s="21">
        <f>IF(AND(ISNUMBER($L362),ISNUMBER($M362)),MAX(0,$M362-$L362),"")</f>
        <v/>
      </c>
      <c r="Q362" s="21">
        <f>IF(ISNUMBER($D362),MAX(0,TODAY()-$D362),"")</f>
        <v/>
      </c>
      <c r="R362" s="19">
        <f>IF(COUNTA($A362:$O362)=0,"",IFERROR(TRIM(TEXTJOIN(" | ",TRUE,IF($A362="","PC kosong",""),IF($C362="","Worker ID kosong",""),IF($D362="","Update Date kosong",IF(NOT(ISNUMBER($D362)),"Update Date bukan tanggal","")),IF($E362="","Song ID YT kosong",""),IF($F362="","Judul kosong",""),IF(TRIM($G362)="","",IF(ISERROR(MATCH(TRIM($G362),{"TuneCore","DistroKid","TooLost","SoundOn","Ditto","Believe","CD Baby","Amuse","Symphonic Distribution","ONErpm","RouteNote","LANDR","Horus Music","Indie"},0)),"Aggregator di luar daftar","")),IF(TRIM($H362)="","Genre kosong",IF((LEN(SUBSTITUTE(SUBSTITUTE(SUBSTITUTE(TRIM($H362),"/",","),";",",")," ",""))-LEN(SUBSTITUTE(SUBSTITUTE(SUBSTITUTE(SUBSTITUTE(TRIM($H362),"/",","),";",","),"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362),"/",","),";",",")," ","")&amp;",")))&lt;&gt;(LEN(SUBSTITUTE(SUBSTITUTE(SUBSTITUTE(TRIM($H362),"/",","),";",",")," ",""))-LEN(SUBSTITUTE(SUBSTITUTE(SUBSTITUTE(SUBSTITUTE(TRIM($H362),"/",","),";",",")," ",""),",",""))+1),"Genre di luar daftar",""))),IF($I362="","Nama Channel kosong",""),IF($J362="","Link Channel kosong",IF(ISERROR(SEARCH("youtu",$J362)),"Link Channel bukan youtube","")),IF($K362="","Link Video kosong",IF(ISERROR(SEARCH("youtu",$K362)),"Link Video bukan youtube","")),IF($L362="","Tgl Dibuat kosong",IF(NOT(ISNUMBER($L362)),"Tgl Dibuat bukan tanggal","")),IF(AND($M362&lt;&gt;"",NOT(ISNUMBER($M362))),"Tgl Publish bukan tanggal",""),IF(AND(ISNUMBER($L362),ISNUMBER($M362),$M362&lt;$L362),"Tgl Publish &lt; Tgl buat",""),IF(TRIM($N362)="","Status kosong",IF(ISERROR(MATCH(TRIM($N362),{"Draft","Menunggu Review","Revisi","Terjadwal","Upload","Publish","Published","Batal"},0)),"Status di luar daftar","")))),""))</f>
        <v/>
      </c>
      <c r="S362" s="17">
        <f>IF(AND($A362&lt;&gt;"",$C362&lt;&gt;""),IF(COUNTIFS($A$2:$A$1000,$A362,$C$2:$C$1000,$C362)&gt;1,"DUPLICAT",""),"")</f>
        <v/>
      </c>
    </row>
    <row r="363">
      <c r="A363" s="12" t="n"/>
      <c r="B363" s="12" t="n"/>
      <c r="C363" s="12" t="n"/>
      <c r="D363" s="13" t="n"/>
      <c r="E363" s="12" t="n"/>
      <c r="F363" s="14" t="n"/>
      <c r="G363" s="12" t="n"/>
      <c r="H363" s="12" t="n"/>
      <c r="I363" s="12" t="n"/>
      <c r="J363" s="14" t="n"/>
      <c r="K363" s="14" t="n"/>
      <c r="L363" s="15" t="n"/>
      <c r="M363" s="15" t="n"/>
      <c r="N363" s="12" t="n"/>
      <c r="O363" s="12" t="n"/>
      <c r="P363" s="16">
        <f>IF(AND(ISNUMBER($L363),ISNUMBER($M363)),MAX(0,$M363-$L363),"")</f>
        <v/>
      </c>
      <c r="Q363" s="16">
        <f>IF(ISNUMBER($D363),MAX(0,TODAY()-$D363),"")</f>
        <v/>
      </c>
      <c r="R363" s="14">
        <f>IF(COUNTA($A363:$O363)=0,"",IFERROR(TRIM(TEXTJOIN(" | ",TRUE,IF($A363="","PC kosong",""),IF($C363="","Worker ID kosong",""),IF($D363="","Update Date kosong",IF(NOT(ISNUMBER($D363)),"Update Date bukan tanggal","")),IF($E363="","Song ID YT kosong",""),IF($F363="","Judul kosong",""),IF(TRIM($G363)="","",IF(ISERROR(MATCH(TRIM($G363),{"TuneCore","DistroKid","TooLost","SoundOn","Ditto","Believe","CD Baby","Amuse","Symphonic Distribution","ONErpm","RouteNote","LANDR","Horus Music","Indie"},0)),"Aggregator di luar daftar","")),IF(TRIM($H363)="","Genre kosong",IF((LEN(SUBSTITUTE(SUBSTITUTE(SUBSTITUTE(TRIM($H363),"/",","),";",",")," ",""))-LEN(SUBSTITUTE(SUBSTITUTE(SUBSTITUTE(SUBSTITUTE(TRIM($H363),"/",","),";",","),"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363),"/",","),";",",")," ","")&amp;",")))&lt;&gt;(LEN(SUBSTITUTE(SUBSTITUTE(SUBSTITUTE(TRIM($H363),"/",","),";",",")," ",""))-LEN(SUBSTITUTE(SUBSTITUTE(SUBSTITUTE(SUBSTITUTE(TRIM($H363),"/",","),";",",")," ",""),",",""))+1),"Genre di luar daftar",""))),IF($I363="","Nama Channel kosong",""),IF($J363="","Link Channel kosong",IF(ISERROR(SEARCH("youtu",$J363)),"Link Channel bukan youtube","")),IF($K363="","Link Video kosong",IF(ISERROR(SEARCH("youtu",$K363)),"Link Video bukan youtube","")),IF($L363="","Tgl Dibuat kosong",IF(NOT(ISNUMBER($L363)),"Tgl Dibuat bukan tanggal","")),IF(AND($M363&lt;&gt;"",NOT(ISNUMBER($M363))),"Tgl Publish bukan tanggal",""),IF(AND(ISNUMBER($L363),ISNUMBER($M363),$M363&lt;$L363),"Tgl Publish &lt; Tgl buat",""),IF(TRIM($N363)="","Status kosong",IF(ISERROR(MATCH(TRIM($N363),{"Draft","Menunggu Review","Revisi","Terjadwal","Upload","Publish","Published","Batal"},0)),"Status di luar daftar","")))),""))</f>
        <v/>
      </c>
      <c r="S363" s="12">
        <f>IF(AND($A363&lt;&gt;"",$C363&lt;&gt;""),IF(COUNTIFS($A$2:$A$1000,$A363,$C$2:$C$1000,$C363)&gt;1,"DUPLICAT",""),"")</f>
        <v/>
      </c>
    </row>
    <row r="364">
      <c r="A364" s="17" t="n"/>
      <c r="B364" s="17" t="n"/>
      <c r="C364" s="17" t="n"/>
      <c r="D364" s="18" t="n"/>
      <c r="E364" s="17" t="n"/>
      <c r="F364" s="19" t="n"/>
      <c r="G364" s="17" t="n"/>
      <c r="H364" s="17" t="n"/>
      <c r="I364" s="17" t="n"/>
      <c r="J364" s="19" t="n"/>
      <c r="K364" s="19" t="n"/>
      <c r="L364" s="20" t="n"/>
      <c r="M364" s="20" t="n"/>
      <c r="N364" s="17" t="n"/>
      <c r="O364" s="17" t="n"/>
      <c r="P364" s="21">
        <f>IF(AND(ISNUMBER($L364),ISNUMBER($M364)),MAX(0,$M364-$L364),"")</f>
        <v/>
      </c>
      <c r="Q364" s="21">
        <f>IF(ISNUMBER($D364),MAX(0,TODAY()-$D364),"")</f>
        <v/>
      </c>
      <c r="R364" s="19">
        <f>IF(COUNTA($A364:$O364)=0,"",IFERROR(TRIM(TEXTJOIN(" | ",TRUE,IF($A364="","PC kosong",""),IF($C364="","Worker ID kosong",""),IF($D364="","Update Date kosong",IF(NOT(ISNUMBER($D364)),"Update Date bukan tanggal","")),IF($E364="","Song ID YT kosong",""),IF($F364="","Judul kosong",""),IF(TRIM($G364)="","",IF(ISERROR(MATCH(TRIM($G364),{"TuneCore","DistroKid","TooLost","SoundOn","Ditto","Believe","CD Baby","Amuse","Symphonic Distribution","ONErpm","RouteNote","LANDR","Horus Music","Indie"},0)),"Aggregator di luar daftar","")),IF(TRIM($H364)="","Genre kosong",IF((LEN(SUBSTITUTE(SUBSTITUTE(SUBSTITUTE(TRIM($H364),"/",","),";",",")," ",""))-LEN(SUBSTITUTE(SUBSTITUTE(SUBSTITUTE(SUBSTITUTE(TRIM($H364),"/",","),";",","),"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364),"/",","),";",",")," ","")&amp;",")))&lt;&gt;(LEN(SUBSTITUTE(SUBSTITUTE(SUBSTITUTE(TRIM($H364),"/",","),";",",")," ",""))-LEN(SUBSTITUTE(SUBSTITUTE(SUBSTITUTE(SUBSTITUTE(TRIM($H364),"/",","),";",",")," ",""),",",""))+1),"Genre di luar daftar",""))),IF($I364="","Nama Channel kosong",""),IF($J364="","Link Channel kosong",IF(ISERROR(SEARCH("youtu",$J364)),"Link Channel bukan youtube","")),IF($K364="","Link Video kosong",IF(ISERROR(SEARCH("youtu",$K364)),"Link Video bukan youtube","")),IF($L364="","Tgl Dibuat kosong",IF(NOT(ISNUMBER($L364)),"Tgl Dibuat bukan tanggal","")),IF(AND($M364&lt;&gt;"",NOT(ISNUMBER($M364))),"Tgl Publish bukan tanggal",""),IF(AND(ISNUMBER($L364),ISNUMBER($M364),$M364&lt;$L364),"Tgl Publish &lt; Tgl buat",""),IF(TRIM($N364)="","Status kosong",IF(ISERROR(MATCH(TRIM($N364),{"Draft","Menunggu Review","Revisi","Terjadwal","Upload","Publish","Published","Batal"},0)),"Status di luar daftar","")))),""))</f>
        <v/>
      </c>
      <c r="S364" s="17">
        <f>IF(AND($A364&lt;&gt;"",$C364&lt;&gt;""),IF(COUNTIFS($A$2:$A$1000,$A364,$C$2:$C$1000,$C364)&gt;1,"DUPLICAT",""),"")</f>
        <v/>
      </c>
    </row>
    <row r="365">
      <c r="A365" s="12" t="n"/>
      <c r="B365" s="12" t="n"/>
      <c r="C365" s="12" t="n"/>
      <c r="D365" s="13" t="n"/>
      <c r="E365" s="12" t="n"/>
      <c r="F365" s="14" t="n"/>
      <c r="G365" s="12" t="n"/>
      <c r="H365" s="12" t="n"/>
      <c r="I365" s="12" t="n"/>
      <c r="J365" s="14" t="n"/>
      <c r="K365" s="14" t="n"/>
      <c r="L365" s="15" t="n"/>
      <c r="M365" s="15" t="n"/>
      <c r="N365" s="12" t="n"/>
      <c r="O365" s="12" t="n"/>
      <c r="P365" s="16">
        <f>IF(AND(ISNUMBER($L365),ISNUMBER($M365)),MAX(0,$M365-$L365),"")</f>
        <v/>
      </c>
      <c r="Q365" s="16">
        <f>IF(ISNUMBER($D365),MAX(0,TODAY()-$D365),"")</f>
        <v/>
      </c>
      <c r="R365" s="14">
        <f>IF(COUNTA($A365:$O365)=0,"",IFERROR(TRIM(TEXTJOIN(" | ",TRUE,IF($A365="","PC kosong",""),IF($C365="","Worker ID kosong",""),IF($D365="","Update Date kosong",IF(NOT(ISNUMBER($D365)),"Update Date bukan tanggal","")),IF($E365="","Song ID YT kosong",""),IF($F365="","Judul kosong",""),IF(TRIM($G365)="","",IF(ISERROR(MATCH(TRIM($G365),{"TuneCore","DistroKid","TooLost","SoundOn","Ditto","Believe","CD Baby","Amuse","Symphonic Distribution","ONErpm","RouteNote","LANDR","Horus Music","Indie"},0)),"Aggregator di luar daftar","")),IF(TRIM($H365)="","Genre kosong",IF((LEN(SUBSTITUTE(SUBSTITUTE(SUBSTITUTE(TRIM($H365),"/",","),";",",")," ",""))-LEN(SUBSTITUTE(SUBSTITUTE(SUBSTITUTE(SUBSTITUTE(TRIM($H365),"/",","),";",","),"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365),"/",","),";",",")," ","")&amp;",")))&lt;&gt;(LEN(SUBSTITUTE(SUBSTITUTE(SUBSTITUTE(TRIM($H365),"/",","),";",",")," ",""))-LEN(SUBSTITUTE(SUBSTITUTE(SUBSTITUTE(SUBSTITUTE(TRIM($H365),"/",","),";",",")," ",""),",",""))+1),"Genre di luar daftar",""))),IF($I365="","Nama Channel kosong",""),IF($J365="","Link Channel kosong",IF(ISERROR(SEARCH("youtu",$J365)),"Link Channel bukan youtube","")),IF($K365="","Link Video kosong",IF(ISERROR(SEARCH("youtu",$K365)),"Link Video bukan youtube","")),IF($L365="","Tgl Dibuat kosong",IF(NOT(ISNUMBER($L365)),"Tgl Dibuat bukan tanggal","")),IF(AND($M365&lt;&gt;"",NOT(ISNUMBER($M365))),"Tgl Publish bukan tanggal",""),IF(AND(ISNUMBER($L365),ISNUMBER($M365),$M365&lt;$L365),"Tgl Publish &lt; Tgl buat",""),IF(TRIM($N365)="","Status kosong",IF(ISERROR(MATCH(TRIM($N365),{"Draft","Menunggu Review","Revisi","Terjadwal","Upload","Publish","Published","Batal"},0)),"Status di luar daftar","")))),""))</f>
        <v/>
      </c>
      <c r="S365" s="12">
        <f>IF(AND($A365&lt;&gt;"",$C365&lt;&gt;""),IF(COUNTIFS($A$2:$A$1000,$A365,$C$2:$C$1000,$C365)&gt;1,"DUPLICAT",""),"")</f>
        <v/>
      </c>
    </row>
    <row r="366">
      <c r="A366" s="17" t="n"/>
      <c r="B366" s="17" t="n"/>
      <c r="C366" s="17" t="n"/>
      <c r="D366" s="18" t="n"/>
      <c r="E366" s="17" t="n"/>
      <c r="F366" s="19" t="n"/>
      <c r="G366" s="17" t="n"/>
      <c r="H366" s="17" t="n"/>
      <c r="I366" s="17" t="n"/>
      <c r="J366" s="19" t="n"/>
      <c r="K366" s="19" t="n"/>
      <c r="L366" s="20" t="n"/>
      <c r="M366" s="20" t="n"/>
      <c r="N366" s="17" t="n"/>
      <c r="O366" s="17" t="n"/>
      <c r="P366" s="21">
        <f>IF(AND(ISNUMBER($L366),ISNUMBER($M366)),MAX(0,$M366-$L366),"")</f>
        <v/>
      </c>
      <c r="Q366" s="21">
        <f>IF(ISNUMBER($D366),MAX(0,TODAY()-$D366),"")</f>
        <v/>
      </c>
      <c r="R366" s="19">
        <f>IF(COUNTA($A366:$O366)=0,"",IFERROR(TRIM(TEXTJOIN(" | ",TRUE,IF($A366="","PC kosong",""),IF($C366="","Worker ID kosong",""),IF($D366="","Update Date kosong",IF(NOT(ISNUMBER($D366)),"Update Date bukan tanggal","")),IF($E366="","Song ID YT kosong",""),IF($F366="","Judul kosong",""),IF(TRIM($G366)="","",IF(ISERROR(MATCH(TRIM($G366),{"TuneCore","DistroKid","TooLost","SoundOn","Ditto","Believe","CD Baby","Amuse","Symphonic Distribution","ONErpm","RouteNote","LANDR","Horus Music","Indie"},0)),"Aggregator di luar daftar","")),IF(TRIM($H366)="","Genre kosong",IF((LEN(SUBSTITUTE(SUBSTITUTE(SUBSTITUTE(TRIM($H366),"/",","),";",",")," ",""))-LEN(SUBSTITUTE(SUBSTITUTE(SUBSTITUTE(SUBSTITUTE(TRIM($H366),"/",","),";",","),"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366),"/",","),";",",")," ","")&amp;",")))&lt;&gt;(LEN(SUBSTITUTE(SUBSTITUTE(SUBSTITUTE(TRIM($H366),"/",","),";",",")," ",""))-LEN(SUBSTITUTE(SUBSTITUTE(SUBSTITUTE(SUBSTITUTE(TRIM($H366),"/",","),";",",")," ",""),",",""))+1),"Genre di luar daftar",""))),IF($I366="","Nama Channel kosong",""),IF($J366="","Link Channel kosong",IF(ISERROR(SEARCH("youtu",$J366)),"Link Channel bukan youtube","")),IF($K366="","Link Video kosong",IF(ISERROR(SEARCH("youtu",$K366)),"Link Video bukan youtube","")),IF($L366="","Tgl Dibuat kosong",IF(NOT(ISNUMBER($L366)),"Tgl Dibuat bukan tanggal","")),IF(AND($M366&lt;&gt;"",NOT(ISNUMBER($M366))),"Tgl Publish bukan tanggal",""),IF(AND(ISNUMBER($L366),ISNUMBER($M366),$M366&lt;$L366),"Tgl Publish &lt; Tgl buat",""),IF(TRIM($N366)="","Status kosong",IF(ISERROR(MATCH(TRIM($N366),{"Draft","Menunggu Review","Revisi","Terjadwal","Upload","Publish","Published","Batal"},0)),"Status di luar daftar","")))),""))</f>
        <v/>
      </c>
      <c r="S366" s="17">
        <f>IF(AND($A366&lt;&gt;"",$C366&lt;&gt;""),IF(COUNTIFS($A$2:$A$1000,$A366,$C$2:$C$1000,$C366)&gt;1,"DUPLICAT",""),"")</f>
        <v/>
      </c>
    </row>
    <row r="367">
      <c r="A367" s="12" t="n"/>
      <c r="B367" s="12" t="n"/>
      <c r="C367" s="12" t="n"/>
      <c r="D367" s="13" t="n"/>
      <c r="E367" s="12" t="n"/>
      <c r="F367" s="14" t="n"/>
      <c r="G367" s="12" t="n"/>
      <c r="H367" s="12" t="n"/>
      <c r="I367" s="12" t="n"/>
      <c r="J367" s="14" t="n"/>
      <c r="K367" s="14" t="n"/>
      <c r="L367" s="15" t="n"/>
      <c r="M367" s="15" t="n"/>
      <c r="N367" s="12" t="n"/>
      <c r="O367" s="12" t="n"/>
      <c r="P367" s="16">
        <f>IF(AND(ISNUMBER($L367),ISNUMBER($M367)),MAX(0,$M367-$L367),"")</f>
        <v/>
      </c>
      <c r="Q367" s="16">
        <f>IF(ISNUMBER($D367),MAX(0,TODAY()-$D367),"")</f>
        <v/>
      </c>
      <c r="R367" s="14">
        <f>IF(COUNTA($A367:$O367)=0,"",IFERROR(TRIM(TEXTJOIN(" | ",TRUE,IF($A367="","PC kosong",""),IF($C367="","Worker ID kosong",""),IF($D367="","Update Date kosong",IF(NOT(ISNUMBER($D367)),"Update Date bukan tanggal","")),IF($E367="","Song ID YT kosong",""),IF($F367="","Judul kosong",""),IF(TRIM($G367)="","",IF(ISERROR(MATCH(TRIM($G367),{"TuneCore","DistroKid","TooLost","SoundOn","Ditto","Believe","CD Baby","Amuse","Symphonic Distribution","ONErpm","RouteNote","LANDR","Horus Music","Indie"},0)),"Aggregator di luar daftar","")),IF(TRIM($H367)="","Genre kosong",IF((LEN(SUBSTITUTE(SUBSTITUTE(SUBSTITUTE(TRIM($H367),"/",","),";",",")," ",""))-LEN(SUBSTITUTE(SUBSTITUTE(SUBSTITUTE(SUBSTITUTE(TRIM($H367),"/",","),";",","),"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367),"/",","),";",",")," ","")&amp;",")))&lt;&gt;(LEN(SUBSTITUTE(SUBSTITUTE(SUBSTITUTE(TRIM($H367),"/",","),";",",")," ",""))-LEN(SUBSTITUTE(SUBSTITUTE(SUBSTITUTE(SUBSTITUTE(TRIM($H367),"/",","),";",",")," ",""),",",""))+1),"Genre di luar daftar",""))),IF($I367="","Nama Channel kosong",""),IF($J367="","Link Channel kosong",IF(ISERROR(SEARCH("youtu",$J367)),"Link Channel bukan youtube","")),IF($K367="","Link Video kosong",IF(ISERROR(SEARCH("youtu",$K367)),"Link Video bukan youtube","")),IF($L367="","Tgl Dibuat kosong",IF(NOT(ISNUMBER($L367)),"Tgl Dibuat bukan tanggal","")),IF(AND($M367&lt;&gt;"",NOT(ISNUMBER($M367))),"Tgl Publish bukan tanggal",""),IF(AND(ISNUMBER($L367),ISNUMBER($M367),$M367&lt;$L367),"Tgl Publish &lt; Tgl buat",""),IF(TRIM($N367)="","Status kosong",IF(ISERROR(MATCH(TRIM($N367),{"Draft","Menunggu Review","Revisi","Terjadwal","Upload","Publish","Published","Batal"},0)),"Status di luar daftar","")))),""))</f>
        <v/>
      </c>
      <c r="S367" s="12">
        <f>IF(AND($A367&lt;&gt;"",$C367&lt;&gt;""),IF(COUNTIFS($A$2:$A$1000,$A367,$C$2:$C$1000,$C367)&gt;1,"DUPLICAT",""),"")</f>
        <v/>
      </c>
    </row>
    <row r="368">
      <c r="A368" s="17" t="n"/>
      <c r="B368" s="17" t="n"/>
      <c r="C368" s="17" t="n"/>
      <c r="D368" s="18" t="n"/>
      <c r="E368" s="17" t="n"/>
      <c r="F368" s="19" t="n"/>
      <c r="G368" s="17" t="n"/>
      <c r="H368" s="17" t="n"/>
      <c r="I368" s="17" t="n"/>
      <c r="J368" s="19" t="n"/>
      <c r="K368" s="19" t="n"/>
      <c r="L368" s="20" t="n"/>
      <c r="M368" s="20" t="n"/>
      <c r="N368" s="17" t="n"/>
      <c r="O368" s="17" t="n"/>
      <c r="P368" s="21">
        <f>IF(AND(ISNUMBER($L368),ISNUMBER($M368)),MAX(0,$M368-$L368),"")</f>
        <v/>
      </c>
      <c r="Q368" s="21">
        <f>IF(ISNUMBER($D368),MAX(0,TODAY()-$D368),"")</f>
        <v/>
      </c>
      <c r="R368" s="19">
        <f>IF(COUNTA($A368:$O368)=0,"",IFERROR(TRIM(TEXTJOIN(" | ",TRUE,IF($A368="","PC kosong",""),IF($C368="","Worker ID kosong",""),IF($D368="","Update Date kosong",IF(NOT(ISNUMBER($D368)),"Update Date bukan tanggal","")),IF($E368="","Song ID YT kosong",""),IF($F368="","Judul kosong",""),IF(TRIM($G368)="","",IF(ISERROR(MATCH(TRIM($G368),{"TuneCore","DistroKid","TooLost","SoundOn","Ditto","Believe","CD Baby","Amuse","Symphonic Distribution","ONErpm","RouteNote","LANDR","Horus Music","Indie"},0)),"Aggregator di luar daftar","")),IF(TRIM($H368)="","Genre kosong",IF((LEN(SUBSTITUTE(SUBSTITUTE(SUBSTITUTE(TRIM($H368),"/",","),";",",")," ",""))-LEN(SUBSTITUTE(SUBSTITUTE(SUBSTITUTE(SUBSTITUTE(TRIM($H368),"/",","),";",","),"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368),"/",","),";",",")," ","")&amp;",")))&lt;&gt;(LEN(SUBSTITUTE(SUBSTITUTE(SUBSTITUTE(TRIM($H368),"/",","),";",",")," ",""))-LEN(SUBSTITUTE(SUBSTITUTE(SUBSTITUTE(SUBSTITUTE(TRIM($H368),"/",","),";",",")," ",""),",",""))+1),"Genre di luar daftar",""))),IF($I368="","Nama Channel kosong",""),IF($J368="","Link Channel kosong",IF(ISERROR(SEARCH("youtu",$J368)),"Link Channel bukan youtube","")),IF($K368="","Link Video kosong",IF(ISERROR(SEARCH("youtu",$K368)),"Link Video bukan youtube","")),IF($L368="","Tgl Dibuat kosong",IF(NOT(ISNUMBER($L368)),"Tgl Dibuat bukan tanggal","")),IF(AND($M368&lt;&gt;"",NOT(ISNUMBER($M368))),"Tgl Publish bukan tanggal",""),IF(AND(ISNUMBER($L368),ISNUMBER($M368),$M368&lt;$L368),"Tgl Publish &lt; Tgl buat",""),IF(TRIM($N368)="","Status kosong",IF(ISERROR(MATCH(TRIM($N368),{"Draft","Menunggu Review","Revisi","Terjadwal","Upload","Publish","Published","Batal"},0)),"Status di luar daftar","")))),""))</f>
        <v/>
      </c>
      <c r="S368" s="17">
        <f>IF(AND($A368&lt;&gt;"",$C368&lt;&gt;""),IF(COUNTIFS($A$2:$A$1000,$A368,$C$2:$C$1000,$C368)&gt;1,"DUPLICAT",""),"")</f>
        <v/>
      </c>
    </row>
    <row r="369">
      <c r="A369" s="12" t="n"/>
      <c r="B369" s="12" t="n"/>
      <c r="C369" s="12" t="n"/>
      <c r="D369" s="13" t="n"/>
      <c r="E369" s="12" t="n"/>
      <c r="F369" s="14" t="n"/>
      <c r="G369" s="12" t="n"/>
      <c r="H369" s="12" t="n"/>
      <c r="I369" s="12" t="n"/>
      <c r="J369" s="14" t="n"/>
      <c r="K369" s="14" t="n"/>
      <c r="L369" s="15" t="n"/>
      <c r="M369" s="15" t="n"/>
      <c r="N369" s="12" t="n"/>
      <c r="O369" s="12" t="n"/>
      <c r="P369" s="16">
        <f>IF(AND(ISNUMBER($L369),ISNUMBER($M369)),MAX(0,$M369-$L369),"")</f>
        <v/>
      </c>
      <c r="Q369" s="16">
        <f>IF(ISNUMBER($D369),MAX(0,TODAY()-$D369),"")</f>
        <v/>
      </c>
      <c r="R369" s="14">
        <f>IF(COUNTA($A369:$O369)=0,"",IFERROR(TRIM(TEXTJOIN(" | ",TRUE,IF($A369="","PC kosong",""),IF($C369="","Worker ID kosong",""),IF($D369="","Update Date kosong",IF(NOT(ISNUMBER($D369)),"Update Date bukan tanggal","")),IF($E369="","Song ID YT kosong",""),IF($F369="","Judul kosong",""),IF(TRIM($G369)="","",IF(ISERROR(MATCH(TRIM($G369),{"TuneCore","DistroKid","TooLost","SoundOn","Ditto","Believe","CD Baby","Amuse","Symphonic Distribution","ONErpm","RouteNote","LANDR","Horus Music","Indie"},0)),"Aggregator di luar daftar","")),IF(TRIM($H369)="","Genre kosong",IF((LEN(SUBSTITUTE(SUBSTITUTE(SUBSTITUTE(TRIM($H369),"/",","),";",",")," ",""))-LEN(SUBSTITUTE(SUBSTITUTE(SUBSTITUTE(SUBSTITUTE(TRIM($H369),"/",","),";",","),"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369),"/",","),";",",")," ","")&amp;",")))&lt;&gt;(LEN(SUBSTITUTE(SUBSTITUTE(SUBSTITUTE(TRIM($H369),"/",","),";",",")," ",""))-LEN(SUBSTITUTE(SUBSTITUTE(SUBSTITUTE(SUBSTITUTE(TRIM($H369),"/",","),";",",")," ",""),",",""))+1),"Genre di luar daftar",""))),IF($I369="","Nama Channel kosong",""),IF($J369="","Link Channel kosong",IF(ISERROR(SEARCH("youtu",$J369)),"Link Channel bukan youtube","")),IF($K369="","Link Video kosong",IF(ISERROR(SEARCH("youtu",$K369)),"Link Video bukan youtube","")),IF($L369="","Tgl Dibuat kosong",IF(NOT(ISNUMBER($L369)),"Tgl Dibuat bukan tanggal","")),IF(AND($M369&lt;&gt;"",NOT(ISNUMBER($M369))),"Tgl Publish bukan tanggal",""),IF(AND(ISNUMBER($L369),ISNUMBER($M369),$M369&lt;$L369),"Tgl Publish &lt; Tgl buat",""),IF(TRIM($N369)="","Status kosong",IF(ISERROR(MATCH(TRIM($N369),{"Draft","Menunggu Review","Revisi","Terjadwal","Upload","Publish","Published","Batal"},0)),"Status di luar daftar","")))),""))</f>
        <v/>
      </c>
      <c r="S369" s="12">
        <f>IF(AND($A369&lt;&gt;"",$C369&lt;&gt;""),IF(COUNTIFS($A$2:$A$1000,$A369,$C$2:$C$1000,$C369)&gt;1,"DUPLICAT",""),"")</f>
        <v/>
      </c>
    </row>
    <row r="370">
      <c r="A370" s="17" t="n"/>
      <c r="B370" s="17" t="n"/>
      <c r="C370" s="17" t="n"/>
      <c r="D370" s="18" t="n"/>
      <c r="E370" s="17" t="n"/>
      <c r="F370" s="19" t="n"/>
      <c r="G370" s="17" t="n"/>
      <c r="H370" s="17" t="n"/>
      <c r="I370" s="17" t="n"/>
      <c r="J370" s="19" t="n"/>
      <c r="K370" s="19" t="n"/>
      <c r="L370" s="20" t="n"/>
      <c r="M370" s="20" t="n"/>
      <c r="N370" s="17" t="n"/>
      <c r="O370" s="17" t="n"/>
      <c r="P370" s="21">
        <f>IF(AND(ISNUMBER($L370),ISNUMBER($M370)),MAX(0,$M370-$L370),"")</f>
        <v/>
      </c>
      <c r="Q370" s="21">
        <f>IF(ISNUMBER($D370),MAX(0,TODAY()-$D370),"")</f>
        <v/>
      </c>
      <c r="R370" s="19">
        <f>IF(COUNTA($A370:$O370)=0,"",IFERROR(TRIM(TEXTJOIN(" | ",TRUE,IF($A370="","PC kosong",""),IF($C370="","Worker ID kosong",""),IF($D370="","Update Date kosong",IF(NOT(ISNUMBER($D370)),"Update Date bukan tanggal","")),IF($E370="","Song ID YT kosong",""),IF($F370="","Judul kosong",""),IF(TRIM($G370)="","",IF(ISERROR(MATCH(TRIM($G370),{"TuneCore","DistroKid","TooLost","SoundOn","Ditto","Believe","CD Baby","Amuse","Symphonic Distribution","ONErpm","RouteNote","LANDR","Horus Music","Indie"},0)),"Aggregator di luar daftar","")),IF(TRIM($H370)="","Genre kosong",IF((LEN(SUBSTITUTE(SUBSTITUTE(SUBSTITUTE(TRIM($H370),"/",","),";",",")," ",""))-LEN(SUBSTITUTE(SUBSTITUTE(SUBSTITUTE(SUBSTITUTE(TRIM($H370),"/",","),";",","),"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370),"/",","),";",",")," ","")&amp;",")))&lt;&gt;(LEN(SUBSTITUTE(SUBSTITUTE(SUBSTITUTE(TRIM($H370),"/",","),";",",")," ",""))-LEN(SUBSTITUTE(SUBSTITUTE(SUBSTITUTE(SUBSTITUTE(TRIM($H370),"/",","),";",",")," ",""),",",""))+1),"Genre di luar daftar",""))),IF($I370="","Nama Channel kosong",""),IF($J370="","Link Channel kosong",IF(ISERROR(SEARCH("youtu",$J370)),"Link Channel bukan youtube","")),IF($K370="","Link Video kosong",IF(ISERROR(SEARCH("youtu",$K370)),"Link Video bukan youtube","")),IF($L370="","Tgl Dibuat kosong",IF(NOT(ISNUMBER($L370)),"Tgl Dibuat bukan tanggal","")),IF(AND($M370&lt;&gt;"",NOT(ISNUMBER($M370))),"Tgl Publish bukan tanggal",""),IF(AND(ISNUMBER($L370),ISNUMBER($M370),$M370&lt;$L370),"Tgl Publish &lt; Tgl buat",""),IF(TRIM($N370)="","Status kosong",IF(ISERROR(MATCH(TRIM($N370),{"Draft","Menunggu Review","Revisi","Terjadwal","Upload","Publish","Published","Batal"},0)),"Status di luar daftar","")))),""))</f>
        <v/>
      </c>
      <c r="S370" s="17">
        <f>IF(AND($A370&lt;&gt;"",$C370&lt;&gt;""),IF(COUNTIFS($A$2:$A$1000,$A370,$C$2:$C$1000,$C370)&gt;1,"DUPLICAT",""),"")</f>
        <v/>
      </c>
    </row>
    <row r="371">
      <c r="A371" s="12" t="n"/>
      <c r="B371" s="12" t="n"/>
      <c r="C371" s="12" t="n"/>
      <c r="D371" s="13" t="n"/>
      <c r="E371" s="12" t="n"/>
      <c r="F371" s="14" t="n"/>
      <c r="G371" s="12" t="n"/>
      <c r="H371" s="12" t="n"/>
      <c r="I371" s="12" t="n"/>
      <c r="J371" s="14" t="n"/>
      <c r="K371" s="14" t="n"/>
      <c r="L371" s="15" t="n"/>
      <c r="M371" s="15" t="n"/>
      <c r="N371" s="12" t="n"/>
      <c r="O371" s="12" t="n"/>
      <c r="P371" s="16">
        <f>IF(AND(ISNUMBER($L371),ISNUMBER($M371)),MAX(0,$M371-$L371),"")</f>
        <v/>
      </c>
      <c r="Q371" s="16">
        <f>IF(ISNUMBER($D371),MAX(0,TODAY()-$D371),"")</f>
        <v/>
      </c>
      <c r="R371" s="14">
        <f>IF(COUNTA($A371:$O371)=0,"",IFERROR(TRIM(TEXTJOIN(" | ",TRUE,IF($A371="","PC kosong",""),IF($C371="","Worker ID kosong",""),IF($D371="","Update Date kosong",IF(NOT(ISNUMBER($D371)),"Update Date bukan tanggal","")),IF($E371="","Song ID YT kosong",""),IF($F371="","Judul kosong",""),IF(TRIM($G371)="","",IF(ISERROR(MATCH(TRIM($G371),{"TuneCore","DistroKid","TooLost","SoundOn","Ditto","Believe","CD Baby","Amuse","Symphonic Distribution","ONErpm","RouteNote","LANDR","Horus Music","Indie"},0)),"Aggregator di luar daftar","")),IF(TRIM($H371)="","Genre kosong",IF((LEN(SUBSTITUTE(SUBSTITUTE(SUBSTITUTE(TRIM($H371),"/",","),";",",")," ",""))-LEN(SUBSTITUTE(SUBSTITUTE(SUBSTITUTE(SUBSTITUTE(TRIM($H371),"/",","),";",","),"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371),"/",","),";",",")," ","")&amp;",")))&lt;&gt;(LEN(SUBSTITUTE(SUBSTITUTE(SUBSTITUTE(TRIM($H371),"/",","),";",",")," ",""))-LEN(SUBSTITUTE(SUBSTITUTE(SUBSTITUTE(SUBSTITUTE(TRIM($H371),"/",","),";",",")," ",""),",",""))+1),"Genre di luar daftar",""))),IF($I371="","Nama Channel kosong",""),IF($J371="","Link Channel kosong",IF(ISERROR(SEARCH("youtu",$J371)),"Link Channel bukan youtube","")),IF($K371="","Link Video kosong",IF(ISERROR(SEARCH("youtu",$K371)),"Link Video bukan youtube","")),IF($L371="","Tgl Dibuat kosong",IF(NOT(ISNUMBER($L371)),"Tgl Dibuat bukan tanggal","")),IF(AND($M371&lt;&gt;"",NOT(ISNUMBER($M371))),"Tgl Publish bukan tanggal",""),IF(AND(ISNUMBER($L371),ISNUMBER($M371),$M371&lt;$L371),"Tgl Publish &lt; Tgl buat",""),IF(TRIM($N371)="","Status kosong",IF(ISERROR(MATCH(TRIM($N371),{"Draft","Menunggu Review","Revisi","Terjadwal","Upload","Publish","Published","Batal"},0)),"Status di luar daftar","")))),""))</f>
        <v/>
      </c>
      <c r="S371" s="12">
        <f>IF(AND($A371&lt;&gt;"",$C371&lt;&gt;""),IF(COUNTIFS($A$2:$A$1000,$A371,$C$2:$C$1000,$C371)&gt;1,"DUPLICAT",""),"")</f>
        <v/>
      </c>
    </row>
    <row r="372">
      <c r="A372" s="17" t="n"/>
      <c r="B372" s="17" t="n"/>
      <c r="C372" s="17" t="n"/>
      <c r="D372" s="18" t="n"/>
      <c r="E372" s="17" t="n"/>
      <c r="F372" s="19" t="n"/>
      <c r="G372" s="17" t="n"/>
      <c r="H372" s="17" t="n"/>
      <c r="I372" s="17" t="n"/>
      <c r="J372" s="19" t="n"/>
      <c r="K372" s="19" t="n"/>
      <c r="L372" s="20" t="n"/>
      <c r="M372" s="20" t="n"/>
      <c r="N372" s="17" t="n"/>
      <c r="O372" s="17" t="n"/>
      <c r="P372" s="21">
        <f>IF(AND(ISNUMBER($L372),ISNUMBER($M372)),MAX(0,$M372-$L372),"")</f>
        <v/>
      </c>
      <c r="Q372" s="21">
        <f>IF(ISNUMBER($D372),MAX(0,TODAY()-$D372),"")</f>
        <v/>
      </c>
      <c r="R372" s="19">
        <f>IF(COUNTA($A372:$O372)=0,"",IFERROR(TRIM(TEXTJOIN(" | ",TRUE,IF($A372="","PC kosong",""),IF($C372="","Worker ID kosong",""),IF($D372="","Update Date kosong",IF(NOT(ISNUMBER($D372)),"Update Date bukan tanggal","")),IF($E372="","Song ID YT kosong",""),IF($F372="","Judul kosong",""),IF(TRIM($G372)="","",IF(ISERROR(MATCH(TRIM($G372),{"TuneCore","DistroKid","TooLost","SoundOn","Ditto","Believe","CD Baby","Amuse","Symphonic Distribution","ONErpm","RouteNote","LANDR","Horus Music","Indie"},0)),"Aggregator di luar daftar","")),IF(TRIM($H372)="","Genre kosong",IF((LEN(SUBSTITUTE(SUBSTITUTE(SUBSTITUTE(TRIM($H372),"/",","),";",",")," ",""))-LEN(SUBSTITUTE(SUBSTITUTE(SUBSTITUTE(SUBSTITUTE(TRIM($H372),"/",","),";",","),"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372),"/",","),";",",")," ","")&amp;",")))&lt;&gt;(LEN(SUBSTITUTE(SUBSTITUTE(SUBSTITUTE(TRIM($H372),"/",","),";",",")," ",""))-LEN(SUBSTITUTE(SUBSTITUTE(SUBSTITUTE(SUBSTITUTE(TRIM($H372),"/",","),";",",")," ",""),",",""))+1),"Genre di luar daftar",""))),IF($I372="","Nama Channel kosong",""),IF($J372="","Link Channel kosong",IF(ISERROR(SEARCH("youtu",$J372)),"Link Channel bukan youtube","")),IF($K372="","Link Video kosong",IF(ISERROR(SEARCH("youtu",$K372)),"Link Video bukan youtube","")),IF($L372="","Tgl Dibuat kosong",IF(NOT(ISNUMBER($L372)),"Tgl Dibuat bukan tanggal","")),IF(AND($M372&lt;&gt;"",NOT(ISNUMBER($M372))),"Tgl Publish bukan tanggal",""),IF(AND(ISNUMBER($L372),ISNUMBER($M372),$M372&lt;$L372),"Tgl Publish &lt; Tgl buat",""),IF(TRIM($N372)="","Status kosong",IF(ISERROR(MATCH(TRIM($N372),{"Draft","Menunggu Review","Revisi","Terjadwal","Upload","Publish","Published","Batal"},0)),"Status di luar daftar","")))),""))</f>
        <v/>
      </c>
      <c r="S372" s="17">
        <f>IF(AND($A372&lt;&gt;"",$C372&lt;&gt;""),IF(COUNTIFS($A$2:$A$1000,$A372,$C$2:$C$1000,$C372)&gt;1,"DUPLICAT",""),"")</f>
        <v/>
      </c>
    </row>
    <row r="373">
      <c r="A373" s="12" t="n"/>
      <c r="B373" s="12" t="n"/>
      <c r="C373" s="12" t="n"/>
      <c r="D373" s="13" t="n"/>
      <c r="E373" s="12" t="n"/>
      <c r="F373" s="14" t="n"/>
      <c r="G373" s="12" t="n"/>
      <c r="H373" s="12" t="n"/>
      <c r="I373" s="12" t="n"/>
      <c r="J373" s="14" t="n"/>
      <c r="K373" s="14" t="n"/>
      <c r="L373" s="15" t="n"/>
      <c r="M373" s="15" t="n"/>
      <c r="N373" s="12" t="n"/>
      <c r="O373" s="12" t="n"/>
      <c r="P373" s="16">
        <f>IF(AND(ISNUMBER($L373),ISNUMBER($M373)),MAX(0,$M373-$L373),"")</f>
        <v/>
      </c>
      <c r="Q373" s="16">
        <f>IF(ISNUMBER($D373),MAX(0,TODAY()-$D373),"")</f>
        <v/>
      </c>
      <c r="R373" s="14">
        <f>IF(COUNTA($A373:$O373)=0,"",IFERROR(TRIM(TEXTJOIN(" | ",TRUE,IF($A373="","PC kosong",""),IF($C373="","Worker ID kosong",""),IF($D373="","Update Date kosong",IF(NOT(ISNUMBER($D373)),"Update Date bukan tanggal","")),IF($E373="","Song ID YT kosong",""),IF($F373="","Judul kosong",""),IF(TRIM($G373)="","",IF(ISERROR(MATCH(TRIM($G373),{"TuneCore","DistroKid","TooLost","SoundOn","Ditto","Believe","CD Baby","Amuse","Symphonic Distribution","ONErpm","RouteNote","LANDR","Horus Music","Indie"},0)),"Aggregator di luar daftar","")),IF(TRIM($H373)="","Genre kosong",IF((LEN(SUBSTITUTE(SUBSTITUTE(SUBSTITUTE(TRIM($H373),"/",","),";",",")," ",""))-LEN(SUBSTITUTE(SUBSTITUTE(SUBSTITUTE(SUBSTITUTE(TRIM($H373),"/",","),";",","),"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373),"/",","),";",",")," ","")&amp;",")))&lt;&gt;(LEN(SUBSTITUTE(SUBSTITUTE(SUBSTITUTE(TRIM($H373),"/",","),";",",")," ",""))-LEN(SUBSTITUTE(SUBSTITUTE(SUBSTITUTE(SUBSTITUTE(TRIM($H373),"/",","),";",",")," ",""),",",""))+1),"Genre di luar daftar",""))),IF($I373="","Nama Channel kosong",""),IF($J373="","Link Channel kosong",IF(ISERROR(SEARCH("youtu",$J373)),"Link Channel bukan youtube","")),IF($K373="","Link Video kosong",IF(ISERROR(SEARCH("youtu",$K373)),"Link Video bukan youtube","")),IF($L373="","Tgl Dibuat kosong",IF(NOT(ISNUMBER($L373)),"Tgl Dibuat bukan tanggal","")),IF(AND($M373&lt;&gt;"",NOT(ISNUMBER($M373))),"Tgl Publish bukan tanggal",""),IF(AND(ISNUMBER($L373),ISNUMBER($M373),$M373&lt;$L373),"Tgl Publish &lt; Tgl buat",""),IF(TRIM($N373)="","Status kosong",IF(ISERROR(MATCH(TRIM($N373),{"Draft","Menunggu Review","Revisi","Terjadwal","Upload","Publish","Published","Batal"},0)),"Status di luar daftar","")))),""))</f>
        <v/>
      </c>
      <c r="S373" s="12">
        <f>IF(AND($A373&lt;&gt;"",$C373&lt;&gt;""),IF(COUNTIFS($A$2:$A$1000,$A373,$C$2:$C$1000,$C373)&gt;1,"DUPLICAT",""),"")</f>
        <v/>
      </c>
    </row>
    <row r="374">
      <c r="A374" s="17" t="n"/>
      <c r="B374" s="17" t="n"/>
      <c r="C374" s="17" t="n"/>
      <c r="D374" s="18" t="n"/>
      <c r="E374" s="17" t="n"/>
      <c r="F374" s="19" t="n"/>
      <c r="G374" s="17" t="n"/>
      <c r="H374" s="17" t="n"/>
      <c r="I374" s="17" t="n"/>
      <c r="J374" s="19" t="n"/>
      <c r="K374" s="19" t="n"/>
      <c r="L374" s="20" t="n"/>
      <c r="M374" s="20" t="n"/>
      <c r="N374" s="17" t="n"/>
      <c r="O374" s="17" t="n"/>
      <c r="P374" s="21">
        <f>IF(AND(ISNUMBER($L374),ISNUMBER($M374)),MAX(0,$M374-$L374),"")</f>
        <v/>
      </c>
      <c r="Q374" s="21">
        <f>IF(ISNUMBER($D374),MAX(0,TODAY()-$D374),"")</f>
        <v/>
      </c>
      <c r="R374" s="19">
        <f>IF(COUNTA($A374:$O374)=0,"",IFERROR(TRIM(TEXTJOIN(" | ",TRUE,IF($A374="","PC kosong",""),IF($C374="","Worker ID kosong",""),IF($D374="","Update Date kosong",IF(NOT(ISNUMBER($D374)),"Update Date bukan tanggal","")),IF($E374="","Song ID YT kosong",""),IF($F374="","Judul kosong",""),IF(TRIM($G374)="","",IF(ISERROR(MATCH(TRIM($G374),{"TuneCore","DistroKid","TooLost","SoundOn","Ditto","Believe","CD Baby","Amuse","Symphonic Distribution","ONErpm","RouteNote","LANDR","Horus Music","Indie"},0)),"Aggregator di luar daftar","")),IF(TRIM($H374)="","Genre kosong",IF((LEN(SUBSTITUTE(SUBSTITUTE(SUBSTITUTE(TRIM($H374),"/",","),";",",")," ",""))-LEN(SUBSTITUTE(SUBSTITUTE(SUBSTITUTE(SUBSTITUTE(TRIM($H374),"/",","),";",","),"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374),"/",","),";",",")," ","")&amp;",")))&lt;&gt;(LEN(SUBSTITUTE(SUBSTITUTE(SUBSTITUTE(TRIM($H374),"/",","),";",",")," ",""))-LEN(SUBSTITUTE(SUBSTITUTE(SUBSTITUTE(SUBSTITUTE(TRIM($H374),"/",","),";",",")," ",""),",",""))+1),"Genre di luar daftar",""))),IF($I374="","Nama Channel kosong",""),IF($J374="","Link Channel kosong",IF(ISERROR(SEARCH("youtu",$J374)),"Link Channel bukan youtube","")),IF($K374="","Link Video kosong",IF(ISERROR(SEARCH("youtu",$K374)),"Link Video bukan youtube","")),IF($L374="","Tgl Dibuat kosong",IF(NOT(ISNUMBER($L374)),"Tgl Dibuat bukan tanggal","")),IF(AND($M374&lt;&gt;"",NOT(ISNUMBER($M374))),"Tgl Publish bukan tanggal",""),IF(AND(ISNUMBER($L374),ISNUMBER($M374),$M374&lt;$L374),"Tgl Publish &lt; Tgl buat",""),IF(TRIM($N374)="","Status kosong",IF(ISERROR(MATCH(TRIM($N374),{"Draft","Menunggu Review","Revisi","Terjadwal","Upload","Publish","Published","Batal"},0)),"Status di luar daftar","")))),""))</f>
        <v/>
      </c>
      <c r="S374" s="17">
        <f>IF(AND($A374&lt;&gt;"",$C374&lt;&gt;""),IF(COUNTIFS($A$2:$A$1000,$A374,$C$2:$C$1000,$C374)&gt;1,"DUPLICAT",""),"")</f>
        <v/>
      </c>
    </row>
    <row r="375">
      <c r="A375" s="12" t="n"/>
      <c r="B375" s="12" t="n"/>
      <c r="C375" s="12" t="n"/>
      <c r="D375" s="13" t="n"/>
      <c r="E375" s="12" t="n"/>
      <c r="F375" s="14" t="n"/>
      <c r="G375" s="12" t="n"/>
      <c r="H375" s="12" t="n"/>
      <c r="I375" s="12" t="n"/>
      <c r="J375" s="14" t="n"/>
      <c r="K375" s="14" t="n"/>
      <c r="L375" s="15" t="n"/>
      <c r="M375" s="15" t="n"/>
      <c r="N375" s="12" t="n"/>
      <c r="O375" s="12" t="n"/>
      <c r="P375" s="16">
        <f>IF(AND(ISNUMBER($L375),ISNUMBER($M375)),MAX(0,$M375-$L375),"")</f>
        <v/>
      </c>
      <c r="Q375" s="16">
        <f>IF(ISNUMBER($D375),MAX(0,TODAY()-$D375),"")</f>
        <v/>
      </c>
      <c r="R375" s="14">
        <f>IF(COUNTA($A375:$O375)=0,"",IFERROR(TRIM(TEXTJOIN(" | ",TRUE,IF($A375="","PC kosong",""),IF($C375="","Worker ID kosong",""),IF($D375="","Update Date kosong",IF(NOT(ISNUMBER($D375)),"Update Date bukan tanggal","")),IF($E375="","Song ID YT kosong",""),IF($F375="","Judul kosong",""),IF(TRIM($G375)="","",IF(ISERROR(MATCH(TRIM($G375),{"TuneCore","DistroKid","TooLost","SoundOn","Ditto","Believe","CD Baby","Amuse","Symphonic Distribution","ONErpm","RouteNote","LANDR","Horus Music","Indie"},0)),"Aggregator di luar daftar","")),IF(TRIM($H375)="","Genre kosong",IF((LEN(SUBSTITUTE(SUBSTITUTE(SUBSTITUTE(TRIM($H375),"/",","),";",",")," ",""))-LEN(SUBSTITUTE(SUBSTITUTE(SUBSTITUTE(SUBSTITUTE(TRIM($H375),"/",","),";",","),"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375),"/",","),";",",")," ","")&amp;",")))&lt;&gt;(LEN(SUBSTITUTE(SUBSTITUTE(SUBSTITUTE(TRIM($H375),"/",","),";",",")," ",""))-LEN(SUBSTITUTE(SUBSTITUTE(SUBSTITUTE(SUBSTITUTE(TRIM($H375),"/",","),";",",")," ",""),",",""))+1),"Genre di luar daftar",""))),IF($I375="","Nama Channel kosong",""),IF($J375="","Link Channel kosong",IF(ISERROR(SEARCH("youtu",$J375)),"Link Channel bukan youtube","")),IF($K375="","Link Video kosong",IF(ISERROR(SEARCH("youtu",$K375)),"Link Video bukan youtube","")),IF($L375="","Tgl Dibuat kosong",IF(NOT(ISNUMBER($L375)),"Tgl Dibuat bukan tanggal","")),IF(AND($M375&lt;&gt;"",NOT(ISNUMBER($M375))),"Tgl Publish bukan tanggal",""),IF(AND(ISNUMBER($L375),ISNUMBER($M375),$M375&lt;$L375),"Tgl Publish &lt; Tgl buat",""),IF(TRIM($N375)="","Status kosong",IF(ISERROR(MATCH(TRIM($N375),{"Draft","Menunggu Review","Revisi","Terjadwal","Upload","Publish","Published","Batal"},0)),"Status di luar daftar","")))),""))</f>
        <v/>
      </c>
      <c r="S375" s="12">
        <f>IF(AND($A375&lt;&gt;"",$C375&lt;&gt;""),IF(COUNTIFS($A$2:$A$1000,$A375,$C$2:$C$1000,$C375)&gt;1,"DUPLICAT",""),"")</f>
        <v/>
      </c>
    </row>
    <row r="376">
      <c r="A376" s="17" t="n"/>
      <c r="B376" s="17" t="n"/>
      <c r="C376" s="17" t="n"/>
      <c r="D376" s="18" t="n"/>
      <c r="E376" s="17" t="n"/>
      <c r="F376" s="19" t="n"/>
      <c r="G376" s="17" t="n"/>
      <c r="H376" s="17" t="n"/>
      <c r="I376" s="17" t="n"/>
      <c r="J376" s="19" t="n"/>
      <c r="K376" s="19" t="n"/>
      <c r="L376" s="20" t="n"/>
      <c r="M376" s="20" t="n"/>
      <c r="N376" s="17" t="n"/>
      <c r="O376" s="17" t="n"/>
      <c r="P376" s="21">
        <f>IF(AND(ISNUMBER($L376),ISNUMBER($M376)),MAX(0,$M376-$L376),"")</f>
        <v/>
      </c>
      <c r="Q376" s="21">
        <f>IF(ISNUMBER($D376),MAX(0,TODAY()-$D376),"")</f>
        <v/>
      </c>
      <c r="R376" s="19">
        <f>IF(COUNTA($A376:$O376)=0,"",IFERROR(TRIM(TEXTJOIN(" | ",TRUE,IF($A376="","PC kosong",""),IF($C376="","Worker ID kosong",""),IF($D376="","Update Date kosong",IF(NOT(ISNUMBER($D376)),"Update Date bukan tanggal","")),IF($E376="","Song ID YT kosong",""),IF($F376="","Judul kosong",""),IF(TRIM($G376)="","",IF(ISERROR(MATCH(TRIM($G376),{"TuneCore","DistroKid","TooLost","SoundOn","Ditto","Believe","CD Baby","Amuse","Symphonic Distribution","ONErpm","RouteNote","LANDR","Horus Music","Indie"},0)),"Aggregator di luar daftar","")),IF(TRIM($H376)="","Genre kosong",IF((LEN(SUBSTITUTE(SUBSTITUTE(SUBSTITUTE(TRIM($H376),"/",","),";",",")," ",""))-LEN(SUBSTITUTE(SUBSTITUTE(SUBSTITUTE(SUBSTITUTE(TRIM($H376),"/",","),";",","),"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376),"/",","),";",",")," ","")&amp;",")))&lt;&gt;(LEN(SUBSTITUTE(SUBSTITUTE(SUBSTITUTE(TRIM($H376),"/",","),";",",")," ",""))-LEN(SUBSTITUTE(SUBSTITUTE(SUBSTITUTE(SUBSTITUTE(TRIM($H376),"/",","),";",",")," ",""),",",""))+1),"Genre di luar daftar",""))),IF($I376="","Nama Channel kosong",""),IF($J376="","Link Channel kosong",IF(ISERROR(SEARCH("youtu",$J376)),"Link Channel bukan youtube","")),IF($K376="","Link Video kosong",IF(ISERROR(SEARCH("youtu",$K376)),"Link Video bukan youtube","")),IF($L376="","Tgl Dibuat kosong",IF(NOT(ISNUMBER($L376)),"Tgl Dibuat bukan tanggal","")),IF(AND($M376&lt;&gt;"",NOT(ISNUMBER($M376))),"Tgl Publish bukan tanggal",""),IF(AND(ISNUMBER($L376),ISNUMBER($M376),$M376&lt;$L376),"Tgl Publish &lt; Tgl buat",""),IF(TRIM($N376)="","Status kosong",IF(ISERROR(MATCH(TRIM($N376),{"Draft","Menunggu Review","Revisi","Terjadwal","Upload","Publish","Published","Batal"},0)),"Status di luar daftar","")))),""))</f>
        <v/>
      </c>
      <c r="S376" s="17">
        <f>IF(AND($A376&lt;&gt;"",$C376&lt;&gt;""),IF(COUNTIFS($A$2:$A$1000,$A376,$C$2:$C$1000,$C376)&gt;1,"DUPLICAT",""),"")</f>
        <v/>
      </c>
    </row>
    <row r="377">
      <c r="A377" s="12" t="n"/>
      <c r="B377" s="12" t="n"/>
      <c r="C377" s="12" t="n"/>
      <c r="D377" s="13" t="n"/>
      <c r="E377" s="12" t="n"/>
      <c r="F377" s="14" t="n"/>
      <c r="G377" s="12" t="n"/>
      <c r="H377" s="12" t="n"/>
      <c r="I377" s="12" t="n"/>
      <c r="J377" s="14" t="n"/>
      <c r="K377" s="14" t="n"/>
      <c r="L377" s="15" t="n"/>
      <c r="M377" s="15" t="n"/>
      <c r="N377" s="12" t="n"/>
      <c r="O377" s="12" t="n"/>
      <c r="P377" s="16">
        <f>IF(AND(ISNUMBER($L377),ISNUMBER($M377)),MAX(0,$M377-$L377),"")</f>
        <v/>
      </c>
      <c r="Q377" s="16">
        <f>IF(ISNUMBER($D377),MAX(0,TODAY()-$D377),"")</f>
        <v/>
      </c>
      <c r="R377" s="14">
        <f>IF(COUNTA($A377:$O377)=0,"",IFERROR(TRIM(TEXTJOIN(" | ",TRUE,IF($A377="","PC kosong",""),IF($C377="","Worker ID kosong",""),IF($D377="","Update Date kosong",IF(NOT(ISNUMBER($D377)),"Update Date bukan tanggal","")),IF($E377="","Song ID YT kosong",""),IF($F377="","Judul kosong",""),IF(TRIM($G377)="","",IF(ISERROR(MATCH(TRIM($G377),{"TuneCore","DistroKid","TooLost","SoundOn","Ditto","Believe","CD Baby","Amuse","Symphonic Distribution","ONErpm","RouteNote","LANDR","Horus Music","Indie"},0)),"Aggregator di luar daftar","")),IF(TRIM($H377)="","Genre kosong",IF((LEN(SUBSTITUTE(SUBSTITUTE(SUBSTITUTE(TRIM($H377),"/",","),";",",")," ",""))-LEN(SUBSTITUTE(SUBSTITUTE(SUBSTITUTE(SUBSTITUTE(TRIM($H377),"/",","),";",","),"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377),"/",","),";",",")," ","")&amp;",")))&lt;&gt;(LEN(SUBSTITUTE(SUBSTITUTE(SUBSTITUTE(TRIM($H377),"/",","),";",",")," ",""))-LEN(SUBSTITUTE(SUBSTITUTE(SUBSTITUTE(SUBSTITUTE(TRIM($H377),"/",","),";",",")," ",""),",",""))+1),"Genre di luar daftar",""))),IF($I377="","Nama Channel kosong",""),IF($J377="","Link Channel kosong",IF(ISERROR(SEARCH("youtu",$J377)),"Link Channel bukan youtube","")),IF($K377="","Link Video kosong",IF(ISERROR(SEARCH("youtu",$K377)),"Link Video bukan youtube","")),IF($L377="","Tgl Dibuat kosong",IF(NOT(ISNUMBER($L377)),"Tgl Dibuat bukan tanggal","")),IF(AND($M377&lt;&gt;"",NOT(ISNUMBER($M377))),"Tgl Publish bukan tanggal",""),IF(AND(ISNUMBER($L377),ISNUMBER($M377),$M377&lt;$L377),"Tgl Publish &lt; Tgl buat",""),IF(TRIM($N377)="","Status kosong",IF(ISERROR(MATCH(TRIM($N377),{"Draft","Menunggu Review","Revisi","Terjadwal","Upload","Publish","Published","Batal"},0)),"Status di luar daftar","")))),""))</f>
        <v/>
      </c>
      <c r="S377" s="12">
        <f>IF(AND($A377&lt;&gt;"",$C377&lt;&gt;""),IF(COUNTIFS($A$2:$A$1000,$A377,$C$2:$C$1000,$C377)&gt;1,"DUPLICAT",""),"")</f>
        <v/>
      </c>
    </row>
    <row r="378">
      <c r="A378" s="17" t="n"/>
      <c r="B378" s="17" t="n"/>
      <c r="C378" s="17" t="n"/>
      <c r="D378" s="18" t="n"/>
      <c r="E378" s="17" t="n"/>
      <c r="F378" s="19" t="n"/>
      <c r="G378" s="17" t="n"/>
      <c r="H378" s="17" t="n"/>
      <c r="I378" s="17" t="n"/>
      <c r="J378" s="19" t="n"/>
      <c r="K378" s="19" t="n"/>
      <c r="L378" s="20" t="n"/>
      <c r="M378" s="20" t="n"/>
      <c r="N378" s="17" t="n"/>
      <c r="O378" s="17" t="n"/>
      <c r="P378" s="21">
        <f>IF(AND(ISNUMBER($L378),ISNUMBER($M378)),MAX(0,$M378-$L378),"")</f>
        <v/>
      </c>
      <c r="Q378" s="21">
        <f>IF(ISNUMBER($D378),MAX(0,TODAY()-$D378),"")</f>
        <v/>
      </c>
      <c r="R378" s="19">
        <f>IF(COUNTA($A378:$O378)=0,"",IFERROR(TRIM(TEXTJOIN(" | ",TRUE,IF($A378="","PC kosong",""),IF($C378="","Worker ID kosong",""),IF($D378="","Update Date kosong",IF(NOT(ISNUMBER($D378)),"Update Date bukan tanggal","")),IF($E378="","Song ID YT kosong",""),IF($F378="","Judul kosong",""),IF(TRIM($G378)="","",IF(ISERROR(MATCH(TRIM($G378),{"TuneCore","DistroKid","TooLost","SoundOn","Ditto","Believe","CD Baby","Amuse","Symphonic Distribution","ONErpm","RouteNote","LANDR","Horus Music","Indie"},0)),"Aggregator di luar daftar","")),IF(TRIM($H378)="","Genre kosong",IF((LEN(SUBSTITUTE(SUBSTITUTE(SUBSTITUTE(TRIM($H378),"/",","),";",",")," ",""))-LEN(SUBSTITUTE(SUBSTITUTE(SUBSTITUTE(SUBSTITUTE(TRIM($H378),"/",","),";",","),"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378),"/",","),";",",")," ","")&amp;",")))&lt;&gt;(LEN(SUBSTITUTE(SUBSTITUTE(SUBSTITUTE(TRIM($H378),"/",","),";",",")," ",""))-LEN(SUBSTITUTE(SUBSTITUTE(SUBSTITUTE(SUBSTITUTE(TRIM($H378),"/",","),";",",")," ",""),",",""))+1),"Genre di luar daftar",""))),IF($I378="","Nama Channel kosong",""),IF($J378="","Link Channel kosong",IF(ISERROR(SEARCH("youtu",$J378)),"Link Channel bukan youtube","")),IF($K378="","Link Video kosong",IF(ISERROR(SEARCH("youtu",$K378)),"Link Video bukan youtube","")),IF($L378="","Tgl Dibuat kosong",IF(NOT(ISNUMBER($L378)),"Tgl Dibuat bukan tanggal","")),IF(AND($M378&lt;&gt;"",NOT(ISNUMBER($M378))),"Tgl Publish bukan tanggal",""),IF(AND(ISNUMBER($L378),ISNUMBER($M378),$M378&lt;$L378),"Tgl Publish &lt; Tgl buat",""),IF(TRIM($N378)="","Status kosong",IF(ISERROR(MATCH(TRIM($N378),{"Draft","Menunggu Review","Revisi","Terjadwal","Upload","Publish","Published","Batal"},0)),"Status di luar daftar","")))),""))</f>
        <v/>
      </c>
      <c r="S378" s="17">
        <f>IF(AND($A378&lt;&gt;"",$C378&lt;&gt;""),IF(COUNTIFS($A$2:$A$1000,$A378,$C$2:$C$1000,$C378)&gt;1,"DUPLICAT",""),"")</f>
        <v/>
      </c>
    </row>
    <row r="379">
      <c r="A379" s="12" t="n"/>
      <c r="B379" s="12" t="n"/>
      <c r="C379" s="12" t="n"/>
      <c r="D379" s="13" t="n"/>
      <c r="E379" s="12" t="n"/>
      <c r="F379" s="14" t="n"/>
      <c r="G379" s="12" t="n"/>
      <c r="H379" s="12" t="n"/>
      <c r="I379" s="12" t="n"/>
      <c r="J379" s="14" t="n"/>
      <c r="K379" s="14" t="n"/>
      <c r="L379" s="15" t="n"/>
      <c r="M379" s="15" t="n"/>
      <c r="N379" s="12" t="n"/>
      <c r="O379" s="12" t="n"/>
      <c r="P379" s="16">
        <f>IF(AND(ISNUMBER($L379),ISNUMBER($M379)),MAX(0,$M379-$L379),"")</f>
        <v/>
      </c>
      <c r="Q379" s="16">
        <f>IF(ISNUMBER($D379),MAX(0,TODAY()-$D379),"")</f>
        <v/>
      </c>
      <c r="R379" s="14">
        <f>IF(COUNTA($A379:$O379)=0,"",IFERROR(TRIM(TEXTJOIN(" | ",TRUE,IF($A379="","PC kosong",""),IF($C379="","Worker ID kosong",""),IF($D379="","Update Date kosong",IF(NOT(ISNUMBER($D379)),"Update Date bukan tanggal","")),IF($E379="","Song ID YT kosong",""),IF($F379="","Judul kosong",""),IF(TRIM($G379)="","",IF(ISERROR(MATCH(TRIM($G379),{"TuneCore","DistroKid","TooLost","SoundOn","Ditto","Believe","CD Baby","Amuse","Symphonic Distribution","ONErpm","RouteNote","LANDR","Horus Music","Indie"},0)),"Aggregator di luar daftar","")),IF(TRIM($H379)="","Genre kosong",IF((LEN(SUBSTITUTE(SUBSTITUTE(SUBSTITUTE(TRIM($H379),"/",","),";",",")," ",""))-LEN(SUBSTITUTE(SUBSTITUTE(SUBSTITUTE(SUBSTITUTE(TRIM($H379),"/",","),";",","),"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379),"/",","),";",",")," ","")&amp;",")))&lt;&gt;(LEN(SUBSTITUTE(SUBSTITUTE(SUBSTITUTE(TRIM($H379),"/",","),";",",")," ",""))-LEN(SUBSTITUTE(SUBSTITUTE(SUBSTITUTE(SUBSTITUTE(TRIM($H379),"/",","),";",",")," ",""),",",""))+1),"Genre di luar daftar",""))),IF($I379="","Nama Channel kosong",""),IF($J379="","Link Channel kosong",IF(ISERROR(SEARCH("youtu",$J379)),"Link Channel bukan youtube","")),IF($K379="","Link Video kosong",IF(ISERROR(SEARCH("youtu",$K379)),"Link Video bukan youtube","")),IF($L379="","Tgl Dibuat kosong",IF(NOT(ISNUMBER($L379)),"Tgl Dibuat bukan tanggal","")),IF(AND($M379&lt;&gt;"",NOT(ISNUMBER($M379))),"Tgl Publish bukan tanggal",""),IF(AND(ISNUMBER($L379),ISNUMBER($M379),$M379&lt;$L379),"Tgl Publish &lt; Tgl buat",""),IF(TRIM($N379)="","Status kosong",IF(ISERROR(MATCH(TRIM($N379),{"Draft","Menunggu Review","Revisi","Terjadwal","Upload","Publish","Published","Batal"},0)),"Status di luar daftar","")))),""))</f>
        <v/>
      </c>
      <c r="S379" s="12">
        <f>IF(AND($A379&lt;&gt;"",$C379&lt;&gt;""),IF(COUNTIFS($A$2:$A$1000,$A379,$C$2:$C$1000,$C379)&gt;1,"DUPLICAT",""),"")</f>
        <v/>
      </c>
    </row>
    <row r="380">
      <c r="A380" s="17" t="n"/>
      <c r="B380" s="17" t="n"/>
      <c r="C380" s="17" t="n"/>
      <c r="D380" s="18" t="n"/>
      <c r="E380" s="17" t="n"/>
      <c r="F380" s="19" t="n"/>
      <c r="G380" s="17" t="n"/>
      <c r="H380" s="17" t="n"/>
      <c r="I380" s="17" t="n"/>
      <c r="J380" s="19" t="n"/>
      <c r="K380" s="19" t="n"/>
      <c r="L380" s="20" t="n"/>
      <c r="M380" s="20" t="n"/>
      <c r="N380" s="17" t="n"/>
      <c r="O380" s="17" t="n"/>
      <c r="P380" s="21">
        <f>IF(AND(ISNUMBER($L380),ISNUMBER($M380)),MAX(0,$M380-$L380),"")</f>
        <v/>
      </c>
      <c r="Q380" s="21">
        <f>IF(ISNUMBER($D380),MAX(0,TODAY()-$D380),"")</f>
        <v/>
      </c>
      <c r="R380" s="19">
        <f>IF(COUNTA($A380:$O380)=0,"",IFERROR(TRIM(TEXTJOIN(" | ",TRUE,IF($A380="","PC kosong",""),IF($C380="","Worker ID kosong",""),IF($D380="","Update Date kosong",IF(NOT(ISNUMBER($D380)),"Update Date bukan tanggal","")),IF($E380="","Song ID YT kosong",""),IF($F380="","Judul kosong",""),IF(TRIM($G380)="","",IF(ISERROR(MATCH(TRIM($G380),{"TuneCore","DistroKid","TooLost","SoundOn","Ditto","Believe","CD Baby","Amuse","Symphonic Distribution","ONErpm","RouteNote","LANDR","Horus Music","Indie"},0)),"Aggregator di luar daftar","")),IF(TRIM($H380)="","Genre kosong",IF((LEN(SUBSTITUTE(SUBSTITUTE(SUBSTITUTE(TRIM($H380),"/",","),";",",")," ",""))-LEN(SUBSTITUTE(SUBSTITUTE(SUBSTITUTE(SUBSTITUTE(TRIM($H380),"/",","),";",","),"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380),"/",","),";",",")," ","")&amp;",")))&lt;&gt;(LEN(SUBSTITUTE(SUBSTITUTE(SUBSTITUTE(TRIM($H380),"/",","),";",",")," ",""))-LEN(SUBSTITUTE(SUBSTITUTE(SUBSTITUTE(SUBSTITUTE(TRIM($H380),"/",","),";",",")," ",""),",",""))+1),"Genre di luar daftar",""))),IF($I380="","Nama Channel kosong",""),IF($J380="","Link Channel kosong",IF(ISERROR(SEARCH("youtu",$J380)),"Link Channel bukan youtube","")),IF($K380="","Link Video kosong",IF(ISERROR(SEARCH("youtu",$K380)),"Link Video bukan youtube","")),IF($L380="","Tgl Dibuat kosong",IF(NOT(ISNUMBER($L380)),"Tgl Dibuat bukan tanggal","")),IF(AND($M380&lt;&gt;"",NOT(ISNUMBER($M380))),"Tgl Publish bukan tanggal",""),IF(AND(ISNUMBER($L380),ISNUMBER($M380),$M380&lt;$L380),"Tgl Publish &lt; Tgl buat",""),IF(TRIM($N380)="","Status kosong",IF(ISERROR(MATCH(TRIM($N380),{"Draft","Menunggu Review","Revisi","Terjadwal","Upload","Publish","Published","Batal"},0)),"Status di luar daftar","")))),""))</f>
        <v/>
      </c>
      <c r="S380" s="17">
        <f>IF(AND($A380&lt;&gt;"",$C380&lt;&gt;""),IF(COUNTIFS($A$2:$A$1000,$A380,$C$2:$C$1000,$C380)&gt;1,"DUPLICAT",""),"")</f>
        <v/>
      </c>
    </row>
    <row r="381">
      <c r="A381" s="12" t="n"/>
      <c r="B381" s="12" t="n"/>
      <c r="C381" s="12" t="n"/>
      <c r="D381" s="13" t="n"/>
      <c r="E381" s="12" t="n"/>
      <c r="F381" s="14" t="n"/>
      <c r="G381" s="12" t="n"/>
      <c r="H381" s="12" t="n"/>
      <c r="I381" s="12" t="n"/>
      <c r="J381" s="14" t="n"/>
      <c r="K381" s="14" t="n"/>
      <c r="L381" s="15" t="n"/>
      <c r="M381" s="15" t="n"/>
      <c r="N381" s="12" t="n"/>
      <c r="O381" s="12" t="n"/>
      <c r="P381" s="16">
        <f>IF(AND(ISNUMBER($L381),ISNUMBER($M381)),MAX(0,$M381-$L381),"")</f>
        <v/>
      </c>
      <c r="Q381" s="16">
        <f>IF(ISNUMBER($D381),MAX(0,TODAY()-$D381),"")</f>
        <v/>
      </c>
      <c r="R381" s="14">
        <f>IF(COUNTA($A381:$O381)=0,"",IFERROR(TRIM(TEXTJOIN(" | ",TRUE,IF($A381="","PC kosong",""),IF($C381="","Worker ID kosong",""),IF($D381="","Update Date kosong",IF(NOT(ISNUMBER($D381)),"Update Date bukan tanggal","")),IF($E381="","Song ID YT kosong",""),IF($F381="","Judul kosong",""),IF(TRIM($G381)="","",IF(ISERROR(MATCH(TRIM($G381),{"TuneCore","DistroKid","TooLost","SoundOn","Ditto","Believe","CD Baby","Amuse","Symphonic Distribution","ONErpm","RouteNote","LANDR","Horus Music","Indie"},0)),"Aggregator di luar daftar","")),IF(TRIM($H381)="","Genre kosong",IF((LEN(SUBSTITUTE(SUBSTITUTE(SUBSTITUTE(TRIM($H381),"/",","),";",",")," ",""))-LEN(SUBSTITUTE(SUBSTITUTE(SUBSTITUTE(SUBSTITUTE(TRIM($H381),"/",","),";",","),"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381),"/",","),";",",")," ","")&amp;",")))&lt;&gt;(LEN(SUBSTITUTE(SUBSTITUTE(SUBSTITUTE(TRIM($H381),"/",","),";",",")," ",""))-LEN(SUBSTITUTE(SUBSTITUTE(SUBSTITUTE(SUBSTITUTE(TRIM($H381),"/",","),";",",")," ",""),",",""))+1),"Genre di luar daftar",""))),IF($I381="","Nama Channel kosong",""),IF($J381="","Link Channel kosong",IF(ISERROR(SEARCH("youtu",$J381)),"Link Channel bukan youtube","")),IF($K381="","Link Video kosong",IF(ISERROR(SEARCH("youtu",$K381)),"Link Video bukan youtube","")),IF($L381="","Tgl Dibuat kosong",IF(NOT(ISNUMBER($L381)),"Tgl Dibuat bukan tanggal","")),IF(AND($M381&lt;&gt;"",NOT(ISNUMBER($M381))),"Tgl Publish bukan tanggal",""),IF(AND(ISNUMBER($L381),ISNUMBER($M381),$M381&lt;$L381),"Tgl Publish &lt; Tgl buat",""),IF(TRIM($N381)="","Status kosong",IF(ISERROR(MATCH(TRIM($N381),{"Draft","Menunggu Review","Revisi","Terjadwal","Upload","Publish","Published","Batal"},0)),"Status di luar daftar","")))),""))</f>
        <v/>
      </c>
      <c r="S381" s="12">
        <f>IF(AND($A381&lt;&gt;"",$C381&lt;&gt;""),IF(COUNTIFS($A$2:$A$1000,$A381,$C$2:$C$1000,$C381)&gt;1,"DUPLICAT",""),"")</f>
        <v/>
      </c>
    </row>
    <row r="382">
      <c r="A382" s="17" t="n"/>
      <c r="B382" s="17" t="n"/>
      <c r="C382" s="17" t="n"/>
      <c r="D382" s="18" t="n"/>
      <c r="E382" s="17" t="n"/>
      <c r="F382" s="19" t="n"/>
      <c r="G382" s="17" t="n"/>
      <c r="H382" s="17" t="n"/>
      <c r="I382" s="17" t="n"/>
      <c r="J382" s="19" t="n"/>
      <c r="K382" s="19" t="n"/>
      <c r="L382" s="20" t="n"/>
      <c r="M382" s="20" t="n"/>
      <c r="N382" s="17" t="n"/>
      <c r="O382" s="17" t="n"/>
      <c r="P382" s="21">
        <f>IF(AND(ISNUMBER($L382),ISNUMBER($M382)),MAX(0,$M382-$L382),"")</f>
        <v/>
      </c>
      <c r="Q382" s="21">
        <f>IF(ISNUMBER($D382),MAX(0,TODAY()-$D382),"")</f>
        <v/>
      </c>
      <c r="R382" s="19">
        <f>IF(COUNTA($A382:$O382)=0,"",IFERROR(TRIM(TEXTJOIN(" | ",TRUE,IF($A382="","PC kosong",""),IF($C382="","Worker ID kosong",""),IF($D382="","Update Date kosong",IF(NOT(ISNUMBER($D382)),"Update Date bukan tanggal","")),IF($E382="","Song ID YT kosong",""),IF($F382="","Judul kosong",""),IF(TRIM($G382)="","",IF(ISERROR(MATCH(TRIM($G382),{"TuneCore","DistroKid","TooLost","SoundOn","Ditto","Believe","CD Baby","Amuse","Symphonic Distribution","ONErpm","RouteNote","LANDR","Horus Music","Indie"},0)),"Aggregator di luar daftar","")),IF(TRIM($H382)="","Genre kosong",IF((LEN(SUBSTITUTE(SUBSTITUTE(SUBSTITUTE(TRIM($H382),"/",","),";",",")," ",""))-LEN(SUBSTITUTE(SUBSTITUTE(SUBSTITUTE(SUBSTITUTE(TRIM($H382),"/",","),";",","),"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382),"/",","),";",",")," ","")&amp;",")))&lt;&gt;(LEN(SUBSTITUTE(SUBSTITUTE(SUBSTITUTE(TRIM($H382),"/",","),";",",")," ",""))-LEN(SUBSTITUTE(SUBSTITUTE(SUBSTITUTE(SUBSTITUTE(TRIM($H382),"/",","),";",",")," ",""),",",""))+1),"Genre di luar daftar",""))),IF($I382="","Nama Channel kosong",""),IF($J382="","Link Channel kosong",IF(ISERROR(SEARCH("youtu",$J382)),"Link Channel bukan youtube","")),IF($K382="","Link Video kosong",IF(ISERROR(SEARCH("youtu",$K382)),"Link Video bukan youtube","")),IF($L382="","Tgl Dibuat kosong",IF(NOT(ISNUMBER($L382)),"Tgl Dibuat bukan tanggal","")),IF(AND($M382&lt;&gt;"",NOT(ISNUMBER($M382))),"Tgl Publish bukan tanggal",""),IF(AND(ISNUMBER($L382),ISNUMBER($M382),$M382&lt;$L382),"Tgl Publish &lt; Tgl buat",""),IF(TRIM($N382)="","Status kosong",IF(ISERROR(MATCH(TRIM($N382),{"Draft","Menunggu Review","Revisi","Terjadwal","Upload","Publish","Published","Batal"},0)),"Status di luar daftar","")))),""))</f>
        <v/>
      </c>
      <c r="S382" s="17">
        <f>IF(AND($A382&lt;&gt;"",$C382&lt;&gt;""),IF(COUNTIFS($A$2:$A$1000,$A382,$C$2:$C$1000,$C382)&gt;1,"DUPLICAT",""),"")</f>
        <v/>
      </c>
    </row>
    <row r="383">
      <c r="A383" s="12" t="n"/>
      <c r="B383" s="12" t="n"/>
      <c r="C383" s="12" t="n"/>
      <c r="D383" s="13" t="n"/>
      <c r="E383" s="12" t="n"/>
      <c r="F383" s="14" t="n"/>
      <c r="G383" s="12" t="n"/>
      <c r="H383" s="12" t="n"/>
      <c r="I383" s="12" t="n"/>
      <c r="J383" s="14" t="n"/>
      <c r="K383" s="14" t="n"/>
      <c r="L383" s="15" t="n"/>
      <c r="M383" s="15" t="n"/>
      <c r="N383" s="12" t="n"/>
      <c r="O383" s="12" t="n"/>
      <c r="P383" s="16">
        <f>IF(AND(ISNUMBER($L383),ISNUMBER($M383)),MAX(0,$M383-$L383),"")</f>
        <v/>
      </c>
      <c r="Q383" s="16">
        <f>IF(ISNUMBER($D383),MAX(0,TODAY()-$D383),"")</f>
        <v/>
      </c>
      <c r="R383" s="14">
        <f>IF(COUNTA($A383:$O383)=0,"",IFERROR(TRIM(TEXTJOIN(" | ",TRUE,IF($A383="","PC kosong",""),IF($C383="","Worker ID kosong",""),IF($D383="","Update Date kosong",IF(NOT(ISNUMBER($D383)),"Update Date bukan tanggal","")),IF($E383="","Song ID YT kosong",""),IF($F383="","Judul kosong",""),IF(TRIM($G383)="","",IF(ISERROR(MATCH(TRIM($G383),{"TuneCore","DistroKid","TooLost","SoundOn","Ditto","Believe","CD Baby","Amuse","Symphonic Distribution","ONErpm","RouteNote","LANDR","Horus Music","Indie"},0)),"Aggregator di luar daftar","")),IF(TRIM($H383)="","Genre kosong",IF((LEN(SUBSTITUTE(SUBSTITUTE(SUBSTITUTE(TRIM($H383),"/",","),";",",")," ",""))-LEN(SUBSTITUTE(SUBSTITUTE(SUBSTITUTE(SUBSTITUTE(TRIM($H383),"/",","),";",","),"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383),"/",","),";",",")," ","")&amp;",")))&lt;&gt;(LEN(SUBSTITUTE(SUBSTITUTE(SUBSTITUTE(TRIM($H383),"/",","),";",",")," ",""))-LEN(SUBSTITUTE(SUBSTITUTE(SUBSTITUTE(SUBSTITUTE(TRIM($H383),"/",","),";",",")," ",""),",",""))+1),"Genre di luar daftar",""))),IF($I383="","Nama Channel kosong",""),IF($J383="","Link Channel kosong",IF(ISERROR(SEARCH("youtu",$J383)),"Link Channel bukan youtube","")),IF($K383="","Link Video kosong",IF(ISERROR(SEARCH("youtu",$K383)),"Link Video bukan youtube","")),IF($L383="","Tgl Dibuat kosong",IF(NOT(ISNUMBER($L383)),"Tgl Dibuat bukan tanggal","")),IF(AND($M383&lt;&gt;"",NOT(ISNUMBER($M383))),"Tgl Publish bukan tanggal",""),IF(AND(ISNUMBER($L383),ISNUMBER($M383),$M383&lt;$L383),"Tgl Publish &lt; Tgl buat",""),IF(TRIM($N383)="","Status kosong",IF(ISERROR(MATCH(TRIM($N383),{"Draft","Menunggu Review","Revisi","Terjadwal","Upload","Publish","Published","Batal"},0)),"Status di luar daftar","")))),""))</f>
        <v/>
      </c>
      <c r="S383" s="12">
        <f>IF(AND($A383&lt;&gt;"",$C383&lt;&gt;""),IF(COUNTIFS($A$2:$A$1000,$A383,$C$2:$C$1000,$C383)&gt;1,"DUPLICAT",""),"")</f>
        <v/>
      </c>
    </row>
    <row r="384">
      <c r="A384" s="17" t="n"/>
      <c r="B384" s="17" t="n"/>
      <c r="C384" s="17" t="n"/>
      <c r="D384" s="18" t="n"/>
      <c r="E384" s="17" t="n"/>
      <c r="F384" s="19" t="n"/>
      <c r="G384" s="17" t="n"/>
      <c r="H384" s="17" t="n"/>
      <c r="I384" s="17" t="n"/>
      <c r="J384" s="19" t="n"/>
      <c r="K384" s="19" t="n"/>
      <c r="L384" s="20" t="n"/>
      <c r="M384" s="20" t="n"/>
      <c r="N384" s="17" t="n"/>
      <c r="O384" s="17" t="n"/>
      <c r="P384" s="21">
        <f>IF(AND(ISNUMBER($L384),ISNUMBER($M384)),MAX(0,$M384-$L384),"")</f>
        <v/>
      </c>
      <c r="Q384" s="21">
        <f>IF(ISNUMBER($D384),MAX(0,TODAY()-$D384),"")</f>
        <v/>
      </c>
      <c r="R384" s="19">
        <f>IF(COUNTA($A384:$O384)=0,"",IFERROR(TRIM(TEXTJOIN(" | ",TRUE,IF($A384="","PC kosong",""),IF($C384="","Worker ID kosong",""),IF($D384="","Update Date kosong",IF(NOT(ISNUMBER($D384)),"Update Date bukan tanggal","")),IF($E384="","Song ID YT kosong",""),IF($F384="","Judul kosong",""),IF(TRIM($G384)="","",IF(ISERROR(MATCH(TRIM($G384),{"TuneCore","DistroKid","TooLost","SoundOn","Ditto","Believe","CD Baby","Amuse","Symphonic Distribution","ONErpm","RouteNote","LANDR","Horus Music","Indie"},0)),"Aggregator di luar daftar","")),IF(TRIM($H384)="","Genre kosong",IF((LEN(SUBSTITUTE(SUBSTITUTE(SUBSTITUTE(TRIM($H384),"/",","),";",",")," ",""))-LEN(SUBSTITUTE(SUBSTITUTE(SUBSTITUTE(SUBSTITUTE(TRIM($H384),"/",","),";",","),"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384),"/",","),";",",")," ","")&amp;",")))&lt;&gt;(LEN(SUBSTITUTE(SUBSTITUTE(SUBSTITUTE(TRIM($H384),"/",","),";",",")," ",""))-LEN(SUBSTITUTE(SUBSTITUTE(SUBSTITUTE(SUBSTITUTE(TRIM($H384),"/",","),";",",")," ",""),",",""))+1),"Genre di luar daftar",""))),IF($I384="","Nama Channel kosong",""),IF($J384="","Link Channel kosong",IF(ISERROR(SEARCH("youtu",$J384)),"Link Channel bukan youtube","")),IF($K384="","Link Video kosong",IF(ISERROR(SEARCH("youtu",$K384)),"Link Video bukan youtube","")),IF($L384="","Tgl Dibuat kosong",IF(NOT(ISNUMBER($L384)),"Tgl Dibuat bukan tanggal","")),IF(AND($M384&lt;&gt;"",NOT(ISNUMBER($M384))),"Tgl Publish bukan tanggal",""),IF(AND(ISNUMBER($L384),ISNUMBER($M384),$M384&lt;$L384),"Tgl Publish &lt; Tgl buat",""),IF(TRIM($N384)="","Status kosong",IF(ISERROR(MATCH(TRIM($N384),{"Draft","Menunggu Review","Revisi","Terjadwal","Upload","Publish","Published","Batal"},0)),"Status di luar daftar","")))),""))</f>
        <v/>
      </c>
      <c r="S384" s="17">
        <f>IF(AND($A384&lt;&gt;"",$C384&lt;&gt;""),IF(COUNTIFS($A$2:$A$1000,$A384,$C$2:$C$1000,$C384)&gt;1,"DUPLICAT",""),"")</f>
        <v/>
      </c>
    </row>
    <row r="385">
      <c r="A385" s="12" t="n"/>
      <c r="B385" s="12" t="n"/>
      <c r="C385" s="12" t="n"/>
      <c r="D385" s="13" t="n"/>
      <c r="E385" s="12" t="n"/>
      <c r="F385" s="14" t="n"/>
      <c r="G385" s="12" t="n"/>
      <c r="H385" s="12" t="n"/>
      <c r="I385" s="12" t="n"/>
      <c r="J385" s="14" t="n"/>
      <c r="K385" s="14" t="n"/>
      <c r="L385" s="15" t="n"/>
      <c r="M385" s="15" t="n"/>
      <c r="N385" s="12" t="n"/>
      <c r="O385" s="12" t="n"/>
      <c r="P385" s="16">
        <f>IF(AND(ISNUMBER($L385),ISNUMBER($M385)),MAX(0,$M385-$L385),"")</f>
        <v/>
      </c>
      <c r="Q385" s="16">
        <f>IF(ISNUMBER($D385),MAX(0,TODAY()-$D385),"")</f>
        <v/>
      </c>
      <c r="R385" s="14">
        <f>IF(COUNTA($A385:$O385)=0,"",IFERROR(TRIM(TEXTJOIN(" | ",TRUE,IF($A385="","PC kosong",""),IF($C385="","Worker ID kosong",""),IF($D385="","Update Date kosong",IF(NOT(ISNUMBER($D385)),"Update Date bukan tanggal","")),IF($E385="","Song ID YT kosong",""),IF($F385="","Judul kosong",""),IF(TRIM($G385)="","",IF(ISERROR(MATCH(TRIM($G385),{"TuneCore","DistroKid","TooLost","SoundOn","Ditto","Believe","CD Baby","Amuse","Symphonic Distribution","ONErpm","RouteNote","LANDR","Horus Music","Indie"},0)),"Aggregator di luar daftar","")),IF(TRIM($H385)="","Genre kosong",IF((LEN(SUBSTITUTE(SUBSTITUTE(SUBSTITUTE(TRIM($H385),"/",","),";",",")," ",""))-LEN(SUBSTITUTE(SUBSTITUTE(SUBSTITUTE(SUBSTITUTE(TRIM($H385),"/",","),";",","),"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385),"/",","),";",",")," ","")&amp;",")))&lt;&gt;(LEN(SUBSTITUTE(SUBSTITUTE(SUBSTITUTE(TRIM($H385),"/",","),";",",")," ",""))-LEN(SUBSTITUTE(SUBSTITUTE(SUBSTITUTE(SUBSTITUTE(TRIM($H385),"/",","),";",",")," ",""),",",""))+1),"Genre di luar daftar",""))),IF($I385="","Nama Channel kosong",""),IF($J385="","Link Channel kosong",IF(ISERROR(SEARCH("youtu",$J385)),"Link Channel bukan youtube","")),IF($K385="","Link Video kosong",IF(ISERROR(SEARCH("youtu",$K385)),"Link Video bukan youtube","")),IF($L385="","Tgl Dibuat kosong",IF(NOT(ISNUMBER($L385)),"Tgl Dibuat bukan tanggal","")),IF(AND($M385&lt;&gt;"",NOT(ISNUMBER($M385))),"Tgl Publish bukan tanggal",""),IF(AND(ISNUMBER($L385),ISNUMBER($M385),$M385&lt;$L385),"Tgl Publish &lt; Tgl buat",""),IF(TRIM($N385)="","Status kosong",IF(ISERROR(MATCH(TRIM($N385),{"Draft","Menunggu Review","Revisi","Terjadwal","Upload","Publish","Published","Batal"},0)),"Status di luar daftar","")))),""))</f>
        <v/>
      </c>
      <c r="S385" s="12">
        <f>IF(AND($A385&lt;&gt;"",$C385&lt;&gt;""),IF(COUNTIFS($A$2:$A$1000,$A385,$C$2:$C$1000,$C385)&gt;1,"DUPLICAT",""),"")</f>
        <v/>
      </c>
    </row>
    <row r="386">
      <c r="A386" s="17" t="n"/>
      <c r="B386" s="17" t="n"/>
      <c r="C386" s="17" t="n"/>
      <c r="D386" s="18" t="n"/>
      <c r="E386" s="17" t="n"/>
      <c r="F386" s="19" t="n"/>
      <c r="G386" s="17" t="n"/>
      <c r="H386" s="17" t="n"/>
      <c r="I386" s="17" t="n"/>
      <c r="J386" s="19" t="n"/>
      <c r="K386" s="19" t="n"/>
      <c r="L386" s="20" t="n"/>
      <c r="M386" s="20" t="n"/>
      <c r="N386" s="17" t="n"/>
      <c r="O386" s="17" t="n"/>
      <c r="P386" s="21">
        <f>IF(AND(ISNUMBER($L386),ISNUMBER($M386)),MAX(0,$M386-$L386),"")</f>
        <v/>
      </c>
      <c r="Q386" s="21">
        <f>IF(ISNUMBER($D386),MAX(0,TODAY()-$D386),"")</f>
        <v/>
      </c>
      <c r="R386" s="19">
        <f>IF(COUNTA($A386:$O386)=0,"",IFERROR(TRIM(TEXTJOIN(" | ",TRUE,IF($A386="","PC kosong",""),IF($C386="","Worker ID kosong",""),IF($D386="","Update Date kosong",IF(NOT(ISNUMBER($D386)),"Update Date bukan tanggal","")),IF($E386="","Song ID YT kosong",""),IF($F386="","Judul kosong",""),IF(TRIM($G386)="","",IF(ISERROR(MATCH(TRIM($G386),{"TuneCore","DistroKid","TooLost","SoundOn","Ditto","Believe","CD Baby","Amuse","Symphonic Distribution","ONErpm","RouteNote","LANDR","Horus Music","Indie"},0)),"Aggregator di luar daftar","")),IF(TRIM($H386)="","Genre kosong",IF((LEN(SUBSTITUTE(SUBSTITUTE(SUBSTITUTE(TRIM($H386),"/",","),";",",")," ",""))-LEN(SUBSTITUTE(SUBSTITUTE(SUBSTITUTE(SUBSTITUTE(TRIM($H386),"/",","),";",","),"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386),"/",","),";",",")," ","")&amp;",")))&lt;&gt;(LEN(SUBSTITUTE(SUBSTITUTE(SUBSTITUTE(TRIM($H386),"/",","),";",",")," ",""))-LEN(SUBSTITUTE(SUBSTITUTE(SUBSTITUTE(SUBSTITUTE(TRIM($H386),"/",","),";",",")," ",""),",",""))+1),"Genre di luar daftar",""))),IF($I386="","Nama Channel kosong",""),IF($J386="","Link Channel kosong",IF(ISERROR(SEARCH("youtu",$J386)),"Link Channel bukan youtube","")),IF($K386="","Link Video kosong",IF(ISERROR(SEARCH("youtu",$K386)),"Link Video bukan youtube","")),IF($L386="","Tgl Dibuat kosong",IF(NOT(ISNUMBER($L386)),"Tgl Dibuat bukan tanggal","")),IF(AND($M386&lt;&gt;"",NOT(ISNUMBER($M386))),"Tgl Publish bukan tanggal",""),IF(AND(ISNUMBER($L386),ISNUMBER($M386),$M386&lt;$L386),"Tgl Publish &lt; Tgl buat",""),IF(TRIM($N386)="","Status kosong",IF(ISERROR(MATCH(TRIM($N386),{"Draft","Menunggu Review","Revisi","Terjadwal","Upload","Publish","Published","Batal"},0)),"Status di luar daftar","")))),""))</f>
        <v/>
      </c>
      <c r="S386" s="17">
        <f>IF(AND($A386&lt;&gt;"",$C386&lt;&gt;""),IF(COUNTIFS($A$2:$A$1000,$A386,$C$2:$C$1000,$C386)&gt;1,"DUPLICAT",""),"")</f>
        <v/>
      </c>
    </row>
    <row r="387">
      <c r="A387" s="12" t="n"/>
      <c r="B387" s="12" t="n"/>
      <c r="C387" s="12" t="n"/>
      <c r="D387" s="13" t="n"/>
      <c r="E387" s="12" t="n"/>
      <c r="F387" s="14" t="n"/>
      <c r="G387" s="12" t="n"/>
      <c r="H387" s="12" t="n"/>
      <c r="I387" s="12" t="n"/>
      <c r="J387" s="14" t="n"/>
      <c r="K387" s="14" t="n"/>
      <c r="L387" s="15" t="n"/>
      <c r="M387" s="15" t="n"/>
      <c r="N387" s="12" t="n"/>
      <c r="O387" s="12" t="n"/>
      <c r="P387" s="16">
        <f>IF(AND(ISNUMBER($L387),ISNUMBER($M387)),MAX(0,$M387-$L387),"")</f>
        <v/>
      </c>
      <c r="Q387" s="16">
        <f>IF(ISNUMBER($D387),MAX(0,TODAY()-$D387),"")</f>
        <v/>
      </c>
      <c r="R387" s="14">
        <f>IF(COUNTA($A387:$O387)=0,"",IFERROR(TRIM(TEXTJOIN(" | ",TRUE,IF($A387="","PC kosong",""),IF($C387="","Worker ID kosong",""),IF($D387="","Update Date kosong",IF(NOT(ISNUMBER($D387)),"Update Date bukan tanggal","")),IF($E387="","Song ID YT kosong",""),IF($F387="","Judul kosong",""),IF(TRIM($G387)="","",IF(ISERROR(MATCH(TRIM($G387),{"TuneCore","DistroKid","TooLost","SoundOn","Ditto","Believe","CD Baby","Amuse","Symphonic Distribution","ONErpm","RouteNote","LANDR","Horus Music","Indie"},0)),"Aggregator di luar daftar","")),IF(TRIM($H387)="","Genre kosong",IF((LEN(SUBSTITUTE(SUBSTITUTE(SUBSTITUTE(TRIM($H387),"/",","),";",",")," ",""))-LEN(SUBSTITUTE(SUBSTITUTE(SUBSTITUTE(SUBSTITUTE(TRIM($H387),"/",","),";",","),"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387),"/",","),";",",")," ","")&amp;",")))&lt;&gt;(LEN(SUBSTITUTE(SUBSTITUTE(SUBSTITUTE(TRIM($H387),"/",","),";",",")," ",""))-LEN(SUBSTITUTE(SUBSTITUTE(SUBSTITUTE(SUBSTITUTE(TRIM($H387),"/",","),";",",")," ",""),",",""))+1),"Genre di luar daftar",""))),IF($I387="","Nama Channel kosong",""),IF($J387="","Link Channel kosong",IF(ISERROR(SEARCH("youtu",$J387)),"Link Channel bukan youtube","")),IF($K387="","Link Video kosong",IF(ISERROR(SEARCH("youtu",$K387)),"Link Video bukan youtube","")),IF($L387="","Tgl Dibuat kosong",IF(NOT(ISNUMBER($L387)),"Tgl Dibuat bukan tanggal","")),IF(AND($M387&lt;&gt;"",NOT(ISNUMBER($M387))),"Tgl Publish bukan tanggal",""),IF(AND(ISNUMBER($L387),ISNUMBER($M387),$M387&lt;$L387),"Tgl Publish &lt; Tgl buat",""),IF(TRIM($N387)="","Status kosong",IF(ISERROR(MATCH(TRIM($N387),{"Draft","Menunggu Review","Revisi","Terjadwal","Upload","Publish","Published","Batal"},0)),"Status di luar daftar","")))),""))</f>
        <v/>
      </c>
      <c r="S387" s="12">
        <f>IF(AND($A387&lt;&gt;"",$C387&lt;&gt;""),IF(COUNTIFS($A$2:$A$1000,$A387,$C$2:$C$1000,$C387)&gt;1,"DUPLICAT",""),"")</f>
        <v/>
      </c>
    </row>
    <row r="388">
      <c r="A388" s="17" t="n"/>
      <c r="B388" s="17" t="n"/>
      <c r="C388" s="17" t="n"/>
      <c r="D388" s="18" t="n"/>
      <c r="E388" s="17" t="n"/>
      <c r="F388" s="19" t="n"/>
      <c r="G388" s="17" t="n"/>
      <c r="H388" s="17" t="n"/>
      <c r="I388" s="17" t="n"/>
      <c r="J388" s="19" t="n"/>
      <c r="K388" s="19" t="n"/>
      <c r="L388" s="20" t="n"/>
      <c r="M388" s="20" t="n"/>
      <c r="N388" s="17" t="n"/>
      <c r="O388" s="17" t="n"/>
      <c r="P388" s="21">
        <f>IF(AND(ISNUMBER($L388),ISNUMBER($M388)),MAX(0,$M388-$L388),"")</f>
        <v/>
      </c>
      <c r="Q388" s="21">
        <f>IF(ISNUMBER($D388),MAX(0,TODAY()-$D388),"")</f>
        <v/>
      </c>
      <c r="R388" s="19">
        <f>IF(COUNTA($A388:$O388)=0,"",IFERROR(TRIM(TEXTJOIN(" | ",TRUE,IF($A388="","PC kosong",""),IF($C388="","Worker ID kosong",""),IF($D388="","Update Date kosong",IF(NOT(ISNUMBER($D388)),"Update Date bukan tanggal","")),IF($E388="","Song ID YT kosong",""),IF($F388="","Judul kosong",""),IF(TRIM($G388)="","",IF(ISERROR(MATCH(TRIM($G388),{"TuneCore","DistroKid","TooLost","SoundOn","Ditto","Believe","CD Baby","Amuse","Symphonic Distribution","ONErpm","RouteNote","LANDR","Horus Music","Indie"},0)),"Aggregator di luar daftar","")),IF(TRIM($H388)="","Genre kosong",IF((LEN(SUBSTITUTE(SUBSTITUTE(SUBSTITUTE(TRIM($H388),"/",","),";",",")," ",""))-LEN(SUBSTITUTE(SUBSTITUTE(SUBSTITUTE(SUBSTITUTE(TRIM($H388),"/",","),";",","),"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388),"/",","),";",",")," ","")&amp;",")))&lt;&gt;(LEN(SUBSTITUTE(SUBSTITUTE(SUBSTITUTE(TRIM($H388),"/",","),";",",")," ",""))-LEN(SUBSTITUTE(SUBSTITUTE(SUBSTITUTE(SUBSTITUTE(TRIM($H388),"/",","),";",",")," ",""),",",""))+1),"Genre di luar daftar",""))),IF($I388="","Nama Channel kosong",""),IF($J388="","Link Channel kosong",IF(ISERROR(SEARCH("youtu",$J388)),"Link Channel bukan youtube","")),IF($K388="","Link Video kosong",IF(ISERROR(SEARCH("youtu",$K388)),"Link Video bukan youtube","")),IF($L388="","Tgl Dibuat kosong",IF(NOT(ISNUMBER($L388)),"Tgl Dibuat bukan tanggal","")),IF(AND($M388&lt;&gt;"",NOT(ISNUMBER($M388))),"Tgl Publish bukan tanggal",""),IF(AND(ISNUMBER($L388),ISNUMBER($M388),$M388&lt;$L388),"Tgl Publish &lt; Tgl buat",""),IF(TRIM($N388)="","Status kosong",IF(ISERROR(MATCH(TRIM($N388),{"Draft","Menunggu Review","Revisi","Terjadwal","Upload","Publish","Published","Batal"},0)),"Status di luar daftar","")))),""))</f>
        <v/>
      </c>
      <c r="S388" s="17">
        <f>IF(AND($A388&lt;&gt;"",$C388&lt;&gt;""),IF(COUNTIFS($A$2:$A$1000,$A388,$C$2:$C$1000,$C388)&gt;1,"DUPLICAT",""),"")</f>
        <v/>
      </c>
    </row>
    <row r="389">
      <c r="A389" s="12" t="n"/>
      <c r="B389" s="12" t="n"/>
      <c r="C389" s="12" t="n"/>
      <c r="D389" s="13" t="n"/>
      <c r="E389" s="12" t="n"/>
      <c r="F389" s="14" t="n"/>
      <c r="G389" s="12" t="n"/>
      <c r="H389" s="12" t="n"/>
      <c r="I389" s="12" t="n"/>
      <c r="J389" s="14" t="n"/>
      <c r="K389" s="14" t="n"/>
      <c r="L389" s="15" t="n"/>
      <c r="M389" s="15" t="n"/>
      <c r="N389" s="12" t="n"/>
      <c r="O389" s="12" t="n"/>
      <c r="P389" s="16">
        <f>IF(AND(ISNUMBER($L389),ISNUMBER($M389)),MAX(0,$M389-$L389),"")</f>
        <v/>
      </c>
      <c r="Q389" s="16">
        <f>IF(ISNUMBER($D389),MAX(0,TODAY()-$D389),"")</f>
        <v/>
      </c>
      <c r="R389" s="14">
        <f>IF(COUNTA($A389:$O389)=0,"",IFERROR(TRIM(TEXTJOIN(" | ",TRUE,IF($A389="","PC kosong",""),IF($C389="","Worker ID kosong",""),IF($D389="","Update Date kosong",IF(NOT(ISNUMBER($D389)),"Update Date bukan tanggal","")),IF($E389="","Song ID YT kosong",""),IF($F389="","Judul kosong",""),IF(TRIM($G389)="","",IF(ISERROR(MATCH(TRIM($G389),{"TuneCore","DistroKid","TooLost","SoundOn","Ditto","Believe","CD Baby","Amuse","Symphonic Distribution","ONErpm","RouteNote","LANDR","Horus Music","Indie"},0)),"Aggregator di luar daftar","")),IF(TRIM($H389)="","Genre kosong",IF((LEN(SUBSTITUTE(SUBSTITUTE(SUBSTITUTE(TRIM($H389),"/",","),";",",")," ",""))-LEN(SUBSTITUTE(SUBSTITUTE(SUBSTITUTE(SUBSTITUTE(TRIM($H389),"/",","),";",","),"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389),"/",","),";",",")," ","")&amp;",")))&lt;&gt;(LEN(SUBSTITUTE(SUBSTITUTE(SUBSTITUTE(TRIM($H389),"/",","),";",",")," ",""))-LEN(SUBSTITUTE(SUBSTITUTE(SUBSTITUTE(SUBSTITUTE(TRIM($H389),"/",","),";",",")," ",""),",",""))+1),"Genre di luar daftar",""))),IF($I389="","Nama Channel kosong",""),IF($J389="","Link Channel kosong",IF(ISERROR(SEARCH("youtu",$J389)),"Link Channel bukan youtube","")),IF($K389="","Link Video kosong",IF(ISERROR(SEARCH("youtu",$K389)),"Link Video bukan youtube","")),IF($L389="","Tgl Dibuat kosong",IF(NOT(ISNUMBER($L389)),"Tgl Dibuat bukan tanggal","")),IF(AND($M389&lt;&gt;"",NOT(ISNUMBER($M389))),"Tgl Publish bukan tanggal",""),IF(AND(ISNUMBER($L389),ISNUMBER($M389),$M389&lt;$L389),"Tgl Publish &lt; Tgl buat",""),IF(TRIM($N389)="","Status kosong",IF(ISERROR(MATCH(TRIM($N389),{"Draft","Menunggu Review","Revisi","Terjadwal","Upload","Publish","Published","Batal"},0)),"Status di luar daftar","")))),""))</f>
        <v/>
      </c>
      <c r="S389" s="12">
        <f>IF(AND($A389&lt;&gt;"",$C389&lt;&gt;""),IF(COUNTIFS($A$2:$A$1000,$A389,$C$2:$C$1000,$C389)&gt;1,"DUPLICAT",""),"")</f>
        <v/>
      </c>
    </row>
    <row r="390">
      <c r="A390" s="17" t="n"/>
      <c r="B390" s="17" t="n"/>
      <c r="C390" s="17" t="n"/>
      <c r="D390" s="18" t="n"/>
      <c r="E390" s="17" t="n"/>
      <c r="F390" s="19" t="n"/>
      <c r="G390" s="17" t="n"/>
      <c r="H390" s="17" t="n"/>
      <c r="I390" s="17" t="n"/>
      <c r="J390" s="19" t="n"/>
      <c r="K390" s="19" t="n"/>
      <c r="L390" s="20" t="n"/>
      <c r="M390" s="20" t="n"/>
      <c r="N390" s="17" t="n"/>
      <c r="O390" s="17" t="n"/>
      <c r="P390" s="21">
        <f>IF(AND(ISNUMBER($L390),ISNUMBER($M390)),MAX(0,$M390-$L390),"")</f>
        <v/>
      </c>
      <c r="Q390" s="21">
        <f>IF(ISNUMBER($D390),MAX(0,TODAY()-$D390),"")</f>
        <v/>
      </c>
      <c r="R390" s="19">
        <f>IF(COUNTA($A390:$O390)=0,"",IFERROR(TRIM(TEXTJOIN(" | ",TRUE,IF($A390="","PC kosong",""),IF($C390="","Worker ID kosong",""),IF($D390="","Update Date kosong",IF(NOT(ISNUMBER($D390)),"Update Date bukan tanggal","")),IF($E390="","Song ID YT kosong",""),IF($F390="","Judul kosong",""),IF(TRIM($G390)="","",IF(ISERROR(MATCH(TRIM($G390),{"TuneCore","DistroKid","TooLost","SoundOn","Ditto","Believe","CD Baby","Amuse","Symphonic Distribution","ONErpm","RouteNote","LANDR","Horus Music","Indie"},0)),"Aggregator di luar daftar","")),IF(TRIM($H390)="","Genre kosong",IF((LEN(SUBSTITUTE(SUBSTITUTE(SUBSTITUTE(TRIM($H390),"/",","),";",",")," ",""))-LEN(SUBSTITUTE(SUBSTITUTE(SUBSTITUTE(SUBSTITUTE(TRIM($H390),"/",","),";",","),"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390),"/",","),";",",")," ","")&amp;",")))&lt;&gt;(LEN(SUBSTITUTE(SUBSTITUTE(SUBSTITUTE(TRIM($H390),"/",","),";",",")," ",""))-LEN(SUBSTITUTE(SUBSTITUTE(SUBSTITUTE(SUBSTITUTE(TRIM($H390),"/",","),";",",")," ",""),",",""))+1),"Genre di luar daftar",""))),IF($I390="","Nama Channel kosong",""),IF($J390="","Link Channel kosong",IF(ISERROR(SEARCH("youtu",$J390)),"Link Channel bukan youtube","")),IF($K390="","Link Video kosong",IF(ISERROR(SEARCH("youtu",$K390)),"Link Video bukan youtube","")),IF($L390="","Tgl Dibuat kosong",IF(NOT(ISNUMBER($L390)),"Tgl Dibuat bukan tanggal","")),IF(AND($M390&lt;&gt;"",NOT(ISNUMBER($M390))),"Tgl Publish bukan tanggal",""),IF(AND(ISNUMBER($L390),ISNUMBER($M390),$M390&lt;$L390),"Tgl Publish &lt; Tgl buat",""),IF(TRIM($N390)="","Status kosong",IF(ISERROR(MATCH(TRIM($N390),{"Draft","Menunggu Review","Revisi","Terjadwal","Upload","Publish","Published","Batal"},0)),"Status di luar daftar","")))),""))</f>
        <v/>
      </c>
      <c r="S390" s="17">
        <f>IF(AND($A390&lt;&gt;"",$C390&lt;&gt;""),IF(COUNTIFS($A$2:$A$1000,$A390,$C$2:$C$1000,$C390)&gt;1,"DUPLICAT",""),"")</f>
        <v/>
      </c>
    </row>
    <row r="391">
      <c r="A391" s="12" t="n"/>
      <c r="B391" s="12" t="n"/>
      <c r="C391" s="12" t="n"/>
      <c r="D391" s="13" t="n"/>
      <c r="E391" s="12" t="n"/>
      <c r="F391" s="14" t="n"/>
      <c r="G391" s="12" t="n"/>
      <c r="H391" s="12" t="n"/>
      <c r="I391" s="12" t="n"/>
      <c r="J391" s="14" t="n"/>
      <c r="K391" s="14" t="n"/>
      <c r="L391" s="15" t="n"/>
      <c r="M391" s="15" t="n"/>
      <c r="N391" s="12" t="n"/>
      <c r="O391" s="12" t="n"/>
      <c r="P391" s="16">
        <f>IF(AND(ISNUMBER($L391),ISNUMBER($M391)),MAX(0,$M391-$L391),"")</f>
        <v/>
      </c>
      <c r="Q391" s="16">
        <f>IF(ISNUMBER($D391),MAX(0,TODAY()-$D391),"")</f>
        <v/>
      </c>
      <c r="R391" s="14">
        <f>IF(COUNTA($A391:$O391)=0,"",IFERROR(TRIM(TEXTJOIN(" | ",TRUE,IF($A391="","PC kosong",""),IF($C391="","Worker ID kosong",""),IF($D391="","Update Date kosong",IF(NOT(ISNUMBER($D391)),"Update Date bukan tanggal","")),IF($E391="","Song ID YT kosong",""),IF($F391="","Judul kosong",""),IF(TRIM($G391)="","",IF(ISERROR(MATCH(TRIM($G391),{"TuneCore","DistroKid","TooLost","SoundOn","Ditto","Believe","CD Baby","Amuse","Symphonic Distribution","ONErpm","RouteNote","LANDR","Horus Music","Indie"},0)),"Aggregator di luar daftar","")),IF(TRIM($H391)="","Genre kosong",IF((LEN(SUBSTITUTE(SUBSTITUTE(SUBSTITUTE(TRIM($H391),"/",","),";",",")," ",""))-LEN(SUBSTITUTE(SUBSTITUTE(SUBSTITUTE(SUBSTITUTE(TRIM($H391),"/",","),";",","),"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391),"/",","),";",",")," ","")&amp;",")))&lt;&gt;(LEN(SUBSTITUTE(SUBSTITUTE(SUBSTITUTE(TRIM($H391),"/",","),";",",")," ",""))-LEN(SUBSTITUTE(SUBSTITUTE(SUBSTITUTE(SUBSTITUTE(TRIM($H391),"/",","),";",",")," ",""),",",""))+1),"Genre di luar daftar",""))),IF($I391="","Nama Channel kosong",""),IF($J391="","Link Channel kosong",IF(ISERROR(SEARCH("youtu",$J391)),"Link Channel bukan youtube","")),IF($K391="","Link Video kosong",IF(ISERROR(SEARCH("youtu",$K391)),"Link Video bukan youtube","")),IF($L391="","Tgl Dibuat kosong",IF(NOT(ISNUMBER($L391)),"Tgl Dibuat bukan tanggal","")),IF(AND($M391&lt;&gt;"",NOT(ISNUMBER($M391))),"Tgl Publish bukan tanggal",""),IF(AND(ISNUMBER($L391),ISNUMBER($M391),$M391&lt;$L391),"Tgl Publish &lt; Tgl buat",""),IF(TRIM($N391)="","Status kosong",IF(ISERROR(MATCH(TRIM($N391),{"Draft","Menunggu Review","Revisi","Terjadwal","Upload","Publish","Published","Batal"},0)),"Status di luar daftar","")))),""))</f>
        <v/>
      </c>
      <c r="S391" s="12">
        <f>IF(AND($A391&lt;&gt;"",$C391&lt;&gt;""),IF(COUNTIFS($A$2:$A$1000,$A391,$C$2:$C$1000,$C391)&gt;1,"DUPLICAT",""),"")</f>
        <v/>
      </c>
    </row>
    <row r="392">
      <c r="A392" s="17" t="n"/>
      <c r="B392" s="17" t="n"/>
      <c r="C392" s="17" t="n"/>
      <c r="D392" s="18" t="n"/>
      <c r="E392" s="17" t="n"/>
      <c r="F392" s="19" t="n"/>
      <c r="G392" s="17" t="n"/>
      <c r="H392" s="17" t="n"/>
      <c r="I392" s="17" t="n"/>
      <c r="J392" s="19" t="n"/>
      <c r="K392" s="19" t="n"/>
      <c r="L392" s="20" t="n"/>
      <c r="M392" s="20" t="n"/>
      <c r="N392" s="17" t="n"/>
      <c r="O392" s="17" t="n"/>
      <c r="P392" s="21">
        <f>IF(AND(ISNUMBER($L392),ISNUMBER($M392)),MAX(0,$M392-$L392),"")</f>
        <v/>
      </c>
      <c r="Q392" s="21">
        <f>IF(ISNUMBER($D392),MAX(0,TODAY()-$D392),"")</f>
        <v/>
      </c>
      <c r="R392" s="19">
        <f>IF(COUNTA($A392:$O392)=0,"",IFERROR(TRIM(TEXTJOIN(" | ",TRUE,IF($A392="","PC kosong",""),IF($C392="","Worker ID kosong",""),IF($D392="","Update Date kosong",IF(NOT(ISNUMBER($D392)),"Update Date bukan tanggal","")),IF($E392="","Song ID YT kosong",""),IF($F392="","Judul kosong",""),IF(TRIM($G392)="","",IF(ISERROR(MATCH(TRIM($G392),{"TuneCore","DistroKid","TooLost","SoundOn","Ditto","Believe","CD Baby","Amuse","Symphonic Distribution","ONErpm","RouteNote","LANDR","Horus Music","Indie"},0)),"Aggregator di luar daftar","")),IF(TRIM($H392)="","Genre kosong",IF((LEN(SUBSTITUTE(SUBSTITUTE(SUBSTITUTE(TRIM($H392),"/",","),";",",")," ",""))-LEN(SUBSTITUTE(SUBSTITUTE(SUBSTITUTE(SUBSTITUTE(TRIM($H392),"/",","),";",","),"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392),"/",","),";",",")," ","")&amp;",")))&lt;&gt;(LEN(SUBSTITUTE(SUBSTITUTE(SUBSTITUTE(TRIM($H392),"/",","),";",",")," ",""))-LEN(SUBSTITUTE(SUBSTITUTE(SUBSTITUTE(SUBSTITUTE(TRIM($H392),"/",","),";",",")," ",""),",",""))+1),"Genre di luar daftar",""))),IF($I392="","Nama Channel kosong",""),IF($J392="","Link Channel kosong",IF(ISERROR(SEARCH("youtu",$J392)),"Link Channel bukan youtube","")),IF($K392="","Link Video kosong",IF(ISERROR(SEARCH("youtu",$K392)),"Link Video bukan youtube","")),IF($L392="","Tgl Dibuat kosong",IF(NOT(ISNUMBER($L392)),"Tgl Dibuat bukan tanggal","")),IF(AND($M392&lt;&gt;"",NOT(ISNUMBER($M392))),"Tgl Publish bukan tanggal",""),IF(AND(ISNUMBER($L392),ISNUMBER($M392),$M392&lt;$L392),"Tgl Publish &lt; Tgl buat",""),IF(TRIM($N392)="","Status kosong",IF(ISERROR(MATCH(TRIM($N392),{"Draft","Menunggu Review","Revisi","Terjadwal","Upload","Publish","Published","Batal"},0)),"Status di luar daftar","")))),""))</f>
        <v/>
      </c>
      <c r="S392" s="17">
        <f>IF(AND($A392&lt;&gt;"",$C392&lt;&gt;""),IF(COUNTIFS($A$2:$A$1000,$A392,$C$2:$C$1000,$C392)&gt;1,"DUPLICAT",""),"")</f>
        <v/>
      </c>
    </row>
    <row r="393">
      <c r="A393" s="12" t="n"/>
      <c r="B393" s="12" t="n"/>
      <c r="C393" s="12" t="n"/>
      <c r="D393" s="13" t="n"/>
      <c r="E393" s="12" t="n"/>
      <c r="F393" s="14" t="n"/>
      <c r="G393" s="12" t="n"/>
      <c r="H393" s="12" t="n"/>
      <c r="I393" s="12" t="n"/>
      <c r="J393" s="14" t="n"/>
      <c r="K393" s="14" t="n"/>
      <c r="L393" s="15" t="n"/>
      <c r="M393" s="15" t="n"/>
      <c r="N393" s="12" t="n"/>
      <c r="O393" s="12" t="n"/>
      <c r="P393" s="16">
        <f>IF(AND(ISNUMBER($L393),ISNUMBER($M393)),MAX(0,$M393-$L393),"")</f>
        <v/>
      </c>
      <c r="Q393" s="16">
        <f>IF(ISNUMBER($D393),MAX(0,TODAY()-$D393),"")</f>
        <v/>
      </c>
      <c r="R393" s="14">
        <f>IF(COUNTA($A393:$O393)=0,"",IFERROR(TRIM(TEXTJOIN(" | ",TRUE,IF($A393="","PC kosong",""),IF($C393="","Worker ID kosong",""),IF($D393="","Update Date kosong",IF(NOT(ISNUMBER($D393)),"Update Date bukan tanggal","")),IF($E393="","Song ID YT kosong",""),IF($F393="","Judul kosong",""),IF(TRIM($G393)="","",IF(ISERROR(MATCH(TRIM($G393),{"TuneCore","DistroKid","TooLost","SoundOn","Ditto","Believe","CD Baby","Amuse","Symphonic Distribution","ONErpm","RouteNote","LANDR","Horus Music","Indie"},0)),"Aggregator di luar daftar","")),IF(TRIM($H393)="","Genre kosong",IF((LEN(SUBSTITUTE(SUBSTITUTE(SUBSTITUTE(TRIM($H393),"/",","),";",",")," ",""))-LEN(SUBSTITUTE(SUBSTITUTE(SUBSTITUTE(SUBSTITUTE(TRIM($H393),"/",","),";",","),"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393),"/",","),";",",")," ","")&amp;",")))&lt;&gt;(LEN(SUBSTITUTE(SUBSTITUTE(SUBSTITUTE(TRIM($H393),"/",","),";",",")," ",""))-LEN(SUBSTITUTE(SUBSTITUTE(SUBSTITUTE(SUBSTITUTE(TRIM($H393),"/",","),";",",")," ",""),",",""))+1),"Genre di luar daftar",""))),IF($I393="","Nama Channel kosong",""),IF($J393="","Link Channel kosong",IF(ISERROR(SEARCH("youtu",$J393)),"Link Channel bukan youtube","")),IF($K393="","Link Video kosong",IF(ISERROR(SEARCH("youtu",$K393)),"Link Video bukan youtube","")),IF($L393="","Tgl Dibuat kosong",IF(NOT(ISNUMBER($L393)),"Tgl Dibuat bukan tanggal","")),IF(AND($M393&lt;&gt;"",NOT(ISNUMBER($M393))),"Tgl Publish bukan tanggal",""),IF(AND(ISNUMBER($L393),ISNUMBER($M393),$M393&lt;$L393),"Tgl Publish &lt; Tgl buat",""),IF(TRIM($N393)="","Status kosong",IF(ISERROR(MATCH(TRIM($N393),{"Draft","Menunggu Review","Revisi","Terjadwal","Upload","Publish","Published","Batal"},0)),"Status di luar daftar","")))),""))</f>
        <v/>
      </c>
      <c r="S393" s="12">
        <f>IF(AND($A393&lt;&gt;"",$C393&lt;&gt;""),IF(COUNTIFS($A$2:$A$1000,$A393,$C$2:$C$1000,$C393)&gt;1,"DUPLICAT",""),"")</f>
        <v/>
      </c>
    </row>
    <row r="394">
      <c r="A394" s="17" t="n"/>
      <c r="B394" s="17" t="n"/>
      <c r="C394" s="17" t="n"/>
      <c r="D394" s="18" t="n"/>
      <c r="E394" s="17" t="n"/>
      <c r="F394" s="19" t="n"/>
      <c r="G394" s="17" t="n"/>
      <c r="H394" s="17" t="n"/>
      <c r="I394" s="17" t="n"/>
      <c r="J394" s="19" t="n"/>
      <c r="K394" s="19" t="n"/>
      <c r="L394" s="20" t="n"/>
      <c r="M394" s="20" t="n"/>
      <c r="N394" s="17" t="n"/>
      <c r="O394" s="17" t="n"/>
      <c r="P394" s="21">
        <f>IF(AND(ISNUMBER($L394),ISNUMBER($M394)),MAX(0,$M394-$L394),"")</f>
        <v/>
      </c>
      <c r="Q394" s="21">
        <f>IF(ISNUMBER($D394),MAX(0,TODAY()-$D394),"")</f>
        <v/>
      </c>
      <c r="R394" s="19">
        <f>IF(COUNTA($A394:$O394)=0,"",IFERROR(TRIM(TEXTJOIN(" | ",TRUE,IF($A394="","PC kosong",""),IF($C394="","Worker ID kosong",""),IF($D394="","Update Date kosong",IF(NOT(ISNUMBER($D394)),"Update Date bukan tanggal","")),IF($E394="","Song ID YT kosong",""),IF($F394="","Judul kosong",""),IF(TRIM($G394)="","",IF(ISERROR(MATCH(TRIM($G394),{"TuneCore","DistroKid","TooLost","SoundOn","Ditto","Believe","CD Baby","Amuse","Symphonic Distribution","ONErpm","RouteNote","LANDR","Horus Music","Indie"},0)),"Aggregator di luar daftar","")),IF(TRIM($H394)="","Genre kosong",IF((LEN(SUBSTITUTE(SUBSTITUTE(SUBSTITUTE(TRIM($H394),"/",","),";",",")," ",""))-LEN(SUBSTITUTE(SUBSTITUTE(SUBSTITUTE(SUBSTITUTE(TRIM($H394),"/",","),";",","),"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394),"/",","),";",",")," ","")&amp;",")))&lt;&gt;(LEN(SUBSTITUTE(SUBSTITUTE(SUBSTITUTE(TRIM($H394),"/",","),";",",")," ",""))-LEN(SUBSTITUTE(SUBSTITUTE(SUBSTITUTE(SUBSTITUTE(TRIM($H394),"/",","),";",",")," ",""),",",""))+1),"Genre di luar daftar",""))),IF($I394="","Nama Channel kosong",""),IF($J394="","Link Channel kosong",IF(ISERROR(SEARCH("youtu",$J394)),"Link Channel bukan youtube","")),IF($K394="","Link Video kosong",IF(ISERROR(SEARCH("youtu",$K394)),"Link Video bukan youtube","")),IF($L394="","Tgl Dibuat kosong",IF(NOT(ISNUMBER($L394)),"Tgl Dibuat bukan tanggal","")),IF(AND($M394&lt;&gt;"",NOT(ISNUMBER($M394))),"Tgl Publish bukan tanggal",""),IF(AND(ISNUMBER($L394),ISNUMBER($M394),$M394&lt;$L394),"Tgl Publish &lt; Tgl buat",""),IF(TRIM($N394)="","Status kosong",IF(ISERROR(MATCH(TRIM($N394),{"Draft","Menunggu Review","Revisi","Terjadwal","Upload","Publish","Published","Batal"},0)),"Status di luar daftar","")))),""))</f>
        <v/>
      </c>
      <c r="S394" s="17">
        <f>IF(AND($A394&lt;&gt;"",$C394&lt;&gt;""),IF(COUNTIFS($A$2:$A$1000,$A394,$C$2:$C$1000,$C394)&gt;1,"DUPLICAT",""),"")</f>
        <v/>
      </c>
    </row>
    <row r="395">
      <c r="A395" s="12" t="n"/>
      <c r="B395" s="12" t="n"/>
      <c r="C395" s="12" t="n"/>
      <c r="D395" s="13" t="n"/>
      <c r="E395" s="12" t="n"/>
      <c r="F395" s="14" t="n"/>
      <c r="G395" s="12" t="n"/>
      <c r="H395" s="12" t="n"/>
      <c r="I395" s="12" t="n"/>
      <c r="J395" s="14" t="n"/>
      <c r="K395" s="14" t="n"/>
      <c r="L395" s="15" t="n"/>
      <c r="M395" s="15" t="n"/>
      <c r="N395" s="12" t="n"/>
      <c r="O395" s="12" t="n"/>
      <c r="P395" s="16">
        <f>IF(AND(ISNUMBER($L395),ISNUMBER($M395)),MAX(0,$M395-$L395),"")</f>
        <v/>
      </c>
      <c r="Q395" s="16">
        <f>IF(ISNUMBER($D395),MAX(0,TODAY()-$D395),"")</f>
        <v/>
      </c>
      <c r="R395" s="14">
        <f>IF(COUNTA($A395:$O395)=0,"",IFERROR(TRIM(TEXTJOIN(" | ",TRUE,IF($A395="","PC kosong",""),IF($C395="","Worker ID kosong",""),IF($D395="","Update Date kosong",IF(NOT(ISNUMBER($D395)),"Update Date bukan tanggal","")),IF($E395="","Song ID YT kosong",""),IF($F395="","Judul kosong",""),IF(TRIM($G395)="","",IF(ISERROR(MATCH(TRIM($G395),{"TuneCore","DistroKid","TooLost","SoundOn","Ditto","Believe","CD Baby","Amuse","Symphonic Distribution","ONErpm","RouteNote","LANDR","Horus Music","Indie"},0)),"Aggregator di luar daftar","")),IF(TRIM($H395)="","Genre kosong",IF((LEN(SUBSTITUTE(SUBSTITUTE(SUBSTITUTE(TRIM($H395),"/",","),";",",")," ",""))-LEN(SUBSTITUTE(SUBSTITUTE(SUBSTITUTE(SUBSTITUTE(TRIM($H395),"/",","),";",","),"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395),"/",","),";",",")," ","")&amp;",")))&lt;&gt;(LEN(SUBSTITUTE(SUBSTITUTE(SUBSTITUTE(TRIM($H395),"/",","),";",",")," ",""))-LEN(SUBSTITUTE(SUBSTITUTE(SUBSTITUTE(SUBSTITUTE(TRIM($H395),"/",","),";",",")," ",""),",",""))+1),"Genre di luar daftar",""))),IF($I395="","Nama Channel kosong",""),IF($J395="","Link Channel kosong",IF(ISERROR(SEARCH("youtu",$J395)),"Link Channel bukan youtube","")),IF($K395="","Link Video kosong",IF(ISERROR(SEARCH("youtu",$K395)),"Link Video bukan youtube","")),IF($L395="","Tgl Dibuat kosong",IF(NOT(ISNUMBER($L395)),"Tgl Dibuat bukan tanggal","")),IF(AND($M395&lt;&gt;"",NOT(ISNUMBER($M395))),"Tgl Publish bukan tanggal",""),IF(AND(ISNUMBER($L395),ISNUMBER($M395),$M395&lt;$L395),"Tgl Publish &lt; Tgl buat",""),IF(TRIM($N395)="","Status kosong",IF(ISERROR(MATCH(TRIM($N395),{"Draft","Menunggu Review","Revisi","Terjadwal","Upload","Publish","Published","Batal"},0)),"Status di luar daftar","")))),""))</f>
        <v/>
      </c>
      <c r="S395" s="12">
        <f>IF(AND($A395&lt;&gt;"",$C395&lt;&gt;""),IF(COUNTIFS($A$2:$A$1000,$A395,$C$2:$C$1000,$C395)&gt;1,"DUPLICAT",""),"")</f>
        <v/>
      </c>
    </row>
    <row r="396">
      <c r="A396" s="17" t="n"/>
      <c r="B396" s="17" t="n"/>
      <c r="C396" s="17" t="n"/>
      <c r="D396" s="18" t="n"/>
      <c r="E396" s="17" t="n"/>
      <c r="F396" s="19" t="n"/>
      <c r="G396" s="17" t="n"/>
      <c r="H396" s="17" t="n"/>
      <c r="I396" s="17" t="n"/>
      <c r="J396" s="19" t="n"/>
      <c r="K396" s="19" t="n"/>
      <c r="L396" s="20" t="n"/>
      <c r="M396" s="20" t="n"/>
      <c r="N396" s="17" t="n"/>
      <c r="O396" s="17" t="n"/>
      <c r="P396" s="21">
        <f>IF(AND(ISNUMBER($L396),ISNUMBER($M396)),MAX(0,$M396-$L396),"")</f>
        <v/>
      </c>
      <c r="Q396" s="21">
        <f>IF(ISNUMBER($D396),MAX(0,TODAY()-$D396),"")</f>
        <v/>
      </c>
      <c r="R396" s="19">
        <f>IF(COUNTA($A396:$O396)=0,"",IFERROR(TRIM(TEXTJOIN(" | ",TRUE,IF($A396="","PC kosong",""),IF($C396="","Worker ID kosong",""),IF($D396="","Update Date kosong",IF(NOT(ISNUMBER($D396)),"Update Date bukan tanggal","")),IF($E396="","Song ID YT kosong",""),IF($F396="","Judul kosong",""),IF(TRIM($G396)="","",IF(ISERROR(MATCH(TRIM($G396),{"TuneCore","DistroKid","TooLost","SoundOn","Ditto","Believe","CD Baby","Amuse","Symphonic Distribution","ONErpm","RouteNote","LANDR","Horus Music","Indie"},0)),"Aggregator di luar daftar","")),IF(TRIM($H396)="","Genre kosong",IF((LEN(SUBSTITUTE(SUBSTITUTE(SUBSTITUTE(TRIM($H396),"/",","),";",",")," ",""))-LEN(SUBSTITUTE(SUBSTITUTE(SUBSTITUTE(SUBSTITUTE(TRIM($H396),"/",","),";",","),"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396),"/",","),";",",")," ","")&amp;",")))&lt;&gt;(LEN(SUBSTITUTE(SUBSTITUTE(SUBSTITUTE(TRIM($H396),"/",","),";",",")," ",""))-LEN(SUBSTITUTE(SUBSTITUTE(SUBSTITUTE(SUBSTITUTE(TRIM($H396),"/",","),";",",")," ",""),",",""))+1),"Genre di luar daftar",""))),IF($I396="","Nama Channel kosong",""),IF($J396="","Link Channel kosong",IF(ISERROR(SEARCH("youtu",$J396)),"Link Channel bukan youtube","")),IF($K396="","Link Video kosong",IF(ISERROR(SEARCH("youtu",$K396)),"Link Video bukan youtube","")),IF($L396="","Tgl Dibuat kosong",IF(NOT(ISNUMBER($L396)),"Tgl Dibuat bukan tanggal","")),IF(AND($M396&lt;&gt;"",NOT(ISNUMBER($M396))),"Tgl Publish bukan tanggal",""),IF(AND(ISNUMBER($L396),ISNUMBER($M396),$M396&lt;$L396),"Tgl Publish &lt; Tgl buat",""),IF(TRIM($N396)="","Status kosong",IF(ISERROR(MATCH(TRIM($N396),{"Draft","Menunggu Review","Revisi","Terjadwal","Upload","Publish","Published","Batal"},0)),"Status di luar daftar","")))),""))</f>
        <v/>
      </c>
      <c r="S396" s="17">
        <f>IF(AND($A396&lt;&gt;"",$C396&lt;&gt;""),IF(COUNTIFS($A$2:$A$1000,$A396,$C$2:$C$1000,$C396)&gt;1,"DUPLICAT",""),"")</f>
        <v/>
      </c>
    </row>
    <row r="397">
      <c r="A397" s="12" t="n"/>
      <c r="B397" s="12" t="n"/>
      <c r="C397" s="12" t="n"/>
      <c r="D397" s="13" t="n"/>
      <c r="E397" s="12" t="n"/>
      <c r="F397" s="14" t="n"/>
      <c r="G397" s="12" t="n"/>
      <c r="H397" s="12" t="n"/>
      <c r="I397" s="12" t="n"/>
      <c r="J397" s="14" t="n"/>
      <c r="K397" s="14" t="n"/>
      <c r="L397" s="15" t="n"/>
      <c r="M397" s="15" t="n"/>
      <c r="N397" s="12" t="n"/>
      <c r="O397" s="12" t="n"/>
      <c r="P397" s="16">
        <f>IF(AND(ISNUMBER($L397),ISNUMBER($M397)),MAX(0,$M397-$L397),"")</f>
        <v/>
      </c>
      <c r="Q397" s="16">
        <f>IF(ISNUMBER($D397),MAX(0,TODAY()-$D397),"")</f>
        <v/>
      </c>
      <c r="R397" s="14">
        <f>IF(COUNTA($A397:$O397)=0,"",IFERROR(TRIM(TEXTJOIN(" | ",TRUE,IF($A397="","PC kosong",""),IF($C397="","Worker ID kosong",""),IF($D397="","Update Date kosong",IF(NOT(ISNUMBER($D397)),"Update Date bukan tanggal","")),IF($E397="","Song ID YT kosong",""),IF($F397="","Judul kosong",""),IF(TRIM($G397)="","",IF(ISERROR(MATCH(TRIM($G397),{"TuneCore","DistroKid","TooLost","SoundOn","Ditto","Believe","CD Baby","Amuse","Symphonic Distribution","ONErpm","RouteNote","LANDR","Horus Music","Indie"},0)),"Aggregator di luar daftar","")),IF(TRIM($H397)="","Genre kosong",IF((LEN(SUBSTITUTE(SUBSTITUTE(SUBSTITUTE(TRIM($H397),"/",","),";",",")," ",""))-LEN(SUBSTITUTE(SUBSTITUTE(SUBSTITUTE(SUBSTITUTE(TRIM($H397),"/",","),";",","),"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397),"/",","),";",",")," ","")&amp;",")))&lt;&gt;(LEN(SUBSTITUTE(SUBSTITUTE(SUBSTITUTE(TRIM($H397),"/",","),";",",")," ",""))-LEN(SUBSTITUTE(SUBSTITUTE(SUBSTITUTE(SUBSTITUTE(TRIM($H397),"/",","),";",",")," ",""),",",""))+1),"Genre di luar daftar",""))),IF($I397="","Nama Channel kosong",""),IF($J397="","Link Channel kosong",IF(ISERROR(SEARCH("youtu",$J397)),"Link Channel bukan youtube","")),IF($K397="","Link Video kosong",IF(ISERROR(SEARCH("youtu",$K397)),"Link Video bukan youtube","")),IF($L397="","Tgl Dibuat kosong",IF(NOT(ISNUMBER($L397)),"Tgl Dibuat bukan tanggal","")),IF(AND($M397&lt;&gt;"",NOT(ISNUMBER($M397))),"Tgl Publish bukan tanggal",""),IF(AND(ISNUMBER($L397),ISNUMBER($M397),$M397&lt;$L397),"Tgl Publish &lt; Tgl buat",""),IF(TRIM($N397)="","Status kosong",IF(ISERROR(MATCH(TRIM($N397),{"Draft","Menunggu Review","Revisi","Terjadwal","Upload","Publish","Published","Batal"},0)),"Status di luar daftar","")))),""))</f>
        <v/>
      </c>
      <c r="S397" s="12">
        <f>IF(AND($A397&lt;&gt;"",$C397&lt;&gt;""),IF(COUNTIFS($A$2:$A$1000,$A397,$C$2:$C$1000,$C397)&gt;1,"DUPLICAT",""),"")</f>
        <v/>
      </c>
    </row>
    <row r="398">
      <c r="A398" s="17" t="n"/>
      <c r="B398" s="17" t="n"/>
      <c r="C398" s="17" t="n"/>
      <c r="D398" s="18" t="n"/>
      <c r="E398" s="17" t="n"/>
      <c r="F398" s="19" t="n"/>
      <c r="G398" s="17" t="n"/>
      <c r="H398" s="17" t="n"/>
      <c r="I398" s="17" t="n"/>
      <c r="J398" s="19" t="n"/>
      <c r="K398" s="19" t="n"/>
      <c r="L398" s="20" t="n"/>
      <c r="M398" s="20" t="n"/>
      <c r="N398" s="17" t="n"/>
      <c r="O398" s="17" t="n"/>
      <c r="P398" s="21">
        <f>IF(AND(ISNUMBER($L398),ISNUMBER($M398)),MAX(0,$M398-$L398),"")</f>
        <v/>
      </c>
      <c r="Q398" s="21">
        <f>IF(ISNUMBER($D398),MAX(0,TODAY()-$D398),"")</f>
        <v/>
      </c>
      <c r="R398" s="19">
        <f>IF(COUNTA($A398:$O398)=0,"",IFERROR(TRIM(TEXTJOIN(" | ",TRUE,IF($A398="","PC kosong",""),IF($C398="","Worker ID kosong",""),IF($D398="","Update Date kosong",IF(NOT(ISNUMBER($D398)),"Update Date bukan tanggal","")),IF($E398="","Song ID YT kosong",""),IF($F398="","Judul kosong",""),IF(TRIM($G398)="","",IF(ISERROR(MATCH(TRIM($G398),{"TuneCore","DistroKid","TooLost","SoundOn","Ditto","Believe","CD Baby","Amuse","Symphonic Distribution","ONErpm","RouteNote","LANDR","Horus Music","Indie"},0)),"Aggregator di luar daftar","")),IF(TRIM($H398)="","Genre kosong",IF((LEN(SUBSTITUTE(SUBSTITUTE(SUBSTITUTE(TRIM($H398),"/",","),";",",")," ",""))-LEN(SUBSTITUTE(SUBSTITUTE(SUBSTITUTE(SUBSTITUTE(TRIM($H398),"/",","),";",","),"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398),"/",","),";",",")," ","")&amp;",")))&lt;&gt;(LEN(SUBSTITUTE(SUBSTITUTE(SUBSTITUTE(TRIM($H398),"/",","),";",",")," ",""))-LEN(SUBSTITUTE(SUBSTITUTE(SUBSTITUTE(SUBSTITUTE(TRIM($H398),"/",","),";",",")," ",""),",",""))+1),"Genre di luar daftar",""))),IF($I398="","Nama Channel kosong",""),IF($J398="","Link Channel kosong",IF(ISERROR(SEARCH("youtu",$J398)),"Link Channel bukan youtube","")),IF($K398="","Link Video kosong",IF(ISERROR(SEARCH("youtu",$K398)),"Link Video bukan youtube","")),IF($L398="","Tgl Dibuat kosong",IF(NOT(ISNUMBER($L398)),"Tgl Dibuat bukan tanggal","")),IF(AND($M398&lt;&gt;"",NOT(ISNUMBER($M398))),"Tgl Publish bukan tanggal",""),IF(AND(ISNUMBER($L398),ISNUMBER($M398),$M398&lt;$L398),"Tgl Publish &lt; Tgl buat",""),IF(TRIM($N398)="","Status kosong",IF(ISERROR(MATCH(TRIM($N398),{"Draft","Menunggu Review","Revisi","Terjadwal","Upload","Publish","Published","Batal"},0)),"Status di luar daftar","")))),""))</f>
        <v/>
      </c>
      <c r="S398" s="17">
        <f>IF(AND($A398&lt;&gt;"",$C398&lt;&gt;""),IF(COUNTIFS($A$2:$A$1000,$A398,$C$2:$C$1000,$C398)&gt;1,"DUPLICAT",""),"")</f>
        <v/>
      </c>
    </row>
    <row r="399">
      <c r="A399" s="12" t="n"/>
      <c r="B399" s="12" t="n"/>
      <c r="C399" s="12" t="n"/>
      <c r="D399" s="13" t="n"/>
      <c r="E399" s="12" t="n"/>
      <c r="F399" s="14" t="n"/>
      <c r="G399" s="12" t="n"/>
      <c r="H399" s="12" t="n"/>
      <c r="I399" s="12" t="n"/>
      <c r="J399" s="14" t="n"/>
      <c r="K399" s="14" t="n"/>
      <c r="L399" s="15" t="n"/>
      <c r="M399" s="15" t="n"/>
      <c r="N399" s="12" t="n"/>
      <c r="O399" s="12" t="n"/>
      <c r="P399" s="16">
        <f>IF(AND(ISNUMBER($L399),ISNUMBER($M399)),MAX(0,$M399-$L399),"")</f>
        <v/>
      </c>
      <c r="Q399" s="16">
        <f>IF(ISNUMBER($D399),MAX(0,TODAY()-$D399),"")</f>
        <v/>
      </c>
      <c r="R399" s="14">
        <f>IF(COUNTA($A399:$O399)=0,"",IFERROR(TRIM(TEXTJOIN(" | ",TRUE,IF($A399="","PC kosong",""),IF($C399="","Worker ID kosong",""),IF($D399="","Update Date kosong",IF(NOT(ISNUMBER($D399)),"Update Date bukan tanggal","")),IF($E399="","Song ID YT kosong",""),IF($F399="","Judul kosong",""),IF(TRIM($G399)="","",IF(ISERROR(MATCH(TRIM($G399),{"TuneCore","DistroKid","TooLost","SoundOn","Ditto","Believe","CD Baby","Amuse","Symphonic Distribution","ONErpm","RouteNote","LANDR","Horus Music","Indie"},0)),"Aggregator di luar daftar","")),IF(TRIM($H399)="","Genre kosong",IF((LEN(SUBSTITUTE(SUBSTITUTE(SUBSTITUTE(TRIM($H399),"/",","),";",",")," ",""))-LEN(SUBSTITUTE(SUBSTITUTE(SUBSTITUTE(SUBSTITUTE(TRIM($H399),"/",","),";",","),"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399),"/",","),";",",")," ","")&amp;",")))&lt;&gt;(LEN(SUBSTITUTE(SUBSTITUTE(SUBSTITUTE(TRIM($H399),"/",","),";",",")," ",""))-LEN(SUBSTITUTE(SUBSTITUTE(SUBSTITUTE(SUBSTITUTE(TRIM($H399),"/",","),";",",")," ",""),",",""))+1),"Genre di luar daftar",""))),IF($I399="","Nama Channel kosong",""),IF($J399="","Link Channel kosong",IF(ISERROR(SEARCH("youtu",$J399)),"Link Channel bukan youtube","")),IF($K399="","Link Video kosong",IF(ISERROR(SEARCH("youtu",$K399)),"Link Video bukan youtube","")),IF($L399="","Tgl Dibuat kosong",IF(NOT(ISNUMBER($L399)),"Tgl Dibuat bukan tanggal","")),IF(AND($M399&lt;&gt;"",NOT(ISNUMBER($M399))),"Tgl Publish bukan tanggal",""),IF(AND(ISNUMBER($L399),ISNUMBER($M399),$M399&lt;$L399),"Tgl Publish &lt; Tgl buat",""),IF(TRIM($N399)="","Status kosong",IF(ISERROR(MATCH(TRIM($N399),{"Draft","Menunggu Review","Revisi","Terjadwal","Upload","Publish","Published","Batal"},0)),"Status di luar daftar","")))),""))</f>
        <v/>
      </c>
      <c r="S399" s="12">
        <f>IF(AND($A399&lt;&gt;"",$C399&lt;&gt;""),IF(COUNTIFS($A$2:$A$1000,$A399,$C$2:$C$1000,$C399)&gt;1,"DUPLICAT",""),"")</f>
        <v/>
      </c>
    </row>
    <row r="400">
      <c r="A400" s="17" t="n"/>
      <c r="B400" s="17" t="n"/>
      <c r="C400" s="17" t="n"/>
      <c r="D400" s="18" t="n"/>
      <c r="E400" s="17" t="n"/>
      <c r="F400" s="19" t="n"/>
      <c r="G400" s="17" t="n"/>
      <c r="H400" s="17" t="n"/>
      <c r="I400" s="17" t="n"/>
      <c r="J400" s="19" t="n"/>
      <c r="K400" s="19" t="n"/>
      <c r="L400" s="20" t="n"/>
      <c r="M400" s="20" t="n"/>
      <c r="N400" s="17" t="n"/>
      <c r="O400" s="17" t="n"/>
      <c r="P400" s="21">
        <f>IF(AND(ISNUMBER($L400),ISNUMBER($M400)),MAX(0,$M400-$L400),"")</f>
        <v/>
      </c>
      <c r="Q400" s="21">
        <f>IF(ISNUMBER($D400),MAX(0,TODAY()-$D400),"")</f>
        <v/>
      </c>
      <c r="R400" s="19">
        <f>IF(COUNTA($A400:$O400)=0,"",IFERROR(TRIM(TEXTJOIN(" | ",TRUE,IF($A400="","PC kosong",""),IF($C400="","Worker ID kosong",""),IF($D400="","Update Date kosong",IF(NOT(ISNUMBER($D400)),"Update Date bukan tanggal","")),IF($E400="","Song ID YT kosong",""),IF($F400="","Judul kosong",""),IF(TRIM($G400)="","",IF(ISERROR(MATCH(TRIM($G400),{"TuneCore","DistroKid","TooLost","SoundOn","Ditto","Believe","CD Baby","Amuse","Symphonic Distribution","ONErpm","RouteNote","LANDR","Horus Music","Indie"},0)),"Aggregator di luar daftar","")),IF(TRIM($H400)="","Genre kosong",IF((LEN(SUBSTITUTE(SUBSTITUTE(SUBSTITUTE(TRIM($H400),"/",","),";",",")," ",""))-LEN(SUBSTITUTE(SUBSTITUTE(SUBSTITUTE(SUBSTITUTE(TRIM($H400),"/",","),";",","),"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400),"/",","),";",",")," ","")&amp;",")))&lt;&gt;(LEN(SUBSTITUTE(SUBSTITUTE(SUBSTITUTE(TRIM($H400),"/",","),";",",")," ",""))-LEN(SUBSTITUTE(SUBSTITUTE(SUBSTITUTE(SUBSTITUTE(TRIM($H400),"/",","),";",",")," ",""),",",""))+1),"Genre di luar daftar",""))),IF($I400="","Nama Channel kosong",""),IF($J400="","Link Channel kosong",IF(ISERROR(SEARCH("youtu",$J400)),"Link Channel bukan youtube","")),IF($K400="","Link Video kosong",IF(ISERROR(SEARCH("youtu",$K400)),"Link Video bukan youtube","")),IF($L400="","Tgl Dibuat kosong",IF(NOT(ISNUMBER($L400)),"Tgl Dibuat bukan tanggal","")),IF(AND($M400&lt;&gt;"",NOT(ISNUMBER($M400))),"Tgl Publish bukan tanggal",""),IF(AND(ISNUMBER($L400),ISNUMBER($M400),$M400&lt;$L400),"Tgl Publish &lt; Tgl buat",""),IF(TRIM($N400)="","Status kosong",IF(ISERROR(MATCH(TRIM($N400),{"Draft","Menunggu Review","Revisi","Terjadwal","Upload","Publish","Published","Batal"},0)),"Status di luar daftar","")))),""))</f>
        <v/>
      </c>
      <c r="S400" s="17">
        <f>IF(AND($A400&lt;&gt;"",$C400&lt;&gt;""),IF(COUNTIFS($A$2:$A$1000,$A400,$C$2:$C$1000,$C400)&gt;1,"DUPLICAT",""),"")</f>
        <v/>
      </c>
    </row>
    <row r="401">
      <c r="A401" s="12" t="n"/>
      <c r="B401" s="12" t="n"/>
      <c r="C401" s="12" t="n"/>
      <c r="D401" s="13" t="n"/>
      <c r="E401" s="12" t="n"/>
      <c r="F401" s="14" t="n"/>
      <c r="G401" s="12" t="n"/>
      <c r="H401" s="12" t="n"/>
      <c r="I401" s="12" t="n"/>
      <c r="J401" s="14" t="n"/>
      <c r="K401" s="14" t="n"/>
      <c r="L401" s="15" t="n"/>
      <c r="M401" s="15" t="n"/>
      <c r="N401" s="12" t="n"/>
      <c r="O401" s="12" t="n"/>
      <c r="P401" s="16">
        <f>IF(AND(ISNUMBER($L401),ISNUMBER($M401)),MAX(0,$M401-$L401),"")</f>
        <v/>
      </c>
      <c r="Q401" s="16">
        <f>IF(ISNUMBER($D401),MAX(0,TODAY()-$D401),"")</f>
        <v/>
      </c>
      <c r="R401" s="14">
        <f>IF(COUNTA($A401:$O401)=0,"",IFERROR(TRIM(TEXTJOIN(" | ",TRUE,IF($A401="","PC kosong",""),IF($C401="","Worker ID kosong",""),IF($D401="","Update Date kosong",IF(NOT(ISNUMBER($D401)),"Update Date bukan tanggal","")),IF($E401="","Song ID YT kosong",""),IF($F401="","Judul kosong",""),IF(TRIM($G401)="","",IF(ISERROR(MATCH(TRIM($G401),{"TuneCore","DistroKid","TooLost","SoundOn","Ditto","Believe","CD Baby","Amuse","Symphonic Distribution","ONErpm","RouteNote","LANDR","Horus Music","Indie"},0)),"Aggregator di luar daftar","")),IF(TRIM($H401)="","Genre kosong",IF((LEN(SUBSTITUTE(SUBSTITUTE(SUBSTITUTE(TRIM($H401),"/",","),";",",")," ",""))-LEN(SUBSTITUTE(SUBSTITUTE(SUBSTITUTE(SUBSTITUTE(TRIM($H401),"/",","),";",","),"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401),"/",","),";",",")," ","")&amp;",")))&lt;&gt;(LEN(SUBSTITUTE(SUBSTITUTE(SUBSTITUTE(TRIM($H401),"/",","),";",",")," ",""))-LEN(SUBSTITUTE(SUBSTITUTE(SUBSTITUTE(SUBSTITUTE(TRIM($H401),"/",","),";",",")," ",""),",",""))+1),"Genre di luar daftar",""))),IF($I401="","Nama Channel kosong",""),IF($J401="","Link Channel kosong",IF(ISERROR(SEARCH("youtu",$J401)),"Link Channel bukan youtube","")),IF($K401="","Link Video kosong",IF(ISERROR(SEARCH("youtu",$K401)),"Link Video bukan youtube","")),IF($L401="","Tgl Dibuat kosong",IF(NOT(ISNUMBER($L401)),"Tgl Dibuat bukan tanggal","")),IF(AND($M401&lt;&gt;"",NOT(ISNUMBER($M401))),"Tgl Publish bukan tanggal",""),IF(AND(ISNUMBER($L401),ISNUMBER($M401),$M401&lt;$L401),"Tgl Publish &lt; Tgl buat",""),IF(TRIM($N401)="","Status kosong",IF(ISERROR(MATCH(TRIM($N401),{"Draft","Menunggu Review","Revisi","Terjadwal","Upload","Publish","Published","Batal"},0)),"Status di luar daftar","")))),""))</f>
        <v/>
      </c>
      <c r="S401" s="12">
        <f>IF(AND($A401&lt;&gt;"",$C401&lt;&gt;""),IF(COUNTIFS($A$2:$A$1000,$A401,$C$2:$C$1000,$C401)&gt;1,"DUPLICAT",""),"")</f>
        <v/>
      </c>
    </row>
    <row r="402">
      <c r="A402" s="17" t="n"/>
      <c r="B402" s="17" t="n"/>
      <c r="C402" s="17" t="n"/>
      <c r="D402" s="18" t="n"/>
      <c r="E402" s="17" t="n"/>
      <c r="F402" s="19" t="n"/>
      <c r="G402" s="17" t="n"/>
      <c r="H402" s="17" t="n"/>
      <c r="I402" s="17" t="n"/>
      <c r="J402" s="19" t="n"/>
      <c r="K402" s="19" t="n"/>
      <c r="L402" s="20" t="n"/>
      <c r="M402" s="20" t="n"/>
      <c r="N402" s="17" t="n"/>
      <c r="O402" s="17" t="n"/>
      <c r="P402" s="21">
        <f>IF(AND(ISNUMBER($L402),ISNUMBER($M402)),MAX(0,$M402-$L402),"")</f>
        <v/>
      </c>
      <c r="Q402" s="21">
        <f>IF(ISNUMBER($D402),MAX(0,TODAY()-$D402),"")</f>
        <v/>
      </c>
      <c r="R402" s="19">
        <f>IF(COUNTA($A402:$O402)=0,"",IFERROR(TRIM(TEXTJOIN(" | ",TRUE,IF($A402="","PC kosong",""),IF($C402="","Worker ID kosong",""),IF($D402="","Update Date kosong",IF(NOT(ISNUMBER($D402)),"Update Date bukan tanggal","")),IF($E402="","Song ID YT kosong",""),IF($F402="","Judul kosong",""),IF(TRIM($G402)="","",IF(ISERROR(MATCH(TRIM($G402),{"TuneCore","DistroKid","TooLost","SoundOn","Ditto","Believe","CD Baby","Amuse","Symphonic Distribution","ONErpm","RouteNote","LANDR","Horus Music","Indie"},0)),"Aggregator di luar daftar","")),IF(TRIM($H402)="","Genre kosong",IF((LEN(SUBSTITUTE(SUBSTITUTE(SUBSTITUTE(TRIM($H402),"/",","),";",",")," ",""))-LEN(SUBSTITUTE(SUBSTITUTE(SUBSTITUTE(SUBSTITUTE(TRIM($H402),"/",","),";",","),"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402),"/",","),";",",")," ","")&amp;",")))&lt;&gt;(LEN(SUBSTITUTE(SUBSTITUTE(SUBSTITUTE(TRIM($H402),"/",","),";",",")," ",""))-LEN(SUBSTITUTE(SUBSTITUTE(SUBSTITUTE(SUBSTITUTE(TRIM($H402),"/",","),";",",")," ",""),",",""))+1),"Genre di luar daftar",""))),IF($I402="","Nama Channel kosong",""),IF($J402="","Link Channel kosong",IF(ISERROR(SEARCH("youtu",$J402)),"Link Channel bukan youtube","")),IF($K402="","Link Video kosong",IF(ISERROR(SEARCH("youtu",$K402)),"Link Video bukan youtube","")),IF($L402="","Tgl Dibuat kosong",IF(NOT(ISNUMBER($L402)),"Tgl Dibuat bukan tanggal","")),IF(AND($M402&lt;&gt;"",NOT(ISNUMBER($M402))),"Tgl Publish bukan tanggal",""),IF(AND(ISNUMBER($L402),ISNUMBER($M402),$M402&lt;$L402),"Tgl Publish &lt; Tgl buat",""),IF(TRIM($N402)="","Status kosong",IF(ISERROR(MATCH(TRIM($N402),{"Draft","Menunggu Review","Revisi","Terjadwal","Upload","Publish","Published","Batal"},0)),"Status di luar daftar","")))),""))</f>
        <v/>
      </c>
      <c r="S402" s="17">
        <f>IF(AND($A402&lt;&gt;"",$C402&lt;&gt;""),IF(COUNTIFS($A$2:$A$1000,$A402,$C$2:$C$1000,$C402)&gt;1,"DUPLICAT",""),"")</f>
        <v/>
      </c>
    </row>
    <row r="403">
      <c r="A403" s="12" t="n"/>
      <c r="B403" s="12" t="n"/>
      <c r="C403" s="12" t="n"/>
      <c r="D403" s="13" t="n"/>
      <c r="E403" s="12" t="n"/>
      <c r="F403" s="14" t="n"/>
      <c r="G403" s="12" t="n"/>
      <c r="H403" s="12" t="n"/>
      <c r="I403" s="12" t="n"/>
      <c r="J403" s="14" t="n"/>
      <c r="K403" s="14" t="n"/>
      <c r="L403" s="15" t="n"/>
      <c r="M403" s="15" t="n"/>
      <c r="N403" s="12" t="n"/>
      <c r="O403" s="12" t="n"/>
      <c r="P403" s="16">
        <f>IF(AND(ISNUMBER($L403),ISNUMBER($M403)),MAX(0,$M403-$L403),"")</f>
        <v/>
      </c>
      <c r="Q403" s="16">
        <f>IF(ISNUMBER($D403),MAX(0,TODAY()-$D403),"")</f>
        <v/>
      </c>
      <c r="R403" s="14">
        <f>IF(COUNTA($A403:$O403)=0,"",IFERROR(TRIM(TEXTJOIN(" | ",TRUE,IF($A403="","PC kosong",""),IF($C403="","Worker ID kosong",""),IF($D403="","Update Date kosong",IF(NOT(ISNUMBER($D403)),"Update Date bukan tanggal","")),IF($E403="","Song ID YT kosong",""),IF($F403="","Judul kosong",""),IF(TRIM($G403)="","",IF(ISERROR(MATCH(TRIM($G403),{"TuneCore","DistroKid","TooLost","SoundOn","Ditto","Believe","CD Baby","Amuse","Symphonic Distribution","ONErpm","RouteNote","LANDR","Horus Music","Indie"},0)),"Aggregator di luar daftar","")),IF(TRIM($H403)="","Genre kosong",IF((LEN(SUBSTITUTE(SUBSTITUTE(SUBSTITUTE(TRIM($H403),"/",","),";",",")," ",""))-LEN(SUBSTITUTE(SUBSTITUTE(SUBSTITUTE(SUBSTITUTE(TRIM($H403),"/",","),";",","),"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403),"/",","),";",",")," ","")&amp;",")))&lt;&gt;(LEN(SUBSTITUTE(SUBSTITUTE(SUBSTITUTE(TRIM($H403),"/",","),";",",")," ",""))-LEN(SUBSTITUTE(SUBSTITUTE(SUBSTITUTE(SUBSTITUTE(TRIM($H403),"/",","),";",",")," ",""),",",""))+1),"Genre di luar daftar",""))),IF($I403="","Nama Channel kosong",""),IF($J403="","Link Channel kosong",IF(ISERROR(SEARCH("youtu",$J403)),"Link Channel bukan youtube","")),IF($K403="","Link Video kosong",IF(ISERROR(SEARCH("youtu",$K403)),"Link Video bukan youtube","")),IF($L403="","Tgl Dibuat kosong",IF(NOT(ISNUMBER($L403)),"Tgl Dibuat bukan tanggal","")),IF(AND($M403&lt;&gt;"",NOT(ISNUMBER($M403))),"Tgl Publish bukan tanggal",""),IF(AND(ISNUMBER($L403),ISNUMBER($M403),$M403&lt;$L403),"Tgl Publish &lt; Tgl buat",""),IF(TRIM($N403)="","Status kosong",IF(ISERROR(MATCH(TRIM($N403),{"Draft","Menunggu Review","Revisi","Terjadwal","Upload","Publish","Published","Batal"},0)),"Status di luar daftar","")))),""))</f>
        <v/>
      </c>
      <c r="S403" s="12">
        <f>IF(AND($A403&lt;&gt;"",$C403&lt;&gt;""),IF(COUNTIFS($A$2:$A$1000,$A403,$C$2:$C$1000,$C403)&gt;1,"DUPLICAT",""),"")</f>
        <v/>
      </c>
    </row>
    <row r="404">
      <c r="A404" s="17" t="n"/>
      <c r="B404" s="17" t="n"/>
      <c r="C404" s="17" t="n"/>
      <c r="D404" s="18" t="n"/>
      <c r="E404" s="17" t="n"/>
      <c r="F404" s="19" t="n"/>
      <c r="G404" s="17" t="n"/>
      <c r="H404" s="17" t="n"/>
      <c r="I404" s="17" t="n"/>
      <c r="J404" s="19" t="n"/>
      <c r="K404" s="19" t="n"/>
      <c r="L404" s="20" t="n"/>
      <c r="M404" s="20" t="n"/>
      <c r="N404" s="17" t="n"/>
      <c r="O404" s="17" t="n"/>
      <c r="P404" s="21">
        <f>IF(AND(ISNUMBER($L404),ISNUMBER($M404)),MAX(0,$M404-$L404),"")</f>
        <v/>
      </c>
      <c r="Q404" s="21">
        <f>IF(ISNUMBER($D404),MAX(0,TODAY()-$D404),"")</f>
        <v/>
      </c>
      <c r="R404" s="19">
        <f>IF(COUNTA($A404:$O404)=0,"",IFERROR(TRIM(TEXTJOIN(" | ",TRUE,IF($A404="","PC kosong",""),IF($C404="","Worker ID kosong",""),IF($D404="","Update Date kosong",IF(NOT(ISNUMBER($D404)),"Update Date bukan tanggal","")),IF($E404="","Song ID YT kosong",""),IF($F404="","Judul kosong",""),IF(TRIM($G404)="","",IF(ISERROR(MATCH(TRIM($G404),{"TuneCore","DistroKid","TooLost","SoundOn","Ditto","Believe","CD Baby","Amuse","Symphonic Distribution","ONErpm","RouteNote","LANDR","Horus Music","Indie"},0)),"Aggregator di luar daftar","")),IF(TRIM($H404)="","Genre kosong",IF((LEN(SUBSTITUTE(SUBSTITUTE(SUBSTITUTE(TRIM($H404),"/",","),";",",")," ",""))-LEN(SUBSTITUTE(SUBSTITUTE(SUBSTITUTE(SUBSTITUTE(TRIM($H404),"/",","),";",","),"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404),"/",","),";",",")," ","")&amp;",")))&lt;&gt;(LEN(SUBSTITUTE(SUBSTITUTE(SUBSTITUTE(TRIM($H404),"/",","),";",",")," ",""))-LEN(SUBSTITUTE(SUBSTITUTE(SUBSTITUTE(SUBSTITUTE(TRIM($H404),"/",","),";",",")," ",""),",",""))+1),"Genre di luar daftar",""))),IF($I404="","Nama Channel kosong",""),IF($J404="","Link Channel kosong",IF(ISERROR(SEARCH("youtu",$J404)),"Link Channel bukan youtube","")),IF($K404="","Link Video kosong",IF(ISERROR(SEARCH("youtu",$K404)),"Link Video bukan youtube","")),IF($L404="","Tgl Dibuat kosong",IF(NOT(ISNUMBER($L404)),"Tgl Dibuat bukan tanggal","")),IF(AND($M404&lt;&gt;"",NOT(ISNUMBER($M404))),"Tgl Publish bukan tanggal",""),IF(AND(ISNUMBER($L404),ISNUMBER($M404),$M404&lt;$L404),"Tgl Publish &lt; Tgl buat",""),IF(TRIM($N404)="","Status kosong",IF(ISERROR(MATCH(TRIM($N404),{"Draft","Menunggu Review","Revisi","Terjadwal","Upload","Publish","Published","Batal"},0)),"Status di luar daftar","")))),""))</f>
        <v/>
      </c>
      <c r="S404" s="17">
        <f>IF(AND($A404&lt;&gt;"",$C404&lt;&gt;""),IF(COUNTIFS($A$2:$A$1000,$A404,$C$2:$C$1000,$C404)&gt;1,"DUPLICAT",""),"")</f>
        <v/>
      </c>
    </row>
    <row r="405">
      <c r="A405" s="12" t="n"/>
      <c r="B405" s="12" t="n"/>
      <c r="C405" s="12" t="n"/>
      <c r="D405" s="13" t="n"/>
      <c r="E405" s="12" t="n"/>
      <c r="F405" s="14" t="n"/>
      <c r="G405" s="12" t="n"/>
      <c r="H405" s="12" t="n"/>
      <c r="I405" s="12" t="n"/>
      <c r="J405" s="14" t="n"/>
      <c r="K405" s="14" t="n"/>
      <c r="L405" s="15" t="n"/>
      <c r="M405" s="15" t="n"/>
      <c r="N405" s="12" t="n"/>
      <c r="O405" s="12" t="n"/>
      <c r="P405" s="16">
        <f>IF(AND(ISNUMBER($L405),ISNUMBER($M405)),MAX(0,$M405-$L405),"")</f>
        <v/>
      </c>
      <c r="Q405" s="16">
        <f>IF(ISNUMBER($D405),MAX(0,TODAY()-$D405),"")</f>
        <v/>
      </c>
      <c r="R405" s="14">
        <f>IF(COUNTA($A405:$O405)=0,"",IFERROR(TRIM(TEXTJOIN(" | ",TRUE,IF($A405="","PC kosong",""),IF($C405="","Worker ID kosong",""),IF($D405="","Update Date kosong",IF(NOT(ISNUMBER($D405)),"Update Date bukan tanggal","")),IF($E405="","Song ID YT kosong",""),IF($F405="","Judul kosong",""),IF(TRIM($G405)="","",IF(ISERROR(MATCH(TRIM($G405),{"TuneCore","DistroKid","TooLost","SoundOn","Ditto","Believe","CD Baby","Amuse","Symphonic Distribution","ONErpm","RouteNote","LANDR","Horus Music","Indie"},0)),"Aggregator di luar daftar","")),IF(TRIM($H405)="","Genre kosong",IF((LEN(SUBSTITUTE(SUBSTITUTE(SUBSTITUTE(TRIM($H405),"/",","),";",",")," ",""))-LEN(SUBSTITUTE(SUBSTITUTE(SUBSTITUTE(SUBSTITUTE(TRIM($H405),"/",","),";",","),"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405),"/",","),";",",")," ","")&amp;",")))&lt;&gt;(LEN(SUBSTITUTE(SUBSTITUTE(SUBSTITUTE(TRIM($H405),"/",","),";",",")," ",""))-LEN(SUBSTITUTE(SUBSTITUTE(SUBSTITUTE(SUBSTITUTE(TRIM($H405),"/",","),";",",")," ",""),",",""))+1),"Genre di luar daftar",""))),IF($I405="","Nama Channel kosong",""),IF($J405="","Link Channel kosong",IF(ISERROR(SEARCH("youtu",$J405)),"Link Channel bukan youtube","")),IF($K405="","Link Video kosong",IF(ISERROR(SEARCH("youtu",$K405)),"Link Video bukan youtube","")),IF($L405="","Tgl Dibuat kosong",IF(NOT(ISNUMBER($L405)),"Tgl Dibuat bukan tanggal","")),IF(AND($M405&lt;&gt;"",NOT(ISNUMBER($M405))),"Tgl Publish bukan tanggal",""),IF(AND(ISNUMBER($L405),ISNUMBER($M405),$M405&lt;$L405),"Tgl Publish &lt; Tgl buat",""),IF(TRIM($N405)="","Status kosong",IF(ISERROR(MATCH(TRIM($N405),{"Draft","Menunggu Review","Revisi","Terjadwal","Upload","Publish","Published","Batal"},0)),"Status di luar daftar","")))),""))</f>
        <v/>
      </c>
      <c r="S405" s="12">
        <f>IF(AND($A405&lt;&gt;"",$C405&lt;&gt;""),IF(COUNTIFS($A$2:$A$1000,$A405,$C$2:$C$1000,$C405)&gt;1,"DUPLICAT",""),"")</f>
        <v/>
      </c>
    </row>
    <row r="406">
      <c r="A406" s="17" t="n"/>
      <c r="B406" s="17" t="n"/>
      <c r="C406" s="17" t="n"/>
      <c r="D406" s="18" t="n"/>
      <c r="E406" s="17" t="n"/>
      <c r="F406" s="19" t="n"/>
      <c r="G406" s="17" t="n"/>
      <c r="H406" s="17" t="n"/>
      <c r="I406" s="17" t="n"/>
      <c r="J406" s="19" t="n"/>
      <c r="K406" s="19" t="n"/>
      <c r="L406" s="20" t="n"/>
      <c r="M406" s="20" t="n"/>
      <c r="N406" s="17" t="n"/>
      <c r="O406" s="17" t="n"/>
      <c r="P406" s="21">
        <f>IF(AND(ISNUMBER($L406),ISNUMBER($M406)),MAX(0,$M406-$L406),"")</f>
        <v/>
      </c>
      <c r="Q406" s="21">
        <f>IF(ISNUMBER($D406),MAX(0,TODAY()-$D406),"")</f>
        <v/>
      </c>
      <c r="R406" s="19">
        <f>IF(COUNTA($A406:$O406)=0,"",IFERROR(TRIM(TEXTJOIN(" | ",TRUE,IF($A406="","PC kosong",""),IF($C406="","Worker ID kosong",""),IF($D406="","Update Date kosong",IF(NOT(ISNUMBER($D406)),"Update Date bukan tanggal","")),IF($E406="","Song ID YT kosong",""),IF($F406="","Judul kosong",""),IF(TRIM($G406)="","",IF(ISERROR(MATCH(TRIM($G406),{"TuneCore","DistroKid","TooLost","SoundOn","Ditto","Believe","CD Baby","Amuse","Symphonic Distribution","ONErpm","RouteNote","LANDR","Horus Music","Indie"},0)),"Aggregator di luar daftar","")),IF(TRIM($H406)="","Genre kosong",IF((LEN(SUBSTITUTE(SUBSTITUTE(SUBSTITUTE(TRIM($H406),"/",","),";",",")," ",""))-LEN(SUBSTITUTE(SUBSTITUTE(SUBSTITUTE(SUBSTITUTE(TRIM($H406),"/",","),";",","),"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406),"/",","),";",",")," ","")&amp;",")))&lt;&gt;(LEN(SUBSTITUTE(SUBSTITUTE(SUBSTITUTE(TRIM($H406),"/",","),";",",")," ",""))-LEN(SUBSTITUTE(SUBSTITUTE(SUBSTITUTE(SUBSTITUTE(TRIM($H406),"/",","),";",",")," ",""),",",""))+1),"Genre di luar daftar",""))),IF($I406="","Nama Channel kosong",""),IF($J406="","Link Channel kosong",IF(ISERROR(SEARCH("youtu",$J406)),"Link Channel bukan youtube","")),IF($K406="","Link Video kosong",IF(ISERROR(SEARCH("youtu",$K406)),"Link Video bukan youtube","")),IF($L406="","Tgl Dibuat kosong",IF(NOT(ISNUMBER($L406)),"Tgl Dibuat bukan tanggal","")),IF(AND($M406&lt;&gt;"",NOT(ISNUMBER($M406))),"Tgl Publish bukan tanggal",""),IF(AND(ISNUMBER($L406),ISNUMBER($M406),$M406&lt;$L406),"Tgl Publish &lt; Tgl buat",""),IF(TRIM($N406)="","Status kosong",IF(ISERROR(MATCH(TRIM($N406),{"Draft","Menunggu Review","Revisi","Terjadwal","Upload","Publish","Published","Batal"},0)),"Status di luar daftar","")))),""))</f>
        <v/>
      </c>
      <c r="S406" s="17">
        <f>IF(AND($A406&lt;&gt;"",$C406&lt;&gt;""),IF(COUNTIFS($A$2:$A$1000,$A406,$C$2:$C$1000,$C406)&gt;1,"DUPLICAT",""),"")</f>
        <v/>
      </c>
    </row>
    <row r="407">
      <c r="A407" s="12" t="n"/>
      <c r="B407" s="12" t="n"/>
      <c r="C407" s="12" t="n"/>
      <c r="D407" s="13" t="n"/>
      <c r="E407" s="12" t="n"/>
      <c r="F407" s="14" t="n"/>
      <c r="G407" s="12" t="n"/>
      <c r="H407" s="12" t="n"/>
      <c r="I407" s="12" t="n"/>
      <c r="J407" s="14" t="n"/>
      <c r="K407" s="14" t="n"/>
      <c r="L407" s="15" t="n"/>
      <c r="M407" s="15" t="n"/>
      <c r="N407" s="12" t="n"/>
      <c r="O407" s="12" t="n"/>
      <c r="P407" s="16">
        <f>IF(AND(ISNUMBER($L407),ISNUMBER($M407)),MAX(0,$M407-$L407),"")</f>
        <v/>
      </c>
      <c r="Q407" s="16">
        <f>IF(ISNUMBER($D407),MAX(0,TODAY()-$D407),"")</f>
        <v/>
      </c>
      <c r="R407" s="14">
        <f>IF(COUNTA($A407:$O407)=0,"",IFERROR(TRIM(TEXTJOIN(" | ",TRUE,IF($A407="","PC kosong",""),IF($C407="","Worker ID kosong",""),IF($D407="","Update Date kosong",IF(NOT(ISNUMBER($D407)),"Update Date bukan tanggal","")),IF($E407="","Song ID YT kosong",""),IF($F407="","Judul kosong",""),IF(TRIM($G407)="","",IF(ISERROR(MATCH(TRIM($G407),{"TuneCore","DistroKid","TooLost","SoundOn","Ditto","Believe","CD Baby","Amuse","Symphonic Distribution","ONErpm","RouteNote","LANDR","Horus Music","Indie"},0)),"Aggregator di luar daftar","")),IF(TRIM($H407)="","Genre kosong",IF((LEN(SUBSTITUTE(SUBSTITUTE(SUBSTITUTE(TRIM($H407),"/",","),";",",")," ",""))-LEN(SUBSTITUTE(SUBSTITUTE(SUBSTITUTE(SUBSTITUTE(TRIM($H407),"/",","),";",","),"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407),"/",","),";",",")," ","")&amp;",")))&lt;&gt;(LEN(SUBSTITUTE(SUBSTITUTE(SUBSTITUTE(TRIM($H407),"/",","),";",",")," ",""))-LEN(SUBSTITUTE(SUBSTITUTE(SUBSTITUTE(SUBSTITUTE(TRIM($H407),"/",","),";",",")," ",""),",",""))+1),"Genre di luar daftar",""))),IF($I407="","Nama Channel kosong",""),IF($J407="","Link Channel kosong",IF(ISERROR(SEARCH("youtu",$J407)),"Link Channel bukan youtube","")),IF($K407="","Link Video kosong",IF(ISERROR(SEARCH("youtu",$K407)),"Link Video bukan youtube","")),IF($L407="","Tgl Dibuat kosong",IF(NOT(ISNUMBER($L407)),"Tgl Dibuat bukan tanggal","")),IF(AND($M407&lt;&gt;"",NOT(ISNUMBER($M407))),"Tgl Publish bukan tanggal",""),IF(AND(ISNUMBER($L407),ISNUMBER($M407),$M407&lt;$L407),"Tgl Publish &lt; Tgl buat",""),IF(TRIM($N407)="","Status kosong",IF(ISERROR(MATCH(TRIM($N407),{"Draft","Menunggu Review","Revisi","Terjadwal","Upload","Publish","Published","Batal"},0)),"Status di luar daftar","")))),""))</f>
        <v/>
      </c>
      <c r="S407" s="12">
        <f>IF(AND($A407&lt;&gt;"",$C407&lt;&gt;""),IF(COUNTIFS($A$2:$A$1000,$A407,$C$2:$C$1000,$C407)&gt;1,"DUPLICAT",""),"")</f>
        <v/>
      </c>
    </row>
    <row r="408">
      <c r="A408" s="17" t="n"/>
      <c r="B408" s="17" t="n"/>
      <c r="C408" s="17" t="n"/>
      <c r="D408" s="18" t="n"/>
      <c r="E408" s="17" t="n"/>
      <c r="F408" s="19" t="n"/>
      <c r="G408" s="17" t="n"/>
      <c r="H408" s="17" t="n"/>
      <c r="I408" s="17" t="n"/>
      <c r="J408" s="19" t="n"/>
      <c r="K408" s="19" t="n"/>
      <c r="L408" s="20" t="n"/>
      <c r="M408" s="20" t="n"/>
      <c r="N408" s="17" t="n"/>
      <c r="O408" s="17" t="n"/>
      <c r="P408" s="21">
        <f>IF(AND(ISNUMBER($L408),ISNUMBER($M408)),MAX(0,$M408-$L408),"")</f>
        <v/>
      </c>
      <c r="Q408" s="21">
        <f>IF(ISNUMBER($D408),MAX(0,TODAY()-$D408),"")</f>
        <v/>
      </c>
      <c r="R408" s="19">
        <f>IF(COUNTA($A408:$O408)=0,"",IFERROR(TRIM(TEXTJOIN(" | ",TRUE,IF($A408="","PC kosong",""),IF($C408="","Worker ID kosong",""),IF($D408="","Update Date kosong",IF(NOT(ISNUMBER($D408)),"Update Date bukan tanggal","")),IF($E408="","Song ID YT kosong",""),IF($F408="","Judul kosong",""),IF(TRIM($G408)="","",IF(ISERROR(MATCH(TRIM($G408),{"TuneCore","DistroKid","TooLost","SoundOn","Ditto","Believe","CD Baby","Amuse","Symphonic Distribution","ONErpm","RouteNote","LANDR","Horus Music","Indie"},0)),"Aggregator di luar daftar","")),IF(TRIM($H408)="","Genre kosong",IF((LEN(SUBSTITUTE(SUBSTITUTE(SUBSTITUTE(TRIM($H408),"/",","),";",",")," ",""))-LEN(SUBSTITUTE(SUBSTITUTE(SUBSTITUTE(SUBSTITUTE(TRIM($H408),"/",","),";",","),"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408),"/",","),";",",")," ","")&amp;",")))&lt;&gt;(LEN(SUBSTITUTE(SUBSTITUTE(SUBSTITUTE(TRIM($H408),"/",","),";",",")," ",""))-LEN(SUBSTITUTE(SUBSTITUTE(SUBSTITUTE(SUBSTITUTE(TRIM($H408),"/",","),";",",")," ",""),",",""))+1),"Genre di luar daftar",""))),IF($I408="","Nama Channel kosong",""),IF($J408="","Link Channel kosong",IF(ISERROR(SEARCH("youtu",$J408)),"Link Channel bukan youtube","")),IF($K408="","Link Video kosong",IF(ISERROR(SEARCH("youtu",$K408)),"Link Video bukan youtube","")),IF($L408="","Tgl Dibuat kosong",IF(NOT(ISNUMBER($L408)),"Tgl Dibuat bukan tanggal","")),IF(AND($M408&lt;&gt;"",NOT(ISNUMBER($M408))),"Tgl Publish bukan tanggal",""),IF(AND(ISNUMBER($L408),ISNUMBER($M408),$M408&lt;$L408),"Tgl Publish &lt; Tgl buat",""),IF(TRIM($N408)="","Status kosong",IF(ISERROR(MATCH(TRIM($N408),{"Draft","Menunggu Review","Revisi","Terjadwal","Upload","Publish","Published","Batal"},0)),"Status di luar daftar","")))),""))</f>
        <v/>
      </c>
      <c r="S408" s="17">
        <f>IF(AND($A408&lt;&gt;"",$C408&lt;&gt;""),IF(COUNTIFS($A$2:$A$1000,$A408,$C$2:$C$1000,$C408)&gt;1,"DUPLICAT",""),"")</f>
        <v/>
      </c>
    </row>
    <row r="409">
      <c r="A409" s="12" t="n"/>
      <c r="B409" s="12" t="n"/>
      <c r="C409" s="12" t="n"/>
      <c r="D409" s="13" t="n"/>
      <c r="E409" s="12" t="n"/>
      <c r="F409" s="14" t="n"/>
      <c r="G409" s="12" t="n"/>
      <c r="H409" s="12" t="n"/>
      <c r="I409" s="12" t="n"/>
      <c r="J409" s="14" t="n"/>
      <c r="K409" s="14" t="n"/>
      <c r="L409" s="15" t="n"/>
      <c r="M409" s="15" t="n"/>
      <c r="N409" s="12" t="n"/>
      <c r="O409" s="12" t="n"/>
      <c r="P409" s="16">
        <f>IF(AND(ISNUMBER($L409),ISNUMBER($M409)),MAX(0,$M409-$L409),"")</f>
        <v/>
      </c>
      <c r="Q409" s="16">
        <f>IF(ISNUMBER($D409),MAX(0,TODAY()-$D409),"")</f>
        <v/>
      </c>
      <c r="R409" s="14">
        <f>IF(COUNTA($A409:$O409)=0,"",IFERROR(TRIM(TEXTJOIN(" | ",TRUE,IF($A409="","PC kosong",""),IF($C409="","Worker ID kosong",""),IF($D409="","Update Date kosong",IF(NOT(ISNUMBER($D409)),"Update Date bukan tanggal","")),IF($E409="","Song ID YT kosong",""),IF($F409="","Judul kosong",""),IF(TRIM($G409)="","",IF(ISERROR(MATCH(TRIM($G409),{"TuneCore","DistroKid","TooLost","SoundOn","Ditto","Believe","CD Baby","Amuse","Symphonic Distribution","ONErpm","RouteNote","LANDR","Horus Music","Indie"},0)),"Aggregator di luar daftar","")),IF(TRIM($H409)="","Genre kosong",IF((LEN(SUBSTITUTE(SUBSTITUTE(SUBSTITUTE(TRIM($H409),"/",","),";",",")," ",""))-LEN(SUBSTITUTE(SUBSTITUTE(SUBSTITUTE(SUBSTITUTE(TRIM($H409),"/",","),";",","),"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409),"/",","),";",",")," ","")&amp;",")))&lt;&gt;(LEN(SUBSTITUTE(SUBSTITUTE(SUBSTITUTE(TRIM($H409),"/",","),";",",")," ",""))-LEN(SUBSTITUTE(SUBSTITUTE(SUBSTITUTE(SUBSTITUTE(TRIM($H409),"/",","),";",",")," ",""),",",""))+1),"Genre di luar daftar",""))),IF($I409="","Nama Channel kosong",""),IF($J409="","Link Channel kosong",IF(ISERROR(SEARCH("youtu",$J409)),"Link Channel bukan youtube","")),IF($K409="","Link Video kosong",IF(ISERROR(SEARCH("youtu",$K409)),"Link Video bukan youtube","")),IF($L409="","Tgl Dibuat kosong",IF(NOT(ISNUMBER($L409)),"Tgl Dibuat bukan tanggal","")),IF(AND($M409&lt;&gt;"",NOT(ISNUMBER($M409))),"Tgl Publish bukan tanggal",""),IF(AND(ISNUMBER($L409),ISNUMBER($M409),$M409&lt;$L409),"Tgl Publish &lt; Tgl buat",""),IF(TRIM($N409)="","Status kosong",IF(ISERROR(MATCH(TRIM($N409),{"Draft","Menunggu Review","Revisi","Terjadwal","Upload","Publish","Published","Batal"},0)),"Status di luar daftar","")))),""))</f>
        <v/>
      </c>
      <c r="S409" s="12">
        <f>IF(AND($A409&lt;&gt;"",$C409&lt;&gt;""),IF(COUNTIFS($A$2:$A$1000,$A409,$C$2:$C$1000,$C409)&gt;1,"DUPLICAT",""),"")</f>
        <v/>
      </c>
    </row>
    <row r="410">
      <c r="A410" s="17" t="n"/>
      <c r="B410" s="17" t="n"/>
      <c r="C410" s="17" t="n"/>
      <c r="D410" s="18" t="n"/>
      <c r="E410" s="17" t="n"/>
      <c r="F410" s="19" t="n"/>
      <c r="G410" s="17" t="n"/>
      <c r="H410" s="17" t="n"/>
      <c r="I410" s="17" t="n"/>
      <c r="J410" s="19" t="n"/>
      <c r="K410" s="19" t="n"/>
      <c r="L410" s="20" t="n"/>
      <c r="M410" s="20" t="n"/>
      <c r="N410" s="17" t="n"/>
      <c r="O410" s="17" t="n"/>
      <c r="P410" s="21">
        <f>IF(AND(ISNUMBER($L410),ISNUMBER($M410)),MAX(0,$M410-$L410),"")</f>
        <v/>
      </c>
      <c r="Q410" s="21">
        <f>IF(ISNUMBER($D410),MAX(0,TODAY()-$D410),"")</f>
        <v/>
      </c>
      <c r="R410" s="19">
        <f>IF(COUNTA($A410:$O410)=0,"",IFERROR(TRIM(TEXTJOIN(" | ",TRUE,IF($A410="","PC kosong",""),IF($C410="","Worker ID kosong",""),IF($D410="","Update Date kosong",IF(NOT(ISNUMBER($D410)),"Update Date bukan tanggal","")),IF($E410="","Song ID YT kosong",""),IF($F410="","Judul kosong",""),IF(TRIM($G410)="","",IF(ISERROR(MATCH(TRIM($G410),{"TuneCore","DistroKid","TooLost","SoundOn","Ditto","Believe","CD Baby","Amuse","Symphonic Distribution","ONErpm","RouteNote","LANDR","Horus Music","Indie"},0)),"Aggregator di luar daftar","")),IF(TRIM($H410)="","Genre kosong",IF((LEN(SUBSTITUTE(SUBSTITUTE(SUBSTITUTE(TRIM($H410),"/",","),";",",")," ",""))-LEN(SUBSTITUTE(SUBSTITUTE(SUBSTITUTE(SUBSTITUTE(TRIM($H410),"/",","),";",","),"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410),"/",","),";",",")," ","")&amp;",")))&lt;&gt;(LEN(SUBSTITUTE(SUBSTITUTE(SUBSTITUTE(TRIM($H410),"/",","),";",",")," ",""))-LEN(SUBSTITUTE(SUBSTITUTE(SUBSTITUTE(SUBSTITUTE(TRIM($H410),"/",","),";",",")," ",""),",",""))+1),"Genre di luar daftar",""))),IF($I410="","Nama Channel kosong",""),IF($J410="","Link Channel kosong",IF(ISERROR(SEARCH("youtu",$J410)),"Link Channel bukan youtube","")),IF($K410="","Link Video kosong",IF(ISERROR(SEARCH("youtu",$K410)),"Link Video bukan youtube","")),IF($L410="","Tgl Dibuat kosong",IF(NOT(ISNUMBER($L410)),"Tgl Dibuat bukan tanggal","")),IF(AND($M410&lt;&gt;"",NOT(ISNUMBER($M410))),"Tgl Publish bukan tanggal",""),IF(AND(ISNUMBER($L410),ISNUMBER($M410),$M410&lt;$L410),"Tgl Publish &lt; Tgl buat",""),IF(TRIM($N410)="","Status kosong",IF(ISERROR(MATCH(TRIM($N410),{"Draft","Menunggu Review","Revisi","Terjadwal","Upload","Publish","Published","Batal"},0)),"Status di luar daftar","")))),""))</f>
        <v/>
      </c>
      <c r="S410" s="17">
        <f>IF(AND($A410&lt;&gt;"",$C410&lt;&gt;""),IF(COUNTIFS($A$2:$A$1000,$A410,$C$2:$C$1000,$C410)&gt;1,"DUPLICAT",""),"")</f>
        <v/>
      </c>
    </row>
    <row r="411">
      <c r="A411" s="12" t="n"/>
      <c r="B411" s="12" t="n"/>
      <c r="C411" s="12" t="n"/>
      <c r="D411" s="13" t="n"/>
      <c r="E411" s="12" t="n"/>
      <c r="F411" s="14" t="n"/>
      <c r="G411" s="12" t="n"/>
      <c r="H411" s="12" t="n"/>
      <c r="I411" s="12" t="n"/>
      <c r="J411" s="14" t="n"/>
      <c r="K411" s="14" t="n"/>
      <c r="L411" s="15" t="n"/>
      <c r="M411" s="15" t="n"/>
      <c r="N411" s="12" t="n"/>
      <c r="O411" s="12" t="n"/>
      <c r="P411" s="16">
        <f>IF(AND(ISNUMBER($L411),ISNUMBER($M411)),MAX(0,$M411-$L411),"")</f>
        <v/>
      </c>
      <c r="Q411" s="16">
        <f>IF(ISNUMBER($D411),MAX(0,TODAY()-$D411),"")</f>
        <v/>
      </c>
      <c r="R411" s="14">
        <f>IF(COUNTA($A411:$O411)=0,"",IFERROR(TRIM(TEXTJOIN(" | ",TRUE,IF($A411="","PC kosong",""),IF($C411="","Worker ID kosong",""),IF($D411="","Update Date kosong",IF(NOT(ISNUMBER($D411)),"Update Date bukan tanggal","")),IF($E411="","Song ID YT kosong",""),IF($F411="","Judul kosong",""),IF(TRIM($G411)="","",IF(ISERROR(MATCH(TRIM($G411),{"TuneCore","DistroKid","TooLost","SoundOn","Ditto","Believe","CD Baby","Amuse","Symphonic Distribution","ONErpm","RouteNote","LANDR","Horus Music","Indie"},0)),"Aggregator di luar daftar","")),IF(TRIM($H411)="","Genre kosong",IF((LEN(SUBSTITUTE(SUBSTITUTE(SUBSTITUTE(TRIM($H411),"/",","),";",",")," ",""))-LEN(SUBSTITUTE(SUBSTITUTE(SUBSTITUTE(SUBSTITUTE(TRIM($H411),"/",","),";",","),"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411),"/",","),";",",")," ","")&amp;",")))&lt;&gt;(LEN(SUBSTITUTE(SUBSTITUTE(SUBSTITUTE(TRIM($H411),"/",","),";",",")," ",""))-LEN(SUBSTITUTE(SUBSTITUTE(SUBSTITUTE(SUBSTITUTE(TRIM($H411),"/",","),";",",")," ",""),",",""))+1),"Genre di luar daftar",""))),IF($I411="","Nama Channel kosong",""),IF($J411="","Link Channel kosong",IF(ISERROR(SEARCH("youtu",$J411)),"Link Channel bukan youtube","")),IF($K411="","Link Video kosong",IF(ISERROR(SEARCH("youtu",$K411)),"Link Video bukan youtube","")),IF($L411="","Tgl Dibuat kosong",IF(NOT(ISNUMBER($L411)),"Tgl Dibuat bukan tanggal","")),IF(AND($M411&lt;&gt;"",NOT(ISNUMBER($M411))),"Tgl Publish bukan tanggal",""),IF(AND(ISNUMBER($L411),ISNUMBER($M411),$M411&lt;$L411),"Tgl Publish &lt; Tgl buat",""),IF(TRIM($N411)="","Status kosong",IF(ISERROR(MATCH(TRIM($N411),{"Draft","Menunggu Review","Revisi","Terjadwal","Upload","Publish","Published","Batal"},0)),"Status di luar daftar","")))),""))</f>
        <v/>
      </c>
      <c r="S411" s="12">
        <f>IF(AND($A411&lt;&gt;"",$C411&lt;&gt;""),IF(COUNTIFS($A$2:$A$1000,$A411,$C$2:$C$1000,$C411)&gt;1,"DUPLICAT",""),"")</f>
        <v/>
      </c>
    </row>
    <row r="412">
      <c r="A412" s="17" t="n"/>
      <c r="B412" s="17" t="n"/>
      <c r="C412" s="17" t="n"/>
      <c r="D412" s="18" t="n"/>
      <c r="E412" s="17" t="n"/>
      <c r="F412" s="19" t="n"/>
      <c r="G412" s="17" t="n"/>
      <c r="H412" s="17" t="n"/>
      <c r="I412" s="17" t="n"/>
      <c r="J412" s="19" t="n"/>
      <c r="K412" s="19" t="n"/>
      <c r="L412" s="20" t="n"/>
      <c r="M412" s="20" t="n"/>
      <c r="N412" s="17" t="n"/>
      <c r="O412" s="17" t="n"/>
      <c r="P412" s="21">
        <f>IF(AND(ISNUMBER($L412),ISNUMBER($M412)),MAX(0,$M412-$L412),"")</f>
        <v/>
      </c>
      <c r="Q412" s="21">
        <f>IF(ISNUMBER($D412),MAX(0,TODAY()-$D412),"")</f>
        <v/>
      </c>
      <c r="R412" s="19">
        <f>IF(COUNTA($A412:$O412)=0,"",IFERROR(TRIM(TEXTJOIN(" | ",TRUE,IF($A412="","PC kosong",""),IF($C412="","Worker ID kosong",""),IF($D412="","Update Date kosong",IF(NOT(ISNUMBER($D412)),"Update Date bukan tanggal","")),IF($E412="","Song ID YT kosong",""),IF($F412="","Judul kosong",""),IF(TRIM($G412)="","",IF(ISERROR(MATCH(TRIM($G412),{"TuneCore","DistroKid","TooLost","SoundOn","Ditto","Believe","CD Baby","Amuse","Symphonic Distribution","ONErpm","RouteNote","LANDR","Horus Music","Indie"},0)),"Aggregator di luar daftar","")),IF(TRIM($H412)="","Genre kosong",IF((LEN(SUBSTITUTE(SUBSTITUTE(SUBSTITUTE(TRIM($H412),"/",","),";",",")," ",""))-LEN(SUBSTITUTE(SUBSTITUTE(SUBSTITUTE(SUBSTITUTE(TRIM($H412),"/",","),";",","),"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412),"/",","),";",",")," ","")&amp;",")))&lt;&gt;(LEN(SUBSTITUTE(SUBSTITUTE(SUBSTITUTE(TRIM($H412),"/",","),";",",")," ",""))-LEN(SUBSTITUTE(SUBSTITUTE(SUBSTITUTE(SUBSTITUTE(TRIM($H412),"/",","),";",",")," ",""),",",""))+1),"Genre di luar daftar",""))),IF($I412="","Nama Channel kosong",""),IF($J412="","Link Channel kosong",IF(ISERROR(SEARCH("youtu",$J412)),"Link Channel bukan youtube","")),IF($K412="","Link Video kosong",IF(ISERROR(SEARCH("youtu",$K412)),"Link Video bukan youtube","")),IF($L412="","Tgl Dibuat kosong",IF(NOT(ISNUMBER($L412)),"Tgl Dibuat bukan tanggal","")),IF(AND($M412&lt;&gt;"",NOT(ISNUMBER($M412))),"Tgl Publish bukan tanggal",""),IF(AND(ISNUMBER($L412),ISNUMBER($M412),$M412&lt;$L412),"Tgl Publish &lt; Tgl buat",""),IF(TRIM($N412)="","Status kosong",IF(ISERROR(MATCH(TRIM($N412),{"Draft","Menunggu Review","Revisi","Terjadwal","Upload","Publish","Published","Batal"},0)),"Status di luar daftar","")))),""))</f>
        <v/>
      </c>
      <c r="S412" s="17">
        <f>IF(AND($A412&lt;&gt;"",$C412&lt;&gt;""),IF(COUNTIFS($A$2:$A$1000,$A412,$C$2:$C$1000,$C412)&gt;1,"DUPLICAT",""),"")</f>
        <v/>
      </c>
    </row>
    <row r="413">
      <c r="A413" s="12" t="n"/>
      <c r="B413" s="12" t="n"/>
      <c r="C413" s="12" t="n"/>
      <c r="D413" s="13" t="n"/>
      <c r="E413" s="12" t="n"/>
      <c r="F413" s="14" t="n"/>
      <c r="G413" s="12" t="n"/>
      <c r="H413" s="12" t="n"/>
      <c r="I413" s="12" t="n"/>
      <c r="J413" s="14" t="n"/>
      <c r="K413" s="14" t="n"/>
      <c r="L413" s="15" t="n"/>
      <c r="M413" s="15" t="n"/>
      <c r="N413" s="12" t="n"/>
      <c r="O413" s="12" t="n"/>
      <c r="P413" s="16">
        <f>IF(AND(ISNUMBER($L413),ISNUMBER($M413)),MAX(0,$M413-$L413),"")</f>
        <v/>
      </c>
      <c r="Q413" s="16">
        <f>IF(ISNUMBER($D413),MAX(0,TODAY()-$D413),"")</f>
        <v/>
      </c>
      <c r="R413" s="14">
        <f>IF(COUNTA($A413:$O413)=0,"",IFERROR(TRIM(TEXTJOIN(" | ",TRUE,IF($A413="","PC kosong",""),IF($C413="","Worker ID kosong",""),IF($D413="","Update Date kosong",IF(NOT(ISNUMBER($D413)),"Update Date bukan tanggal","")),IF($E413="","Song ID YT kosong",""),IF($F413="","Judul kosong",""),IF(TRIM($G413)="","",IF(ISERROR(MATCH(TRIM($G413),{"TuneCore","DistroKid","TooLost","SoundOn","Ditto","Believe","CD Baby","Amuse","Symphonic Distribution","ONErpm","RouteNote","LANDR","Horus Music","Indie"},0)),"Aggregator di luar daftar","")),IF(TRIM($H413)="","Genre kosong",IF((LEN(SUBSTITUTE(SUBSTITUTE(SUBSTITUTE(TRIM($H413),"/",","),";",",")," ",""))-LEN(SUBSTITUTE(SUBSTITUTE(SUBSTITUTE(SUBSTITUTE(TRIM($H413),"/",","),";",","),"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413),"/",","),";",",")," ","")&amp;",")))&lt;&gt;(LEN(SUBSTITUTE(SUBSTITUTE(SUBSTITUTE(TRIM($H413),"/",","),";",",")," ",""))-LEN(SUBSTITUTE(SUBSTITUTE(SUBSTITUTE(SUBSTITUTE(TRIM($H413),"/",","),";",",")," ",""),",",""))+1),"Genre di luar daftar",""))),IF($I413="","Nama Channel kosong",""),IF($J413="","Link Channel kosong",IF(ISERROR(SEARCH("youtu",$J413)),"Link Channel bukan youtube","")),IF($K413="","Link Video kosong",IF(ISERROR(SEARCH("youtu",$K413)),"Link Video bukan youtube","")),IF($L413="","Tgl Dibuat kosong",IF(NOT(ISNUMBER($L413)),"Tgl Dibuat bukan tanggal","")),IF(AND($M413&lt;&gt;"",NOT(ISNUMBER($M413))),"Tgl Publish bukan tanggal",""),IF(AND(ISNUMBER($L413),ISNUMBER($M413),$M413&lt;$L413),"Tgl Publish &lt; Tgl buat",""),IF(TRIM($N413)="","Status kosong",IF(ISERROR(MATCH(TRIM($N413),{"Draft","Menunggu Review","Revisi","Terjadwal","Upload","Publish","Published","Batal"},0)),"Status di luar daftar","")))),""))</f>
        <v/>
      </c>
      <c r="S413" s="12">
        <f>IF(AND($A413&lt;&gt;"",$C413&lt;&gt;""),IF(COUNTIFS($A$2:$A$1000,$A413,$C$2:$C$1000,$C413)&gt;1,"DUPLICAT",""),"")</f>
        <v/>
      </c>
    </row>
    <row r="414">
      <c r="A414" s="17" t="n"/>
      <c r="B414" s="17" t="n"/>
      <c r="C414" s="17" t="n"/>
      <c r="D414" s="18" t="n"/>
      <c r="E414" s="17" t="n"/>
      <c r="F414" s="19" t="n"/>
      <c r="G414" s="17" t="n"/>
      <c r="H414" s="17" t="n"/>
      <c r="I414" s="17" t="n"/>
      <c r="J414" s="19" t="n"/>
      <c r="K414" s="19" t="n"/>
      <c r="L414" s="20" t="n"/>
      <c r="M414" s="20" t="n"/>
      <c r="N414" s="17" t="n"/>
      <c r="O414" s="17" t="n"/>
      <c r="P414" s="21">
        <f>IF(AND(ISNUMBER($L414),ISNUMBER($M414)),MAX(0,$M414-$L414),"")</f>
        <v/>
      </c>
      <c r="Q414" s="21">
        <f>IF(ISNUMBER($D414),MAX(0,TODAY()-$D414),"")</f>
        <v/>
      </c>
      <c r="R414" s="19">
        <f>IF(COUNTA($A414:$O414)=0,"",IFERROR(TRIM(TEXTJOIN(" | ",TRUE,IF($A414="","PC kosong",""),IF($C414="","Worker ID kosong",""),IF($D414="","Update Date kosong",IF(NOT(ISNUMBER($D414)),"Update Date bukan tanggal","")),IF($E414="","Song ID YT kosong",""),IF($F414="","Judul kosong",""),IF(TRIM($G414)="","",IF(ISERROR(MATCH(TRIM($G414),{"TuneCore","DistroKid","TooLost","SoundOn","Ditto","Believe","CD Baby","Amuse","Symphonic Distribution","ONErpm","RouteNote","LANDR","Horus Music","Indie"},0)),"Aggregator di luar daftar","")),IF(TRIM($H414)="","Genre kosong",IF((LEN(SUBSTITUTE(SUBSTITUTE(SUBSTITUTE(TRIM($H414),"/",","),";",",")," ",""))-LEN(SUBSTITUTE(SUBSTITUTE(SUBSTITUTE(SUBSTITUTE(TRIM($H414),"/",","),";",","),"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414),"/",","),";",",")," ","")&amp;",")))&lt;&gt;(LEN(SUBSTITUTE(SUBSTITUTE(SUBSTITUTE(TRIM($H414),"/",","),";",",")," ",""))-LEN(SUBSTITUTE(SUBSTITUTE(SUBSTITUTE(SUBSTITUTE(TRIM($H414),"/",","),";",",")," ",""),",",""))+1),"Genre di luar daftar",""))),IF($I414="","Nama Channel kosong",""),IF($J414="","Link Channel kosong",IF(ISERROR(SEARCH("youtu",$J414)),"Link Channel bukan youtube","")),IF($K414="","Link Video kosong",IF(ISERROR(SEARCH("youtu",$K414)),"Link Video bukan youtube","")),IF($L414="","Tgl Dibuat kosong",IF(NOT(ISNUMBER($L414)),"Tgl Dibuat bukan tanggal","")),IF(AND($M414&lt;&gt;"",NOT(ISNUMBER($M414))),"Tgl Publish bukan tanggal",""),IF(AND(ISNUMBER($L414),ISNUMBER($M414),$M414&lt;$L414),"Tgl Publish &lt; Tgl buat",""),IF(TRIM($N414)="","Status kosong",IF(ISERROR(MATCH(TRIM($N414),{"Draft","Menunggu Review","Revisi","Terjadwal","Upload","Publish","Published","Batal"},0)),"Status di luar daftar","")))),""))</f>
        <v/>
      </c>
      <c r="S414" s="17">
        <f>IF(AND($A414&lt;&gt;"",$C414&lt;&gt;""),IF(COUNTIFS($A$2:$A$1000,$A414,$C$2:$C$1000,$C414)&gt;1,"DUPLICAT",""),"")</f>
        <v/>
      </c>
    </row>
    <row r="415">
      <c r="A415" s="12" t="n"/>
      <c r="B415" s="12" t="n"/>
      <c r="C415" s="12" t="n"/>
      <c r="D415" s="13" t="n"/>
      <c r="E415" s="12" t="n"/>
      <c r="F415" s="14" t="n"/>
      <c r="G415" s="12" t="n"/>
      <c r="H415" s="12" t="n"/>
      <c r="I415" s="12" t="n"/>
      <c r="J415" s="14" t="n"/>
      <c r="K415" s="14" t="n"/>
      <c r="L415" s="15" t="n"/>
      <c r="M415" s="15" t="n"/>
      <c r="N415" s="12" t="n"/>
      <c r="O415" s="12" t="n"/>
      <c r="P415" s="16">
        <f>IF(AND(ISNUMBER($L415),ISNUMBER($M415)),MAX(0,$M415-$L415),"")</f>
        <v/>
      </c>
      <c r="Q415" s="16">
        <f>IF(ISNUMBER($D415),MAX(0,TODAY()-$D415),"")</f>
        <v/>
      </c>
      <c r="R415" s="14">
        <f>IF(COUNTA($A415:$O415)=0,"",IFERROR(TRIM(TEXTJOIN(" | ",TRUE,IF($A415="","PC kosong",""),IF($C415="","Worker ID kosong",""),IF($D415="","Update Date kosong",IF(NOT(ISNUMBER($D415)),"Update Date bukan tanggal","")),IF($E415="","Song ID YT kosong",""),IF($F415="","Judul kosong",""),IF(TRIM($G415)="","",IF(ISERROR(MATCH(TRIM($G415),{"TuneCore","DistroKid","TooLost","SoundOn","Ditto","Believe","CD Baby","Amuse","Symphonic Distribution","ONErpm","RouteNote","LANDR","Horus Music","Indie"},0)),"Aggregator di luar daftar","")),IF(TRIM($H415)="","Genre kosong",IF((LEN(SUBSTITUTE(SUBSTITUTE(SUBSTITUTE(TRIM($H415),"/",","),";",",")," ",""))-LEN(SUBSTITUTE(SUBSTITUTE(SUBSTITUTE(SUBSTITUTE(TRIM($H415),"/",","),";",","),"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415),"/",","),";",",")," ","")&amp;",")))&lt;&gt;(LEN(SUBSTITUTE(SUBSTITUTE(SUBSTITUTE(TRIM($H415),"/",","),";",",")," ",""))-LEN(SUBSTITUTE(SUBSTITUTE(SUBSTITUTE(SUBSTITUTE(TRIM($H415),"/",","),";",",")," ",""),",",""))+1),"Genre di luar daftar",""))),IF($I415="","Nama Channel kosong",""),IF($J415="","Link Channel kosong",IF(ISERROR(SEARCH("youtu",$J415)),"Link Channel bukan youtube","")),IF($K415="","Link Video kosong",IF(ISERROR(SEARCH("youtu",$K415)),"Link Video bukan youtube","")),IF($L415="","Tgl Dibuat kosong",IF(NOT(ISNUMBER($L415)),"Tgl Dibuat bukan tanggal","")),IF(AND($M415&lt;&gt;"",NOT(ISNUMBER($M415))),"Tgl Publish bukan tanggal",""),IF(AND(ISNUMBER($L415),ISNUMBER($M415),$M415&lt;$L415),"Tgl Publish &lt; Tgl buat",""),IF(TRIM($N415)="","Status kosong",IF(ISERROR(MATCH(TRIM($N415),{"Draft","Menunggu Review","Revisi","Terjadwal","Upload","Publish","Published","Batal"},0)),"Status di luar daftar","")))),""))</f>
        <v/>
      </c>
      <c r="S415" s="12">
        <f>IF(AND($A415&lt;&gt;"",$C415&lt;&gt;""),IF(COUNTIFS($A$2:$A$1000,$A415,$C$2:$C$1000,$C415)&gt;1,"DUPLICAT",""),"")</f>
        <v/>
      </c>
    </row>
    <row r="416">
      <c r="A416" s="17" t="n"/>
      <c r="B416" s="17" t="n"/>
      <c r="C416" s="17" t="n"/>
      <c r="D416" s="18" t="n"/>
      <c r="E416" s="17" t="n"/>
      <c r="F416" s="19" t="n"/>
      <c r="G416" s="17" t="n"/>
      <c r="H416" s="17" t="n"/>
      <c r="I416" s="17" t="n"/>
      <c r="J416" s="19" t="n"/>
      <c r="K416" s="19" t="n"/>
      <c r="L416" s="20" t="n"/>
      <c r="M416" s="20" t="n"/>
      <c r="N416" s="17" t="n"/>
      <c r="O416" s="17" t="n"/>
      <c r="P416" s="21">
        <f>IF(AND(ISNUMBER($L416),ISNUMBER($M416)),MAX(0,$M416-$L416),"")</f>
        <v/>
      </c>
      <c r="Q416" s="21">
        <f>IF(ISNUMBER($D416),MAX(0,TODAY()-$D416),"")</f>
        <v/>
      </c>
      <c r="R416" s="19">
        <f>IF(COUNTA($A416:$O416)=0,"",IFERROR(TRIM(TEXTJOIN(" | ",TRUE,IF($A416="","PC kosong",""),IF($C416="","Worker ID kosong",""),IF($D416="","Update Date kosong",IF(NOT(ISNUMBER($D416)),"Update Date bukan tanggal","")),IF($E416="","Song ID YT kosong",""),IF($F416="","Judul kosong",""),IF(TRIM($G416)="","",IF(ISERROR(MATCH(TRIM($G416),{"TuneCore","DistroKid","TooLost","SoundOn","Ditto","Believe","CD Baby","Amuse","Symphonic Distribution","ONErpm","RouteNote","LANDR","Horus Music","Indie"},0)),"Aggregator di luar daftar","")),IF(TRIM($H416)="","Genre kosong",IF((LEN(SUBSTITUTE(SUBSTITUTE(SUBSTITUTE(TRIM($H416),"/",","),";",",")," ",""))-LEN(SUBSTITUTE(SUBSTITUTE(SUBSTITUTE(SUBSTITUTE(TRIM($H416),"/",","),";",","),"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416),"/",","),";",",")," ","")&amp;",")))&lt;&gt;(LEN(SUBSTITUTE(SUBSTITUTE(SUBSTITUTE(TRIM($H416),"/",","),";",",")," ",""))-LEN(SUBSTITUTE(SUBSTITUTE(SUBSTITUTE(SUBSTITUTE(TRIM($H416),"/",","),";",",")," ",""),",",""))+1),"Genre di luar daftar",""))),IF($I416="","Nama Channel kosong",""),IF($J416="","Link Channel kosong",IF(ISERROR(SEARCH("youtu",$J416)),"Link Channel bukan youtube","")),IF($K416="","Link Video kosong",IF(ISERROR(SEARCH("youtu",$K416)),"Link Video bukan youtube","")),IF($L416="","Tgl Dibuat kosong",IF(NOT(ISNUMBER($L416)),"Tgl Dibuat bukan tanggal","")),IF(AND($M416&lt;&gt;"",NOT(ISNUMBER($M416))),"Tgl Publish bukan tanggal",""),IF(AND(ISNUMBER($L416),ISNUMBER($M416),$M416&lt;$L416),"Tgl Publish &lt; Tgl buat",""),IF(TRIM($N416)="","Status kosong",IF(ISERROR(MATCH(TRIM($N416),{"Draft","Menunggu Review","Revisi","Terjadwal","Upload","Publish","Published","Batal"},0)),"Status di luar daftar","")))),""))</f>
        <v/>
      </c>
      <c r="S416" s="17">
        <f>IF(AND($A416&lt;&gt;"",$C416&lt;&gt;""),IF(COUNTIFS($A$2:$A$1000,$A416,$C$2:$C$1000,$C416)&gt;1,"DUPLICAT",""),"")</f>
        <v/>
      </c>
    </row>
    <row r="417">
      <c r="A417" s="12" t="n"/>
      <c r="B417" s="12" t="n"/>
      <c r="C417" s="12" t="n"/>
      <c r="D417" s="13" t="n"/>
      <c r="E417" s="12" t="n"/>
      <c r="F417" s="14" t="n"/>
      <c r="G417" s="12" t="n"/>
      <c r="H417" s="12" t="n"/>
      <c r="I417" s="12" t="n"/>
      <c r="J417" s="14" t="n"/>
      <c r="K417" s="14" t="n"/>
      <c r="L417" s="15" t="n"/>
      <c r="M417" s="15" t="n"/>
      <c r="N417" s="12" t="n"/>
      <c r="O417" s="12" t="n"/>
      <c r="P417" s="16">
        <f>IF(AND(ISNUMBER($L417),ISNUMBER($M417)),MAX(0,$M417-$L417),"")</f>
        <v/>
      </c>
      <c r="Q417" s="16">
        <f>IF(ISNUMBER($D417),MAX(0,TODAY()-$D417),"")</f>
        <v/>
      </c>
      <c r="R417" s="14">
        <f>IF(COUNTA($A417:$O417)=0,"",IFERROR(TRIM(TEXTJOIN(" | ",TRUE,IF($A417="","PC kosong",""),IF($C417="","Worker ID kosong",""),IF($D417="","Update Date kosong",IF(NOT(ISNUMBER($D417)),"Update Date bukan tanggal","")),IF($E417="","Song ID YT kosong",""),IF($F417="","Judul kosong",""),IF(TRIM($G417)="","",IF(ISERROR(MATCH(TRIM($G417),{"TuneCore","DistroKid","TooLost","SoundOn","Ditto","Believe","CD Baby","Amuse","Symphonic Distribution","ONErpm","RouteNote","LANDR","Horus Music","Indie"},0)),"Aggregator di luar daftar","")),IF(TRIM($H417)="","Genre kosong",IF((LEN(SUBSTITUTE(SUBSTITUTE(SUBSTITUTE(TRIM($H417),"/",","),";",",")," ",""))-LEN(SUBSTITUTE(SUBSTITUTE(SUBSTITUTE(SUBSTITUTE(TRIM($H417),"/",","),";",","),"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417),"/",","),";",",")," ","")&amp;",")))&lt;&gt;(LEN(SUBSTITUTE(SUBSTITUTE(SUBSTITUTE(TRIM($H417),"/",","),";",",")," ",""))-LEN(SUBSTITUTE(SUBSTITUTE(SUBSTITUTE(SUBSTITUTE(TRIM($H417),"/",","),";",",")," ",""),",",""))+1),"Genre di luar daftar",""))),IF($I417="","Nama Channel kosong",""),IF($J417="","Link Channel kosong",IF(ISERROR(SEARCH("youtu",$J417)),"Link Channel bukan youtube","")),IF($K417="","Link Video kosong",IF(ISERROR(SEARCH("youtu",$K417)),"Link Video bukan youtube","")),IF($L417="","Tgl Dibuat kosong",IF(NOT(ISNUMBER($L417)),"Tgl Dibuat bukan tanggal","")),IF(AND($M417&lt;&gt;"",NOT(ISNUMBER($M417))),"Tgl Publish bukan tanggal",""),IF(AND(ISNUMBER($L417),ISNUMBER($M417),$M417&lt;$L417),"Tgl Publish &lt; Tgl buat",""),IF(TRIM($N417)="","Status kosong",IF(ISERROR(MATCH(TRIM($N417),{"Draft","Menunggu Review","Revisi","Terjadwal","Upload","Publish","Published","Batal"},0)),"Status di luar daftar","")))),""))</f>
        <v/>
      </c>
      <c r="S417" s="12">
        <f>IF(AND($A417&lt;&gt;"",$C417&lt;&gt;""),IF(COUNTIFS($A$2:$A$1000,$A417,$C$2:$C$1000,$C417)&gt;1,"DUPLICAT",""),"")</f>
        <v/>
      </c>
    </row>
    <row r="418">
      <c r="A418" s="17" t="n"/>
      <c r="B418" s="17" t="n"/>
      <c r="C418" s="17" t="n"/>
      <c r="D418" s="18" t="n"/>
      <c r="E418" s="17" t="n"/>
      <c r="F418" s="19" t="n"/>
      <c r="G418" s="17" t="n"/>
      <c r="H418" s="17" t="n"/>
      <c r="I418" s="17" t="n"/>
      <c r="J418" s="19" t="n"/>
      <c r="K418" s="19" t="n"/>
      <c r="L418" s="20" t="n"/>
      <c r="M418" s="20" t="n"/>
      <c r="N418" s="17" t="n"/>
      <c r="O418" s="17" t="n"/>
      <c r="P418" s="21">
        <f>IF(AND(ISNUMBER($L418),ISNUMBER($M418)),MAX(0,$M418-$L418),"")</f>
        <v/>
      </c>
      <c r="Q418" s="21">
        <f>IF(ISNUMBER($D418),MAX(0,TODAY()-$D418),"")</f>
        <v/>
      </c>
      <c r="R418" s="19">
        <f>IF(COUNTA($A418:$O418)=0,"",IFERROR(TRIM(TEXTJOIN(" | ",TRUE,IF($A418="","PC kosong",""),IF($C418="","Worker ID kosong",""),IF($D418="","Update Date kosong",IF(NOT(ISNUMBER($D418)),"Update Date bukan tanggal","")),IF($E418="","Song ID YT kosong",""),IF($F418="","Judul kosong",""),IF(TRIM($G418)="","",IF(ISERROR(MATCH(TRIM($G418),{"TuneCore","DistroKid","TooLost","SoundOn","Ditto","Believe","CD Baby","Amuse","Symphonic Distribution","ONErpm","RouteNote","LANDR","Horus Music","Indie"},0)),"Aggregator di luar daftar","")),IF(TRIM($H418)="","Genre kosong",IF((LEN(SUBSTITUTE(SUBSTITUTE(SUBSTITUTE(TRIM($H418),"/",","),";",",")," ",""))-LEN(SUBSTITUTE(SUBSTITUTE(SUBSTITUTE(SUBSTITUTE(TRIM($H418),"/",","),";",","),"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418),"/",","),";",",")," ","")&amp;",")))&lt;&gt;(LEN(SUBSTITUTE(SUBSTITUTE(SUBSTITUTE(TRIM($H418),"/",","),";",",")," ",""))-LEN(SUBSTITUTE(SUBSTITUTE(SUBSTITUTE(SUBSTITUTE(TRIM($H418),"/",","),";",",")," ",""),",",""))+1),"Genre di luar daftar",""))),IF($I418="","Nama Channel kosong",""),IF($J418="","Link Channel kosong",IF(ISERROR(SEARCH("youtu",$J418)),"Link Channel bukan youtube","")),IF($K418="","Link Video kosong",IF(ISERROR(SEARCH("youtu",$K418)),"Link Video bukan youtube","")),IF($L418="","Tgl Dibuat kosong",IF(NOT(ISNUMBER($L418)),"Tgl Dibuat bukan tanggal","")),IF(AND($M418&lt;&gt;"",NOT(ISNUMBER($M418))),"Tgl Publish bukan tanggal",""),IF(AND(ISNUMBER($L418),ISNUMBER($M418),$M418&lt;$L418),"Tgl Publish &lt; Tgl buat",""),IF(TRIM($N418)="","Status kosong",IF(ISERROR(MATCH(TRIM($N418),{"Draft","Menunggu Review","Revisi","Terjadwal","Upload","Publish","Published","Batal"},0)),"Status di luar daftar","")))),""))</f>
        <v/>
      </c>
      <c r="S418" s="17">
        <f>IF(AND($A418&lt;&gt;"",$C418&lt;&gt;""),IF(COUNTIFS($A$2:$A$1000,$A418,$C$2:$C$1000,$C418)&gt;1,"DUPLICAT",""),"")</f>
        <v/>
      </c>
    </row>
    <row r="419">
      <c r="A419" s="12" t="n"/>
      <c r="B419" s="12" t="n"/>
      <c r="C419" s="12" t="n"/>
      <c r="D419" s="13" t="n"/>
      <c r="E419" s="12" t="n"/>
      <c r="F419" s="14" t="n"/>
      <c r="G419" s="12" t="n"/>
      <c r="H419" s="12" t="n"/>
      <c r="I419" s="12" t="n"/>
      <c r="J419" s="14" t="n"/>
      <c r="K419" s="14" t="n"/>
      <c r="L419" s="15" t="n"/>
      <c r="M419" s="15" t="n"/>
      <c r="N419" s="12" t="n"/>
      <c r="O419" s="12" t="n"/>
      <c r="P419" s="16">
        <f>IF(AND(ISNUMBER($L419),ISNUMBER($M419)),MAX(0,$M419-$L419),"")</f>
        <v/>
      </c>
      <c r="Q419" s="16">
        <f>IF(ISNUMBER($D419),MAX(0,TODAY()-$D419),"")</f>
        <v/>
      </c>
      <c r="R419" s="14">
        <f>IF(COUNTA($A419:$O419)=0,"",IFERROR(TRIM(TEXTJOIN(" | ",TRUE,IF($A419="","PC kosong",""),IF($C419="","Worker ID kosong",""),IF($D419="","Update Date kosong",IF(NOT(ISNUMBER($D419)),"Update Date bukan tanggal","")),IF($E419="","Song ID YT kosong",""),IF($F419="","Judul kosong",""),IF(TRIM($G419)="","",IF(ISERROR(MATCH(TRIM($G419),{"TuneCore","DistroKid","TooLost","SoundOn","Ditto","Believe","CD Baby","Amuse","Symphonic Distribution","ONErpm","RouteNote","LANDR","Horus Music","Indie"},0)),"Aggregator di luar daftar","")),IF(TRIM($H419)="","Genre kosong",IF((LEN(SUBSTITUTE(SUBSTITUTE(SUBSTITUTE(TRIM($H419),"/",","),";",",")," ",""))-LEN(SUBSTITUTE(SUBSTITUTE(SUBSTITUTE(SUBSTITUTE(TRIM($H419),"/",","),";",","),"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419),"/",","),";",",")," ","")&amp;",")))&lt;&gt;(LEN(SUBSTITUTE(SUBSTITUTE(SUBSTITUTE(TRIM($H419),"/",","),";",",")," ",""))-LEN(SUBSTITUTE(SUBSTITUTE(SUBSTITUTE(SUBSTITUTE(TRIM($H419),"/",","),";",",")," ",""),",",""))+1),"Genre di luar daftar",""))),IF($I419="","Nama Channel kosong",""),IF($J419="","Link Channel kosong",IF(ISERROR(SEARCH("youtu",$J419)),"Link Channel bukan youtube","")),IF($K419="","Link Video kosong",IF(ISERROR(SEARCH("youtu",$K419)),"Link Video bukan youtube","")),IF($L419="","Tgl Dibuat kosong",IF(NOT(ISNUMBER($L419)),"Tgl Dibuat bukan tanggal","")),IF(AND($M419&lt;&gt;"",NOT(ISNUMBER($M419))),"Tgl Publish bukan tanggal",""),IF(AND(ISNUMBER($L419),ISNUMBER($M419),$M419&lt;$L419),"Tgl Publish &lt; Tgl buat",""),IF(TRIM($N419)="","Status kosong",IF(ISERROR(MATCH(TRIM($N419),{"Draft","Menunggu Review","Revisi","Terjadwal","Upload","Publish","Published","Batal"},0)),"Status di luar daftar","")))),""))</f>
        <v/>
      </c>
      <c r="S419" s="12">
        <f>IF(AND($A419&lt;&gt;"",$C419&lt;&gt;""),IF(COUNTIFS($A$2:$A$1000,$A419,$C$2:$C$1000,$C419)&gt;1,"DUPLICAT",""),"")</f>
        <v/>
      </c>
    </row>
    <row r="420">
      <c r="A420" s="17" t="n"/>
      <c r="B420" s="17" t="n"/>
      <c r="C420" s="17" t="n"/>
      <c r="D420" s="18" t="n"/>
      <c r="E420" s="17" t="n"/>
      <c r="F420" s="19" t="n"/>
      <c r="G420" s="17" t="n"/>
      <c r="H420" s="17" t="n"/>
      <c r="I420" s="17" t="n"/>
      <c r="J420" s="19" t="n"/>
      <c r="K420" s="19" t="n"/>
      <c r="L420" s="20" t="n"/>
      <c r="M420" s="20" t="n"/>
      <c r="N420" s="17" t="n"/>
      <c r="O420" s="17" t="n"/>
      <c r="P420" s="21">
        <f>IF(AND(ISNUMBER($L420),ISNUMBER($M420)),MAX(0,$M420-$L420),"")</f>
        <v/>
      </c>
      <c r="Q420" s="21">
        <f>IF(ISNUMBER($D420),MAX(0,TODAY()-$D420),"")</f>
        <v/>
      </c>
      <c r="R420" s="19">
        <f>IF(COUNTA($A420:$O420)=0,"",IFERROR(TRIM(TEXTJOIN(" | ",TRUE,IF($A420="","PC kosong",""),IF($C420="","Worker ID kosong",""),IF($D420="","Update Date kosong",IF(NOT(ISNUMBER($D420)),"Update Date bukan tanggal","")),IF($E420="","Song ID YT kosong",""),IF($F420="","Judul kosong",""),IF(TRIM($G420)="","",IF(ISERROR(MATCH(TRIM($G420),{"TuneCore","DistroKid","TooLost","SoundOn","Ditto","Believe","CD Baby","Amuse","Symphonic Distribution","ONErpm","RouteNote","LANDR","Horus Music","Indie"},0)),"Aggregator di luar daftar","")),IF(TRIM($H420)="","Genre kosong",IF((LEN(SUBSTITUTE(SUBSTITUTE(SUBSTITUTE(TRIM($H420),"/",","),";",",")," ",""))-LEN(SUBSTITUTE(SUBSTITUTE(SUBSTITUTE(SUBSTITUTE(TRIM($H420),"/",","),";",","),"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420),"/",","),";",",")," ","")&amp;",")))&lt;&gt;(LEN(SUBSTITUTE(SUBSTITUTE(SUBSTITUTE(TRIM($H420),"/",","),";",",")," ",""))-LEN(SUBSTITUTE(SUBSTITUTE(SUBSTITUTE(SUBSTITUTE(TRIM($H420),"/",","),";",",")," ",""),",",""))+1),"Genre di luar daftar",""))),IF($I420="","Nama Channel kosong",""),IF($J420="","Link Channel kosong",IF(ISERROR(SEARCH("youtu",$J420)),"Link Channel bukan youtube","")),IF($K420="","Link Video kosong",IF(ISERROR(SEARCH("youtu",$K420)),"Link Video bukan youtube","")),IF($L420="","Tgl Dibuat kosong",IF(NOT(ISNUMBER($L420)),"Tgl Dibuat bukan tanggal","")),IF(AND($M420&lt;&gt;"",NOT(ISNUMBER($M420))),"Tgl Publish bukan tanggal",""),IF(AND(ISNUMBER($L420),ISNUMBER($M420),$M420&lt;$L420),"Tgl Publish &lt; Tgl buat",""),IF(TRIM($N420)="","Status kosong",IF(ISERROR(MATCH(TRIM($N420),{"Draft","Menunggu Review","Revisi","Terjadwal","Upload","Publish","Published","Batal"},0)),"Status di luar daftar","")))),""))</f>
        <v/>
      </c>
      <c r="S420" s="17">
        <f>IF(AND($A420&lt;&gt;"",$C420&lt;&gt;""),IF(COUNTIFS($A$2:$A$1000,$A420,$C$2:$C$1000,$C420)&gt;1,"DUPLICAT",""),"")</f>
        <v/>
      </c>
    </row>
    <row r="421">
      <c r="A421" s="12" t="n"/>
      <c r="B421" s="12" t="n"/>
      <c r="C421" s="12" t="n"/>
      <c r="D421" s="13" t="n"/>
      <c r="E421" s="12" t="n"/>
      <c r="F421" s="14" t="n"/>
      <c r="G421" s="12" t="n"/>
      <c r="H421" s="12" t="n"/>
      <c r="I421" s="12" t="n"/>
      <c r="J421" s="14" t="n"/>
      <c r="K421" s="14" t="n"/>
      <c r="L421" s="15" t="n"/>
      <c r="M421" s="15" t="n"/>
      <c r="N421" s="12" t="n"/>
      <c r="O421" s="12" t="n"/>
      <c r="P421" s="16">
        <f>IF(AND(ISNUMBER($L421),ISNUMBER($M421)),MAX(0,$M421-$L421),"")</f>
        <v/>
      </c>
      <c r="Q421" s="16">
        <f>IF(ISNUMBER($D421),MAX(0,TODAY()-$D421),"")</f>
        <v/>
      </c>
      <c r="R421" s="14">
        <f>IF(COUNTA($A421:$O421)=0,"",IFERROR(TRIM(TEXTJOIN(" | ",TRUE,IF($A421="","PC kosong",""),IF($C421="","Worker ID kosong",""),IF($D421="","Update Date kosong",IF(NOT(ISNUMBER($D421)),"Update Date bukan tanggal","")),IF($E421="","Song ID YT kosong",""),IF($F421="","Judul kosong",""),IF(TRIM($G421)="","",IF(ISERROR(MATCH(TRIM($G421),{"TuneCore","DistroKid","TooLost","SoundOn","Ditto","Believe","CD Baby","Amuse","Symphonic Distribution","ONErpm","RouteNote","LANDR","Horus Music","Indie"},0)),"Aggregator di luar daftar","")),IF(TRIM($H421)="","Genre kosong",IF((LEN(SUBSTITUTE(SUBSTITUTE(SUBSTITUTE(TRIM($H421),"/",","),";",",")," ",""))-LEN(SUBSTITUTE(SUBSTITUTE(SUBSTITUTE(SUBSTITUTE(TRIM($H421),"/",","),";",","),"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421),"/",","),";",",")," ","")&amp;",")))&lt;&gt;(LEN(SUBSTITUTE(SUBSTITUTE(SUBSTITUTE(TRIM($H421),"/",","),";",",")," ",""))-LEN(SUBSTITUTE(SUBSTITUTE(SUBSTITUTE(SUBSTITUTE(TRIM($H421),"/",","),";",",")," ",""),",",""))+1),"Genre di luar daftar",""))),IF($I421="","Nama Channel kosong",""),IF($J421="","Link Channel kosong",IF(ISERROR(SEARCH("youtu",$J421)),"Link Channel bukan youtube","")),IF($K421="","Link Video kosong",IF(ISERROR(SEARCH("youtu",$K421)),"Link Video bukan youtube","")),IF($L421="","Tgl Dibuat kosong",IF(NOT(ISNUMBER($L421)),"Tgl Dibuat bukan tanggal","")),IF(AND($M421&lt;&gt;"",NOT(ISNUMBER($M421))),"Tgl Publish bukan tanggal",""),IF(AND(ISNUMBER($L421),ISNUMBER($M421),$M421&lt;$L421),"Tgl Publish &lt; Tgl buat",""),IF(TRIM($N421)="","Status kosong",IF(ISERROR(MATCH(TRIM($N421),{"Draft","Menunggu Review","Revisi","Terjadwal","Upload","Publish","Published","Batal"},0)),"Status di luar daftar","")))),""))</f>
        <v/>
      </c>
      <c r="S421" s="12">
        <f>IF(AND($A421&lt;&gt;"",$C421&lt;&gt;""),IF(COUNTIFS($A$2:$A$1000,$A421,$C$2:$C$1000,$C421)&gt;1,"DUPLICAT",""),"")</f>
        <v/>
      </c>
    </row>
    <row r="422">
      <c r="A422" s="17" t="n"/>
      <c r="B422" s="17" t="n"/>
      <c r="C422" s="17" t="n"/>
      <c r="D422" s="18" t="n"/>
      <c r="E422" s="17" t="n"/>
      <c r="F422" s="19" t="n"/>
      <c r="G422" s="17" t="n"/>
      <c r="H422" s="17" t="n"/>
      <c r="I422" s="17" t="n"/>
      <c r="J422" s="19" t="n"/>
      <c r="K422" s="19" t="n"/>
      <c r="L422" s="20" t="n"/>
      <c r="M422" s="20" t="n"/>
      <c r="N422" s="17" t="n"/>
      <c r="O422" s="17" t="n"/>
      <c r="P422" s="21">
        <f>IF(AND(ISNUMBER($L422),ISNUMBER($M422)),MAX(0,$M422-$L422),"")</f>
        <v/>
      </c>
      <c r="Q422" s="21">
        <f>IF(ISNUMBER($D422),MAX(0,TODAY()-$D422),"")</f>
        <v/>
      </c>
      <c r="R422" s="19">
        <f>IF(COUNTA($A422:$O422)=0,"",IFERROR(TRIM(TEXTJOIN(" | ",TRUE,IF($A422="","PC kosong",""),IF($C422="","Worker ID kosong",""),IF($D422="","Update Date kosong",IF(NOT(ISNUMBER($D422)),"Update Date bukan tanggal","")),IF($E422="","Song ID YT kosong",""),IF($F422="","Judul kosong",""),IF(TRIM($G422)="","",IF(ISERROR(MATCH(TRIM($G422),{"TuneCore","DistroKid","TooLost","SoundOn","Ditto","Believe","CD Baby","Amuse","Symphonic Distribution","ONErpm","RouteNote","LANDR","Horus Music","Indie"},0)),"Aggregator di luar daftar","")),IF(TRIM($H422)="","Genre kosong",IF((LEN(SUBSTITUTE(SUBSTITUTE(SUBSTITUTE(TRIM($H422),"/",","),";",",")," ",""))-LEN(SUBSTITUTE(SUBSTITUTE(SUBSTITUTE(SUBSTITUTE(TRIM($H422),"/",","),";",","),"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422),"/",","),";",",")," ","")&amp;",")))&lt;&gt;(LEN(SUBSTITUTE(SUBSTITUTE(SUBSTITUTE(TRIM($H422),"/",","),";",",")," ",""))-LEN(SUBSTITUTE(SUBSTITUTE(SUBSTITUTE(SUBSTITUTE(TRIM($H422),"/",","),";",",")," ",""),",",""))+1),"Genre di luar daftar",""))),IF($I422="","Nama Channel kosong",""),IF($J422="","Link Channel kosong",IF(ISERROR(SEARCH("youtu",$J422)),"Link Channel bukan youtube","")),IF($K422="","Link Video kosong",IF(ISERROR(SEARCH("youtu",$K422)),"Link Video bukan youtube","")),IF($L422="","Tgl Dibuat kosong",IF(NOT(ISNUMBER($L422)),"Tgl Dibuat bukan tanggal","")),IF(AND($M422&lt;&gt;"",NOT(ISNUMBER($M422))),"Tgl Publish bukan tanggal",""),IF(AND(ISNUMBER($L422),ISNUMBER($M422),$M422&lt;$L422),"Tgl Publish &lt; Tgl buat",""),IF(TRIM($N422)="","Status kosong",IF(ISERROR(MATCH(TRIM($N422),{"Draft","Menunggu Review","Revisi","Terjadwal","Upload","Publish","Published","Batal"},0)),"Status di luar daftar","")))),""))</f>
        <v/>
      </c>
      <c r="S422" s="17">
        <f>IF(AND($A422&lt;&gt;"",$C422&lt;&gt;""),IF(COUNTIFS($A$2:$A$1000,$A422,$C$2:$C$1000,$C422)&gt;1,"DUPLICAT",""),"")</f>
        <v/>
      </c>
    </row>
    <row r="423">
      <c r="A423" s="12" t="n"/>
      <c r="B423" s="12" t="n"/>
      <c r="C423" s="12" t="n"/>
      <c r="D423" s="13" t="n"/>
      <c r="E423" s="12" t="n"/>
      <c r="F423" s="14" t="n"/>
      <c r="G423" s="12" t="n"/>
      <c r="H423" s="12" t="n"/>
      <c r="I423" s="12" t="n"/>
      <c r="J423" s="14" t="n"/>
      <c r="K423" s="14" t="n"/>
      <c r="L423" s="15" t="n"/>
      <c r="M423" s="15" t="n"/>
      <c r="N423" s="12" t="n"/>
      <c r="O423" s="12" t="n"/>
      <c r="P423" s="16">
        <f>IF(AND(ISNUMBER($L423),ISNUMBER($M423)),MAX(0,$M423-$L423),"")</f>
        <v/>
      </c>
      <c r="Q423" s="16">
        <f>IF(ISNUMBER($D423),MAX(0,TODAY()-$D423),"")</f>
        <v/>
      </c>
      <c r="R423" s="14">
        <f>IF(COUNTA($A423:$O423)=0,"",IFERROR(TRIM(TEXTJOIN(" | ",TRUE,IF($A423="","PC kosong",""),IF($C423="","Worker ID kosong",""),IF($D423="","Update Date kosong",IF(NOT(ISNUMBER($D423)),"Update Date bukan tanggal","")),IF($E423="","Song ID YT kosong",""),IF($F423="","Judul kosong",""),IF(TRIM($G423)="","",IF(ISERROR(MATCH(TRIM($G423),{"TuneCore","DistroKid","TooLost","SoundOn","Ditto","Believe","CD Baby","Amuse","Symphonic Distribution","ONErpm","RouteNote","LANDR","Horus Music","Indie"},0)),"Aggregator di luar daftar","")),IF(TRIM($H423)="","Genre kosong",IF((LEN(SUBSTITUTE(SUBSTITUTE(SUBSTITUTE(TRIM($H423),"/",","),";",",")," ",""))-LEN(SUBSTITUTE(SUBSTITUTE(SUBSTITUTE(SUBSTITUTE(TRIM($H423),"/",","),";",","),"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423),"/",","),";",",")," ","")&amp;",")))&lt;&gt;(LEN(SUBSTITUTE(SUBSTITUTE(SUBSTITUTE(TRIM($H423),"/",","),";",",")," ",""))-LEN(SUBSTITUTE(SUBSTITUTE(SUBSTITUTE(SUBSTITUTE(TRIM($H423),"/",","),";",",")," ",""),",",""))+1),"Genre di luar daftar",""))),IF($I423="","Nama Channel kosong",""),IF($J423="","Link Channel kosong",IF(ISERROR(SEARCH("youtu",$J423)),"Link Channel bukan youtube","")),IF($K423="","Link Video kosong",IF(ISERROR(SEARCH("youtu",$K423)),"Link Video bukan youtube","")),IF($L423="","Tgl Dibuat kosong",IF(NOT(ISNUMBER($L423)),"Tgl Dibuat bukan tanggal","")),IF(AND($M423&lt;&gt;"",NOT(ISNUMBER($M423))),"Tgl Publish bukan tanggal",""),IF(AND(ISNUMBER($L423),ISNUMBER($M423),$M423&lt;$L423),"Tgl Publish &lt; Tgl buat",""),IF(TRIM($N423)="","Status kosong",IF(ISERROR(MATCH(TRIM($N423),{"Draft","Menunggu Review","Revisi","Terjadwal","Upload","Publish","Published","Batal"},0)),"Status di luar daftar","")))),""))</f>
        <v/>
      </c>
      <c r="S423" s="12">
        <f>IF(AND($A423&lt;&gt;"",$C423&lt;&gt;""),IF(COUNTIFS($A$2:$A$1000,$A423,$C$2:$C$1000,$C423)&gt;1,"DUPLICAT",""),"")</f>
        <v/>
      </c>
    </row>
    <row r="424">
      <c r="A424" s="17" t="n"/>
      <c r="B424" s="17" t="n"/>
      <c r="C424" s="17" t="n"/>
      <c r="D424" s="18" t="n"/>
      <c r="E424" s="17" t="n"/>
      <c r="F424" s="19" t="n"/>
      <c r="G424" s="17" t="n"/>
      <c r="H424" s="17" t="n"/>
      <c r="I424" s="17" t="n"/>
      <c r="J424" s="19" t="n"/>
      <c r="K424" s="19" t="n"/>
      <c r="L424" s="20" t="n"/>
      <c r="M424" s="20" t="n"/>
      <c r="N424" s="17" t="n"/>
      <c r="O424" s="17" t="n"/>
      <c r="P424" s="21">
        <f>IF(AND(ISNUMBER($L424),ISNUMBER($M424)),MAX(0,$M424-$L424),"")</f>
        <v/>
      </c>
      <c r="Q424" s="21">
        <f>IF(ISNUMBER($D424),MAX(0,TODAY()-$D424),"")</f>
        <v/>
      </c>
      <c r="R424" s="19">
        <f>IF(COUNTA($A424:$O424)=0,"",IFERROR(TRIM(TEXTJOIN(" | ",TRUE,IF($A424="","PC kosong",""),IF($C424="","Worker ID kosong",""),IF($D424="","Update Date kosong",IF(NOT(ISNUMBER($D424)),"Update Date bukan tanggal","")),IF($E424="","Song ID YT kosong",""),IF($F424="","Judul kosong",""),IF(TRIM($G424)="","",IF(ISERROR(MATCH(TRIM($G424),{"TuneCore","DistroKid","TooLost","SoundOn","Ditto","Believe","CD Baby","Amuse","Symphonic Distribution","ONErpm","RouteNote","LANDR","Horus Music","Indie"},0)),"Aggregator di luar daftar","")),IF(TRIM($H424)="","Genre kosong",IF((LEN(SUBSTITUTE(SUBSTITUTE(SUBSTITUTE(TRIM($H424),"/",","),";",",")," ",""))-LEN(SUBSTITUTE(SUBSTITUTE(SUBSTITUTE(SUBSTITUTE(TRIM($H424),"/",","),";",","),"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424),"/",","),";",",")," ","")&amp;",")))&lt;&gt;(LEN(SUBSTITUTE(SUBSTITUTE(SUBSTITUTE(TRIM($H424),"/",","),";",",")," ",""))-LEN(SUBSTITUTE(SUBSTITUTE(SUBSTITUTE(SUBSTITUTE(TRIM($H424),"/",","),";",",")," ",""),",",""))+1),"Genre di luar daftar",""))),IF($I424="","Nama Channel kosong",""),IF($J424="","Link Channel kosong",IF(ISERROR(SEARCH("youtu",$J424)),"Link Channel bukan youtube","")),IF($K424="","Link Video kosong",IF(ISERROR(SEARCH("youtu",$K424)),"Link Video bukan youtube","")),IF($L424="","Tgl Dibuat kosong",IF(NOT(ISNUMBER($L424)),"Tgl Dibuat bukan tanggal","")),IF(AND($M424&lt;&gt;"",NOT(ISNUMBER($M424))),"Tgl Publish bukan tanggal",""),IF(AND(ISNUMBER($L424),ISNUMBER($M424),$M424&lt;$L424),"Tgl Publish &lt; Tgl buat",""),IF(TRIM($N424)="","Status kosong",IF(ISERROR(MATCH(TRIM($N424),{"Draft","Menunggu Review","Revisi","Terjadwal","Upload","Publish","Published","Batal"},0)),"Status di luar daftar","")))),""))</f>
        <v/>
      </c>
      <c r="S424" s="17">
        <f>IF(AND($A424&lt;&gt;"",$C424&lt;&gt;""),IF(COUNTIFS($A$2:$A$1000,$A424,$C$2:$C$1000,$C424)&gt;1,"DUPLICAT",""),"")</f>
        <v/>
      </c>
    </row>
    <row r="425">
      <c r="A425" s="12" t="n"/>
      <c r="B425" s="12" t="n"/>
      <c r="C425" s="12" t="n"/>
      <c r="D425" s="13" t="n"/>
      <c r="E425" s="12" t="n"/>
      <c r="F425" s="14" t="n"/>
      <c r="G425" s="12" t="n"/>
      <c r="H425" s="12" t="n"/>
      <c r="I425" s="12" t="n"/>
      <c r="J425" s="14" t="n"/>
      <c r="K425" s="14" t="n"/>
      <c r="L425" s="15" t="n"/>
      <c r="M425" s="15" t="n"/>
      <c r="N425" s="12" t="n"/>
      <c r="O425" s="12" t="n"/>
      <c r="P425" s="16">
        <f>IF(AND(ISNUMBER($L425),ISNUMBER($M425)),MAX(0,$M425-$L425),"")</f>
        <v/>
      </c>
      <c r="Q425" s="16">
        <f>IF(ISNUMBER($D425),MAX(0,TODAY()-$D425),"")</f>
        <v/>
      </c>
      <c r="R425" s="14">
        <f>IF(COUNTA($A425:$O425)=0,"",IFERROR(TRIM(TEXTJOIN(" | ",TRUE,IF($A425="","PC kosong",""),IF($C425="","Worker ID kosong",""),IF($D425="","Update Date kosong",IF(NOT(ISNUMBER($D425)),"Update Date bukan tanggal","")),IF($E425="","Song ID YT kosong",""),IF($F425="","Judul kosong",""),IF(TRIM($G425)="","",IF(ISERROR(MATCH(TRIM($G425),{"TuneCore","DistroKid","TooLost","SoundOn","Ditto","Believe","CD Baby","Amuse","Symphonic Distribution","ONErpm","RouteNote","LANDR","Horus Music","Indie"},0)),"Aggregator di luar daftar","")),IF(TRIM($H425)="","Genre kosong",IF((LEN(SUBSTITUTE(SUBSTITUTE(SUBSTITUTE(TRIM($H425),"/",","),";",",")," ",""))-LEN(SUBSTITUTE(SUBSTITUTE(SUBSTITUTE(SUBSTITUTE(TRIM($H425),"/",","),";",","),"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425),"/",","),";",",")," ","")&amp;",")))&lt;&gt;(LEN(SUBSTITUTE(SUBSTITUTE(SUBSTITUTE(TRIM($H425),"/",","),";",",")," ",""))-LEN(SUBSTITUTE(SUBSTITUTE(SUBSTITUTE(SUBSTITUTE(TRIM($H425),"/",","),";",",")," ",""),",",""))+1),"Genre di luar daftar",""))),IF($I425="","Nama Channel kosong",""),IF($J425="","Link Channel kosong",IF(ISERROR(SEARCH("youtu",$J425)),"Link Channel bukan youtube","")),IF($K425="","Link Video kosong",IF(ISERROR(SEARCH("youtu",$K425)),"Link Video bukan youtube","")),IF($L425="","Tgl Dibuat kosong",IF(NOT(ISNUMBER($L425)),"Tgl Dibuat bukan tanggal","")),IF(AND($M425&lt;&gt;"",NOT(ISNUMBER($M425))),"Tgl Publish bukan tanggal",""),IF(AND(ISNUMBER($L425),ISNUMBER($M425),$M425&lt;$L425),"Tgl Publish &lt; Tgl buat",""),IF(TRIM($N425)="","Status kosong",IF(ISERROR(MATCH(TRIM($N425),{"Draft","Menunggu Review","Revisi","Terjadwal","Upload","Publish","Published","Batal"},0)),"Status di luar daftar","")))),""))</f>
        <v/>
      </c>
      <c r="S425" s="12">
        <f>IF(AND($A425&lt;&gt;"",$C425&lt;&gt;""),IF(COUNTIFS($A$2:$A$1000,$A425,$C$2:$C$1000,$C425)&gt;1,"DUPLICAT",""),"")</f>
        <v/>
      </c>
    </row>
    <row r="426">
      <c r="A426" s="17" t="n"/>
      <c r="B426" s="17" t="n"/>
      <c r="C426" s="17" t="n"/>
      <c r="D426" s="18" t="n"/>
      <c r="E426" s="17" t="n"/>
      <c r="F426" s="19" t="n"/>
      <c r="G426" s="17" t="n"/>
      <c r="H426" s="17" t="n"/>
      <c r="I426" s="17" t="n"/>
      <c r="J426" s="19" t="n"/>
      <c r="K426" s="19" t="n"/>
      <c r="L426" s="20" t="n"/>
      <c r="M426" s="20" t="n"/>
      <c r="N426" s="17" t="n"/>
      <c r="O426" s="17" t="n"/>
      <c r="P426" s="21">
        <f>IF(AND(ISNUMBER($L426),ISNUMBER($M426)),MAX(0,$M426-$L426),"")</f>
        <v/>
      </c>
      <c r="Q426" s="21">
        <f>IF(ISNUMBER($D426),MAX(0,TODAY()-$D426),"")</f>
        <v/>
      </c>
      <c r="R426" s="19">
        <f>IF(COUNTA($A426:$O426)=0,"",IFERROR(TRIM(TEXTJOIN(" | ",TRUE,IF($A426="","PC kosong",""),IF($C426="","Worker ID kosong",""),IF($D426="","Update Date kosong",IF(NOT(ISNUMBER($D426)),"Update Date bukan tanggal","")),IF($E426="","Song ID YT kosong",""),IF($F426="","Judul kosong",""),IF(TRIM($G426)="","",IF(ISERROR(MATCH(TRIM($G426),{"TuneCore","DistroKid","TooLost","SoundOn","Ditto","Believe","CD Baby","Amuse","Symphonic Distribution","ONErpm","RouteNote","LANDR","Horus Music","Indie"},0)),"Aggregator di luar daftar","")),IF(TRIM($H426)="","Genre kosong",IF((LEN(SUBSTITUTE(SUBSTITUTE(SUBSTITUTE(TRIM($H426),"/",","),";",",")," ",""))-LEN(SUBSTITUTE(SUBSTITUTE(SUBSTITUTE(SUBSTITUTE(TRIM($H426),"/",","),";",","),"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426),"/",","),";",",")," ","")&amp;",")))&lt;&gt;(LEN(SUBSTITUTE(SUBSTITUTE(SUBSTITUTE(TRIM($H426),"/",","),";",",")," ",""))-LEN(SUBSTITUTE(SUBSTITUTE(SUBSTITUTE(SUBSTITUTE(TRIM($H426),"/",","),";",",")," ",""),",",""))+1),"Genre di luar daftar",""))),IF($I426="","Nama Channel kosong",""),IF($J426="","Link Channel kosong",IF(ISERROR(SEARCH("youtu",$J426)),"Link Channel bukan youtube","")),IF($K426="","Link Video kosong",IF(ISERROR(SEARCH("youtu",$K426)),"Link Video bukan youtube","")),IF($L426="","Tgl Dibuat kosong",IF(NOT(ISNUMBER($L426)),"Tgl Dibuat bukan tanggal","")),IF(AND($M426&lt;&gt;"",NOT(ISNUMBER($M426))),"Tgl Publish bukan tanggal",""),IF(AND(ISNUMBER($L426),ISNUMBER($M426),$M426&lt;$L426),"Tgl Publish &lt; Tgl buat",""),IF(TRIM($N426)="","Status kosong",IF(ISERROR(MATCH(TRIM($N426),{"Draft","Menunggu Review","Revisi","Terjadwal","Upload","Publish","Published","Batal"},0)),"Status di luar daftar","")))),""))</f>
        <v/>
      </c>
      <c r="S426" s="17">
        <f>IF(AND($A426&lt;&gt;"",$C426&lt;&gt;""),IF(COUNTIFS($A$2:$A$1000,$A426,$C$2:$C$1000,$C426)&gt;1,"DUPLICAT",""),"")</f>
        <v/>
      </c>
    </row>
    <row r="427">
      <c r="A427" s="12" t="n"/>
      <c r="B427" s="12" t="n"/>
      <c r="C427" s="12" t="n"/>
      <c r="D427" s="13" t="n"/>
      <c r="E427" s="12" t="n"/>
      <c r="F427" s="14" t="n"/>
      <c r="G427" s="12" t="n"/>
      <c r="H427" s="12" t="n"/>
      <c r="I427" s="12" t="n"/>
      <c r="J427" s="14" t="n"/>
      <c r="K427" s="14" t="n"/>
      <c r="L427" s="15" t="n"/>
      <c r="M427" s="15" t="n"/>
      <c r="N427" s="12" t="n"/>
      <c r="O427" s="12" t="n"/>
      <c r="P427" s="16">
        <f>IF(AND(ISNUMBER($L427),ISNUMBER($M427)),MAX(0,$M427-$L427),"")</f>
        <v/>
      </c>
      <c r="Q427" s="16">
        <f>IF(ISNUMBER($D427),MAX(0,TODAY()-$D427),"")</f>
        <v/>
      </c>
      <c r="R427" s="14">
        <f>IF(COUNTA($A427:$O427)=0,"",IFERROR(TRIM(TEXTJOIN(" | ",TRUE,IF($A427="","PC kosong",""),IF($C427="","Worker ID kosong",""),IF($D427="","Update Date kosong",IF(NOT(ISNUMBER($D427)),"Update Date bukan tanggal","")),IF($E427="","Song ID YT kosong",""),IF($F427="","Judul kosong",""),IF(TRIM($G427)="","",IF(ISERROR(MATCH(TRIM($G427),{"TuneCore","DistroKid","TooLost","SoundOn","Ditto","Believe","CD Baby","Amuse","Symphonic Distribution","ONErpm","RouteNote","LANDR","Horus Music","Indie"},0)),"Aggregator di luar daftar","")),IF(TRIM($H427)="","Genre kosong",IF((LEN(SUBSTITUTE(SUBSTITUTE(SUBSTITUTE(TRIM($H427),"/",","),";",",")," ",""))-LEN(SUBSTITUTE(SUBSTITUTE(SUBSTITUTE(SUBSTITUTE(TRIM($H427),"/",","),";",","),"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427),"/",","),";",",")," ","")&amp;",")))&lt;&gt;(LEN(SUBSTITUTE(SUBSTITUTE(SUBSTITUTE(TRIM($H427),"/",","),";",",")," ",""))-LEN(SUBSTITUTE(SUBSTITUTE(SUBSTITUTE(SUBSTITUTE(TRIM($H427),"/",","),";",",")," ",""),",",""))+1),"Genre di luar daftar",""))),IF($I427="","Nama Channel kosong",""),IF($J427="","Link Channel kosong",IF(ISERROR(SEARCH("youtu",$J427)),"Link Channel bukan youtube","")),IF($K427="","Link Video kosong",IF(ISERROR(SEARCH("youtu",$K427)),"Link Video bukan youtube","")),IF($L427="","Tgl Dibuat kosong",IF(NOT(ISNUMBER($L427)),"Tgl Dibuat bukan tanggal","")),IF(AND($M427&lt;&gt;"",NOT(ISNUMBER($M427))),"Tgl Publish bukan tanggal",""),IF(AND(ISNUMBER($L427),ISNUMBER($M427),$M427&lt;$L427),"Tgl Publish &lt; Tgl buat",""),IF(TRIM($N427)="","Status kosong",IF(ISERROR(MATCH(TRIM($N427),{"Draft","Menunggu Review","Revisi","Terjadwal","Upload","Publish","Published","Batal"},0)),"Status di luar daftar","")))),""))</f>
        <v/>
      </c>
      <c r="S427" s="12">
        <f>IF(AND($A427&lt;&gt;"",$C427&lt;&gt;""),IF(COUNTIFS($A$2:$A$1000,$A427,$C$2:$C$1000,$C427)&gt;1,"DUPLICAT",""),"")</f>
        <v/>
      </c>
    </row>
    <row r="428">
      <c r="A428" s="17" t="n"/>
      <c r="B428" s="17" t="n"/>
      <c r="C428" s="17" t="n"/>
      <c r="D428" s="18" t="n"/>
      <c r="E428" s="17" t="n"/>
      <c r="F428" s="19" t="n"/>
      <c r="G428" s="17" t="n"/>
      <c r="H428" s="17" t="n"/>
      <c r="I428" s="17" t="n"/>
      <c r="J428" s="19" t="n"/>
      <c r="K428" s="19" t="n"/>
      <c r="L428" s="20" t="n"/>
      <c r="M428" s="20" t="n"/>
      <c r="N428" s="17" t="n"/>
      <c r="O428" s="17" t="n"/>
      <c r="P428" s="21">
        <f>IF(AND(ISNUMBER($L428),ISNUMBER($M428)),MAX(0,$M428-$L428),"")</f>
        <v/>
      </c>
      <c r="Q428" s="21">
        <f>IF(ISNUMBER($D428),MAX(0,TODAY()-$D428),"")</f>
        <v/>
      </c>
      <c r="R428" s="19">
        <f>IF(COUNTA($A428:$O428)=0,"",IFERROR(TRIM(TEXTJOIN(" | ",TRUE,IF($A428="","PC kosong",""),IF($C428="","Worker ID kosong",""),IF($D428="","Update Date kosong",IF(NOT(ISNUMBER($D428)),"Update Date bukan tanggal","")),IF($E428="","Song ID YT kosong",""),IF($F428="","Judul kosong",""),IF(TRIM($G428)="","",IF(ISERROR(MATCH(TRIM($G428),{"TuneCore","DistroKid","TooLost","SoundOn","Ditto","Believe","CD Baby","Amuse","Symphonic Distribution","ONErpm","RouteNote","LANDR","Horus Music","Indie"},0)),"Aggregator di luar daftar","")),IF(TRIM($H428)="","Genre kosong",IF((LEN(SUBSTITUTE(SUBSTITUTE(SUBSTITUTE(TRIM($H428),"/",","),";",",")," ",""))-LEN(SUBSTITUTE(SUBSTITUTE(SUBSTITUTE(SUBSTITUTE(TRIM($H428),"/",","),";",","),"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428),"/",","),";",",")," ","")&amp;",")))&lt;&gt;(LEN(SUBSTITUTE(SUBSTITUTE(SUBSTITUTE(TRIM($H428),"/",","),";",",")," ",""))-LEN(SUBSTITUTE(SUBSTITUTE(SUBSTITUTE(SUBSTITUTE(TRIM($H428),"/",","),";",",")," ",""),",",""))+1),"Genre di luar daftar",""))),IF($I428="","Nama Channel kosong",""),IF($J428="","Link Channel kosong",IF(ISERROR(SEARCH("youtu",$J428)),"Link Channel bukan youtube","")),IF($K428="","Link Video kosong",IF(ISERROR(SEARCH("youtu",$K428)),"Link Video bukan youtube","")),IF($L428="","Tgl Dibuat kosong",IF(NOT(ISNUMBER($L428)),"Tgl Dibuat bukan tanggal","")),IF(AND($M428&lt;&gt;"",NOT(ISNUMBER($M428))),"Tgl Publish bukan tanggal",""),IF(AND(ISNUMBER($L428),ISNUMBER($M428),$M428&lt;$L428),"Tgl Publish &lt; Tgl buat",""),IF(TRIM($N428)="","Status kosong",IF(ISERROR(MATCH(TRIM($N428),{"Draft","Menunggu Review","Revisi","Terjadwal","Upload","Publish","Published","Batal"},0)),"Status di luar daftar","")))),""))</f>
        <v/>
      </c>
      <c r="S428" s="17">
        <f>IF(AND($A428&lt;&gt;"",$C428&lt;&gt;""),IF(COUNTIFS($A$2:$A$1000,$A428,$C$2:$C$1000,$C428)&gt;1,"DUPLICAT",""),"")</f>
        <v/>
      </c>
    </row>
    <row r="429">
      <c r="A429" s="12" t="n"/>
      <c r="B429" s="12" t="n"/>
      <c r="C429" s="12" t="n"/>
      <c r="D429" s="13" t="n"/>
      <c r="E429" s="12" t="n"/>
      <c r="F429" s="14" t="n"/>
      <c r="G429" s="12" t="n"/>
      <c r="H429" s="12" t="n"/>
      <c r="I429" s="12" t="n"/>
      <c r="J429" s="14" t="n"/>
      <c r="K429" s="14" t="n"/>
      <c r="L429" s="15" t="n"/>
      <c r="M429" s="15" t="n"/>
      <c r="N429" s="12" t="n"/>
      <c r="O429" s="12" t="n"/>
      <c r="P429" s="16">
        <f>IF(AND(ISNUMBER($L429),ISNUMBER($M429)),MAX(0,$M429-$L429),"")</f>
        <v/>
      </c>
      <c r="Q429" s="16">
        <f>IF(ISNUMBER($D429),MAX(0,TODAY()-$D429),"")</f>
        <v/>
      </c>
      <c r="R429" s="14">
        <f>IF(COUNTA($A429:$O429)=0,"",IFERROR(TRIM(TEXTJOIN(" | ",TRUE,IF($A429="","PC kosong",""),IF($C429="","Worker ID kosong",""),IF($D429="","Update Date kosong",IF(NOT(ISNUMBER($D429)),"Update Date bukan tanggal","")),IF($E429="","Song ID YT kosong",""),IF($F429="","Judul kosong",""),IF(TRIM($G429)="","",IF(ISERROR(MATCH(TRIM($G429),{"TuneCore","DistroKid","TooLost","SoundOn","Ditto","Believe","CD Baby","Amuse","Symphonic Distribution","ONErpm","RouteNote","LANDR","Horus Music","Indie"},0)),"Aggregator di luar daftar","")),IF(TRIM($H429)="","Genre kosong",IF((LEN(SUBSTITUTE(SUBSTITUTE(SUBSTITUTE(TRIM($H429),"/",","),";",",")," ",""))-LEN(SUBSTITUTE(SUBSTITUTE(SUBSTITUTE(SUBSTITUTE(TRIM($H429),"/",","),";",","),"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429),"/",","),";",",")," ","")&amp;",")))&lt;&gt;(LEN(SUBSTITUTE(SUBSTITUTE(SUBSTITUTE(TRIM($H429),"/",","),";",",")," ",""))-LEN(SUBSTITUTE(SUBSTITUTE(SUBSTITUTE(SUBSTITUTE(TRIM($H429),"/",","),";",",")," ",""),",",""))+1),"Genre di luar daftar",""))),IF($I429="","Nama Channel kosong",""),IF($J429="","Link Channel kosong",IF(ISERROR(SEARCH("youtu",$J429)),"Link Channel bukan youtube","")),IF($K429="","Link Video kosong",IF(ISERROR(SEARCH("youtu",$K429)),"Link Video bukan youtube","")),IF($L429="","Tgl Dibuat kosong",IF(NOT(ISNUMBER($L429)),"Tgl Dibuat bukan tanggal","")),IF(AND($M429&lt;&gt;"",NOT(ISNUMBER($M429))),"Tgl Publish bukan tanggal",""),IF(AND(ISNUMBER($L429),ISNUMBER($M429),$M429&lt;$L429),"Tgl Publish &lt; Tgl buat",""),IF(TRIM($N429)="","Status kosong",IF(ISERROR(MATCH(TRIM($N429),{"Draft","Menunggu Review","Revisi","Terjadwal","Upload","Publish","Published","Batal"},0)),"Status di luar daftar","")))),""))</f>
        <v/>
      </c>
      <c r="S429" s="12">
        <f>IF(AND($A429&lt;&gt;"",$C429&lt;&gt;""),IF(COUNTIFS($A$2:$A$1000,$A429,$C$2:$C$1000,$C429)&gt;1,"DUPLICAT",""),"")</f>
        <v/>
      </c>
    </row>
    <row r="430">
      <c r="A430" s="17" t="n"/>
      <c r="B430" s="17" t="n"/>
      <c r="C430" s="17" t="n"/>
      <c r="D430" s="18" t="n"/>
      <c r="E430" s="17" t="n"/>
      <c r="F430" s="19" t="n"/>
      <c r="G430" s="17" t="n"/>
      <c r="H430" s="17" t="n"/>
      <c r="I430" s="17" t="n"/>
      <c r="J430" s="19" t="n"/>
      <c r="K430" s="19" t="n"/>
      <c r="L430" s="20" t="n"/>
      <c r="M430" s="20" t="n"/>
      <c r="N430" s="17" t="n"/>
      <c r="O430" s="17" t="n"/>
      <c r="P430" s="21">
        <f>IF(AND(ISNUMBER($L430),ISNUMBER($M430)),MAX(0,$M430-$L430),"")</f>
        <v/>
      </c>
      <c r="Q430" s="21">
        <f>IF(ISNUMBER($D430),MAX(0,TODAY()-$D430),"")</f>
        <v/>
      </c>
      <c r="R430" s="19">
        <f>IF(COUNTA($A430:$O430)=0,"",IFERROR(TRIM(TEXTJOIN(" | ",TRUE,IF($A430="","PC kosong",""),IF($C430="","Worker ID kosong",""),IF($D430="","Update Date kosong",IF(NOT(ISNUMBER($D430)),"Update Date bukan tanggal","")),IF($E430="","Song ID YT kosong",""),IF($F430="","Judul kosong",""),IF(TRIM($G430)="","",IF(ISERROR(MATCH(TRIM($G430),{"TuneCore","DistroKid","TooLost","SoundOn","Ditto","Believe","CD Baby","Amuse","Symphonic Distribution","ONErpm","RouteNote","LANDR","Horus Music","Indie"},0)),"Aggregator di luar daftar","")),IF(TRIM($H430)="","Genre kosong",IF((LEN(SUBSTITUTE(SUBSTITUTE(SUBSTITUTE(TRIM($H430),"/",","),";",",")," ",""))-LEN(SUBSTITUTE(SUBSTITUTE(SUBSTITUTE(SUBSTITUTE(TRIM($H430),"/",","),";",","),"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430),"/",","),";",",")," ","")&amp;",")))&lt;&gt;(LEN(SUBSTITUTE(SUBSTITUTE(SUBSTITUTE(TRIM($H430),"/",","),";",",")," ",""))-LEN(SUBSTITUTE(SUBSTITUTE(SUBSTITUTE(SUBSTITUTE(TRIM($H430),"/",","),";",",")," ",""),",",""))+1),"Genre di luar daftar",""))),IF($I430="","Nama Channel kosong",""),IF($J430="","Link Channel kosong",IF(ISERROR(SEARCH("youtu",$J430)),"Link Channel bukan youtube","")),IF($K430="","Link Video kosong",IF(ISERROR(SEARCH("youtu",$K430)),"Link Video bukan youtube","")),IF($L430="","Tgl Dibuat kosong",IF(NOT(ISNUMBER($L430)),"Tgl Dibuat bukan tanggal","")),IF(AND($M430&lt;&gt;"",NOT(ISNUMBER($M430))),"Tgl Publish bukan tanggal",""),IF(AND(ISNUMBER($L430),ISNUMBER($M430),$M430&lt;$L430),"Tgl Publish &lt; Tgl buat",""),IF(TRIM($N430)="","Status kosong",IF(ISERROR(MATCH(TRIM($N430),{"Draft","Menunggu Review","Revisi","Terjadwal","Upload","Publish","Published","Batal"},0)),"Status di luar daftar","")))),""))</f>
        <v/>
      </c>
      <c r="S430" s="17">
        <f>IF(AND($A430&lt;&gt;"",$C430&lt;&gt;""),IF(COUNTIFS($A$2:$A$1000,$A430,$C$2:$C$1000,$C430)&gt;1,"DUPLICAT",""),"")</f>
        <v/>
      </c>
    </row>
    <row r="431">
      <c r="A431" s="12" t="n"/>
      <c r="B431" s="12" t="n"/>
      <c r="C431" s="12" t="n"/>
      <c r="D431" s="13" t="n"/>
      <c r="E431" s="12" t="n"/>
      <c r="F431" s="14" t="n"/>
      <c r="G431" s="12" t="n"/>
      <c r="H431" s="12" t="n"/>
      <c r="I431" s="12" t="n"/>
      <c r="J431" s="14" t="n"/>
      <c r="K431" s="14" t="n"/>
      <c r="L431" s="15" t="n"/>
      <c r="M431" s="15" t="n"/>
      <c r="N431" s="12" t="n"/>
      <c r="O431" s="12" t="n"/>
      <c r="P431" s="16">
        <f>IF(AND(ISNUMBER($L431),ISNUMBER($M431)),MAX(0,$M431-$L431),"")</f>
        <v/>
      </c>
      <c r="Q431" s="16">
        <f>IF(ISNUMBER($D431),MAX(0,TODAY()-$D431),"")</f>
        <v/>
      </c>
      <c r="R431" s="14">
        <f>IF(COUNTA($A431:$O431)=0,"",IFERROR(TRIM(TEXTJOIN(" | ",TRUE,IF($A431="","PC kosong",""),IF($C431="","Worker ID kosong",""),IF($D431="","Update Date kosong",IF(NOT(ISNUMBER($D431)),"Update Date bukan tanggal","")),IF($E431="","Song ID YT kosong",""),IF($F431="","Judul kosong",""),IF(TRIM($G431)="","",IF(ISERROR(MATCH(TRIM($G431),{"TuneCore","DistroKid","TooLost","SoundOn","Ditto","Believe","CD Baby","Amuse","Symphonic Distribution","ONErpm","RouteNote","LANDR","Horus Music","Indie"},0)),"Aggregator di luar daftar","")),IF(TRIM($H431)="","Genre kosong",IF((LEN(SUBSTITUTE(SUBSTITUTE(SUBSTITUTE(TRIM($H431),"/",","),";",",")," ",""))-LEN(SUBSTITUTE(SUBSTITUTE(SUBSTITUTE(SUBSTITUTE(TRIM($H431),"/",","),";",","),"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431),"/",","),";",",")," ","")&amp;",")))&lt;&gt;(LEN(SUBSTITUTE(SUBSTITUTE(SUBSTITUTE(TRIM($H431),"/",","),";",",")," ",""))-LEN(SUBSTITUTE(SUBSTITUTE(SUBSTITUTE(SUBSTITUTE(TRIM($H431),"/",","),";",",")," ",""),",",""))+1),"Genre di luar daftar",""))),IF($I431="","Nama Channel kosong",""),IF($J431="","Link Channel kosong",IF(ISERROR(SEARCH("youtu",$J431)),"Link Channel bukan youtube","")),IF($K431="","Link Video kosong",IF(ISERROR(SEARCH("youtu",$K431)),"Link Video bukan youtube","")),IF($L431="","Tgl Dibuat kosong",IF(NOT(ISNUMBER($L431)),"Tgl Dibuat bukan tanggal","")),IF(AND($M431&lt;&gt;"",NOT(ISNUMBER($M431))),"Tgl Publish bukan tanggal",""),IF(AND(ISNUMBER($L431),ISNUMBER($M431),$M431&lt;$L431),"Tgl Publish &lt; Tgl buat",""),IF(TRIM($N431)="","Status kosong",IF(ISERROR(MATCH(TRIM($N431),{"Draft","Menunggu Review","Revisi","Terjadwal","Upload","Publish","Published","Batal"},0)),"Status di luar daftar","")))),""))</f>
        <v/>
      </c>
      <c r="S431" s="12">
        <f>IF(AND($A431&lt;&gt;"",$C431&lt;&gt;""),IF(COUNTIFS($A$2:$A$1000,$A431,$C$2:$C$1000,$C431)&gt;1,"DUPLICAT",""),"")</f>
        <v/>
      </c>
    </row>
    <row r="432">
      <c r="A432" s="17" t="n"/>
      <c r="B432" s="17" t="n"/>
      <c r="C432" s="17" t="n"/>
      <c r="D432" s="18" t="n"/>
      <c r="E432" s="17" t="n"/>
      <c r="F432" s="19" t="n"/>
      <c r="G432" s="17" t="n"/>
      <c r="H432" s="17" t="n"/>
      <c r="I432" s="17" t="n"/>
      <c r="J432" s="19" t="n"/>
      <c r="K432" s="19" t="n"/>
      <c r="L432" s="20" t="n"/>
      <c r="M432" s="20" t="n"/>
      <c r="N432" s="17" t="n"/>
      <c r="O432" s="17" t="n"/>
      <c r="P432" s="21">
        <f>IF(AND(ISNUMBER($L432),ISNUMBER($M432)),MAX(0,$M432-$L432),"")</f>
        <v/>
      </c>
      <c r="Q432" s="21">
        <f>IF(ISNUMBER($D432),MAX(0,TODAY()-$D432),"")</f>
        <v/>
      </c>
      <c r="R432" s="19">
        <f>IF(COUNTA($A432:$O432)=0,"",IFERROR(TRIM(TEXTJOIN(" | ",TRUE,IF($A432="","PC kosong",""),IF($C432="","Worker ID kosong",""),IF($D432="","Update Date kosong",IF(NOT(ISNUMBER($D432)),"Update Date bukan tanggal","")),IF($E432="","Song ID YT kosong",""),IF($F432="","Judul kosong",""),IF(TRIM($G432)="","",IF(ISERROR(MATCH(TRIM($G432),{"TuneCore","DistroKid","TooLost","SoundOn","Ditto","Believe","CD Baby","Amuse","Symphonic Distribution","ONErpm","RouteNote","LANDR","Horus Music","Indie"},0)),"Aggregator di luar daftar","")),IF(TRIM($H432)="","Genre kosong",IF((LEN(SUBSTITUTE(SUBSTITUTE(SUBSTITUTE(TRIM($H432),"/",","),";",",")," ",""))-LEN(SUBSTITUTE(SUBSTITUTE(SUBSTITUTE(SUBSTITUTE(TRIM($H432),"/",","),";",","),"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432),"/",","),";",",")," ","")&amp;",")))&lt;&gt;(LEN(SUBSTITUTE(SUBSTITUTE(SUBSTITUTE(TRIM($H432),"/",","),";",",")," ",""))-LEN(SUBSTITUTE(SUBSTITUTE(SUBSTITUTE(SUBSTITUTE(TRIM($H432),"/",","),";",",")," ",""),",",""))+1),"Genre di luar daftar",""))),IF($I432="","Nama Channel kosong",""),IF($J432="","Link Channel kosong",IF(ISERROR(SEARCH("youtu",$J432)),"Link Channel bukan youtube","")),IF($K432="","Link Video kosong",IF(ISERROR(SEARCH("youtu",$K432)),"Link Video bukan youtube","")),IF($L432="","Tgl Dibuat kosong",IF(NOT(ISNUMBER($L432)),"Tgl Dibuat bukan tanggal","")),IF(AND($M432&lt;&gt;"",NOT(ISNUMBER($M432))),"Tgl Publish bukan tanggal",""),IF(AND(ISNUMBER($L432),ISNUMBER($M432),$M432&lt;$L432),"Tgl Publish &lt; Tgl buat",""),IF(TRIM($N432)="","Status kosong",IF(ISERROR(MATCH(TRIM($N432),{"Draft","Menunggu Review","Revisi","Terjadwal","Upload","Publish","Published","Batal"},0)),"Status di luar daftar","")))),""))</f>
        <v/>
      </c>
      <c r="S432" s="17">
        <f>IF(AND($A432&lt;&gt;"",$C432&lt;&gt;""),IF(COUNTIFS($A$2:$A$1000,$A432,$C$2:$C$1000,$C432)&gt;1,"DUPLICAT",""),"")</f>
        <v/>
      </c>
    </row>
    <row r="433">
      <c r="A433" s="12" t="n"/>
      <c r="B433" s="12" t="n"/>
      <c r="C433" s="12" t="n"/>
      <c r="D433" s="13" t="n"/>
      <c r="E433" s="12" t="n"/>
      <c r="F433" s="14" t="n"/>
      <c r="G433" s="12" t="n"/>
      <c r="H433" s="12" t="n"/>
      <c r="I433" s="12" t="n"/>
      <c r="J433" s="14" t="n"/>
      <c r="K433" s="14" t="n"/>
      <c r="L433" s="15" t="n"/>
      <c r="M433" s="15" t="n"/>
      <c r="N433" s="12" t="n"/>
      <c r="O433" s="12" t="n"/>
      <c r="P433" s="16">
        <f>IF(AND(ISNUMBER($L433),ISNUMBER($M433)),MAX(0,$M433-$L433),"")</f>
        <v/>
      </c>
      <c r="Q433" s="16">
        <f>IF(ISNUMBER($D433),MAX(0,TODAY()-$D433),"")</f>
        <v/>
      </c>
      <c r="R433" s="14">
        <f>IF(COUNTA($A433:$O433)=0,"",IFERROR(TRIM(TEXTJOIN(" | ",TRUE,IF($A433="","PC kosong",""),IF($C433="","Worker ID kosong",""),IF($D433="","Update Date kosong",IF(NOT(ISNUMBER($D433)),"Update Date bukan tanggal","")),IF($E433="","Song ID YT kosong",""),IF($F433="","Judul kosong",""),IF(TRIM($G433)="","",IF(ISERROR(MATCH(TRIM($G433),{"TuneCore","DistroKid","TooLost","SoundOn","Ditto","Believe","CD Baby","Amuse","Symphonic Distribution","ONErpm","RouteNote","LANDR","Horus Music","Indie"},0)),"Aggregator di luar daftar","")),IF(TRIM($H433)="","Genre kosong",IF((LEN(SUBSTITUTE(SUBSTITUTE(SUBSTITUTE(TRIM($H433),"/",","),";",",")," ",""))-LEN(SUBSTITUTE(SUBSTITUTE(SUBSTITUTE(SUBSTITUTE(TRIM($H433),"/",","),";",","),"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433),"/",","),";",",")," ","")&amp;",")))&lt;&gt;(LEN(SUBSTITUTE(SUBSTITUTE(SUBSTITUTE(TRIM($H433),"/",","),";",",")," ",""))-LEN(SUBSTITUTE(SUBSTITUTE(SUBSTITUTE(SUBSTITUTE(TRIM($H433),"/",","),";",",")," ",""),",",""))+1),"Genre di luar daftar",""))),IF($I433="","Nama Channel kosong",""),IF($J433="","Link Channel kosong",IF(ISERROR(SEARCH("youtu",$J433)),"Link Channel bukan youtube","")),IF($K433="","Link Video kosong",IF(ISERROR(SEARCH("youtu",$K433)),"Link Video bukan youtube","")),IF($L433="","Tgl Dibuat kosong",IF(NOT(ISNUMBER($L433)),"Tgl Dibuat bukan tanggal","")),IF(AND($M433&lt;&gt;"",NOT(ISNUMBER($M433))),"Tgl Publish bukan tanggal",""),IF(AND(ISNUMBER($L433),ISNUMBER($M433),$M433&lt;$L433),"Tgl Publish &lt; Tgl buat",""),IF(TRIM($N433)="","Status kosong",IF(ISERROR(MATCH(TRIM($N433),{"Draft","Menunggu Review","Revisi","Terjadwal","Upload","Publish","Published","Batal"},0)),"Status di luar daftar","")))),""))</f>
        <v/>
      </c>
      <c r="S433" s="12">
        <f>IF(AND($A433&lt;&gt;"",$C433&lt;&gt;""),IF(COUNTIFS($A$2:$A$1000,$A433,$C$2:$C$1000,$C433)&gt;1,"DUPLICAT",""),"")</f>
        <v/>
      </c>
    </row>
    <row r="434">
      <c r="A434" s="17" t="n"/>
      <c r="B434" s="17" t="n"/>
      <c r="C434" s="17" t="n"/>
      <c r="D434" s="18" t="n"/>
      <c r="E434" s="17" t="n"/>
      <c r="F434" s="19" t="n"/>
      <c r="G434" s="17" t="n"/>
      <c r="H434" s="17" t="n"/>
      <c r="I434" s="17" t="n"/>
      <c r="J434" s="19" t="n"/>
      <c r="K434" s="19" t="n"/>
      <c r="L434" s="20" t="n"/>
      <c r="M434" s="20" t="n"/>
      <c r="N434" s="17" t="n"/>
      <c r="O434" s="17" t="n"/>
      <c r="P434" s="21">
        <f>IF(AND(ISNUMBER($L434),ISNUMBER($M434)),MAX(0,$M434-$L434),"")</f>
        <v/>
      </c>
      <c r="Q434" s="21">
        <f>IF(ISNUMBER($D434),MAX(0,TODAY()-$D434),"")</f>
        <v/>
      </c>
      <c r="R434" s="19">
        <f>IF(COUNTA($A434:$O434)=0,"",IFERROR(TRIM(TEXTJOIN(" | ",TRUE,IF($A434="","PC kosong",""),IF($C434="","Worker ID kosong",""),IF($D434="","Update Date kosong",IF(NOT(ISNUMBER($D434)),"Update Date bukan tanggal","")),IF($E434="","Song ID YT kosong",""),IF($F434="","Judul kosong",""),IF(TRIM($G434)="","",IF(ISERROR(MATCH(TRIM($G434),{"TuneCore","DistroKid","TooLost","SoundOn","Ditto","Believe","CD Baby","Amuse","Symphonic Distribution","ONErpm","RouteNote","LANDR","Horus Music","Indie"},0)),"Aggregator di luar daftar","")),IF(TRIM($H434)="","Genre kosong",IF((LEN(SUBSTITUTE(SUBSTITUTE(SUBSTITUTE(TRIM($H434),"/",","),";",",")," ",""))-LEN(SUBSTITUTE(SUBSTITUTE(SUBSTITUTE(SUBSTITUTE(TRIM($H434),"/",","),";",","),"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434),"/",","),";",",")," ","")&amp;",")))&lt;&gt;(LEN(SUBSTITUTE(SUBSTITUTE(SUBSTITUTE(TRIM($H434),"/",","),";",",")," ",""))-LEN(SUBSTITUTE(SUBSTITUTE(SUBSTITUTE(SUBSTITUTE(TRIM($H434),"/",","),";",",")," ",""),",",""))+1),"Genre di luar daftar",""))),IF($I434="","Nama Channel kosong",""),IF($J434="","Link Channel kosong",IF(ISERROR(SEARCH("youtu",$J434)),"Link Channel bukan youtube","")),IF($K434="","Link Video kosong",IF(ISERROR(SEARCH("youtu",$K434)),"Link Video bukan youtube","")),IF($L434="","Tgl Dibuat kosong",IF(NOT(ISNUMBER($L434)),"Tgl Dibuat bukan tanggal","")),IF(AND($M434&lt;&gt;"",NOT(ISNUMBER($M434))),"Tgl Publish bukan tanggal",""),IF(AND(ISNUMBER($L434),ISNUMBER($M434),$M434&lt;$L434),"Tgl Publish &lt; Tgl buat",""),IF(TRIM($N434)="","Status kosong",IF(ISERROR(MATCH(TRIM($N434),{"Draft","Menunggu Review","Revisi","Terjadwal","Upload","Publish","Published","Batal"},0)),"Status di luar daftar","")))),""))</f>
        <v/>
      </c>
      <c r="S434" s="17">
        <f>IF(AND($A434&lt;&gt;"",$C434&lt;&gt;""),IF(COUNTIFS($A$2:$A$1000,$A434,$C$2:$C$1000,$C434)&gt;1,"DUPLICAT",""),"")</f>
        <v/>
      </c>
    </row>
    <row r="435">
      <c r="A435" s="12" t="n"/>
      <c r="B435" s="12" t="n"/>
      <c r="C435" s="12" t="n"/>
      <c r="D435" s="13" t="n"/>
      <c r="E435" s="12" t="n"/>
      <c r="F435" s="14" t="n"/>
      <c r="G435" s="12" t="n"/>
      <c r="H435" s="12" t="n"/>
      <c r="I435" s="12" t="n"/>
      <c r="J435" s="14" t="n"/>
      <c r="K435" s="14" t="n"/>
      <c r="L435" s="15" t="n"/>
      <c r="M435" s="15" t="n"/>
      <c r="N435" s="12" t="n"/>
      <c r="O435" s="12" t="n"/>
      <c r="P435" s="16">
        <f>IF(AND(ISNUMBER($L435),ISNUMBER($M435)),MAX(0,$M435-$L435),"")</f>
        <v/>
      </c>
      <c r="Q435" s="16">
        <f>IF(ISNUMBER($D435),MAX(0,TODAY()-$D435),"")</f>
        <v/>
      </c>
      <c r="R435" s="14">
        <f>IF(COUNTA($A435:$O435)=0,"",IFERROR(TRIM(TEXTJOIN(" | ",TRUE,IF($A435="","PC kosong",""),IF($C435="","Worker ID kosong",""),IF($D435="","Update Date kosong",IF(NOT(ISNUMBER($D435)),"Update Date bukan tanggal","")),IF($E435="","Song ID YT kosong",""),IF($F435="","Judul kosong",""),IF(TRIM($G435)="","",IF(ISERROR(MATCH(TRIM($G435),{"TuneCore","DistroKid","TooLost","SoundOn","Ditto","Believe","CD Baby","Amuse","Symphonic Distribution","ONErpm","RouteNote","LANDR","Horus Music","Indie"},0)),"Aggregator di luar daftar","")),IF(TRIM($H435)="","Genre kosong",IF((LEN(SUBSTITUTE(SUBSTITUTE(SUBSTITUTE(TRIM($H435),"/",","),";",",")," ",""))-LEN(SUBSTITUTE(SUBSTITUTE(SUBSTITUTE(SUBSTITUTE(TRIM($H435),"/",","),";",","),"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435),"/",","),";",",")," ","")&amp;",")))&lt;&gt;(LEN(SUBSTITUTE(SUBSTITUTE(SUBSTITUTE(TRIM($H435),"/",","),";",",")," ",""))-LEN(SUBSTITUTE(SUBSTITUTE(SUBSTITUTE(SUBSTITUTE(TRIM($H435),"/",","),";",",")," ",""),",",""))+1),"Genre di luar daftar",""))),IF($I435="","Nama Channel kosong",""),IF($J435="","Link Channel kosong",IF(ISERROR(SEARCH("youtu",$J435)),"Link Channel bukan youtube","")),IF($K435="","Link Video kosong",IF(ISERROR(SEARCH("youtu",$K435)),"Link Video bukan youtube","")),IF($L435="","Tgl Dibuat kosong",IF(NOT(ISNUMBER($L435)),"Tgl Dibuat bukan tanggal","")),IF(AND($M435&lt;&gt;"",NOT(ISNUMBER($M435))),"Tgl Publish bukan tanggal",""),IF(AND(ISNUMBER($L435),ISNUMBER($M435),$M435&lt;$L435),"Tgl Publish &lt; Tgl buat",""),IF(TRIM($N435)="","Status kosong",IF(ISERROR(MATCH(TRIM($N435),{"Draft","Menunggu Review","Revisi","Terjadwal","Upload","Publish","Published","Batal"},0)),"Status di luar daftar","")))),""))</f>
        <v/>
      </c>
      <c r="S435" s="12">
        <f>IF(AND($A435&lt;&gt;"",$C435&lt;&gt;""),IF(COUNTIFS($A$2:$A$1000,$A435,$C$2:$C$1000,$C435)&gt;1,"DUPLICAT",""),"")</f>
        <v/>
      </c>
    </row>
    <row r="436">
      <c r="A436" s="17" t="n"/>
      <c r="B436" s="17" t="n"/>
      <c r="C436" s="17" t="n"/>
      <c r="D436" s="18" t="n"/>
      <c r="E436" s="17" t="n"/>
      <c r="F436" s="19" t="n"/>
      <c r="G436" s="17" t="n"/>
      <c r="H436" s="17" t="n"/>
      <c r="I436" s="17" t="n"/>
      <c r="J436" s="19" t="n"/>
      <c r="K436" s="19" t="n"/>
      <c r="L436" s="20" t="n"/>
      <c r="M436" s="20" t="n"/>
      <c r="N436" s="17" t="n"/>
      <c r="O436" s="17" t="n"/>
      <c r="P436" s="21">
        <f>IF(AND(ISNUMBER($L436),ISNUMBER($M436)),MAX(0,$M436-$L436),"")</f>
        <v/>
      </c>
      <c r="Q436" s="21">
        <f>IF(ISNUMBER($D436),MAX(0,TODAY()-$D436),"")</f>
        <v/>
      </c>
      <c r="R436" s="19">
        <f>IF(COUNTA($A436:$O436)=0,"",IFERROR(TRIM(TEXTJOIN(" | ",TRUE,IF($A436="","PC kosong",""),IF($C436="","Worker ID kosong",""),IF($D436="","Update Date kosong",IF(NOT(ISNUMBER($D436)),"Update Date bukan tanggal","")),IF($E436="","Song ID YT kosong",""),IF($F436="","Judul kosong",""),IF(TRIM($G436)="","",IF(ISERROR(MATCH(TRIM($G436),{"TuneCore","DistroKid","TooLost","SoundOn","Ditto","Believe","CD Baby","Amuse","Symphonic Distribution","ONErpm","RouteNote","LANDR","Horus Music","Indie"},0)),"Aggregator di luar daftar","")),IF(TRIM($H436)="","Genre kosong",IF((LEN(SUBSTITUTE(SUBSTITUTE(SUBSTITUTE(TRIM($H436),"/",","),";",",")," ",""))-LEN(SUBSTITUTE(SUBSTITUTE(SUBSTITUTE(SUBSTITUTE(TRIM($H436),"/",","),";",","),"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436),"/",","),";",",")," ","")&amp;",")))&lt;&gt;(LEN(SUBSTITUTE(SUBSTITUTE(SUBSTITUTE(TRIM($H436),"/",","),";",",")," ",""))-LEN(SUBSTITUTE(SUBSTITUTE(SUBSTITUTE(SUBSTITUTE(TRIM($H436),"/",","),";",",")," ",""),",",""))+1),"Genre di luar daftar",""))),IF($I436="","Nama Channel kosong",""),IF($J436="","Link Channel kosong",IF(ISERROR(SEARCH("youtu",$J436)),"Link Channel bukan youtube","")),IF($K436="","Link Video kosong",IF(ISERROR(SEARCH("youtu",$K436)),"Link Video bukan youtube","")),IF($L436="","Tgl Dibuat kosong",IF(NOT(ISNUMBER($L436)),"Tgl Dibuat bukan tanggal","")),IF(AND($M436&lt;&gt;"",NOT(ISNUMBER($M436))),"Tgl Publish bukan tanggal",""),IF(AND(ISNUMBER($L436),ISNUMBER($M436),$M436&lt;$L436),"Tgl Publish &lt; Tgl buat",""),IF(TRIM($N436)="","Status kosong",IF(ISERROR(MATCH(TRIM($N436),{"Draft","Menunggu Review","Revisi","Terjadwal","Upload","Publish","Published","Batal"},0)),"Status di luar daftar","")))),""))</f>
        <v/>
      </c>
      <c r="S436" s="17">
        <f>IF(AND($A436&lt;&gt;"",$C436&lt;&gt;""),IF(COUNTIFS($A$2:$A$1000,$A436,$C$2:$C$1000,$C436)&gt;1,"DUPLICAT",""),"")</f>
        <v/>
      </c>
    </row>
    <row r="437">
      <c r="A437" s="12" t="n"/>
      <c r="B437" s="12" t="n"/>
      <c r="C437" s="12" t="n"/>
      <c r="D437" s="13" t="n"/>
      <c r="E437" s="12" t="n"/>
      <c r="F437" s="14" t="n"/>
      <c r="G437" s="12" t="n"/>
      <c r="H437" s="12" t="n"/>
      <c r="I437" s="12" t="n"/>
      <c r="J437" s="14" t="n"/>
      <c r="K437" s="14" t="n"/>
      <c r="L437" s="15" t="n"/>
      <c r="M437" s="15" t="n"/>
      <c r="N437" s="12" t="n"/>
      <c r="O437" s="12" t="n"/>
      <c r="P437" s="16">
        <f>IF(AND(ISNUMBER($L437),ISNUMBER($M437)),MAX(0,$M437-$L437),"")</f>
        <v/>
      </c>
      <c r="Q437" s="16">
        <f>IF(ISNUMBER($D437),MAX(0,TODAY()-$D437),"")</f>
        <v/>
      </c>
      <c r="R437" s="14">
        <f>IF(COUNTA($A437:$O437)=0,"",IFERROR(TRIM(TEXTJOIN(" | ",TRUE,IF($A437="","PC kosong",""),IF($C437="","Worker ID kosong",""),IF($D437="","Update Date kosong",IF(NOT(ISNUMBER($D437)),"Update Date bukan tanggal","")),IF($E437="","Song ID YT kosong",""),IF($F437="","Judul kosong",""),IF(TRIM($G437)="","",IF(ISERROR(MATCH(TRIM($G437),{"TuneCore","DistroKid","TooLost","SoundOn","Ditto","Believe","CD Baby","Amuse","Symphonic Distribution","ONErpm","RouteNote","LANDR","Horus Music","Indie"},0)),"Aggregator di luar daftar","")),IF(TRIM($H437)="","Genre kosong",IF((LEN(SUBSTITUTE(SUBSTITUTE(SUBSTITUTE(TRIM($H437),"/",","),";",",")," ",""))-LEN(SUBSTITUTE(SUBSTITUTE(SUBSTITUTE(SUBSTITUTE(TRIM($H437),"/",","),";",","),"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437),"/",","),";",",")," ","")&amp;",")))&lt;&gt;(LEN(SUBSTITUTE(SUBSTITUTE(SUBSTITUTE(TRIM($H437),"/",","),";",",")," ",""))-LEN(SUBSTITUTE(SUBSTITUTE(SUBSTITUTE(SUBSTITUTE(TRIM($H437),"/",","),";",",")," ",""),",",""))+1),"Genre di luar daftar",""))),IF($I437="","Nama Channel kosong",""),IF($J437="","Link Channel kosong",IF(ISERROR(SEARCH("youtu",$J437)),"Link Channel bukan youtube","")),IF($K437="","Link Video kosong",IF(ISERROR(SEARCH("youtu",$K437)),"Link Video bukan youtube","")),IF($L437="","Tgl Dibuat kosong",IF(NOT(ISNUMBER($L437)),"Tgl Dibuat bukan tanggal","")),IF(AND($M437&lt;&gt;"",NOT(ISNUMBER($M437))),"Tgl Publish bukan tanggal",""),IF(AND(ISNUMBER($L437),ISNUMBER($M437),$M437&lt;$L437),"Tgl Publish &lt; Tgl buat",""),IF(TRIM($N437)="","Status kosong",IF(ISERROR(MATCH(TRIM($N437),{"Draft","Menunggu Review","Revisi","Terjadwal","Upload","Publish","Published","Batal"},0)),"Status di luar daftar","")))),""))</f>
        <v/>
      </c>
      <c r="S437" s="12">
        <f>IF(AND($A437&lt;&gt;"",$C437&lt;&gt;""),IF(COUNTIFS($A$2:$A$1000,$A437,$C$2:$C$1000,$C437)&gt;1,"DUPLICAT",""),"")</f>
        <v/>
      </c>
    </row>
    <row r="438">
      <c r="A438" s="17" t="n"/>
      <c r="B438" s="17" t="n"/>
      <c r="C438" s="17" t="n"/>
      <c r="D438" s="18" t="n"/>
      <c r="E438" s="17" t="n"/>
      <c r="F438" s="19" t="n"/>
      <c r="G438" s="17" t="n"/>
      <c r="H438" s="17" t="n"/>
      <c r="I438" s="17" t="n"/>
      <c r="J438" s="19" t="n"/>
      <c r="K438" s="19" t="n"/>
      <c r="L438" s="20" t="n"/>
      <c r="M438" s="20" t="n"/>
      <c r="N438" s="17" t="n"/>
      <c r="O438" s="17" t="n"/>
      <c r="P438" s="21">
        <f>IF(AND(ISNUMBER($L438),ISNUMBER($M438)),MAX(0,$M438-$L438),"")</f>
        <v/>
      </c>
      <c r="Q438" s="21">
        <f>IF(ISNUMBER($D438),MAX(0,TODAY()-$D438),"")</f>
        <v/>
      </c>
      <c r="R438" s="19">
        <f>IF(COUNTA($A438:$O438)=0,"",IFERROR(TRIM(TEXTJOIN(" | ",TRUE,IF($A438="","PC kosong",""),IF($C438="","Worker ID kosong",""),IF($D438="","Update Date kosong",IF(NOT(ISNUMBER($D438)),"Update Date bukan tanggal","")),IF($E438="","Song ID YT kosong",""),IF($F438="","Judul kosong",""),IF(TRIM($G438)="","",IF(ISERROR(MATCH(TRIM($G438),{"TuneCore","DistroKid","TooLost","SoundOn","Ditto","Believe","CD Baby","Amuse","Symphonic Distribution","ONErpm","RouteNote","LANDR","Horus Music","Indie"},0)),"Aggregator di luar daftar","")),IF(TRIM($H438)="","Genre kosong",IF((LEN(SUBSTITUTE(SUBSTITUTE(SUBSTITUTE(TRIM($H438),"/",","),";",",")," ",""))-LEN(SUBSTITUTE(SUBSTITUTE(SUBSTITUTE(SUBSTITUTE(TRIM($H438),"/",","),";",","),"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438),"/",","),";",",")," ","")&amp;",")))&lt;&gt;(LEN(SUBSTITUTE(SUBSTITUTE(SUBSTITUTE(TRIM($H438),"/",","),";",",")," ",""))-LEN(SUBSTITUTE(SUBSTITUTE(SUBSTITUTE(SUBSTITUTE(TRIM($H438),"/",","),";",",")," ",""),",",""))+1),"Genre di luar daftar",""))),IF($I438="","Nama Channel kosong",""),IF($J438="","Link Channel kosong",IF(ISERROR(SEARCH("youtu",$J438)),"Link Channel bukan youtube","")),IF($K438="","Link Video kosong",IF(ISERROR(SEARCH("youtu",$K438)),"Link Video bukan youtube","")),IF($L438="","Tgl Dibuat kosong",IF(NOT(ISNUMBER($L438)),"Tgl Dibuat bukan tanggal","")),IF(AND($M438&lt;&gt;"",NOT(ISNUMBER($M438))),"Tgl Publish bukan tanggal",""),IF(AND(ISNUMBER($L438),ISNUMBER($M438),$M438&lt;$L438),"Tgl Publish &lt; Tgl buat",""),IF(TRIM($N438)="","Status kosong",IF(ISERROR(MATCH(TRIM($N438),{"Draft","Menunggu Review","Revisi","Terjadwal","Upload","Publish","Published","Batal"},0)),"Status di luar daftar","")))),""))</f>
        <v/>
      </c>
      <c r="S438" s="17">
        <f>IF(AND($A438&lt;&gt;"",$C438&lt;&gt;""),IF(COUNTIFS($A$2:$A$1000,$A438,$C$2:$C$1000,$C438)&gt;1,"DUPLICAT",""),"")</f>
        <v/>
      </c>
    </row>
    <row r="439">
      <c r="A439" s="12" t="n"/>
      <c r="B439" s="12" t="n"/>
      <c r="C439" s="12" t="n"/>
      <c r="D439" s="13" t="n"/>
      <c r="E439" s="12" t="n"/>
      <c r="F439" s="14" t="n"/>
      <c r="G439" s="12" t="n"/>
      <c r="H439" s="12" t="n"/>
      <c r="I439" s="12" t="n"/>
      <c r="J439" s="14" t="n"/>
      <c r="K439" s="14" t="n"/>
      <c r="L439" s="15" t="n"/>
      <c r="M439" s="15" t="n"/>
      <c r="N439" s="12" t="n"/>
      <c r="O439" s="12" t="n"/>
      <c r="P439" s="16">
        <f>IF(AND(ISNUMBER($L439),ISNUMBER($M439)),MAX(0,$M439-$L439),"")</f>
        <v/>
      </c>
      <c r="Q439" s="16">
        <f>IF(ISNUMBER($D439),MAX(0,TODAY()-$D439),"")</f>
        <v/>
      </c>
      <c r="R439" s="14">
        <f>IF(COUNTA($A439:$O439)=0,"",IFERROR(TRIM(TEXTJOIN(" | ",TRUE,IF($A439="","PC kosong",""),IF($C439="","Worker ID kosong",""),IF($D439="","Update Date kosong",IF(NOT(ISNUMBER($D439)),"Update Date bukan tanggal","")),IF($E439="","Song ID YT kosong",""),IF($F439="","Judul kosong",""),IF(TRIM($G439)="","",IF(ISERROR(MATCH(TRIM($G439),{"TuneCore","DistroKid","TooLost","SoundOn","Ditto","Believe","CD Baby","Amuse","Symphonic Distribution","ONErpm","RouteNote","LANDR","Horus Music","Indie"},0)),"Aggregator di luar daftar","")),IF(TRIM($H439)="","Genre kosong",IF((LEN(SUBSTITUTE(SUBSTITUTE(SUBSTITUTE(TRIM($H439),"/",","),";",",")," ",""))-LEN(SUBSTITUTE(SUBSTITUTE(SUBSTITUTE(SUBSTITUTE(TRIM($H439),"/",","),";",","),"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439),"/",","),";",",")," ","")&amp;",")))&lt;&gt;(LEN(SUBSTITUTE(SUBSTITUTE(SUBSTITUTE(TRIM($H439),"/",","),";",",")," ",""))-LEN(SUBSTITUTE(SUBSTITUTE(SUBSTITUTE(SUBSTITUTE(TRIM($H439),"/",","),";",",")," ",""),",",""))+1),"Genre di luar daftar",""))),IF($I439="","Nama Channel kosong",""),IF($J439="","Link Channel kosong",IF(ISERROR(SEARCH("youtu",$J439)),"Link Channel bukan youtube","")),IF($K439="","Link Video kosong",IF(ISERROR(SEARCH("youtu",$K439)),"Link Video bukan youtube","")),IF($L439="","Tgl Dibuat kosong",IF(NOT(ISNUMBER($L439)),"Tgl Dibuat bukan tanggal","")),IF(AND($M439&lt;&gt;"",NOT(ISNUMBER($M439))),"Tgl Publish bukan tanggal",""),IF(AND(ISNUMBER($L439),ISNUMBER($M439),$M439&lt;$L439),"Tgl Publish &lt; Tgl buat",""),IF(TRIM($N439)="","Status kosong",IF(ISERROR(MATCH(TRIM($N439),{"Draft","Menunggu Review","Revisi","Terjadwal","Upload","Publish","Published","Batal"},0)),"Status di luar daftar","")))),""))</f>
        <v/>
      </c>
      <c r="S439" s="12">
        <f>IF(AND($A439&lt;&gt;"",$C439&lt;&gt;""),IF(COUNTIFS($A$2:$A$1000,$A439,$C$2:$C$1000,$C439)&gt;1,"DUPLICAT",""),"")</f>
        <v/>
      </c>
    </row>
    <row r="440">
      <c r="A440" s="17" t="n"/>
      <c r="B440" s="17" t="n"/>
      <c r="C440" s="17" t="n"/>
      <c r="D440" s="18" t="n"/>
      <c r="E440" s="17" t="n"/>
      <c r="F440" s="19" t="n"/>
      <c r="G440" s="17" t="n"/>
      <c r="H440" s="17" t="n"/>
      <c r="I440" s="17" t="n"/>
      <c r="J440" s="19" t="n"/>
      <c r="K440" s="19" t="n"/>
      <c r="L440" s="20" t="n"/>
      <c r="M440" s="20" t="n"/>
      <c r="N440" s="17" t="n"/>
      <c r="O440" s="17" t="n"/>
      <c r="P440" s="21">
        <f>IF(AND(ISNUMBER($L440),ISNUMBER($M440)),MAX(0,$M440-$L440),"")</f>
        <v/>
      </c>
      <c r="Q440" s="21">
        <f>IF(ISNUMBER($D440),MAX(0,TODAY()-$D440),"")</f>
        <v/>
      </c>
      <c r="R440" s="19">
        <f>IF(COUNTA($A440:$O440)=0,"",IFERROR(TRIM(TEXTJOIN(" | ",TRUE,IF($A440="","PC kosong",""),IF($C440="","Worker ID kosong",""),IF($D440="","Update Date kosong",IF(NOT(ISNUMBER($D440)),"Update Date bukan tanggal","")),IF($E440="","Song ID YT kosong",""),IF($F440="","Judul kosong",""),IF(TRIM($G440)="","",IF(ISERROR(MATCH(TRIM($G440),{"TuneCore","DistroKid","TooLost","SoundOn","Ditto","Believe","CD Baby","Amuse","Symphonic Distribution","ONErpm","RouteNote","LANDR","Horus Music","Indie"},0)),"Aggregator di luar daftar","")),IF(TRIM($H440)="","Genre kosong",IF((LEN(SUBSTITUTE(SUBSTITUTE(SUBSTITUTE(TRIM($H440),"/",","),";",",")," ",""))-LEN(SUBSTITUTE(SUBSTITUTE(SUBSTITUTE(SUBSTITUTE(TRIM($H440),"/",","),";",","),"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440),"/",","),";",",")," ","")&amp;",")))&lt;&gt;(LEN(SUBSTITUTE(SUBSTITUTE(SUBSTITUTE(TRIM($H440),"/",","),";",",")," ",""))-LEN(SUBSTITUTE(SUBSTITUTE(SUBSTITUTE(SUBSTITUTE(TRIM($H440),"/",","),";",",")," ",""),",",""))+1),"Genre di luar daftar",""))),IF($I440="","Nama Channel kosong",""),IF($J440="","Link Channel kosong",IF(ISERROR(SEARCH("youtu",$J440)),"Link Channel bukan youtube","")),IF($K440="","Link Video kosong",IF(ISERROR(SEARCH("youtu",$K440)),"Link Video bukan youtube","")),IF($L440="","Tgl Dibuat kosong",IF(NOT(ISNUMBER($L440)),"Tgl Dibuat bukan tanggal","")),IF(AND($M440&lt;&gt;"",NOT(ISNUMBER($M440))),"Tgl Publish bukan tanggal",""),IF(AND(ISNUMBER($L440),ISNUMBER($M440),$M440&lt;$L440),"Tgl Publish &lt; Tgl buat",""),IF(TRIM($N440)="","Status kosong",IF(ISERROR(MATCH(TRIM($N440),{"Draft","Menunggu Review","Revisi","Terjadwal","Upload","Publish","Published","Batal"},0)),"Status di luar daftar","")))),""))</f>
        <v/>
      </c>
      <c r="S440" s="17">
        <f>IF(AND($A440&lt;&gt;"",$C440&lt;&gt;""),IF(COUNTIFS($A$2:$A$1000,$A440,$C$2:$C$1000,$C440)&gt;1,"DUPLICAT",""),"")</f>
        <v/>
      </c>
    </row>
    <row r="441">
      <c r="A441" s="12" t="n"/>
      <c r="B441" s="12" t="n"/>
      <c r="C441" s="12" t="n"/>
      <c r="D441" s="13" t="n"/>
      <c r="E441" s="12" t="n"/>
      <c r="F441" s="14" t="n"/>
      <c r="G441" s="12" t="n"/>
      <c r="H441" s="12" t="n"/>
      <c r="I441" s="12" t="n"/>
      <c r="J441" s="14" t="n"/>
      <c r="K441" s="14" t="n"/>
      <c r="L441" s="15" t="n"/>
      <c r="M441" s="15" t="n"/>
      <c r="N441" s="12" t="n"/>
      <c r="O441" s="12" t="n"/>
      <c r="P441" s="16">
        <f>IF(AND(ISNUMBER($L441),ISNUMBER($M441)),MAX(0,$M441-$L441),"")</f>
        <v/>
      </c>
      <c r="Q441" s="16">
        <f>IF(ISNUMBER($D441),MAX(0,TODAY()-$D441),"")</f>
        <v/>
      </c>
      <c r="R441" s="14">
        <f>IF(COUNTA($A441:$O441)=0,"",IFERROR(TRIM(TEXTJOIN(" | ",TRUE,IF($A441="","PC kosong",""),IF($C441="","Worker ID kosong",""),IF($D441="","Update Date kosong",IF(NOT(ISNUMBER($D441)),"Update Date bukan tanggal","")),IF($E441="","Song ID YT kosong",""),IF($F441="","Judul kosong",""),IF(TRIM($G441)="","",IF(ISERROR(MATCH(TRIM($G441),{"TuneCore","DistroKid","TooLost","SoundOn","Ditto","Believe","CD Baby","Amuse","Symphonic Distribution","ONErpm","RouteNote","LANDR","Horus Music","Indie"},0)),"Aggregator di luar daftar","")),IF(TRIM($H441)="","Genre kosong",IF((LEN(SUBSTITUTE(SUBSTITUTE(SUBSTITUTE(TRIM($H441),"/",","),";",",")," ",""))-LEN(SUBSTITUTE(SUBSTITUTE(SUBSTITUTE(SUBSTITUTE(TRIM($H441),"/",","),";",","),"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441),"/",","),";",",")," ","")&amp;",")))&lt;&gt;(LEN(SUBSTITUTE(SUBSTITUTE(SUBSTITUTE(TRIM($H441),"/",","),";",",")," ",""))-LEN(SUBSTITUTE(SUBSTITUTE(SUBSTITUTE(SUBSTITUTE(TRIM($H441),"/",","),";",",")," ",""),",",""))+1),"Genre di luar daftar",""))),IF($I441="","Nama Channel kosong",""),IF($J441="","Link Channel kosong",IF(ISERROR(SEARCH("youtu",$J441)),"Link Channel bukan youtube","")),IF($K441="","Link Video kosong",IF(ISERROR(SEARCH("youtu",$K441)),"Link Video bukan youtube","")),IF($L441="","Tgl Dibuat kosong",IF(NOT(ISNUMBER($L441)),"Tgl Dibuat bukan tanggal","")),IF(AND($M441&lt;&gt;"",NOT(ISNUMBER($M441))),"Tgl Publish bukan tanggal",""),IF(AND(ISNUMBER($L441),ISNUMBER($M441),$M441&lt;$L441),"Tgl Publish &lt; Tgl buat",""),IF(TRIM($N441)="","Status kosong",IF(ISERROR(MATCH(TRIM($N441),{"Draft","Menunggu Review","Revisi","Terjadwal","Upload","Publish","Published","Batal"},0)),"Status di luar daftar","")))),""))</f>
        <v/>
      </c>
      <c r="S441" s="12">
        <f>IF(AND($A441&lt;&gt;"",$C441&lt;&gt;""),IF(COUNTIFS($A$2:$A$1000,$A441,$C$2:$C$1000,$C441)&gt;1,"DUPLICAT",""),"")</f>
        <v/>
      </c>
    </row>
    <row r="442">
      <c r="A442" s="17" t="n"/>
      <c r="B442" s="17" t="n"/>
      <c r="C442" s="17" t="n"/>
      <c r="D442" s="18" t="n"/>
      <c r="E442" s="17" t="n"/>
      <c r="F442" s="19" t="n"/>
      <c r="G442" s="17" t="n"/>
      <c r="H442" s="17" t="n"/>
      <c r="I442" s="17" t="n"/>
      <c r="J442" s="19" t="n"/>
      <c r="K442" s="19" t="n"/>
      <c r="L442" s="20" t="n"/>
      <c r="M442" s="20" t="n"/>
      <c r="N442" s="17" t="n"/>
      <c r="O442" s="17" t="n"/>
      <c r="P442" s="21">
        <f>IF(AND(ISNUMBER($L442),ISNUMBER($M442)),MAX(0,$M442-$L442),"")</f>
        <v/>
      </c>
      <c r="Q442" s="21">
        <f>IF(ISNUMBER($D442),MAX(0,TODAY()-$D442),"")</f>
        <v/>
      </c>
      <c r="R442" s="19">
        <f>IF(COUNTA($A442:$O442)=0,"",IFERROR(TRIM(TEXTJOIN(" | ",TRUE,IF($A442="","PC kosong",""),IF($C442="","Worker ID kosong",""),IF($D442="","Update Date kosong",IF(NOT(ISNUMBER($D442)),"Update Date bukan tanggal","")),IF($E442="","Song ID YT kosong",""),IF($F442="","Judul kosong",""),IF(TRIM($G442)="","",IF(ISERROR(MATCH(TRIM($G442),{"TuneCore","DistroKid","TooLost","SoundOn","Ditto","Believe","CD Baby","Amuse","Symphonic Distribution","ONErpm","RouteNote","LANDR","Horus Music","Indie"},0)),"Aggregator di luar daftar","")),IF(TRIM($H442)="","Genre kosong",IF((LEN(SUBSTITUTE(SUBSTITUTE(SUBSTITUTE(TRIM($H442),"/",","),";",",")," ",""))-LEN(SUBSTITUTE(SUBSTITUTE(SUBSTITUTE(SUBSTITUTE(TRIM($H442),"/",","),";",","),"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442),"/",","),";",",")," ","")&amp;",")))&lt;&gt;(LEN(SUBSTITUTE(SUBSTITUTE(SUBSTITUTE(TRIM($H442),"/",","),";",",")," ",""))-LEN(SUBSTITUTE(SUBSTITUTE(SUBSTITUTE(SUBSTITUTE(TRIM($H442),"/",","),";",",")," ",""),",",""))+1),"Genre di luar daftar",""))),IF($I442="","Nama Channel kosong",""),IF($J442="","Link Channel kosong",IF(ISERROR(SEARCH("youtu",$J442)),"Link Channel bukan youtube","")),IF($K442="","Link Video kosong",IF(ISERROR(SEARCH("youtu",$K442)),"Link Video bukan youtube","")),IF($L442="","Tgl Dibuat kosong",IF(NOT(ISNUMBER($L442)),"Tgl Dibuat bukan tanggal","")),IF(AND($M442&lt;&gt;"",NOT(ISNUMBER($M442))),"Tgl Publish bukan tanggal",""),IF(AND(ISNUMBER($L442),ISNUMBER($M442),$M442&lt;$L442),"Tgl Publish &lt; Tgl buat",""),IF(TRIM($N442)="","Status kosong",IF(ISERROR(MATCH(TRIM($N442),{"Draft","Menunggu Review","Revisi","Terjadwal","Upload","Publish","Published","Batal"},0)),"Status di luar daftar","")))),""))</f>
        <v/>
      </c>
      <c r="S442" s="17">
        <f>IF(AND($A442&lt;&gt;"",$C442&lt;&gt;""),IF(COUNTIFS($A$2:$A$1000,$A442,$C$2:$C$1000,$C442)&gt;1,"DUPLICAT",""),"")</f>
        <v/>
      </c>
    </row>
    <row r="443">
      <c r="A443" s="12" t="n"/>
      <c r="B443" s="12" t="n"/>
      <c r="C443" s="12" t="n"/>
      <c r="D443" s="13" t="n"/>
      <c r="E443" s="12" t="n"/>
      <c r="F443" s="14" t="n"/>
      <c r="G443" s="12" t="n"/>
      <c r="H443" s="12" t="n"/>
      <c r="I443" s="12" t="n"/>
      <c r="J443" s="14" t="n"/>
      <c r="K443" s="14" t="n"/>
      <c r="L443" s="15" t="n"/>
      <c r="M443" s="15" t="n"/>
      <c r="N443" s="12" t="n"/>
      <c r="O443" s="12" t="n"/>
      <c r="P443" s="16">
        <f>IF(AND(ISNUMBER($L443),ISNUMBER($M443)),MAX(0,$M443-$L443),"")</f>
        <v/>
      </c>
      <c r="Q443" s="16">
        <f>IF(ISNUMBER($D443),MAX(0,TODAY()-$D443),"")</f>
        <v/>
      </c>
      <c r="R443" s="14">
        <f>IF(COUNTA($A443:$O443)=0,"",IFERROR(TRIM(TEXTJOIN(" | ",TRUE,IF($A443="","PC kosong",""),IF($C443="","Worker ID kosong",""),IF($D443="","Update Date kosong",IF(NOT(ISNUMBER($D443)),"Update Date bukan tanggal","")),IF($E443="","Song ID YT kosong",""),IF($F443="","Judul kosong",""),IF(TRIM($G443)="","",IF(ISERROR(MATCH(TRIM($G443),{"TuneCore","DistroKid","TooLost","SoundOn","Ditto","Believe","CD Baby","Amuse","Symphonic Distribution","ONErpm","RouteNote","LANDR","Horus Music","Indie"},0)),"Aggregator di luar daftar","")),IF(TRIM($H443)="","Genre kosong",IF((LEN(SUBSTITUTE(SUBSTITUTE(SUBSTITUTE(TRIM($H443),"/",","),";",",")," ",""))-LEN(SUBSTITUTE(SUBSTITUTE(SUBSTITUTE(SUBSTITUTE(TRIM($H443),"/",","),";",","),"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443),"/",","),";",",")," ","")&amp;",")))&lt;&gt;(LEN(SUBSTITUTE(SUBSTITUTE(SUBSTITUTE(TRIM($H443),"/",","),";",",")," ",""))-LEN(SUBSTITUTE(SUBSTITUTE(SUBSTITUTE(SUBSTITUTE(TRIM($H443),"/",","),";",",")," ",""),",",""))+1),"Genre di luar daftar",""))),IF($I443="","Nama Channel kosong",""),IF($J443="","Link Channel kosong",IF(ISERROR(SEARCH("youtu",$J443)),"Link Channel bukan youtube","")),IF($K443="","Link Video kosong",IF(ISERROR(SEARCH("youtu",$K443)),"Link Video bukan youtube","")),IF($L443="","Tgl Dibuat kosong",IF(NOT(ISNUMBER($L443)),"Tgl Dibuat bukan tanggal","")),IF(AND($M443&lt;&gt;"",NOT(ISNUMBER($M443))),"Tgl Publish bukan tanggal",""),IF(AND(ISNUMBER($L443),ISNUMBER($M443),$M443&lt;$L443),"Tgl Publish &lt; Tgl buat",""),IF(TRIM($N443)="","Status kosong",IF(ISERROR(MATCH(TRIM($N443),{"Draft","Menunggu Review","Revisi","Terjadwal","Upload","Publish","Published","Batal"},0)),"Status di luar daftar","")))),""))</f>
        <v/>
      </c>
      <c r="S443" s="12">
        <f>IF(AND($A443&lt;&gt;"",$C443&lt;&gt;""),IF(COUNTIFS($A$2:$A$1000,$A443,$C$2:$C$1000,$C443)&gt;1,"DUPLICAT",""),"")</f>
        <v/>
      </c>
    </row>
    <row r="444">
      <c r="A444" s="17" t="n"/>
      <c r="B444" s="17" t="n"/>
      <c r="C444" s="17" t="n"/>
      <c r="D444" s="18" t="n"/>
      <c r="E444" s="17" t="n"/>
      <c r="F444" s="19" t="n"/>
      <c r="G444" s="17" t="n"/>
      <c r="H444" s="17" t="n"/>
      <c r="I444" s="17" t="n"/>
      <c r="J444" s="19" t="n"/>
      <c r="K444" s="19" t="n"/>
      <c r="L444" s="20" t="n"/>
      <c r="M444" s="20" t="n"/>
      <c r="N444" s="17" t="n"/>
      <c r="O444" s="17" t="n"/>
      <c r="P444" s="21">
        <f>IF(AND(ISNUMBER($L444),ISNUMBER($M444)),MAX(0,$M444-$L444),"")</f>
        <v/>
      </c>
      <c r="Q444" s="21">
        <f>IF(ISNUMBER($D444),MAX(0,TODAY()-$D444),"")</f>
        <v/>
      </c>
      <c r="R444" s="19">
        <f>IF(COUNTA($A444:$O444)=0,"",IFERROR(TRIM(TEXTJOIN(" | ",TRUE,IF($A444="","PC kosong",""),IF($C444="","Worker ID kosong",""),IF($D444="","Update Date kosong",IF(NOT(ISNUMBER($D444)),"Update Date bukan tanggal","")),IF($E444="","Song ID YT kosong",""),IF($F444="","Judul kosong",""),IF(TRIM($G444)="","",IF(ISERROR(MATCH(TRIM($G444),{"TuneCore","DistroKid","TooLost","SoundOn","Ditto","Believe","CD Baby","Amuse","Symphonic Distribution","ONErpm","RouteNote","LANDR","Horus Music","Indie"},0)),"Aggregator di luar daftar","")),IF(TRIM($H444)="","Genre kosong",IF((LEN(SUBSTITUTE(SUBSTITUTE(SUBSTITUTE(TRIM($H444),"/",","),";",",")," ",""))-LEN(SUBSTITUTE(SUBSTITUTE(SUBSTITUTE(SUBSTITUTE(TRIM($H444),"/",","),";",","),"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444),"/",","),";",",")," ","")&amp;",")))&lt;&gt;(LEN(SUBSTITUTE(SUBSTITUTE(SUBSTITUTE(TRIM($H444),"/",","),";",",")," ",""))-LEN(SUBSTITUTE(SUBSTITUTE(SUBSTITUTE(SUBSTITUTE(TRIM($H444),"/",","),";",",")," ",""),",",""))+1),"Genre di luar daftar",""))),IF($I444="","Nama Channel kosong",""),IF($J444="","Link Channel kosong",IF(ISERROR(SEARCH("youtu",$J444)),"Link Channel bukan youtube","")),IF($K444="","Link Video kosong",IF(ISERROR(SEARCH("youtu",$K444)),"Link Video bukan youtube","")),IF($L444="","Tgl Dibuat kosong",IF(NOT(ISNUMBER($L444)),"Tgl Dibuat bukan tanggal","")),IF(AND($M444&lt;&gt;"",NOT(ISNUMBER($M444))),"Tgl Publish bukan tanggal",""),IF(AND(ISNUMBER($L444),ISNUMBER($M444),$M444&lt;$L444),"Tgl Publish &lt; Tgl buat",""),IF(TRIM($N444)="","Status kosong",IF(ISERROR(MATCH(TRIM($N444),{"Draft","Menunggu Review","Revisi","Terjadwal","Upload","Publish","Published","Batal"},0)),"Status di luar daftar","")))),""))</f>
        <v/>
      </c>
      <c r="S444" s="17">
        <f>IF(AND($A444&lt;&gt;"",$C444&lt;&gt;""),IF(COUNTIFS($A$2:$A$1000,$A444,$C$2:$C$1000,$C444)&gt;1,"DUPLICAT",""),"")</f>
        <v/>
      </c>
    </row>
    <row r="445">
      <c r="A445" s="12" t="n"/>
      <c r="B445" s="12" t="n"/>
      <c r="C445" s="12" t="n"/>
      <c r="D445" s="13" t="n"/>
      <c r="E445" s="12" t="n"/>
      <c r="F445" s="14" t="n"/>
      <c r="G445" s="12" t="n"/>
      <c r="H445" s="12" t="n"/>
      <c r="I445" s="12" t="n"/>
      <c r="J445" s="14" t="n"/>
      <c r="K445" s="14" t="n"/>
      <c r="L445" s="15" t="n"/>
      <c r="M445" s="15" t="n"/>
      <c r="N445" s="12" t="n"/>
      <c r="O445" s="12" t="n"/>
      <c r="P445" s="16">
        <f>IF(AND(ISNUMBER($L445),ISNUMBER($M445)),MAX(0,$M445-$L445),"")</f>
        <v/>
      </c>
      <c r="Q445" s="16">
        <f>IF(ISNUMBER($D445),MAX(0,TODAY()-$D445),"")</f>
        <v/>
      </c>
      <c r="R445" s="14">
        <f>IF(COUNTA($A445:$O445)=0,"",IFERROR(TRIM(TEXTJOIN(" | ",TRUE,IF($A445="","PC kosong",""),IF($C445="","Worker ID kosong",""),IF($D445="","Update Date kosong",IF(NOT(ISNUMBER($D445)),"Update Date bukan tanggal","")),IF($E445="","Song ID YT kosong",""),IF($F445="","Judul kosong",""),IF(TRIM($G445)="","",IF(ISERROR(MATCH(TRIM($G445),{"TuneCore","DistroKid","TooLost","SoundOn","Ditto","Believe","CD Baby","Amuse","Symphonic Distribution","ONErpm","RouteNote","LANDR","Horus Music","Indie"},0)),"Aggregator di luar daftar","")),IF(TRIM($H445)="","Genre kosong",IF((LEN(SUBSTITUTE(SUBSTITUTE(SUBSTITUTE(TRIM($H445),"/",","),";",",")," ",""))-LEN(SUBSTITUTE(SUBSTITUTE(SUBSTITUTE(SUBSTITUTE(TRIM($H445),"/",","),";",","),"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445),"/",","),";",",")," ","")&amp;",")))&lt;&gt;(LEN(SUBSTITUTE(SUBSTITUTE(SUBSTITUTE(TRIM($H445),"/",","),";",",")," ",""))-LEN(SUBSTITUTE(SUBSTITUTE(SUBSTITUTE(SUBSTITUTE(TRIM($H445),"/",","),";",",")," ",""),",",""))+1),"Genre di luar daftar",""))),IF($I445="","Nama Channel kosong",""),IF($J445="","Link Channel kosong",IF(ISERROR(SEARCH("youtu",$J445)),"Link Channel bukan youtube","")),IF($K445="","Link Video kosong",IF(ISERROR(SEARCH("youtu",$K445)),"Link Video bukan youtube","")),IF($L445="","Tgl Dibuat kosong",IF(NOT(ISNUMBER($L445)),"Tgl Dibuat bukan tanggal","")),IF(AND($M445&lt;&gt;"",NOT(ISNUMBER($M445))),"Tgl Publish bukan tanggal",""),IF(AND(ISNUMBER($L445),ISNUMBER($M445),$M445&lt;$L445),"Tgl Publish &lt; Tgl buat",""),IF(TRIM($N445)="","Status kosong",IF(ISERROR(MATCH(TRIM($N445),{"Draft","Menunggu Review","Revisi","Terjadwal","Upload","Publish","Published","Batal"},0)),"Status di luar daftar","")))),""))</f>
        <v/>
      </c>
      <c r="S445" s="12">
        <f>IF(AND($A445&lt;&gt;"",$C445&lt;&gt;""),IF(COUNTIFS($A$2:$A$1000,$A445,$C$2:$C$1000,$C445)&gt;1,"DUPLICAT",""),"")</f>
        <v/>
      </c>
    </row>
    <row r="446">
      <c r="A446" s="17" t="n"/>
      <c r="B446" s="17" t="n"/>
      <c r="C446" s="17" t="n"/>
      <c r="D446" s="18" t="n"/>
      <c r="E446" s="17" t="n"/>
      <c r="F446" s="19" t="n"/>
      <c r="G446" s="17" t="n"/>
      <c r="H446" s="17" t="n"/>
      <c r="I446" s="17" t="n"/>
      <c r="J446" s="19" t="n"/>
      <c r="K446" s="19" t="n"/>
      <c r="L446" s="20" t="n"/>
      <c r="M446" s="20" t="n"/>
      <c r="N446" s="17" t="n"/>
      <c r="O446" s="17" t="n"/>
      <c r="P446" s="21">
        <f>IF(AND(ISNUMBER($L446),ISNUMBER($M446)),MAX(0,$M446-$L446),"")</f>
        <v/>
      </c>
      <c r="Q446" s="21">
        <f>IF(ISNUMBER($D446),MAX(0,TODAY()-$D446),"")</f>
        <v/>
      </c>
      <c r="R446" s="19">
        <f>IF(COUNTA($A446:$O446)=0,"",IFERROR(TRIM(TEXTJOIN(" | ",TRUE,IF($A446="","PC kosong",""),IF($C446="","Worker ID kosong",""),IF($D446="","Update Date kosong",IF(NOT(ISNUMBER($D446)),"Update Date bukan tanggal","")),IF($E446="","Song ID YT kosong",""),IF($F446="","Judul kosong",""),IF(TRIM($G446)="","",IF(ISERROR(MATCH(TRIM($G446),{"TuneCore","DistroKid","TooLost","SoundOn","Ditto","Believe","CD Baby","Amuse","Symphonic Distribution","ONErpm","RouteNote","LANDR","Horus Music","Indie"},0)),"Aggregator di luar daftar","")),IF(TRIM($H446)="","Genre kosong",IF((LEN(SUBSTITUTE(SUBSTITUTE(SUBSTITUTE(TRIM($H446),"/",","),";",",")," ",""))-LEN(SUBSTITUTE(SUBSTITUTE(SUBSTITUTE(SUBSTITUTE(TRIM($H446),"/",","),";",","),"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446),"/",","),";",",")," ","")&amp;",")))&lt;&gt;(LEN(SUBSTITUTE(SUBSTITUTE(SUBSTITUTE(TRIM($H446),"/",","),";",",")," ",""))-LEN(SUBSTITUTE(SUBSTITUTE(SUBSTITUTE(SUBSTITUTE(TRIM($H446),"/",","),";",",")," ",""),",",""))+1),"Genre di luar daftar",""))),IF($I446="","Nama Channel kosong",""),IF($J446="","Link Channel kosong",IF(ISERROR(SEARCH("youtu",$J446)),"Link Channel bukan youtube","")),IF($K446="","Link Video kosong",IF(ISERROR(SEARCH("youtu",$K446)),"Link Video bukan youtube","")),IF($L446="","Tgl Dibuat kosong",IF(NOT(ISNUMBER($L446)),"Tgl Dibuat bukan tanggal","")),IF(AND($M446&lt;&gt;"",NOT(ISNUMBER($M446))),"Tgl Publish bukan tanggal",""),IF(AND(ISNUMBER($L446),ISNUMBER($M446),$M446&lt;$L446),"Tgl Publish &lt; Tgl buat",""),IF(TRIM($N446)="","Status kosong",IF(ISERROR(MATCH(TRIM($N446),{"Draft","Menunggu Review","Revisi","Terjadwal","Upload","Publish","Published","Batal"},0)),"Status di luar daftar","")))),""))</f>
        <v/>
      </c>
      <c r="S446" s="17">
        <f>IF(AND($A446&lt;&gt;"",$C446&lt;&gt;""),IF(COUNTIFS($A$2:$A$1000,$A446,$C$2:$C$1000,$C446)&gt;1,"DUPLICAT",""),"")</f>
        <v/>
      </c>
    </row>
    <row r="447">
      <c r="A447" s="12" t="n"/>
      <c r="B447" s="12" t="n"/>
      <c r="C447" s="12" t="n"/>
      <c r="D447" s="13" t="n"/>
      <c r="E447" s="12" t="n"/>
      <c r="F447" s="14" t="n"/>
      <c r="G447" s="12" t="n"/>
      <c r="H447" s="12" t="n"/>
      <c r="I447" s="12" t="n"/>
      <c r="J447" s="14" t="n"/>
      <c r="K447" s="14" t="n"/>
      <c r="L447" s="15" t="n"/>
      <c r="M447" s="15" t="n"/>
      <c r="N447" s="12" t="n"/>
      <c r="O447" s="12" t="n"/>
      <c r="P447" s="16">
        <f>IF(AND(ISNUMBER($L447),ISNUMBER($M447)),MAX(0,$M447-$L447),"")</f>
        <v/>
      </c>
      <c r="Q447" s="16">
        <f>IF(ISNUMBER($D447),MAX(0,TODAY()-$D447),"")</f>
        <v/>
      </c>
      <c r="R447" s="14">
        <f>IF(COUNTA($A447:$O447)=0,"",IFERROR(TRIM(TEXTJOIN(" | ",TRUE,IF($A447="","PC kosong",""),IF($C447="","Worker ID kosong",""),IF($D447="","Update Date kosong",IF(NOT(ISNUMBER($D447)),"Update Date bukan tanggal","")),IF($E447="","Song ID YT kosong",""),IF($F447="","Judul kosong",""),IF(TRIM($G447)="","",IF(ISERROR(MATCH(TRIM($G447),{"TuneCore","DistroKid","TooLost","SoundOn","Ditto","Believe","CD Baby","Amuse","Symphonic Distribution","ONErpm","RouteNote","LANDR","Horus Music","Indie"},0)),"Aggregator di luar daftar","")),IF(TRIM($H447)="","Genre kosong",IF((LEN(SUBSTITUTE(SUBSTITUTE(SUBSTITUTE(TRIM($H447),"/",","),";",",")," ",""))-LEN(SUBSTITUTE(SUBSTITUTE(SUBSTITUTE(SUBSTITUTE(TRIM($H447),"/",","),";",","),"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447),"/",","),";",",")," ","")&amp;",")))&lt;&gt;(LEN(SUBSTITUTE(SUBSTITUTE(SUBSTITUTE(TRIM($H447),"/",","),";",",")," ",""))-LEN(SUBSTITUTE(SUBSTITUTE(SUBSTITUTE(SUBSTITUTE(TRIM($H447),"/",","),";",",")," ",""),",",""))+1),"Genre di luar daftar",""))),IF($I447="","Nama Channel kosong",""),IF($J447="","Link Channel kosong",IF(ISERROR(SEARCH("youtu",$J447)),"Link Channel bukan youtube","")),IF($K447="","Link Video kosong",IF(ISERROR(SEARCH("youtu",$K447)),"Link Video bukan youtube","")),IF($L447="","Tgl Dibuat kosong",IF(NOT(ISNUMBER($L447)),"Tgl Dibuat bukan tanggal","")),IF(AND($M447&lt;&gt;"",NOT(ISNUMBER($M447))),"Tgl Publish bukan tanggal",""),IF(AND(ISNUMBER($L447),ISNUMBER($M447),$M447&lt;$L447),"Tgl Publish &lt; Tgl buat",""),IF(TRIM($N447)="","Status kosong",IF(ISERROR(MATCH(TRIM($N447),{"Draft","Menunggu Review","Revisi","Terjadwal","Upload","Publish","Published","Batal"},0)),"Status di luar daftar","")))),""))</f>
        <v/>
      </c>
      <c r="S447" s="12">
        <f>IF(AND($A447&lt;&gt;"",$C447&lt;&gt;""),IF(COUNTIFS($A$2:$A$1000,$A447,$C$2:$C$1000,$C447)&gt;1,"DUPLICAT",""),"")</f>
        <v/>
      </c>
    </row>
    <row r="448">
      <c r="A448" s="17" t="n"/>
      <c r="B448" s="17" t="n"/>
      <c r="C448" s="17" t="n"/>
      <c r="D448" s="18" t="n"/>
      <c r="E448" s="17" t="n"/>
      <c r="F448" s="19" t="n"/>
      <c r="G448" s="17" t="n"/>
      <c r="H448" s="17" t="n"/>
      <c r="I448" s="17" t="n"/>
      <c r="J448" s="19" t="n"/>
      <c r="K448" s="19" t="n"/>
      <c r="L448" s="20" t="n"/>
      <c r="M448" s="20" t="n"/>
      <c r="N448" s="17" t="n"/>
      <c r="O448" s="17" t="n"/>
      <c r="P448" s="21">
        <f>IF(AND(ISNUMBER($L448),ISNUMBER($M448)),MAX(0,$M448-$L448),"")</f>
        <v/>
      </c>
      <c r="Q448" s="21">
        <f>IF(ISNUMBER($D448),MAX(0,TODAY()-$D448),"")</f>
        <v/>
      </c>
      <c r="R448" s="19">
        <f>IF(COUNTA($A448:$O448)=0,"",IFERROR(TRIM(TEXTJOIN(" | ",TRUE,IF($A448="","PC kosong",""),IF($C448="","Worker ID kosong",""),IF($D448="","Update Date kosong",IF(NOT(ISNUMBER($D448)),"Update Date bukan tanggal","")),IF($E448="","Song ID YT kosong",""),IF($F448="","Judul kosong",""),IF(TRIM($G448)="","",IF(ISERROR(MATCH(TRIM($G448),{"TuneCore","DistroKid","TooLost","SoundOn","Ditto","Believe","CD Baby","Amuse","Symphonic Distribution","ONErpm","RouteNote","LANDR","Horus Music","Indie"},0)),"Aggregator di luar daftar","")),IF(TRIM($H448)="","Genre kosong",IF((LEN(SUBSTITUTE(SUBSTITUTE(SUBSTITUTE(TRIM($H448),"/",","),";",",")," ",""))-LEN(SUBSTITUTE(SUBSTITUTE(SUBSTITUTE(SUBSTITUTE(TRIM($H448),"/",","),";",","),"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448),"/",","),";",",")," ","")&amp;",")))&lt;&gt;(LEN(SUBSTITUTE(SUBSTITUTE(SUBSTITUTE(TRIM($H448),"/",","),";",",")," ",""))-LEN(SUBSTITUTE(SUBSTITUTE(SUBSTITUTE(SUBSTITUTE(TRIM($H448),"/",","),";",",")," ",""),",",""))+1),"Genre di luar daftar",""))),IF($I448="","Nama Channel kosong",""),IF($J448="","Link Channel kosong",IF(ISERROR(SEARCH("youtu",$J448)),"Link Channel bukan youtube","")),IF($K448="","Link Video kosong",IF(ISERROR(SEARCH("youtu",$K448)),"Link Video bukan youtube","")),IF($L448="","Tgl Dibuat kosong",IF(NOT(ISNUMBER($L448)),"Tgl Dibuat bukan tanggal","")),IF(AND($M448&lt;&gt;"",NOT(ISNUMBER($M448))),"Tgl Publish bukan tanggal",""),IF(AND(ISNUMBER($L448),ISNUMBER($M448),$M448&lt;$L448),"Tgl Publish &lt; Tgl buat",""),IF(TRIM($N448)="","Status kosong",IF(ISERROR(MATCH(TRIM($N448),{"Draft","Menunggu Review","Revisi","Terjadwal","Upload","Publish","Published","Batal"},0)),"Status di luar daftar","")))),""))</f>
        <v/>
      </c>
      <c r="S448" s="17">
        <f>IF(AND($A448&lt;&gt;"",$C448&lt;&gt;""),IF(COUNTIFS($A$2:$A$1000,$A448,$C$2:$C$1000,$C448)&gt;1,"DUPLICAT",""),"")</f>
        <v/>
      </c>
    </row>
    <row r="449">
      <c r="A449" s="12" t="n"/>
      <c r="B449" s="12" t="n"/>
      <c r="C449" s="12" t="n"/>
      <c r="D449" s="13" t="n"/>
      <c r="E449" s="12" t="n"/>
      <c r="F449" s="14" t="n"/>
      <c r="G449" s="12" t="n"/>
      <c r="H449" s="12" t="n"/>
      <c r="I449" s="12" t="n"/>
      <c r="J449" s="14" t="n"/>
      <c r="K449" s="14" t="n"/>
      <c r="L449" s="15" t="n"/>
      <c r="M449" s="15" t="n"/>
      <c r="N449" s="12" t="n"/>
      <c r="O449" s="12" t="n"/>
      <c r="P449" s="16">
        <f>IF(AND(ISNUMBER($L449),ISNUMBER($M449)),MAX(0,$M449-$L449),"")</f>
        <v/>
      </c>
      <c r="Q449" s="16">
        <f>IF(ISNUMBER($D449),MAX(0,TODAY()-$D449),"")</f>
        <v/>
      </c>
      <c r="R449" s="14">
        <f>IF(COUNTA($A449:$O449)=0,"",IFERROR(TRIM(TEXTJOIN(" | ",TRUE,IF($A449="","PC kosong",""),IF($C449="","Worker ID kosong",""),IF($D449="","Update Date kosong",IF(NOT(ISNUMBER($D449)),"Update Date bukan tanggal","")),IF($E449="","Song ID YT kosong",""),IF($F449="","Judul kosong",""),IF(TRIM($G449)="","",IF(ISERROR(MATCH(TRIM($G449),{"TuneCore","DistroKid","TooLost","SoundOn","Ditto","Believe","CD Baby","Amuse","Symphonic Distribution","ONErpm","RouteNote","LANDR","Horus Music","Indie"},0)),"Aggregator di luar daftar","")),IF(TRIM($H449)="","Genre kosong",IF((LEN(SUBSTITUTE(SUBSTITUTE(SUBSTITUTE(TRIM($H449),"/",","),";",",")," ",""))-LEN(SUBSTITUTE(SUBSTITUTE(SUBSTITUTE(SUBSTITUTE(TRIM($H449),"/",","),";",","),"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449),"/",","),";",",")," ","")&amp;",")))&lt;&gt;(LEN(SUBSTITUTE(SUBSTITUTE(SUBSTITUTE(TRIM($H449),"/",","),";",",")," ",""))-LEN(SUBSTITUTE(SUBSTITUTE(SUBSTITUTE(SUBSTITUTE(TRIM($H449),"/",","),";",",")," ",""),",",""))+1),"Genre di luar daftar",""))),IF($I449="","Nama Channel kosong",""),IF($J449="","Link Channel kosong",IF(ISERROR(SEARCH("youtu",$J449)),"Link Channel bukan youtube","")),IF($K449="","Link Video kosong",IF(ISERROR(SEARCH("youtu",$K449)),"Link Video bukan youtube","")),IF($L449="","Tgl Dibuat kosong",IF(NOT(ISNUMBER($L449)),"Tgl Dibuat bukan tanggal","")),IF(AND($M449&lt;&gt;"",NOT(ISNUMBER($M449))),"Tgl Publish bukan tanggal",""),IF(AND(ISNUMBER($L449),ISNUMBER($M449),$M449&lt;$L449),"Tgl Publish &lt; Tgl buat",""),IF(TRIM($N449)="","Status kosong",IF(ISERROR(MATCH(TRIM($N449),{"Draft","Menunggu Review","Revisi","Terjadwal","Upload","Publish","Published","Batal"},0)),"Status di luar daftar","")))),""))</f>
        <v/>
      </c>
      <c r="S449" s="12">
        <f>IF(AND($A449&lt;&gt;"",$C449&lt;&gt;""),IF(COUNTIFS($A$2:$A$1000,$A449,$C$2:$C$1000,$C449)&gt;1,"DUPLICAT",""),"")</f>
        <v/>
      </c>
    </row>
    <row r="450">
      <c r="A450" s="17" t="n"/>
      <c r="B450" s="17" t="n"/>
      <c r="C450" s="17" t="n"/>
      <c r="D450" s="18" t="n"/>
      <c r="E450" s="17" t="n"/>
      <c r="F450" s="19" t="n"/>
      <c r="G450" s="17" t="n"/>
      <c r="H450" s="17" t="n"/>
      <c r="I450" s="17" t="n"/>
      <c r="J450" s="19" t="n"/>
      <c r="K450" s="19" t="n"/>
      <c r="L450" s="20" t="n"/>
      <c r="M450" s="20" t="n"/>
      <c r="N450" s="17" t="n"/>
      <c r="O450" s="17" t="n"/>
      <c r="P450" s="21">
        <f>IF(AND(ISNUMBER($L450),ISNUMBER($M450)),MAX(0,$M450-$L450),"")</f>
        <v/>
      </c>
      <c r="Q450" s="21">
        <f>IF(ISNUMBER($D450),MAX(0,TODAY()-$D450),"")</f>
        <v/>
      </c>
      <c r="R450" s="19">
        <f>IF(COUNTA($A450:$O450)=0,"",IFERROR(TRIM(TEXTJOIN(" | ",TRUE,IF($A450="","PC kosong",""),IF($C450="","Worker ID kosong",""),IF($D450="","Update Date kosong",IF(NOT(ISNUMBER($D450)),"Update Date bukan tanggal","")),IF($E450="","Song ID YT kosong",""),IF($F450="","Judul kosong",""),IF(TRIM($G450)="","",IF(ISERROR(MATCH(TRIM($G450),{"TuneCore","DistroKid","TooLost","SoundOn","Ditto","Believe","CD Baby","Amuse","Symphonic Distribution","ONErpm","RouteNote","LANDR","Horus Music","Indie"},0)),"Aggregator di luar daftar","")),IF(TRIM($H450)="","Genre kosong",IF((LEN(SUBSTITUTE(SUBSTITUTE(SUBSTITUTE(TRIM($H450),"/",","),";",",")," ",""))-LEN(SUBSTITUTE(SUBSTITUTE(SUBSTITUTE(SUBSTITUTE(TRIM($H450),"/",","),";",","),"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450),"/",","),";",",")," ","")&amp;",")))&lt;&gt;(LEN(SUBSTITUTE(SUBSTITUTE(SUBSTITUTE(TRIM($H450),"/",","),";",",")," ",""))-LEN(SUBSTITUTE(SUBSTITUTE(SUBSTITUTE(SUBSTITUTE(TRIM($H450),"/",","),";",",")," ",""),",",""))+1),"Genre di luar daftar",""))),IF($I450="","Nama Channel kosong",""),IF($J450="","Link Channel kosong",IF(ISERROR(SEARCH("youtu",$J450)),"Link Channel bukan youtube","")),IF($K450="","Link Video kosong",IF(ISERROR(SEARCH("youtu",$K450)),"Link Video bukan youtube","")),IF($L450="","Tgl Dibuat kosong",IF(NOT(ISNUMBER($L450)),"Tgl Dibuat bukan tanggal","")),IF(AND($M450&lt;&gt;"",NOT(ISNUMBER($M450))),"Tgl Publish bukan tanggal",""),IF(AND(ISNUMBER($L450),ISNUMBER($M450),$M450&lt;$L450),"Tgl Publish &lt; Tgl buat",""),IF(TRIM($N450)="","Status kosong",IF(ISERROR(MATCH(TRIM($N450),{"Draft","Menunggu Review","Revisi","Terjadwal","Upload","Publish","Published","Batal"},0)),"Status di luar daftar","")))),""))</f>
        <v/>
      </c>
      <c r="S450" s="17">
        <f>IF(AND($A450&lt;&gt;"",$C450&lt;&gt;""),IF(COUNTIFS($A$2:$A$1000,$A450,$C$2:$C$1000,$C450)&gt;1,"DUPLICAT",""),"")</f>
        <v/>
      </c>
    </row>
    <row r="451">
      <c r="A451" s="12" t="n"/>
      <c r="B451" s="12" t="n"/>
      <c r="C451" s="12" t="n"/>
      <c r="D451" s="13" t="n"/>
      <c r="E451" s="12" t="n"/>
      <c r="F451" s="14" t="n"/>
      <c r="G451" s="12" t="n"/>
      <c r="H451" s="12" t="n"/>
      <c r="I451" s="12" t="n"/>
      <c r="J451" s="14" t="n"/>
      <c r="K451" s="14" t="n"/>
      <c r="L451" s="15" t="n"/>
      <c r="M451" s="15" t="n"/>
      <c r="N451" s="12" t="n"/>
      <c r="O451" s="12" t="n"/>
      <c r="P451" s="16">
        <f>IF(AND(ISNUMBER($L451),ISNUMBER($M451)),MAX(0,$M451-$L451),"")</f>
        <v/>
      </c>
      <c r="Q451" s="16">
        <f>IF(ISNUMBER($D451),MAX(0,TODAY()-$D451),"")</f>
        <v/>
      </c>
      <c r="R451" s="14">
        <f>IF(COUNTA($A451:$O451)=0,"",IFERROR(TRIM(TEXTJOIN(" | ",TRUE,IF($A451="","PC kosong",""),IF($C451="","Worker ID kosong",""),IF($D451="","Update Date kosong",IF(NOT(ISNUMBER($D451)),"Update Date bukan tanggal","")),IF($E451="","Song ID YT kosong",""),IF($F451="","Judul kosong",""),IF(TRIM($G451)="","",IF(ISERROR(MATCH(TRIM($G451),{"TuneCore","DistroKid","TooLost","SoundOn","Ditto","Believe","CD Baby","Amuse","Symphonic Distribution","ONErpm","RouteNote","LANDR","Horus Music","Indie"},0)),"Aggregator di luar daftar","")),IF(TRIM($H451)="","Genre kosong",IF((LEN(SUBSTITUTE(SUBSTITUTE(SUBSTITUTE(TRIM($H451),"/",","),";",",")," ",""))-LEN(SUBSTITUTE(SUBSTITUTE(SUBSTITUTE(SUBSTITUTE(TRIM($H451),"/",","),";",","),"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451),"/",","),";",",")," ","")&amp;",")))&lt;&gt;(LEN(SUBSTITUTE(SUBSTITUTE(SUBSTITUTE(TRIM($H451),"/",","),";",",")," ",""))-LEN(SUBSTITUTE(SUBSTITUTE(SUBSTITUTE(SUBSTITUTE(TRIM($H451),"/",","),";",",")," ",""),",",""))+1),"Genre di luar daftar",""))),IF($I451="","Nama Channel kosong",""),IF($J451="","Link Channel kosong",IF(ISERROR(SEARCH("youtu",$J451)),"Link Channel bukan youtube","")),IF($K451="","Link Video kosong",IF(ISERROR(SEARCH("youtu",$K451)),"Link Video bukan youtube","")),IF($L451="","Tgl Dibuat kosong",IF(NOT(ISNUMBER($L451)),"Tgl Dibuat bukan tanggal","")),IF(AND($M451&lt;&gt;"",NOT(ISNUMBER($M451))),"Tgl Publish bukan tanggal",""),IF(AND(ISNUMBER($L451),ISNUMBER($M451),$M451&lt;$L451),"Tgl Publish &lt; Tgl buat",""),IF(TRIM($N451)="","Status kosong",IF(ISERROR(MATCH(TRIM($N451),{"Draft","Menunggu Review","Revisi","Terjadwal","Upload","Publish","Published","Batal"},0)),"Status di luar daftar","")))),""))</f>
        <v/>
      </c>
      <c r="S451" s="12">
        <f>IF(AND($A451&lt;&gt;"",$C451&lt;&gt;""),IF(COUNTIFS($A$2:$A$1000,$A451,$C$2:$C$1000,$C451)&gt;1,"DUPLICAT",""),"")</f>
        <v/>
      </c>
    </row>
    <row r="452">
      <c r="A452" s="17" t="n"/>
      <c r="B452" s="17" t="n"/>
      <c r="C452" s="17" t="n"/>
      <c r="D452" s="18" t="n"/>
      <c r="E452" s="17" t="n"/>
      <c r="F452" s="19" t="n"/>
      <c r="G452" s="17" t="n"/>
      <c r="H452" s="17" t="n"/>
      <c r="I452" s="17" t="n"/>
      <c r="J452" s="19" t="n"/>
      <c r="K452" s="19" t="n"/>
      <c r="L452" s="20" t="n"/>
      <c r="M452" s="20" t="n"/>
      <c r="N452" s="17" t="n"/>
      <c r="O452" s="17" t="n"/>
      <c r="P452" s="21">
        <f>IF(AND(ISNUMBER($L452),ISNUMBER($M452)),MAX(0,$M452-$L452),"")</f>
        <v/>
      </c>
      <c r="Q452" s="21">
        <f>IF(ISNUMBER($D452),MAX(0,TODAY()-$D452),"")</f>
        <v/>
      </c>
      <c r="R452" s="19">
        <f>IF(COUNTA($A452:$O452)=0,"",IFERROR(TRIM(TEXTJOIN(" | ",TRUE,IF($A452="","PC kosong",""),IF($C452="","Worker ID kosong",""),IF($D452="","Update Date kosong",IF(NOT(ISNUMBER($D452)),"Update Date bukan tanggal","")),IF($E452="","Song ID YT kosong",""),IF($F452="","Judul kosong",""),IF(TRIM($G452)="","",IF(ISERROR(MATCH(TRIM($G452),{"TuneCore","DistroKid","TooLost","SoundOn","Ditto","Believe","CD Baby","Amuse","Symphonic Distribution","ONErpm","RouteNote","LANDR","Horus Music","Indie"},0)),"Aggregator di luar daftar","")),IF(TRIM($H452)="","Genre kosong",IF((LEN(SUBSTITUTE(SUBSTITUTE(SUBSTITUTE(TRIM($H452),"/",","),";",",")," ",""))-LEN(SUBSTITUTE(SUBSTITUTE(SUBSTITUTE(SUBSTITUTE(TRIM($H452),"/",","),";",","),"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452),"/",","),";",",")," ","")&amp;",")))&lt;&gt;(LEN(SUBSTITUTE(SUBSTITUTE(SUBSTITUTE(TRIM($H452),"/",","),";",",")," ",""))-LEN(SUBSTITUTE(SUBSTITUTE(SUBSTITUTE(SUBSTITUTE(TRIM($H452),"/",","),";",",")," ",""),",",""))+1),"Genre di luar daftar",""))),IF($I452="","Nama Channel kosong",""),IF($J452="","Link Channel kosong",IF(ISERROR(SEARCH("youtu",$J452)),"Link Channel bukan youtube","")),IF($K452="","Link Video kosong",IF(ISERROR(SEARCH("youtu",$K452)),"Link Video bukan youtube","")),IF($L452="","Tgl Dibuat kosong",IF(NOT(ISNUMBER($L452)),"Tgl Dibuat bukan tanggal","")),IF(AND($M452&lt;&gt;"",NOT(ISNUMBER($M452))),"Tgl Publish bukan tanggal",""),IF(AND(ISNUMBER($L452),ISNUMBER($M452),$M452&lt;$L452),"Tgl Publish &lt; Tgl buat",""),IF(TRIM($N452)="","Status kosong",IF(ISERROR(MATCH(TRIM($N452),{"Draft","Menunggu Review","Revisi","Terjadwal","Upload","Publish","Published","Batal"},0)),"Status di luar daftar","")))),""))</f>
        <v/>
      </c>
      <c r="S452" s="17">
        <f>IF(AND($A452&lt;&gt;"",$C452&lt;&gt;""),IF(COUNTIFS($A$2:$A$1000,$A452,$C$2:$C$1000,$C452)&gt;1,"DUPLICAT",""),"")</f>
        <v/>
      </c>
    </row>
    <row r="453">
      <c r="A453" s="12" t="n"/>
      <c r="B453" s="12" t="n"/>
      <c r="C453" s="12" t="n"/>
      <c r="D453" s="13" t="n"/>
      <c r="E453" s="12" t="n"/>
      <c r="F453" s="14" t="n"/>
      <c r="G453" s="12" t="n"/>
      <c r="H453" s="12" t="n"/>
      <c r="I453" s="12" t="n"/>
      <c r="J453" s="14" t="n"/>
      <c r="K453" s="14" t="n"/>
      <c r="L453" s="15" t="n"/>
      <c r="M453" s="15" t="n"/>
      <c r="N453" s="12" t="n"/>
      <c r="O453" s="12" t="n"/>
      <c r="P453" s="16">
        <f>IF(AND(ISNUMBER($L453),ISNUMBER($M453)),MAX(0,$M453-$L453),"")</f>
        <v/>
      </c>
      <c r="Q453" s="16">
        <f>IF(ISNUMBER($D453),MAX(0,TODAY()-$D453),"")</f>
        <v/>
      </c>
      <c r="R453" s="14">
        <f>IF(COUNTA($A453:$O453)=0,"",IFERROR(TRIM(TEXTJOIN(" | ",TRUE,IF($A453="","PC kosong",""),IF($C453="","Worker ID kosong",""),IF($D453="","Update Date kosong",IF(NOT(ISNUMBER($D453)),"Update Date bukan tanggal","")),IF($E453="","Song ID YT kosong",""),IF($F453="","Judul kosong",""),IF(TRIM($G453)="","",IF(ISERROR(MATCH(TRIM($G453),{"TuneCore","DistroKid","TooLost","SoundOn","Ditto","Believe","CD Baby","Amuse","Symphonic Distribution","ONErpm","RouteNote","LANDR","Horus Music","Indie"},0)),"Aggregator di luar daftar","")),IF(TRIM($H453)="","Genre kosong",IF((LEN(SUBSTITUTE(SUBSTITUTE(SUBSTITUTE(TRIM($H453),"/",","),";",",")," ",""))-LEN(SUBSTITUTE(SUBSTITUTE(SUBSTITUTE(SUBSTITUTE(TRIM($H453),"/",","),";",","),"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453),"/",","),";",",")," ","")&amp;",")))&lt;&gt;(LEN(SUBSTITUTE(SUBSTITUTE(SUBSTITUTE(TRIM($H453),"/",","),";",",")," ",""))-LEN(SUBSTITUTE(SUBSTITUTE(SUBSTITUTE(SUBSTITUTE(TRIM($H453),"/",","),";",",")," ",""),",",""))+1),"Genre di luar daftar",""))),IF($I453="","Nama Channel kosong",""),IF($J453="","Link Channel kosong",IF(ISERROR(SEARCH("youtu",$J453)),"Link Channel bukan youtube","")),IF($K453="","Link Video kosong",IF(ISERROR(SEARCH("youtu",$K453)),"Link Video bukan youtube","")),IF($L453="","Tgl Dibuat kosong",IF(NOT(ISNUMBER($L453)),"Tgl Dibuat bukan tanggal","")),IF(AND($M453&lt;&gt;"",NOT(ISNUMBER($M453))),"Tgl Publish bukan tanggal",""),IF(AND(ISNUMBER($L453),ISNUMBER($M453),$M453&lt;$L453),"Tgl Publish &lt; Tgl buat",""),IF(TRIM($N453)="","Status kosong",IF(ISERROR(MATCH(TRIM($N453),{"Draft","Menunggu Review","Revisi","Terjadwal","Upload","Publish","Published","Batal"},0)),"Status di luar daftar","")))),""))</f>
        <v/>
      </c>
      <c r="S453" s="12">
        <f>IF(AND($A453&lt;&gt;"",$C453&lt;&gt;""),IF(COUNTIFS($A$2:$A$1000,$A453,$C$2:$C$1000,$C453)&gt;1,"DUPLICAT",""),"")</f>
        <v/>
      </c>
    </row>
    <row r="454">
      <c r="A454" s="17" t="n"/>
      <c r="B454" s="17" t="n"/>
      <c r="C454" s="17" t="n"/>
      <c r="D454" s="18" t="n"/>
      <c r="E454" s="17" t="n"/>
      <c r="F454" s="19" t="n"/>
      <c r="G454" s="17" t="n"/>
      <c r="H454" s="17" t="n"/>
      <c r="I454" s="17" t="n"/>
      <c r="J454" s="19" t="n"/>
      <c r="K454" s="19" t="n"/>
      <c r="L454" s="20" t="n"/>
      <c r="M454" s="20" t="n"/>
      <c r="N454" s="17" t="n"/>
      <c r="O454" s="17" t="n"/>
      <c r="P454" s="21">
        <f>IF(AND(ISNUMBER($L454),ISNUMBER($M454)),MAX(0,$M454-$L454),"")</f>
        <v/>
      </c>
      <c r="Q454" s="21">
        <f>IF(ISNUMBER($D454),MAX(0,TODAY()-$D454),"")</f>
        <v/>
      </c>
      <c r="R454" s="19">
        <f>IF(COUNTA($A454:$O454)=0,"",IFERROR(TRIM(TEXTJOIN(" | ",TRUE,IF($A454="","PC kosong",""),IF($C454="","Worker ID kosong",""),IF($D454="","Update Date kosong",IF(NOT(ISNUMBER($D454)),"Update Date bukan tanggal","")),IF($E454="","Song ID YT kosong",""),IF($F454="","Judul kosong",""),IF(TRIM($G454)="","",IF(ISERROR(MATCH(TRIM($G454),{"TuneCore","DistroKid","TooLost","SoundOn","Ditto","Believe","CD Baby","Amuse","Symphonic Distribution","ONErpm","RouteNote","LANDR","Horus Music","Indie"},0)),"Aggregator di luar daftar","")),IF(TRIM($H454)="","Genre kosong",IF((LEN(SUBSTITUTE(SUBSTITUTE(SUBSTITUTE(TRIM($H454),"/",","),";",",")," ",""))-LEN(SUBSTITUTE(SUBSTITUTE(SUBSTITUTE(SUBSTITUTE(TRIM($H454),"/",","),";",","),"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454),"/",","),";",",")," ","")&amp;",")))&lt;&gt;(LEN(SUBSTITUTE(SUBSTITUTE(SUBSTITUTE(TRIM($H454),"/",","),";",",")," ",""))-LEN(SUBSTITUTE(SUBSTITUTE(SUBSTITUTE(SUBSTITUTE(TRIM($H454),"/",","),";",",")," ",""),",",""))+1),"Genre di luar daftar",""))),IF($I454="","Nama Channel kosong",""),IF($J454="","Link Channel kosong",IF(ISERROR(SEARCH("youtu",$J454)),"Link Channel bukan youtube","")),IF($K454="","Link Video kosong",IF(ISERROR(SEARCH("youtu",$K454)),"Link Video bukan youtube","")),IF($L454="","Tgl Dibuat kosong",IF(NOT(ISNUMBER($L454)),"Tgl Dibuat bukan tanggal","")),IF(AND($M454&lt;&gt;"",NOT(ISNUMBER($M454))),"Tgl Publish bukan tanggal",""),IF(AND(ISNUMBER($L454),ISNUMBER($M454),$M454&lt;$L454),"Tgl Publish &lt; Tgl buat",""),IF(TRIM($N454)="","Status kosong",IF(ISERROR(MATCH(TRIM($N454),{"Draft","Menunggu Review","Revisi","Terjadwal","Upload","Publish","Published","Batal"},0)),"Status di luar daftar","")))),""))</f>
        <v/>
      </c>
      <c r="S454" s="17">
        <f>IF(AND($A454&lt;&gt;"",$C454&lt;&gt;""),IF(COUNTIFS($A$2:$A$1000,$A454,$C$2:$C$1000,$C454)&gt;1,"DUPLICAT",""),"")</f>
        <v/>
      </c>
    </row>
    <row r="455">
      <c r="A455" s="12" t="n"/>
      <c r="B455" s="12" t="n"/>
      <c r="C455" s="12" t="n"/>
      <c r="D455" s="13" t="n"/>
      <c r="E455" s="12" t="n"/>
      <c r="F455" s="14" t="n"/>
      <c r="G455" s="12" t="n"/>
      <c r="H455" s="12" t="n"/>
      <c r="I455" s="12" t="n"/>
      <c r="J455" s="14" t="n"/>
      <c r="K455" s="14" t="n"/>
      <c r="L455" s="15" t="n"/>
      <c r="M455" s="15" t="n"/>
      <c r="N455" s="12" t="n"/>
      <c r="O455" s="12" t="n"/>
      <c r="P455" s="16">
        <f>IF(AND(ISNUMBER($L455),ISNUMBER($M455)),MAX(0,$M455-$L455),"")</f>
        <v/>
      </c>
      <c r="Q455" s="16">
        <f>IF(ISNUMBER($D455),MAX(0,TODAY()-$D455),"")</f>
        <v/>
      </c>
      <c r="R455" s="14">
        <f>IF(COUNTA($A455:$O455)=0,"",IFERROR(TRIM(TEXTJOIN(" | ",TRUE,IF($A455="","PC kosong",""),IF($C455="","Worker ID kosong",""),IF($D455="","Update Date kosong",IF(NOT(ISNUMBER($D455)),"Update Date bukan tanggal","")),IF($E455="","Song ID YT kosong",""),IF($F455="","Judul kosong",""),IF(TRIM($G455)="","",IF(ISERROR(MATCH(TRIM($G455),{"TuneCore","DistroKid","TooLost","SoundOn","Ditto","Believe","CD Baby","Amuse","Symphonic Distribution","ONErpm","RouteNote","LANDR","Horus Music","Indie"},0)),"Aggregator di luar daftar","")),IF(TRIM($H455)="","Genre kosong",IF((LEN(SUBSTITUTE(SUBSTITUTE(SUBSTITUTE(TRIM($H455),"/",","),";",",")," ",""))-LEN(SUBSTITUTE(SUBSTITUTE(SUBSTITUTE(SUBSTITUTE(TRIM($H455),"/",","),";",","),"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455),"/",","),";",",")," ","")&amp;",")))&lt;&gt;(LEN(SUBSTITUTE(SUBSTITUTE(SUBSTITUTE(TRIM($H455),"/",","),";",",")," ",""))-LEN(SUBSTITUTE(SUBSTITUTE(SUBSTITUTE(SUBSTITUTE(TRIM($H455),"/",","),";",",")," ",""),",",""))+1),"Genre di luar daftar",""))),IF($I455="","Nama Channel kosong",""),IF($J455="","Link Channel kosong",IF(ISERROR(SEARCH("youtu",$J455)),"Link Channel bukan youtube","")),IF($K455="","Link Video kosong",IF(ISERROR(SEARCH("youtu",$K455)),"Link Video bukan youtube","")),IF($L455="","Tgl Dibuat kosong",IF(NOT(ISNUMBER($L455)),"Tgl Dibuat bukan tanggal","")),IF(AND($M455&lt;&gt;"",NOT(ISNUMBER($M455))),"Tgl Publish bukan tanggal",""),IF(AND(ISNUMBER($L455),ISNUMBER($M455),$M455&lt;$L455),"Tgl Publish &lt; Tgl buat",""),IF(TRIM($N455)="","Status kosong",IF(ISERROR(MATCH(TRIM($N455),{"Draft","Menunggu Review","Revisi","Terjadwal","Upload","Publish","Published","Batal"},0)),"Status di luar daftar","")))),""))</f>
        <v/>
      </c>
      <c r="S455" s="12">
        <f>IF(AND($A455&lt;&gt;"",$C455&lt;&gt;""),IF(COUNTIFS($A$2:$A$1000,$A455,$C$2:$C$1000,$C455)&gt;1,"DUPLICAT",""),"")</f>
        <v/>
      </c>
    </row>
    <row r="456">
      <c r="A456" s="17" t="n"/>
      <c r="B456" s="17" t="n"/>
      <c r="C456" s="17" t="n"/>
      <c r="D456" s="18" t="n"/>
      <c r="E456" s="17" t="n"/>
      <c r="F456" s="19" t="n"/>
      <c r="G456" s="17" t="n"/>
      <c r="H456" s="17" t="n"/>
      <c r="I456" s="17" t="n"/>
      <c r="J456" s="19" t="n"/>
      <c r="K456" s="19" t="n"/>
      <c r="L456" s="20" t="n"/>
      <c r="M456" s="20" t="n"/>
      <c r="N456" s="17" t="n"/>
      <c r="O456" s="17" t="n"/>
      <c r="P456" s="21">
        <f>IF(AND(ISNUMBER($L456),ISNUMBER($M456)),MAX(0,$M456-$L456),"")</f>
        <v/>
      </c>
      <c r="Q456" s="21">
        <f>IF(ISNUMBER($D456),MAX(0,TODAY()-$D456),"")</f>
        <v/>
      </c>
      <c r="R456" s="19">
        <f>IF(COUNTA($A456:$O456)=0,"",IFERROR(TRIM(TEXTJOIN(" | ",TRUE,IF($A456="","PC kosong",""),IF($C456="","Worker ID kosong",""),IF($D456="","Update Date kosong",IF(NOT(ISNUMBER($D456)),"Update Date bukan tanggal","")),IF($E456="","Song ID YT kosong",""),IF($F456="","Judul kosong",""),IF(TRIM($G456)="","",IF(ISERROR(MATCH(TRIM($G456),{"TuneCore","DistroKid","TooLost","SoundOn","Ditto","Believe","CD Baby","Amuse","Symphonic Distribution","ONErpm","RouteNote","LANDR","Horus Music","Indie"},0)),"Aggregator di luar daftar","")),IF(TRIM($H456)="","Genre kosong",IF((LEN(SUBSTITUTE(SUBSTITUTE(SUBSTITUTE(TRIM($H456),"/",","),";",",")," ",""))-LEN(SUBSTITUTE(SUBSTITUTE(SUBSTITUTE(SUBSTITUTE(TRIM($H456),"/",","),";",","),"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456),"/",","),";",",")," ","")&amp;",")))&lt;&gt;(LEN(SUBSTITUTE(SUBSTITUTE(SUBSTITUTE(TRIM($H456),"/",","),";",",")," ",""))-LEN(SUBSTITUTE(SUBSTITUTE(SUBSTITUTE(SUBSTITUTE(TRIM($H456),"/",","),";",",")," ",""),",",""))+1),"Genre di luar daftar",""))),IF($I456="","Nama Channel kosong",""),IF($J456="","Link Channel kosong",IF(ISERROR(SEARCH("youtu",$J456)),"Link Channel bukan youtube","")),IF($K456="","Link Video kosong",IF(ISERROR(SEARCH("youtu",$K456)),"Link Video bukan youtube","")),IF($L456="","Tgl Dibuat kosong",IF(NOT(ISNUMBER($L456)),"Tgl Dibuat bukan tanggal","")),IF(AND($M456&lt;&gt;"",NOT(ISNUMBER($M456))),"Tgl Publish bukan tanggal",""),IF(AND(ISNUMBER($L456),ISNUMBER($M456),$M456&lt;$L456),"Tgl Publish &lt; Tgl buat",""),IF(TRIM($N456)="","Status kosong",IF(ISERROR(MATCH(TRIM($N456),{"Draft","Menunggu Review","Revisi","Terjadwal","Upload","Publish","Published","Batal"},0)),"Status di luar daftar","")))),""))</f>
        <v/>
      </c>
      <c r="S456" s="17">
        <f>IF(AND($A456&lt;&gt;"",$C456&lt;&gt;""),IF(COUNTIFS($A$2:$A$1000,$A456,$C$2:$C$1000,$C456)&gt;1,"DUPLICAT",""),"")</f>
        <v/>
      </c>
    </row>
    <row r="457">
      <c r="A457" s="12" t="n"/>
      <c r="B457" s="12" t="n"/>
      <c r="C457" s="12" t="n"/>
      <c r="D457" s="13" t="n"/>
      <c r="E457" s="12" t="n"/>
      <c r="F457" s="14" t="n"/>
      <c r="G457" s="12" t="n"/>
      <c r="H457" s="12" t="n"/>
      <c r="I457" s="12" t="n"/>
      <c r="J457" s="14" t="n"/>
      <c r="K457" s="14" t="n"/>
      <c r="L457" s="15" t="n"/>
      <c r="M457" s="15" t="n"/>
      <c r="N457" s="12" t="n"/>
      <c r="O457" s="12" t="n"/>
      <c r="P457" s="16">
        <f>IF(AND(ISNUMBER($L457),ISNUMBER($M457)),MAX(0,$M457-$L457),"")</f>
        <v/>
      </c>
      <c r="Q457" s="16">
        <f>IF(ISNUMBER($D457),MAX(0,TODAY()-$D457),"")</f>
        <v/>
      </c>
      <c r="R457" s="14">
        <f>IF(COUNTA($A457:$O457)=0,"",IFERROR(TRIM(TEXTJOIN(" | ",TRUE,IF($A457="","PC kosong",""),IF($C457="","Worker ID kosong",""),IF($D457="","Update Date kosong",IF(NOT(ISNUMBER($D457)),"Update Date bukan tanggal","")),IF($E457="","Song ID YT kosong",""),IF($F457="","Judul kosong",""),IF(TRIM($G457)="","",IF(ISERROR(MATCH(TRIM($G457),{"TuneCore","DistroKid","TooLost","SoundOn","Ditto","Believe","CD Baby","Amuse","Symphonic Distribution","ONErpm","RouteNote","LANDR","Horus Music","Indie"},0)),"Aggregator di luar daftar","")),IF(TRIM($H457)="","Genre kosong",IF((LEN(SUBSTITUTE(SUBSTITUTE(SUBSTITUTE(TRIM($H457),"/",","),";",",")," ",""))-LEN(SUBSTITUTE(SUBSTITUTE(SUBSTITUTE(SUBSTITUTE(TRIM($H457),"/",","),";",","),"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457),"/",","),";",",")," ","")&amp;",")))&lt;&gt;(LEN(SUBSTITUTE(SUBSTITUTE(SUBSTITUTE(TRIM($H457),"/",","),";",",")," ",""))-LEN(SUBSTITUTE(SUBSTITUTE(SUBSTITUTE(SUBSTITUTE(TRIM($H457),"/",","),";",",")," ",""),",",""))+1),"Genre di luar daftar",""))),IF($I457="","Nama Channel kosong",""),IF($J457="","Link Channel kosong",IF(ISERROR(SEARCH("youtu",$J457)),"Link Channel bukan youtube","")),IF($K457="","Link Video kosong",IF(ISERROR(SEARCH("youtu",$K457)),"Link Video bukan youtube","")),IF($L457="","Tgl Dibuat kosong",IF(NOT(ISNUMBER($L457)),"Tgl Dibuat bukan tanggal","")),IF(AND($M457&lt;&gt;"",NOT(ISNUMBER($M457))),"Tgl Publish bukan tanggal",""),IF(AND(ISNUMBER($L457),ISNUMBER($M457),$M457&lt;$L457),"Tgl Publish &lt; Tgl buat",""),IF(TRIM($N457)="","Status kosong",IF(ISERROR(MATCH(TRIM($N457),{"Draft","Menunggu Review","Revisi","Terjadwal","Upload","Publish","Published","Batal"},0)),"Status di luar daftar","")))),""))</f>
        <v/>
      </c>
      <c r="S457" s="12">
        <f>IF(AND($A457&lt;&gt;"",$C457&lt;&gt;""),IF(COUNTIFS($A$2:$A$1000,$A457,$C$2:$C$1000,$C457)&gt;1,"DUPLICAT",""),"")</f>
        <v/>
      </c>
    </row>
    <row r="458">
      <c r="A458" s="17" t="n"/>
      <c r="B458" s="17" t="n"/>
      <c r="C458" s="17" t="n"/>
      <c r="D458" s="18" t="n"/>
      <c r="E458" s="17" t="n"/>
      <c r="F458" s="19" t="n"/>
      <c r="G458" s="17" t="n"/>
      <c r="H458" s="17" t="n"/>
      <c r="I458" s="17" t="n"/>
      <c r="J458" s="19" t="n"/>
      <c r="K458" s="19" t="n"/>
      <c r="L458" s="20" t="n"/>
      <c r="M458" s="20" t="n"/>
      <c r="N458" s="17" t="n"/>
      <c r="O458" s="17" t="n"/>
      <c r="P458" s="21">
        <f>IF(AND(ISNUMBER($L458),ISNUMBER($M458)),MAX(0,$M458-$L458),"")</f>
        <v/>
      </c>
      <c r="Q458" s="21">
        <f>IF(ISNUMBER($D458),MAX(0,TODAY()-$D458),"")</f>
        <v/>
      </c>
      <c r="R458" s="19">
        <f>IF(COUNTA($A458:$O458)=0,"",IFERROR(TRIM(TEXTJOIN(" | ",TRUE,IF($A458="","PC kosong",""),IF($C458="","Worker ID kosong",""),IF($D458="","Update Date kosong",IF(NOT(ISNUMBER($D458)),"Update Date bukan tanggal","")),IF($E458="","Song ID YT kosong",""),IF($F458="","Judul kosong",""),IF(TRIM($G458)="","",IF(ISERROR(MATCH(TRIM($G458),{"TuneCore","DistroKid","TooLost","SoundOn","Ditto","Believe","CD Baby","Amuse","Symphonic Distribution","ONErpm","RouteNote","LANDR","Horus Music","Indie"},0)),"Aggregator di luar daftar","")),IF(TRIM($H458)="","Genre kosong",IF((LEN(SUBSTITUTE(SUBSTITUTE(SUBSTITUTE(TRIM($H458),"/",","),";",",")," ",""))-LEN(SUBSTITUTE(SUBSTITUTE(SUBSTITUTE(SUBSTITUTE(TRIM($H458),"/",","),";",","),"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458),"/",","),";",",")," ","")&amp;",")))&lt;&gt;(LEN(SUBSTITUTE(SUBSTITUTE(SUBSTITUTE(TRIM($H458),"/",","),";",",")," ",""))-LEN(SUBSTITUTE(SUBSTITUTE(SUBSTITUTE(SUBSTITUTE(TRIM($H458),"/",","),";",",")," ",""),",",""))+1),"Genre di luar daftar",""))),IF($I458="","Nama Channel kosong",""),IF($J458="","Link Channel kosong",IF(ISERROR(SEARCH("youtu",$J458)),"Link Channel bukan youtube","")),IF($K458="","Link Video kosong",IF(ISERROR(SEARCH("youtu",$K458)),"Link Video bukan youtube","")),IF($L458="","Tgl Dibuat kosong",IF(NOT(ISNUMBER($L458)),"Tgl Dibuat bukan tanggal","")),IF(AND($M458&lt;&gt;"",NOT(ISNUMBER($M458))),"Tgl Publish bukan tanggal",""),IF(AND(ISNUMBER($L458),ISNUMBER($M458),$M458&lt;$L458),"Tgl Publish &lt; Tgl buat",""),IF(TRIM($N458)="","Status kosong",IF(ISERROR(MATCH(TRIM($N458),{"Draft","Menunggu Review","Revisi","Terjadwal","Upload","Publish","Published","Batal"},0)),"Status di luar daftar","")))),""))</f>
        <v/>
      </c>
      <c r="S458" s="17">
        <f>IF(AND($A458&lt;&gt;"",$C458&lt;&gt;""),IF(COUNTIFS($A$2:$A$1000,$A458,$C$2:$C$1000,$C458)&gt;1,"DUPLICAT",""),"")</f>
        <v/>
      </c>
    </row>
    <row r="459">
      <c r="A459" s="12" t="n"/>
      <c r="B459" s="12" t="n"/>
      <c r="C459" s="12" t="n"/>
      <c r="D459" s="13" t="n"/>
      <c r="E459" s="12" t="n"/>
      <c r="F459" s="14" t="n"/>
      <c r="G459" s="12" t="n"/>
      <c r="H459" s="12" t="n"/>
      <c r="I459" s="12" t="n"/>
      <c r="J459" s="14" t="n"/>
      <c r="K459" s="14" t="n"/>
      <c r="L459" s="15" t="n"/>
      <c r="M459" s="15" t="n"/>
      <c r="N459" s="12" t="n"/>
      <c r="O459" s="12" t="n"/>
      <c r="P459" s="16">
        <f>IF(AND(ISNUMBER($L459),ISNUMBER($M459)),MAX(0,$M459-$L459),"")</f>
        <v/>
      </c>
      <c r="Q459" s="16">
        <f>IF(ISNUMBER($D459),MAX(0,TODAY()-$D459),"")</f>
        <v/>
      </c>
      <c r="R459" s="14">
        <f>IF(COUNTA($A459:$O459)=0,"",IFERROR(TRIM(TEXTJOIN(" | ",TRUE,IF($A459="","PC kosong",""),IF($C459="","Worker ID kosong",""),IF($D459="","Update Date kosong",IF(NOT(ISNUMBER($D459)),"Update Date bukan tanggal","")),IF($E459="","Song ID YT kosong",""),IF($F459="","Judul kosong",""),IF(TRIM($G459)="","",IF(ISERROR(MATCH(TRIM($G459),{"TuneCore","DistroKid","TooLost","SoundOn","Ditto","Believe","CD Baby","Amuse","Symphonic Distribution","ONErpm","RouteNote","LANDR","Horus Music","Indie"},0)),"Aggregator di luar daftar","")),IF(TRIM($H459)="","Genre kosong",IF((LEN(SUBSTITUTE(SUBSTITUTE(SUBSTITUTE(TRIM($H459),"/",","),";",",")," ",""))-LEN(SUBSTITUTE(SUBSTITUTE(SUBSTITUTE(SUBSTITUTE(TRIM($H459),"/",","),";",","),"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459),"/",","),";",",")," ","")&amp;",")))&lt;&gt;(LEN(SUBSTITUTE(SUBSTITUTE(SUBSTITUTE(TRIM($H459),"/",","),";",",")," ",""))-LEN(SUBSTITUTE(SUBSTITUTE(SUBSTITUTE(SUBSTITUTE(TRIM($H459),"/",","),";",",")," ",""),",",""))+1),"Genre di luar daftar",""))),IF($I459="","Nama Channel kosong",""),IF($J459="","Link Channel kosong",IF(ISERROR(SEARCH("youtu",$J459)),"Link Channel bukan youtube","")),IF($K459="","Link Video kosong",IF(ISERROR(SEARCH("youtu",$K459)),"Link Video bukan youtube","")),IF($L459="","Tgl Dibuat kosong",IF(NOT(ISNUMBER($L459)),"Tgl Dibuat bukan tanggal","")),IF(AND($M459&lt;&gt;"",NOT(ISNUMBER($M459))),"Tgl Publish bukan tanggal",""),IF(AND(ISNUMBER($L459),ISNUMBER($M459),$M459&lt;$L459),"Tgl Publish &lt; Tgl buat",""),IF(TRIM($N459)="","Status kosong",IF(ISERROR(MATCH(TRIM($N459),{"Draft","Menunggu Review","Revisi","Terjadwal","Upload","Publish","Published","Batal"},0)),"Status di luar daftar","")))),""))</f>
        <v/>
      </c>
      <c r="S459" s="12">
        <f>IF(AND($A459&lt;&gt;"",$C459&lt;&gt;""),IF(COUNTIFS($A$2:$A$1000,$A459,$C$2:$C$1000,$C459)&gt;1,"DUPLICAT",""),"")</f>
        <v/>
      </c>
    </row>
    <row r="460">
      <c r="A460" s="17" t="n"/>
      <c r="B460" s="17" t="n"/>
      <c r="C460" s="17" t="n"/>
      <c r="D460" s="18" t="n"/>
      <c r="E460" s="17" t="n"/>
      <c r="F460" s="19" t="n"/>
      <c r="G460" s="17" t="n"/>
      <c r="H460" s="17" t="n"/>
      <c r="I460" s="17" t="n"/>
      <c r="J460" s="19" t="n"/>
      <c r="K460" s="19" t="n"/>
      <c r="L460" s="20" t="n"/>
      <c r="M460" s="20" t="n"/>
      <c r="N460" s="17" t="n"/>
      <c r="O460" s="17" t="n"/>
      <c r="P460" s="21">
        <f>IF(AND(ISNUMBER($L460),ISNUMBER($M460)),MAX(0,$M460-$L460),"")</f>
        <v/>
      </c>
      <c r="Q460" s="21">
        <f>IF(ISNUMBER($D460),MAX(0,TODAY()-$D460),"")</f>
        <v/>
      </c>
      <c r="R460" s="19">
        <f>IF(COUNTA($A460:$O460)=0,"",IFERROR(TRIM(TEXTJOIN(" | ",TRUE,IF($A460="","PC kosong",""),IF($C460="","Worker ID kosong",""),IF($D460="","Update Date kosong",IF(NOT(ISNUMBER($D460)),"Update Date bukan tanggal","")),IF($E460="","Song ID YT kosong",""),IF($F460="","Judul kosong",""),IF(TRIM($G460)="","",IF(ISERROR(MATCH(TRIM($G460),{"TuneCore","DistroKid","TooLost","SoundOn","Ditto","Believe","CD Baby","Amuse","Symphonic Distribution","ONErpm","RouteNote","LANDR","Horus Music","Indie"},0)),"Aggregator di luar daftar","")),IF(TRIM($H460)="","Genre kosong",IF((LEN(SUBSTITUTE(SUBSTITUTE(SUBSTITUTE(TRIM($H460),"/",","),";",",")," ",""))-LEN(SUBSTITUTE(SUBSTITUTE(SUBSTITUTE(SUBSTITUTE(TRIM($H460),"/",","),";",","),"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460),"/",","),";",",")," ","")&amp;",")))&lt;&gt;(LEN(SUBSTITUTE(SUBSTITUTE(SUBSTITUTE(TRIM($H460),"/",","),";",",")," ",""))-LEN(SUBSTITUTE(SUBSTITUTE(SUBSTITUTE(SUBSTITUTE(TRIM($H460),"/",","),";",",")," ",""),",",""))+1),"Genre di luar daftar",""))),IF($I460="","Nama Channel kosong",""),IF($J460="","Link Channel kosong",IF(ISERROR(SEARCH("youtu",$J460)),"Link Channel bukan youtube","")),IF($K460="","Link Video kosong",IF(ISERROR(SEARCH("youtu",$K460)),"Link Video bukan youtube","")),IF($L460="","Tgl Dibuat kosong",IF(NOT(ISNUMBER($L460)),"Tgl Dibuat bukan tanggal","")),IF(AND($M460&lt;&gt;"",NOT(ISNUMBER($M460))),"Tgl Publish bukan tanggal",""),IF(AND(ISNUMBER($L460),ISNUMBER($M460),$M460&lt;$L460),"Tgl Publish &lt; Tgl buat",""),IF(TRIM($N460)="","Status kosong",IF(ISERROR(MATCH(TRIM($N460),{"Draft","Menunggu Review","Revisi","Terjadwal","Upload","Publish","Published","Batal"},0)),"Status di luar daftar","")))),""))</f>
        <v/>
      </c>
      <c r="S460" s="17">
        <f>IF(AND($A460&lt;&gt;"",$C460&lt;&gt;""),IF(COUNTIFS($A$2:$A$1000,$A460,$C$2:$C$1000,$C460)&gt;1,"DUPLICAT",""),"")</f>
        <v/>
      </c>
    </row>
    <row r="461">
      <c r="A461" s="12" t="n"/>
      <c r="B461" s="12" t="n"/>
      <c r="C461" s="12" t="n"/>
      <c r="D461" s="13" t="n"/>
      <c r="E461" s="12" t="n"/>
      <c r="F461" s="14" t="n"/>
      <c r="G461" s="12" t="n"/>
      <c r="H461" s="12" t="n"/>
      <c r="I461" s="12" t="n"/>
      <c r="J461" s="14" t="n"/>
      <c r="K461" s="14" t="n"/>
      <c r="L461" s="15" t="n"/>
      <c r="M461" s="15" t="n"/>
      <c r="N461" s="12" t="n"/>
      <c r="O461" s="12" t="n"/>
      <c r="P461" s="16">
        <f>IF(AND(ISNUMBER($L461),ISNUMBER($M461)),MAX(0,$M461-$L461),"")</f>
        <v/>
      </c>
      <c r="Q461" s="16">
        <f>IF(ISNUMBER($D461),MAX(0,TODAY()-$D461),"")</f>
        <v/>
      </c>
      <c r="R461" s="14">
        <f>IF(COUNTA($A461:$O461)=0,"",IFERROR(TRIM(TEXTJOIN(" | ",TRUE,IF($A461="","PC kosong",""),IF($C461="","Worker ID kosong",""),IF($D461="","Update Date kosong",IF(NOT(ISNUMBER($D461)),"Update Date bukan tanggal","")),IF($E461="","Song ID YT kosong",""),IF($F461="","Judul kosong",""),IF(TRIM($G461)="","",IF(ISERROR(MATCH(TRIM($G461),{"TuneCore","DistroKid","TooLost","SoundOn","Ditto","Believe","CD Baby","Amuse","Symphonic Distribution","ONErpm","RouteNote","LANDR","Horus Music","Indie"},0)),"Aggregator di luar daftar","")),IF(TRIM($H461)="","Genre kosong",IF((LEN(SUBSTITUTE(SUBSTITUTE(SUBSTITUTE(TRIM($H461),"/",","),";",",")," ",""))-LEN(SUBSTITUTE(SUBSTITUTE(SUBSTITUTE(SUBSTITUTE(TRIM($H461),"/",","),";",","),"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461),"/",","),";",",")," ","")&amp;",")))&lt;&gt;(LEN(SUBSTITUTE(SUBSTITUTE(SUBSTITUTE(TRIM($H461),"/",","),";",",")," ",""))-LEN(SUBSTITUTE(SUBSTITUTE(SUBSTITUTE(SUBSTITUTE(TRIM($H461),"/",","),";",",")," ",""),",",""))+1),"Genre di luar daftar",""))),IF($I461="","Nama Channel kosong",""),IF($J461="","Link Channel kosong",IF(ISERROR(SEARCH("youtu",$J461)),"Link Channel bukan youtube","")),IF($K461="","Link Video kosong",IF(ISERROR(SEARCH("youtu",$K461)),"Link Video bukan youtube","")),IF($L461="","Tgl Dibuat kosong",IF(NOT(ISNUMBER($L461)),"Tgl Dibuat bukan tanggal","")),IF(AND($M461&lt;&gt;"",NOT(ISNUMBER($M461))),"Tgl Publish bukan tanggal",""),IF(AND(ISNUMBER($L461),ISNUMBER($M461),$M461&lt;$L461),"Tgl Publish &lt; Tgl buat",""),IF(TRIM($N461)="","Status kosong",IF(ISERROR(MATCH(TRIM($N461),{"Draft","Menunggu Review","Revisi","Terjadwal","Upload","Publish","Published","Batal"},0)),"Status di luar daftar","")))),""))</f>
        <v/>
      </c>
      <c r="S461" s="12">
        <f>IF(AND($A461&lt;&gt;"",$C461&lt;&gt;""),IF(COUNTIFS($A$2:$A$1000,$A461,$C$2:$C$1000,$C461)&gt;1,"DUPLICAT",""),"")</f>
        <v/>
      </c>
    </row>
    <row r="462">
      <c r="A462" s="17" t="n"/>
      <c r="B462" s="17" t="n"/>
      <c r="C462" s="17" t="n"/>
      <c r="D462" s="18" t="n"/>
      <c r="E462" s="17" t="n"/>
      <c r="F462" s="19" t="n"/>
      <c r="G462" s="17" t="n"/>
      <c r="H462" s="17" t="n"/>
      <c r="I462" s="17" t="n"/>
      <c r="J462" s="19" t="n"/>
      <c r="K462" s="19" t="n"/>
      <c r="L462" s="20" t="n"/>
      <c r="M462" s="20" t="n"/>
      <c r="N462" s="17" t="n"/>
      <c r="O462" s="17" t="n"/>
      <c r="P462" s="21">
        <f>IF(AND(ISNUMBER($L462),ISNUMBER($M462)),MAX(0,$M462-$L462),"")</f>
        <v/>
      </c>
      <c r="Q462" s="21">
        <f>IF(ISNUMBER($D462),MAX(0,TODAY()-$D462),"")</f>
        <v/>
      </c>
      <c r="R462" s="19">
        <f>IF(COUNTA($A462:$O462)=0,"",IFERROR(TRIM(TEXTJOIN(" | ",TRUE,IF($A462="","PC kosong",""),IF($C462="","Worker ID kosong",""),IF($D462="","Update Date kosong",IF(NOT(ISNUMBER($D462)),"Update Date bukan tanggal","")),IF($E462="","Song ID YT kosong",""),IF($F462="","Judul kosong",""),IF(TRIM($G462)="","",IF(ISERROR(MATCH(TRIM($G462),{"TuneCore","DistroKid","TooLost","SoundOn","Ditto","Believe","CD Baby","Amuse","Symphonic Distribution","ONErpm","RouteNote","LANDR","Horus Music","Indie"},0)),"Aggregator di luar daftar","")),IF(TRIM($H462)="","Genre kosong",IF((LEN(SUBSTITUTE(SUBSTITUTE(SUBSTITUTE(TRIM($H462),"/",","),";",",")," ",""))-LEN(SUBSTITUTE(SUBSTITUTE(SUBSTITUTE(SUBSTITUTE(TRIM($H462),"/",","),";",","),"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462),"/",","),";",",")," ","")&amp;",")))&lt;&gt;(LEN(SUBSTITUTE(SUBSTITUTE(SUBSTITUTE(TRIM($H462),"/",","),";",",")," ",""))-LEN(SUBSTITUTE(SUBSTITUTE(SUBSTITUTE(SUBSTITUTE(TRIM($H462),"/",","),";",",")," ",""),",",""))+1),"Genre di luar daftar",""))),IF($I462="","Nama Channel kosong",""),IF($J462="","Link Channel kosong",IF(ISERROR(SEARCH("youtu",$J462)),"Link Channel bukan youtube","")),IF($K462="","Link Video kosong",IF(ISERROR(SEARCH("youtu",$K462)),"Link Video bukan youtube","")),IF($L462="","Tgl Dibuat kosong",IF(NOT(ISNUMBER($L462)),"Tgl Dibuat bukan tanggal","")),IF(AND($M462&lt;&gt;"",NOT(ISNUMBER($M462))),"Tgl Publish bukan tanggal",""),IF(AND(ISNUMBER($L462),ISNUMBER($M462),$M462&lt;$L462),"Tgl Publish &lt; Tgl buat",""),IF(TRIM($N462)="","Status kosong",IF(ISERROR(MATCH(TRIM($N462),{"Draft","Menunggu Review","Revisi","Terjadwal","Upload","Publish","Published","Batal"},0)),"Status di luar daftar","")))),""))</f>
        <v/>
      </c>
      <c r="S462" s="17">
        <f>IF(AND($A462&lt;&gt;"",$C462&lt;&gt;""),IF(COUNTIFS($A$2:$A$1000,$A462,$C$2:$C$1000,$C462)&gt;1,"DUPLICAT",""),"")</f>
        <v/>
      </c>
    </row>
    <row r="463">
      <c r="A463" s="12" t="n"/>
      <c r="B463" s="12" t="n"/>
      <c r="C463" s="12" t="n"/>
      <c r="D463" s="13" t="n"/>
      <c r="E463" s="12" t="n"/>
      <c r="F463" s="14" t="n"/>
      <c r="G463" s="12" t="n"/>
      <c r="H463" s="12" t="n"/>
      <c r="I463" s="12" t="n"/>
      <c r="J463" s="14" t="n"/>
      <c r="K463" s="14" t="n"/>
      <c r="L463" s="15" t="n"/>
      <c r="M463" s="15" t="n"/>
      <c r="N463" s="12" t="n"/>
      <c r="O463" s="12" t="n"/>
      <c r="P463" s="16">
        <f>IF(AND(ISNUMBER($L463),ISNUMBER($M463)),MAX(0,$M463-$L463),"")</f>
        <v/>
      </c>
      <c r="Q463" s="16">
        <f>IF(ISNUMBER($D463),MAX(0,TODAY()-$D463),"")</f>
        <v/>
      </c>
      <c r="R463" s="14">
        <f>IF(COUNTA($A463:$O463)=0,"",IFERROR(TRIM(TEXTJOIN(" | ",TRUE,IF($A463="","PC kosong",""),IF($C463="","Worker ID kosong",""),IF($D463="","Update Date kosong",IF(NOT(ISNUMBER($D463)),"Update Date bukan tanggal","")),IF($E463="","Song ID YT kosong",""),IF($F463="","Judul kosong",""),IF(TRIM($G463)="","",IF(ISERROR(MATCH(TRIM($G463),{"TuneCore","DistroKid","TooLost","SoundOn","Ditto","Believe","CD Baby","Amuse","Symphonic Distribution","ONErpm","RouteNote","LANDR","Horus Music","Indie"},0)),"Aggregator di luar daftar","")),IF(TRIM($H463)="","Genre kosong",IF((LEN(SUBSTITUTE(SUBSTITUTE(SUBSTITUTE(TRIM($H463),"/",","),";",",")," ",""))-LEN(SUBSTITUTE(SUBSTITUTE(SUBSTITUTE(SUBSTITUTE(TRIM($H463),"/",","),";",","),"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463),"/",","),";",",")," ","")&amp;",")))&lt;&gt;(LEN(SUBSTITUTE(SUBSTITUTE(SUBSTITUTE(TRIM($H463),"/",","),";",",")," ",""))-LEN(SUBSTITUTE(SUBSTITUTE(SUBSTITUTE(SUBSTITUTE(TRIM($H463),"/",","),";",",")," ",""),",",""))+1),"Genre di luar daftar",""))),IF($I463="","Nama Channel kosong",""),IF($J463="","Link Channel kosong",IF(ISERROR(SEARCH("youtu",$J463)),"Link Channel bukan youtube","")),IF($K463="","Link Video kosong",IF(ISERROR(SEARCH("youtu",$K463)),"Link Video bukan youtube","")),IF($L463="","Tgl Dibuat kosong",IF(NOT(ISNUMBER($L463)),"Tgl Dibuat bukan tanggal","")),IF(AND($M463&lt;&gt;"",NOT(ISNUMBER($M463))),"Tgl Publish bukan tanggal",""),IF(AND(ISNUMBER($L463),ISNUMBER($M463),$M463&lt;$L463),"Tgl Publish &lt; Tgl buat",""),IF(TRIM($N463)="","Status kosong",IF(ISERROR(MATCH(TRIM($N463),{"Draft","Menunggu Review","Revisi","Terjadwal","Upload","Publish","Published","Batal"},0)),"Status di luar daftar","")))),""))</f>
        <v/>
      </c>
      <c r="S463" s="12">
        <f>IF(AND($A463&lt;&gt;"",$C463&lt;&gt;""),IF(COUNTIFS($A$2:$A$1000,$A463,$C$2:$C$1000,$C463)&gt;1,"DUPLICAT",""),"")</f>
        <v/>
      </c>
    </row>
    <row r="464">
      <c r="A464" s="17" t="n"/>
      <c r="B464" s="17" t="n"/>
      <c r="C464" s="17" t="n"/>
      <c r="D464" s="18" t="n"/>
      <c r="E464" s="17" t="n"/>
      <c r="F464" s="19" t="n"/>
      <c r="G464" s="17" t="n"/>
      <c r="H464" s="17" t="n"/>
      <c r="I464" s="17" t="n"/>
      <c r="J464" s="19" t="n"/>
      <c r="K464" s="19" t="n"/>
      <c r="L464" s="20" t="n"/>
      <c r="M464" s="20" t="n"/>
      <c r="N464" s="17" t="n"/>
      <c r="O464" s="17" t="n"/>
      <c r="P464" s="21">
        <f>IF(AND(ISNUMBER($L464),ISNUMBER($M464)),MAX(0,$M464-$L464),"")</f>
        <v/>
      </c>
      <c r="Q464" s="21">
        <f>IF(ISNUMBER($D464),MAX(0,TODAY()-$D464),"")</f>
        <v/>
      </c>
      <c r="R464" s="19">
        <f>IF(COUNTA($A464:$O464)=0,"",IFERROR(TRIM(TEXTJOIN(" | ",TRUE,IF($A464="","PC kosong",""),IF($C464="","Worker ID kosong",""),IF($D464="","Update Date kosong",IF(NOT(ISNUMBER($D464)),"Update Date bukan tanggal","")),IF($E464="","Song ID YT kosong",""),IF($F464="","Judul kosong",""),IF(TRIM($G464)="","",IF(ISERROR(MATCH(TRIM($G464),{"TuneCore","DistroKid","TooLost","SoundOn","Ditto","Believe","CD Baby","Amuse","Symphonic Distribution","ONErpm","RouteNote","LANDR","Horus Music","Indie"},0)),"Aggregator di luar daftar","")),IF(TRIM($H464)="","Genre kosong",IF((LEN(SUBSTITUTE(SUBSTITUTE(SUBSTITUTE(TRIM($H464),"/",","),";",",")," ",""))-LEN(SUBSTITUTE(SUBSTITUTE(SUBSTITUTE(SUBSTITUTE(TRIM($H464),"/",","),";",","),"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464),"/",","),";",",")," ","")&amp;",")))&lt;&gt;(LEN(SUBSTITUTE(SUBSTITUTE(SUBSTITUTE(TRIM($H464),"/",","),";",",")," ",""))-LEN(SUBSTITUTE(SUBSTITUTE(SUBSTITUTE(SUBSTITUTE(TRIM($H464),"/",","),";",",")," ",""),",",""))+1),"Genre di luar daftar",""))),IF($I464="","Nama Channel kosong",""),IF($J464="","Link Channel kosong",IF(ISERROR(SEARCH("youtu",$J464)),"Link Channel bukan youtube","")),IF($K464="","Link Video kosong",IF(ISERROR(SEARCH("youtu",$K464)),"Link Video bukan youtube","")),IF($L464="","Tgl Dibuat kosong",IF(NOT(ISNUMBER($L464)),"Tgl Dibuat bukan tanggal","")),IF(AND($M464&lt;&gt;"",NOT(ISNUMBER($M464))),"Tgl Publish bukan tanggal",""),IF(AND(ISNUMBER($L464),ISNUMBER($M464),$M464&lt;$L464),"Tgl Publish &lt; Tgl buat",""),IF(TRIM($N464)="","Status kosong",IF(ISERROR(MATCH(TRIM($N464),{"Draft","Menunggu Review","Revisi","Terjadwal","Upload","Publish","Published","Batal"},0)),"Status di luar daftar","")))),""))</f>
        <v/>
      </c>
      <c r="S464" s="17">
        <f>IF(AND($A464&lt;&gt;"",$C464&lt;&gt;""),IF(COUNTIFS($A$2:$A$1000,$A464,$C$2:$C$1000,$C464)&gt;1,"DUPLICAT",""),"")</f>
        <v/>
      </c>
    </row>
    <row r="465">
      <c r="A465" s="12" t="n"/>
      <c r="B465" s="12" t="n"/>
      <c r="C465" s="12" t="n"/>
      <c r="D465" s="13" t="n"/>
      <c r="E465" s="12" t="n"/>
      <c r="F465" s="14" t="n"/>
      <c r="G465" s="12" t="n"/>
      <c r="H465" s="12" t="n"/>
      <c r="I465" s="12" t="n"/>
      <c r="J465" s="14" t="n"/>
      <c r="K465" s="14" t="n"/>
      <c r="L465" s="15" t="n"/>
      <c r="M465" s="15" t="n"/>
      <c r="N465" s="12" t="n"/>
      <c r="O465" s="12" t="n"/>
      <c r="P465" s="16">
        <f>IF(AND(ISNUMBER($L465),ISNUMBER($M465)),MAX(0,$M465-$L465),"")</f>
        <v/>
      </c>
      <c r="Q465" s="16">
        <f>IF(ISNUMBER($D465),MAX(0,TODAY()-$D465),"")</f>
        <v/>
      </c>
      <c r="R465" s="14">
        <f>IF(COUNTA($A465:$O465)=0,"",IFERROR(TRIM(TEXTJOIN(" | ",TRUE,IF($A465="","PC kosong",""),IF($C465="","Worker ID kosong",""),IF($D465="","Update Date kosong",IF(NOT(ISNUMBER($D465)),"Update Date bukan tanggal","")),IF($E465="","Song ID YT kosong",""),IF($F465="","Judul kosong",""),IF(TRIM($G465)="","",IF(ISERROR(MATCH(TRIM($G465),{"TuneCore","DistroKid","TooLost","SoundOn","Ditto","Believe","CD Baby","Amuse","Symphonic Distribution","ONErpm","RouteNote","LANDR","Horus Music","Indie"},0)),"Aggregator di luar daftar","")),IF(TRIM($H465)="","Genre kosong",IF((LEN(SUBSTITUTE(SUBSTITUTE(SUBSTITUTE(TRIM($H465),"/",","),";",",")," ",""))-LEN(SUBSTITUTE(SUBSTITUTE(SUBSTITUTE(SUBSTITUTE(TRIM($H465),"/",","),";",","),"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465),"/",","),";",",")," ","")&amp;",")))&lt;&gt;(LEN(SUBSTITUTE(SUBSTITUTE(SUBSTITUTE(TRIM($H465),"/",","),";",",")," ",""))-LEN(SUBSTITUTE(SUBSTITUTE(SUBSTITUTE(SUBSTITUTE(TRIM($H465),"/",","),";",",")," ",""),",",""))+1),"Genre di luar daftar",""))),IF($I465="","Nama Channel kosong",""),IF($J465="","Link Channel kosong",IF(ISERROR(SEARCH("youtu",$J465)),"Link Channel bukan youtube","")),IF($K465="","Link Video kosong",IF(ISERROR(SEARCH("youtu",$K465)),"Link Video bukan youtube","")),IF($L465="","Tgl Dibuat kosong",IF(NOT(ISNUMBER($L465)),"Tgl Dibuat bukan tanggal","")),IF(AND($M465&lt;&gt;"",NOT(ISNUMBER($M465))),"Tgl Publish bukan tanggal",""),IF(AND(ISNUMBER($L465),ISNUMBER($M465),$M465&lt;$L465),"Tgl Publish &lt; Tgl buat",""),IF(TRIM($N465)="","Status kosong",IF(ISERROR(MATCH(TRIM($N465),{"Draft","Menunggu Review","Revisi","Terjadwal","Upload","Publish","Published","Batal"},0)),"Status di luar daftar","")))),""))</f>
        <v/>
      </c>
      <c r="S465" s="12">
        <f>IF(AND($A465&lt;&gt;"",$C465&lt;&gt;""),IF(COUNTIFS($A$2:$A$1000,$A465,$C$2:$C$1000,$C465)&gt;1,"DUPLICAT",""),"")</f>
        <v/>
      </c>
    </row>
    <row r="466">
      <c r="A466" s="17" t="n"/>
      <c r="B466" s="17" t="n"/>
      <c r="C466" s="17" t="n"/>
      <c r="D466" s="18" t="n"/>
      <c r="E466" s="17" t="n"/>
      <c r="F466" s="19" t="n"/>
      <c r="G466" s="17" t="n"/>
      <c r="H466" s="17" t="n"/>
      <c r="I466" s="17" t="n"/>
      <c r="J466" s="19" t="n"/>
      <c r="K466" s="19" t="n"/>
      <c r="L466" s="20" t="n"/>
      <c r="M466" s="20" t="n"/>
      <c r="N466" s="17" t="n"/>
      <c r="O466" s="17" t="n"/>
      <c r="P466" s="21">
        <f>IF(AND(ISNUMBER($L466),ISNUMBER($M466)),MAX(0,$M466-$L466),"")</f>
        <v/>
      </c>
      <c r="Q466" s="21">
        <f>IF(ISNUMBER($D466),MAX(0,TODAY()-$D466),"")</f>
        <v/>
      </c>
      <c r="R466" s="19">
        <f>IF(COUNTA($A466:$O466)=0,"",IFERROR(TRIM(TEXTJOIN(" | ",TRUE,IF($A466="","PC kosong",""),IF($C466="","Worker ID kosong",""),IF($D466="","Update Date kosong",IF(NOT(ISNUMBER($D466)),"Update Date bukan tanggal","")),IF($E466="","Song ID YT kosong",""),IF($F466="","Judul kosong",""),IF(TRIM($G466)="","",IF(ISERROR(MATCH(TRIM($G466),{"TuneCore","DistroKid","TooLost","SoundOn","Ditto","Believe","CD Baby","Amuse","Symphonic Distribution","ONErpm","RouteNote","LANDR","Horus Music","Indie"},0)),"Aggregator di luar daftar","")),IF(TRIM($H466)="","Genre kosong",IF((LEN(SUBSTITUTE(SUBSTITUTE(SUBSTITUTE(TRIM($H466),"/",","),";",",")," ",""))-LEN(SUBSTITUTE(SUBSTITUTE(SUBSTITUTE(SUBSTITUTE(TRIM($H466),"/",","),";",","),"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466),"/",","),";",",")," ","")&amp;",")))&lt;&gt;(LEN(SUBSTITUTE(SUBSTITUTE(SUBSTITUTE(TRIM($H466),"/",","),";",",")," ",""))-LEN(SUBSTITUTE(SUBSTITUTE(SUBSTITUTE(SUBSTITUTE(TRIM($H466),"/",","),";",",")," ",""),",",""))+1),"Genre di luar daftar",""))),IF($I466="","Nama Channel kosong",""),IF($J466="","Link Channel kosong",IF(ISERROR(SEARCH("youtu",$J466)),"Link Channel bukan youtube","")),IF($K466="","Link Video kosong",IF(ISERROR(SEARCH("youtu",$K466)),"Link Video bukan youtube","")),IF($L466="","Tgl Dibuat kosong",IF(NOT(ISNUMBER($L466)),"Tgl Dibuat bukan tanggal","")),IF(AND($M466&lt;&gt;"",NOT(ISNUMBER($M466))),"Tgl Publish bukan tanggal",""),IF(AND(ISNUMBER($L466),ISNUMBER($M466),$M466&lt;$L466),"Tgl Publish &lt; Tgl buat",""),IF(TRIM($N466)="","Status kosong",IF(ISERROR(MATCH(TRIM($N466),{"Draft","Menunggu Review","Revisi","Terjadwal","Upload","Publish","Published","Batal"},0)),"Status di luar daftar","")))),""))</f>
        <v/>
      </c>
      <c r="S466" s="17">
        <f>IF(AND($A466&lt;&gt;"",$C466&lt;&gt;""),IF(COUNTIFS($A$2:$A$1000,$A466,$C$2:$C$1000,$C466)&gt;1,"DUPLICAT",""),"")</f>
        <v/>
      </c>
    </row>
    <row r="467">
      <c r="A467" s="12" t="n"/>
      <c r="B467" s="12" t="n"/>
      <c r="C467" s="12" t="n"/>
      <c r="D467" s="13" t="n"/>
      <c r="E467" s="12" t="n"/>
      <c r="F467" s="14" t="n"/>
      <c r="G467" s="12" t="n"/>
      <c r="H467" s="12" t="n"/>
      <c r="I467" s="12" t="n"/>
      <c r="J467" s="14" t="n"/>
      <c r="K467" s="14" t="n"/>
      <c r="L467" s="15" t="n"/>
      <c r="M467" s="15" t="n"/>
      <c r="N467" s="12" t="n"/>
      <c r="O467" s="12" t="n"/>
      <c r="P467" s="16">
        <f>IF(AND(ISNUMBER($L467),ISNUMBER($M467)),MAX(0,$M467-$L467),"")</f>
        <v/>
      </c>
      <c r="Q467" s="16">
        <f>IF(ISNUMBER($D467),MAX(0,TODAY()-$D467),"")</f>
        <v/>
      </c>
      <c r="R467" s="14">
        <f>IF(COUNTA($A467:$O467)=0,"",IFERROR(TRIM(TEXTJOIN(" | ",TRUE,IF($A467="","PC kosong",""),IF($C467="","Worker ID kosong",""),IF($D467="","Update Date kosong",IF(NOT(ISNUMBER($D467)),"Update Date bukan tanggal","")),IF($E467="","Song ID YT kosong",""),IF($F467="","Judul kosong",""),IF(TRIM($G467)="","",IF(ISERROR(MATCH(TRIM($G467),{"TuneCore","DistroKid","TooLost","SoundOn","Ditto","Believe","CD Baby","Amuse","Symphonic Distribution","ONErpm","RouteNote","LANDR","Horus Music","Indie"},0)),"Aggregator di luar daftar","")),IF(TRIM($H467)="","Genre kosong",IF((LEN(SUBSTITUTE(SUBSTITUTE(SUBSTITUTE(TRIM($H467),"/",","),";",",")," ",""))-LEN(SUBSTITUTE(SUBSTITUTE(SUBSTITUTE(SUBSTITUTE(TRIM($H467),"/",","),";",","),"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467),"/",","),";",",")," ","")&amp;",")))&lt;&gt;(LEN(SUBSTITUTE(SUBSTITUTE(SUBSTITUTE(TRIM($H467),"/",","),";",",")," ",""))-LEN(SUBSTITUTE(SUBSTITUTE(SUBSTITUTE(SUBSTITUTE(TRIM($H467),"/",","),";",",")," ",""),",",""))+1),"Genre di luar daftar",""))),IF($I467="","Nama Channel kosong",""),IF($J467="","Link Channel kosong",IF(ISERROR(SEARCH("youtu",$J467)),"Link Channel bukan youtube","")),IF($K467="","Link Video kosong",IF(ISERROR(SEARCH("youtu",$K467)),"Link Video bukan youtube","")),IF($L467="","Tgl Dibuat kosong",IF(NOT(ISNUMBER($L467)),"Tgl Dibuat bukan tanggal","")),IF(AND($M467&lt;&gt;"",NOT(ISNUMBER($M467))),"Tgl Publish bukan tanggal",""),IF(AND(ISNUMBER($L467),ISNUMBER($M467),$M467&lt;$L467),"Tgl Publish &lt; Tgl buat",""),IF(TRIM($N467)="","Status kosong",IF(ISERROR(MATCH(TRIM($N467),{"Draft","Menunggu Review","Revisi","Terjadwal","Upload","Publish","Published","Batal"},0)),"Status di luar daftar","")))),""))</f>
        <v/>
      </c>
      <c r="S467" s="12">
        <f>IF(AND($A467&lt;&gt;"",$C467&lt;&gt;""),IF(COUNTIFS($A$2:$A$1000,$A467,$C$2:$C$1000,$C467)&gt;1,"DUPLICAT",""),"")</f>
        <v/>
      </c>
    </row>
    <row r="468">
      <c r="A468" s="17" t="n"/>
      <c r="B468" s="17" t="n"/>
      <c r="C468" s="17" t="n"/>
      <c r="D468" s="18" t="n"/>
      <c r="E468" s="17" t="n"/>
      <c r="F468" s="19" t="n"/>
      <c r="G468" s="17" t="n"/>
      <c r="H468" s="17" t="n"/>
      <c r="I468" s="17" t="n"/>
      <c r="J468" s="19" t="n"/>
      <c r="K468" s="19" t="n"/>
      <c r="L468" s="20" t="n"/>
      <c r="M468" s="20" t="n"/>
      <c r="N468" s="17" t="n"/>
      <c r="O468" s="17" t="n"/>
      <c r="P468" s="21">
        <f>IF(AND(ISNUMBER($L468),ISNUMBER($M468)),MAX(0,$M468-$L468),"")</f>
        <v/>
      </c>
      <c r="Q468" s="21">
        <f>IF(ISNUMBER($D468),MAX(0,TODAY()-$D468),"")</f>
        <v/>
      </c>
      <c r="R468" s="19">
        <f>IF(COUNTA($A468:$O468)=0,"",IFERROR(TRIM(TEXTJOIN(" | ",TRUE,IF($A468="","PC kosong",""),IF($C468="","Worker ID kosong",""),IF($D468="","Update Date kosong",IF(NOT(ISNUMBER($D468)),"Update Date bukan tanggal","")),IF($E468="","Song ID YT kosong",""),IF($F468="","Judul kosong",""),IF(TRIM($G468)="","",IF(ISERROR(MATCH(TRIM($G468),{"TuneCore","DistroKid","TooLost","SoundOn","Ditto","Believe","CD Baby","Amuse","Symphonic Distribution","ONErpm","RouteNote","LANDR","Horus Music","Indie"},0)),"Aggregator di luar daftar","")),IF(TRIM($H468)="","Genre kosong",IF((LEN(SUBSTITUTE(SUBSTITUTE(SUBSTITUTE(TRIM($H468),"/",","),";",",")," ",""))-LEN(SUBSTITUTE(SUBSTITUTE(SUBSTITUTE(SUBSTITUTE(TRIM($H468),"/",","),";",","),"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468),"/",","),";",",")," ","")&amp;",")))&lt;&gt;(LEN(SUBSTITUTE(SUBSTITUTE(SUBSTITUTE(TRIM($H468),"/",","),";",",")," ",""))-LEN(SUBSTITUTE(SUBSTITUTE(SUBSTITUTE(SUBSTITUTE(TRIM($H468),"/",","),";",",")," ",""),",",""))+1),"Genre di luar daftar",""))),IF($I468="","Nama Channel kosong",""),IF($J468="","Link Channel kosong",IF(ISERROR(SEARCH("youtu",$J468)),"Link Channel bukan youtube","")),IF($K468="","Link Video kosong",IF(ISERROR(SEARCH("youtu",$K468)),"Link Video bukan youtube","")),IF($L468="","Tgl Dibuat kosong",IF(NOT(ISNUMBER($L468)),"Tgl Dibuat bukan tanggal","")),IF(AND($M468&lt;&gt;"",NOT(ISNUMBER($M468))),"Tgl Publish bukan tanggal",""),IF(AND(ISNUMBER($L468),ISNUMBER($M468),$M468&lt;$L468),"Tgl Publish &lt; Tgl buat",""),IF(TRIM($N468)="","Status kosong",IF(ISERROR(MATCH(TRIM($N468),{"Draft","Menunggu Review","Revisi","Terjadwal","Upload","Publish","Published","Batal"},0)),"Status di luar daftar","")))),""))</f>
        <v/>
      </c>
      <c r="S468" s="17">
        <f>IF(AND($A468&lt;&gt;"",$C468&lt;&gt;""),IF(COUNTIFS($A$2:$A$1000,$A468,$C$2:$C$1000,$C468)&gt;1,"DUPLICAT",""),"")</f>
        <v/>
      </c>
    </row>
    <row r="469">
      <c r="A469" s="12" t="n"/>
      <c r="B469" s="12" t="n"/>
      <c r="C469" s="12" t="n"/>
      <c r="D469" s="13" t="n"/>
      <c r="E469" s="12" t="n"/>
      <c r="F469" s="14" t="n"/>
      <c r="G469" s="12" t="n"/>
      <c r="H469" s="12" t="n"/>
      <c r="I469" s="12" t="n"/>
      <c r="J469" s="14" t="n"/>
      <c r="K469" s="14" t="n"/>
      <c r="L469" s="15" t="n"/>
      <c r="M469" s="15" t="n"/>
      <c r="N469" s="12" t="n"/>
      <c r="O469" s="12" t="n"/>
      <c r="P469" s="16">
        <f>IF(AND(ISNUMBER($L469),ISNUMBER($M469)),MAX(0,$M469-$L469),"")</f>
        <v/>
      </c>
      <c r="Q469" s="16">
        <f>IF(ISNUMBER($D469),MAX(0,TODAY()-$D469),"")</f>
        <v/>
      </c>
      <c r="R469" s="14">
        <f>IF(COUNTA($A469:$O469)=0,"",IFERROR(TRIM(TEXTJOIN(" | ",TRUE,IF($A469="","PC kosong",""),IF($C469="","Worker ID kosong",""),IF($D469="","Update Date kosong",IF(NOT(ISNUMBER($D469)),"Update Date bukan tanggal","")),IF($E469="","Song ID YT kosong",""),IF($F469="","Judul kosong",""),IF(TRIM($G469)="","",IF(ISERROR(MATCH(TRIM($G469),{"TuneCore","DistroKid","TooLost","SoundOn","Ditto","Believe","CD Baby","Amuse","Symphonic Distribution","ONErpm","RouteNote","LANDR","Horus Music","Indie"},0)),"Aggregator di luar daftar","")),IF(TRIM($H469)="","Genre kosong",IF((LEN(SUBSTITUTE(SUBSTITUTE(SUBSTITUTE(TRIM($H469),"/",","),";",",")," ",""))-LEN(SUBSTITUTE(SUBSTITUTE(SUBSTITUTE(SUBSTITUTE(TRIM($H469),"/",","),";",","),"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469),"/",","),";",",")," ","")&amp;",")))&lt;&gt;(LEN(SUBSTITUTE(SUBSTITUTE(SUBSTITUTE(TRIM($H469),"/",","),";",",")," ",""))-LEN(SUBSTITUTE(SUBSTITUTE(SUBSTITUTE(SUBSTITUTE(TRIM($H469),"/",","),";",",")," ",""),",",""))+1),"Genre di luar daftar",""))),IF($I469="","Nama Channel kosong",""),IF($J469="","Link Channel kosong",IF(ISERROR(SEARCH("youtu",$J469)),"Link Channel bukan youtube","")),IF($K469="","Link Video kosong",IF(ISERROR(SEARCH("youtu",$K469)),"Link Video bukan youtube","")),IF($L469="","Tgl Dibuat kosong",IF(NOT(ISNUMBER($L469)),"Tgl Dibuat bukan tanggal","")),IF(AND($M469&lt;&gt;"",NOT(ISNUMBER($M469))),"Tgl Publish bukan tanggal",""),IF(AND(ISNUMBER($L469),ISNUMBER($M469),$M469&lt;$L469),"Tgl Publish &lt; Tgl buat",""),IF(TRIM($N469)="","Status kosong",IF(ISERROR(MATCH(TRIM($N469),{"Draft","Menunggu Review","Revisi","Terjadwal","Upload","Publish","Published","Batal"},0)),"Status di luar daftar","")))),""))</f>
        <v/>
      </c>
      <c r="S469" s="12">
        <f>IF(AND($A469&lt;&gt;"",$C469&lt;&gt;""),IF(COUNTIFS($A$2:$A$1000,$A469,$C$2:$C$1000,$C469)&gt;1,"DUPLICAT",""),"")</f>
        <v/>
      </c>
    </row>
    <row r="470">
      <c r="A470" s="17" t="n"/>
      <c r="B470" s="17" t="n"/>
      <c r="C470" s="17" t="n"/>
      <c r="D470" s="18" t="n"/>
      <c r="E470" s="17" t="n"/>
      <c r="F470" s="19" t="n"/>
      <c r="G470" s="17" t="n"/>
      <c r="H470" s="17" t="n"/>
      <c r="I470" s="17" t="n"/>
      <c r="J470" s="19" t="n"/>
      <c r="K470" s="19" t="n"/>
      <c r="L470" s="20" t="n"/>
      <c r="M470" s="20" t="n"/>
      <c r="N470" s="17" t="n"/>
      <c r="O470" s="17" t="n"/>
      <c r="P470" s="21">
        <f>IF(AND(ISNUMBER($L470),ISNUMBER($M470)),MAX(0,$M470-$L470),"")</f>
        <v/>
      </c>
      <c r="Q470" s="21">
        <f>IF(ISNUMBER($D470),MAX(0,TODAY()-$D470),"")</f>
        <v/>
      </c>
      <c r="R470" s="19">
        <f>IF(COUNTA($A470:$O470)=0,"",IFERROR(TRIM(TEXTJOIN(" | ",TRUE,IF($A470="","PC kosong",""),IF($C470="","Worker ID kosong",""),IF($D470="","Update Date kosong",IF(NOT(ISNUMBER($D470)),"Update Date bukan tanggal","")),IF($E470="","Song ID YT kosong",""),IF($F470="","Judul kosong",""),IF(TRIM($G470)="","",IF(ISERROR(MATCH(TRIM($G470),{"TuneCore","DistroKid","TooLost","SoundOn","Ditto","Believe","CD Baby","Amuse","Symphonic Distribution","ONErpm","RouteNote","LANDR","Horus Music","Indie"},0)),"Aggregator di luar daftar","")),IF(TRIM($H470)="","Genre kosong",IF((LEN(SUBSTITUTE(SUBSTITUTE(SUBSTITUTE(TRIM($H470),"/",","),";",",")," ",""))-LEN(SUBSTITUTE(SUBSTITUTE(SUBSTITUTE(SUBSTITUTE(TRIM($H470),"/",","),";",","),"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470),"/",","),";",",")," ","")&amp;",")))&lt;&gt;(LEN(SUBSTITUTE(SUBSTITUTE(SUBSTITUTE(TRIM($H470),"/",","),";",",")," ",""))-LEN(SUBSTITUTE(SUBSTITUTE(SUBSTITUTE(SUBSTITUTE(TRIM($H470),"/",","),";",",")," ",""),",",""))+1),"Genre di luar daftar",""))),IF($I470="","Nama Channel kosong",""),IF($J470="","Link Channel kosong",IF(ISERROR(SEARCH("youtu",$J470)),"Link Channel bukan youtube","")),IF($K470="","Link Video kosong",IF(ISERROR(SEARCH("youtu",$K470)),"Link Video bukan youtube","")),IF($L470="","Tgl Dibuat kosong",IF(NOT(ISNUMBER($L470)),"Tgl Dibuat bukan tanggal","")),IF(AND($M470&lt;&gt;"",NOT(ISNUMBER($M470))),"Tgl Publish bukan tanggal",""),IF(AND(ISNUMBER($L470),ISNUMBER($M470),$M470&lt;$L470),"Tgl Publish &lt; Tgl buat",""),IF(TRIM($N470)="","Status kosong",IF(ISERROR(MATCH(TRIM($N470),{"Draft","Menunggu Review","Revisi","Terjadwal","Upload","Publish","Published","Batal"},0)),"Status di luar daftar","")))),""))</f>
        <v/>
      </c>
      <c r="S470" s="17">
        <f>IF(AND($A470&lt;&gt;"",$C470&lt;&gt;""),IF(COUNTIFS($A$2:$A$1000,$A470,$C$2:$C$1000,$C470)&gt;1,"DUPLICAT",""),"")</f>
        <v/>
      </c>
    </row>
    <row r="471">
      <c r="A471" s="12" t="n"/>
      <c r="B471" s="12" t="n"/>
      <c r="C471" s="12" t="n"/>
      <c r="D471" s="13" t="n"/>
      <c r="E471" s="12" t="n"/>
      <c r="F471" s="14" t="n"/>
      <c r="G471" s="12" t="n"/>
      <c r="H471" s="12" t="n"/>
      <c r="I471" s="12" t="n"/>
      <c r="J471" s="14" t="n"/>
      <c r="K471" s="14" t="n"/>
      <c r="L471" s="15" t="n"/>
      <c r="M471" s="15" t="n"/>
      <c r="N471" s="12" t="n"/>
      <c r="O471" s="12" t="n"/>
      <c r="P471" s="16">
        <f>IF(AND(ISNUMBER($L471),ISNUMBER($M471)),MAX(0,$M471-$L471),"")</f>
        <v/>
      </c>
      <c r="Q471" s="16">
        <f>IF(ISNUMBER($D471),MAX(0,TODAY()-$D471),"")</f>
        <v/>
      </c>
      <c r="R471" s="14">
        <f>IF(COUNTA($A471:$O471)=0,"",IFERROR(TRIM(TEXTJOIN(" | ",TRUE,IF($A471="","PC kosong",""),IF($C471="","Worker ID kosong",""),IF($D471="","Update Date kosong",IF(NOT(ISNUMBER($D471)),"Update Date bukan tanggal","")),IF($E471="","Song ID YT kosong",""),IF($F471="","Judul kosong",""),IF(TRIM($G471)="","",IF(ISERROR(MATCH(TRIM($G471),{"TuneCore","DistroKid","TooLost","SoundOn","Ditto","Believe","CD Baby","Amuse","Symphonic Distribution","ONErpm","RouteNote","LANDR","Horus Music","Indie"},0)),"Aggregator di luar daftar","")),IF(TRIM($H471)="","Genre kosong",IF((LEN(SUBSTITUTE(SUBSTITUTE(SUBSTITUTE(TRIM($H471),"/",","),";",",")," ",""))-LEN(SUBSTITUTE(SUBSTITUTE(SUBSTITUTE(SUBSTITUTE(TRIM($H471),"/",","),";",","),"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471),"/",","),";",",")," ","")&amp;",")))&lt;&gt;(LEN(SUBSTITUTE(SUBSTITUTE(SUBSTITUTE(TRIM($H471),"/",","),";",",")," ",""))-LEN(SUBSTITUTE(SUBSTITUTE(SUBSTITUTE(SUBSTITUTE(TRIM($H471),"/",","),";",",")," ",""),",",""))+1),"Genre di luar daftar",""))),IF($I471="","Nama Channel kosong",""),IF($J471="","Link Channel kosong",IF(ISERROR(SEARCH("youtu",$J471)),"Link Channel bukan youtube","")),IF($K471="","Link Video kosong",IF(ISERROR(SEARCH("youtu",$K471)),"Link Video bukan youtube","")),IF($L471="","Tgl Dibuat kosong",IF(NOT(ISNUMBER($L471)),"Tgl Dibuat bukan tanggal","")),IF(AND($M471&lt;&gt;"",NOT(ISNUMBER($M471))),"Tgl Publish bukan tanggal",""),IF(AND(ISNUMBER($L471),ISNUMBER($M471),$M471&lt;$L471),"Tgl Publish &lt; Tgl buat",""),IF(TRIM($N471)="","Status kosong",IF(ISERROR(MATCH(TRIM($N471),{"Draft","Menunggu Review","Revisi","Terjadwal","Upload","Publish","Published","Batal"},0)),"Status di luar daftar","")))),""))</f>
        <v/>
      </c>
      <c r="S471" s="12">
        <f>IF(AND($A471&lt;&gt;"",$C471&lt;&gt;""),IF(COUNTIFS($A$2:$A$1000,$A471,$C$2:$C$1000,$C471)&gt;1,"DUPLICAT",""),"")</f>
        <v/>
      </c>
    </row>
    <row r="472">
      <c r="A472" s="17" t="n"/>
      <c r="B472" s="17" t="n"/>
      <c r="C472" s="17" t="n"/>
      <c r="D472" s="18" t="n"/>
      <c r="E472" s="17" t="n"/>
      <c r="F472" s="19" t="n"/>
      <c r="G472" s="17" t="n"/>
      <c r="H472" s="17" t="n"/>
      <c r="I472" s="17" t="n"/>
      <c r="J472" s="19" t="n"/>
      <c r="K472" s="19" t="n"/>
      <c r="L472" s="20" t="n"/>
      <c r="M472" s="20" t="n"/>
      <c r="N472" s="17" t="n"/>
      <c r="O472" s="17" t="n"/>
      <c r="P472" s="21">
        <f>IF(AND(ISNUMBER($L472),ISNUMBER($M472)),MAX(0,$M472-$L472),"")</f>
        <v/>
      </c>
      <c r="Q472" s="21">
        <f>IF(ISNUMBER($D472),MAX(0,TODAY()-$D472),"")</f>
        <v/>
      </c>
      <c r="R472" s="19">
        <f>IF(COUNTA($A472:$O472)=0,"",IFERROR(TRIM(TEXTJOIN(" | ",TRUE,IF($A472="","PC kosong",""),IF($C472="","Worker ID kosong",""),IF($D472="","Update Date kosong",IF(NOT(ISNUMBER($D472)),"Update Date bukan tanggal","")),IF($E472="","Song ID YT kosong",""),IF($F472="","Judul kosong",""),IF(TRIM($G472)="","",IF(ISERROR(MATCH(TRIM($G472),{"TuneCore","DistroKid","TooLost","SoundOn","Ditto","Believe","CD Baby","Amuse","Symphonic Distribution","ONErpm","RouteNote","LANDR","Horus Music","Indie"},0)),"Aggregator di luar daftar","")),IF(TRIM($H472)="","Genre kosong",IF((LEN(SUBSTITUTE(SUBSTITUTE(SUBSTITUTE(TRIM($H472),"/",","),";",",")," ",""))-LEN(SUBSTITUTE(SUBSTITUTE(SUBSTITUTE(SUBSTITUTE(TRIM($H472),"/",","),";",","),"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472),"/",","),";",",")," ","")&amp;",")))&lt;&gt;(LEN(SUBSTITUTE(SUBSTITUTE(SUBSTITUTE(TRIM($H472),"/",","),";",",")," ",""))-LEN(SUBSTITUTE(SUBSTITUTE(SUBSTITUTE(SUBSTITUTE(TRIM($H472),"/",","),";",",")," ",""),",",""))+1),"Genre di luar daftar",""))),IF($I472="","Nama Channel kosong",""),IF($J472="","Link Channel kosong",IF(ISERROR(SEARCH("youtu",$J472)),"Link Channel bukan youtube","")),IF($K472="","Link Video kosong",IF(ISERROR(SEARCH("youtu",$K472)),"Link Video bukan youtube","")),IF($L472="","Tgl Dibuat kosong",IF(NOT(ISNUMBER($L472)),"Tgl Dibuat bukan tanggal","")),IF(AND($M472&lt;&gt;"",NOT(ISNUMBER($M472))),"Tgl Publish bukan tanggal",""),IF(AND(ISNUMBER($L472),ISNUMBER($M472),$M472&lt;$L472),"Tgl Publish &lt; Tgl buat",""),IF(TRIM($N472)="","Status kosong",IF(ISERROR(MATCH(TRIM($N472),{"Draft","Menunggu Review","Revisi","Terjadwal","Upload","Publish","Published","Batal"},0)),"Status di luar daftar","")))),""))</f>
        <v/>
      </c>
      <c r="S472" s="17">
        <f>IF(AND($A472&lt;&gt;"",$C472&lt;&gt;""),IF(COUNTIFS($A$2:$A$1000,$A472,$C$2:$C$1000,$C472)&gt;1,"DUPLICAT",""),"")</f>
        <v/>
      </c>
    </row>
    <row r="473">
      <c r="A473" s="12" t="n"/>
      <c r="B473" s="12" t="n"/>
      <c r="C473" s="12" t="n"/>
      <c r="D473" s="13" t="n"/>
      <c r="E473" s="12" t="n"/>
      <c r="F473" s="14" t="n"/>
      <c r="G473" s="12" t="n"/>
      <c r="H473" s="12" t="n"/>
      <c r="I473" s="12" t="n"/>
      <c r="J473" s="14" t="n"/>
      <c r="K473" s="14" t="n"/>
      <c r="L473" s="15" t="n"/>
      <c r="M473" s="15" t="n"/>
      <c r="N473" s="12" t="n"/>
      <c r="O473" s="12" t="n"/>
      <c r="P473" s="16">
        <f>IF(AND(ISNUMBER($L473),ISNUMBER($M473)),MAX(0,$M473-$L473),"")</f>
        <v/>
      </c>
      <c r="Q473" s="16">
        <f>IF(ISNUMBER($D473),MAX(0,TODAY()-$D473),"")</f>
        <v/>
      </c>
      <c r="R473" s="14">
        <f>IF(COUNTA($A473:$O473)=0,"",IFERROR(TRIM(TEXTJOIN(" | ",TRUE,IF($A473="","PC kosong",""),IF($C473="","Worker ID kosong",""),IF($D473="","Update Date kosong",IF(NOT(ISNUMBER($D473)),"Update Date bukan tanggal","")),IF($E473="","Song ID YT kosong",""),IF($F473="","Judul kosong",""),IF(TRIM($G473)="","",IF(ISERROR(MATCH(TRIM($G473),{"TuneCore","DistroKid","TooLost","SoundOn","Ditto","Believe","CD Baby","Amuse","Symphonic Distribution","ONErpm","RouteNote","LANDR","Horus Music","Indie"},0)),"Aggregator di luar daftar","")),IF(TRIM($H473)="","Genre kosong",IF((LEN(SUBSTITUTE(SUBSTITUTE(SUBSTITUTE(TRIM($H473),"/",","),";",",")," ",""))-LEN(SUBSTITUTE(SUBSTITUTE(SUBSTITUTE(SUBSTITUTE(TRIM($H473),"/",","),";",","),"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473),"/",","),";",",")," ","")&amp;",")))&lt;&gt;(LEN(SUBSTITUTE(SUBSTITUTE(SUBSTITUTE(TRIM($H473),"/",","),";",",")," ",""))-LEN(SUBSTITUTE(SUBSTITUTE(SUBSTITUTE(SUBSTITUTE(TRIM($H473),"/",","),";",",")," ",""),",",""))+1),"Genre di luar daftar",""))),IF($I473="","Nama Channel kosong",""),IF($J473="","Link Channel kosong",IF(ISERROR(SEARCH("youtu",$J473)),"Link Channel bukan youtube","")),IF($K473="","Link Video kosong",IF(ISERROR(SEARCH("youtu",$K473)),"Link Video bukan youtube","")),IF($L473="","Tgl Dibuat kosong",IF(NOT(ISNUMBER($L473)),"Tgl Dibuat bukan tanggal","")),IF(AND($M473&lt;&gt;"",NOT(ISNUMBER($M473))),"Tgl Publish bukan tanggal",""),IF(AND(ISNUMBER($L473),ISNUMBER($M473),$M473&lt;$L473),"Tgl Publish &lt; Tgl buat",""),IF(TRIM($N473)="","Status kosong",IF(ISERROR(MATCH(TRIM($N473),{"Draft","Menunggu Review","Revisi","Terjadwal","Upload","Publish","Published","Batal"},0)),"Status di luar daftar","")))),""))</f>
        <v/>
      </c>
      <c r="S473" s="12">
        <f>IF(AND($A473&lt;&gt;"",$C473&lt;&gt;""),IF(COUNTIFS($A$2:$A$1000,$A473,$C$2:$C$1000,$C473)&gt;1,"DUPLICAT",""),"")</f>
        <v/>
      </c>
    </row>
    <row r="474">
      <c r="A474" s="17" t="n"/>
      <c r="B474" s="17" t="n"/>
      <c r="C474" s="17" t="n"/>
      <c r="D474" s="18" t="n"/>
      <c r="E474" s="17" t="n"/>
      <c r="F474" s="19" t="n"/>
      <c r="G474" s="17" t="n"/>
      <c r="H474" s="17" t="n"/>
      <c r="I474" s="17" t="n"/>
      <c r="J474" s="19" t="n"/>
      <c r="K474" s="19" t="n"/>
      <c r="L474" s="20" t="n"/>
      <c r="M474" s="20" t="n"/>
      <c r="N474" s="17" t="n"/>
      <c r="O474" s="17" t="n"/>
      <c r="P474" s="21">
        <f>IF(AND(ISNUMBER($L474),ISNUMBER($M474)),MAX(0,$M474-$L474),"")</f>
        <v/>
      </c>
      <c r="Q474" s="21">
        <f>IF(ISNUMBER($D474),MAX(0,TODAY()-$D474),"")</f>
        <v/>
      </c>
      <c r="R474" s="19">
        <f>IF(COUNTA($A474:$O474)=0,"",IFERROR(TRIM(TEXTJOIN(" | ",TRUE,IF($A474="","PC kosong",""),IF($C474="","Worker ID kosong",""),IF($D474="","Update Date kosong",IF(NOT(ISNUMBER($D474)),"Update Date bukan tanggal","")),IF($E474="","Song ID YT kosong",""),IF($F474="","Judul kosong",""),IF(TRIM($G474)="","",IF(ISERROR(MATCH(TRIM($G474),{"TuneCore","DistroKid","TooLost","SoundOn","Ditto","Believe","CD Baby","Amuse","Symphonic Distribution","ONErpm","RouteNote","LANDR","Horus Music","Indie"},0)),"Aggregator di luar daftar","")),IF(TRIM($H474)="","Genre kosong",IF((LEN(SUBSTITUTE(SUBSTITUTE(SUBSTITUTE(TRIM($H474),"/",","),";",",")," ",""))-LEN(SUBSTITUTE(SUBSTITUTE(SUBSTITUTE(SUBSTITUTE(TRIM($H474),"/",","),";",","),"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474),"/",","),";",",")," ","")&amp;",")))&lt;&gt;(LEN(SUBSTITUTE(SUBSTITUTE(SUBSTITUTE(TRIM($H474),"/",","),";",",")," ",""))-LEN(SUBSTITUTE(SUBSTITUTE(SUBSTITUTE(SUBSTITUTE(TRIM($H474),"/",","),";",",")," ",""),",",""))+1),"Genre di luar daftar",""))),IF($I474="","Nama Channel kosong",""),IF($J474="","Link Channel kosong",IF(ISERROR(SEARCH("youtu",$J474)),"Link Channel bukan youtube","")),IF($K474="","Link Video kosong",IF(ISERROR(SEARCH("youtu",$K474)),"Link Video bukan youtube","")),IF($L474="","Tgl Dibuat kosong",IF(NOT(ISNUMBER($L474)),"Tgl Dibuat bukan tanggal","")),IF(AND($M474&lt;&gt;"",NOT(ISNUMBER($M474))),"Tgl Publish bukan tanggal",""),IF(AND(ISNUMBER($L474),ISNUMBER($M474),$M474&lt;$L474),"Tgl Publish &lt; Tgl buat",""),IF(TRIM($N474)="","Status kosong",IF(ISERROR(MATCH(TRIM($N474),{"Draft","Menunggu Review","Revisi","Terjadwal","Upload","Publish","Published","Batal"},0)),"Status di luar daftar","")))),""))</f>
        <v/>
      </c>
      <c r="S474" s="17">
        <f>IF(AND($A474&lt;&gt;"",$C474&lt;&gt;""),IF(COUNTIFS($A$2:$A$1000,$A474,$C$2:$C$1000,$C474)&gt;1,"DUPLICAT",""),"")</f>
        <v/>
      </c>
    </row>
    <row r="475">
      <c r="A475" s="12" t="n"/>
      <c r="B475" s="12" t="n"/>
      <c r="C475" s="12" t="n"/>
      <c r="D475" s="13" t="n"/>
      <c r="E475" s="12" t="n"/>
      <c r="F475" s="14" t="n"/>
      <c r="G475" s="12" t="n"/>
      <c r="H475" s="12" t="n"/>
      <c r="I475" s="12" t="n"/>
      <c r="J475" s="14" t="n"/>
      <c r="K475" s="14" t="n"/>
      <c r="L475" s="15" t="n"/>
      <c r="M475" s="15" t="n"/>
      <c r="N475" s="12" t="n"/>
      <c r="O475" s="12" t="n"/>
      <c r="P475" s="16">
        <f>IF(AND(ISNUMBER($L475),ISNUMBER($M475)),MAX(0,$M475-$L475),"")</f>
        <v/>
      </c>
      <c r="Q475" s="16">
        <f>IF(ISNUMBER($D475),MAX(0,TODAY()-$D475),"")</f>
        <v/>
      </c>
      <c r="R475" s="14">
        <f>IF(COUNTA($A475:$O475)=0,"",IFERROR(TRIM(TEXTJOIN(" | ",TRUE,IF($A475="","PC kosong",""),IF($C475="","Worker ID kosong",""),IF($D475="","Update Date kosong",IF(NOT(ISNUMBER($D475)),"Update Date bukan tanggal","")),IF($E475="","Song ID YT kosong",""),IF($F475="","Judul kosong",""),IF(TRIM($G475)="","",IF(ISERROR(MATCH(TRIM($G475),{"TuneCore","DistroKid","TooLost","SoundOn","Ditto","Believe","CD Baby","Amuse","Symphonic Distribution","ONErpm","RouteNote","LANDR","Horus Music","Indie"},0)),"Aggregator di luar daftar","")),IF(TRIM($H475)="","Genre kosong",IF((LEN(SUBSTITUTE(SUBSTITUTE(SUBSTITUTE(TRIM($H475),"/",","),";",",")," ",""))-LEN(SUBSTITUTE(SUBSTITUTE(SUBSTITUTE(SUBSTITUTE(TRIM($H475),"/",","),";",","),"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475),"/",","),";",",")," ","")&amp;",")))&lt;&gt;(LEN(SUBSTITUTE(SUBSTITUTE(SUBSTITUTE(TRIM($H475),"/",","),";",",")," ",""))-LEN(SUBSTITUTE(SUBSTITUTE(SUBSTITUTE(SUBSTITUTE(TRIM($H475),"/",","),";",",")," ",""),",",""))+1),"Genre di luar daftar",""))),IF($I475="","Nama Channel kosong",""),IF($J475="","Link Channel kosong",IF(ISERROR(SEARCH("youtu",$J475)),"Link Channel bukan youtube","")),IF($K475="","Link Video kosong",IF(ISERROR(SEARCH("youtu",$K475)),"Link Video bukan youtube","")),IF($L475="","Tgl Dibuat kosong",IF(NOT(ISNUMBER($L475)),"Tgl Dibuat bukan tanggal","")),IF(AND($M475&lt;&gt;"",NOT(ISNUMBER($M475))),"Tgl Publish bukan tanggal",""),IF(AND(ISNUMBER($L475),ISNUMBER($M475),$M475&lt;$L475),"Tgl Publish &lt; Tgl buat",""),IF(TRIM($N475)="","Status kosong",IF(ISERROR(MATCH(TRIM($N475),{"Draft","Menunggu Review","Revisi","Terjadwal","Upload","Publish","Published","Batal"},0)),"Status di luar daftar","")))),""))</f>
        <v/>
      </c>
      <c r="S475" s="12">
        <f>IF(AND($A475&lt;&gt;"",$C475&lt;&gt;""),IF(COUNTIFS($A$2:$A$1000,$A475,$C$2:$C$1000,$C475)&gt;1,"DUPLICAT",""),"")</f>
        <v/>
      </c>
    </row>
    <row r="476">
      <c r="A476" s="17" t="n"/>
      <c r="B476" s="17" t="n"/>
      <c r="C476" s="17" t="n"/>
      <c r="D476" s="18" t="n"/>
      <c r="E476" s="17" t="n"/>
      <c r="F476" s="19" t="n"/>
      <c r="G476" s="17" t="n"/>
      <c r="H476" s="17" t="n"/>
      <c r="I476" s="17" t="n"/>
      <c r="J476" s="19" t="n"/>
      <c r="K476" s="19" t="n"/>
      <c r="L476" s="20" t="n"/>
      <c r="M476" s="20" t="n"/>
      <c r="N476" s="17" t="n"/>
      <c r="O476" s="17" t="n"/>
      <c r="P476" s="21">
        <f>IF(AND(ISNUMBER($L476),ISNUMBER($M476)),MAX(0,$M476-$L476),"")</f>
        <v/>
      </c>
      <c r="Q476" s="21">
        <f>IF(ISNUMBER($D476),MAX(0,TODAY()-$D476),"")</f>
        <v/>
      </c>
      <c r="R476" s="19">
        <f>IF(COUNTA($A476:$O476)=0,"",IFERROR(TRIM(TEXTJOIN(" | ",TRUE,IF($A476="","PC kosong",""),IF($C476="","Worker ID kosong",""),IF($D476="","Update Date kosong",IF(NOT(ISNUMBER($D476)),"Update Date bukan tanggal","")),IF($E476="","Song ID YT kosong",""),IF($F476="","Judul kosong",""),IF(TRIM($G476)="","",IF(ISERROR(MATCH(TRIM($G476),{"TuneCore","DistroKid","TooLost","SoundOn","Ditto","Believe","CD Baby","Amuse","Symphonic Distribution","ONErpm","RouteNote","LANDR","Horus Music","Indie"},0)),"Aggregator di luar daftar","")),IF(TRIM($H476)="","Genre kosong",IF((LEN(SUBSTITUTE(SUBSTITUTE(SUBSTITUTE(TRIM($H476),"/",","),";",",")," ",""))-LEN(SUBSTITUTE(SUBSTITUTE(SUBSTITUTE(SUBSTITUTE(TRIM($H476),"/",","),";",","),"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476),"/",","),";",",")," ","")&amp;",")))&lt;&gt;(LEN(SUBSTITUTE(SUBSTITUTE(SUBSTITUTE(TRIM($H476),"/",","),";",",")," ",""))-LEN(SUBSTITUTE(SUBSTITUTE(SUBSTITUTE(SUBSTITUTE(TRIM($H476),"/",","),";",",")," ",""),",",""))+1),"Genre di luar daftar",""))),IF($I476="","Nama Channel kosong",""),IF($J476="","Link Channel kosong",IF(ISERROR(SEARCH("youtu",$J476)),"Link Channel bukan youtube","")),IF($K476="","Link Video kosong",IF(ISERROR(SEARCH("youtu",$K476)),"Link Video bukan youtube","")),IF($L476="","Tgl Dibuat kosong",IF(NOT(ISNUMBER($L476)),"Tgl Dibuat bukan tanggal","")),IF(AND($M476&lt;&gt;"",NOT(ISNUMBER($M476))),"Tgl Publish bukan tanggal",""),IF(AND(ISNUMBER($L476),ISNUMBER($M476),$M476&lt;$L476),"Tgl Publish &lt; Tgl buat",""),IF(TRIM($N476)="","Status kosong",IF(ISERROR(MATCH(TRIM($N476),{"Draft","Menunggu Review","Revisi","Terjadwal","Upload","Publish","Published","Batal"},0)),"Status di luar daftar","")))),""))</f>
        <v/>
      </c>
      <c r="S476" s="17">
        <f>IF(AND($A476&lt;&gt;"",$C476&lt;&gt;""),IF(COUNTIFS($A$2:$A$1000,$A476,$C$2:$C$1000,$C476)&gt;1,"DUPLICAT",""),"")</f>
        <v/>
      </c>
    </row>
    <row r="477">
      <c r="A477" s="12" t="n"/>
      <c r="B477" s="12" t="n"/>
      <c r="C477" s="12" t="n"/>
      <c r="D477" s="13" t="n"/>
      <c r="E477" s="12" t="n"/>
      <c r="F477" s="14" t="n"/>
      <c r="G477" s="12" t="n"/>
      <c r="H477" s="12" t="n"/>
      <c r="I477" s="12" t="n"/>
      <c r="J477" s="14" t="n"/>
      <c r="K477" s="14" t="n"/>
      <c r="L477" s="15" t="n"/>
      <c r="M477" s="15" t="n"/>
      <c r="N477" s="12" t="n"/>
      <c r="O477" s="12" t="n"/>
      <c r="P477" s="16">
        <f>IF(AND(ISNUMBER($L477),ISNUMBER($M477)),MAX(0,$M477-$L477),"")</f>
        <v/>
      </c>
      <c r="Q477" s="16">
        <f>IF(ISNUMBER($D477),MAX(0,TODAY()-$D477),"")</f>
        <v/>
      </c>
      <c r="R477" s="14">
        <f>IF(COUNTA($A477:$O477)=0,"",IFERROR(TRIM(TEXTJOIN(" | ",TRUE,IF($A477="","PC kosong",""),IF($C477="","Worker ID kosong",""),IF($D477="","Update Date kosong",IF(NOT(ISNUMBER($D477)),"Update Date bukan tanggal","")),IF($E477="","Song ID YT kosong",""),IF($F477="","Judul kosong",""),IF(TRIM($G477)="","",IF(ISERROR(MATCH(TRIM($G477),{"TuneCore","DistroKid","TooLost","SoundOn","Ditto","Believe","CD Baby","Amuse","Symphonic Distribution","ONErpm","RouteNote","LANDR","Horus Music","Indie"},0)),"Aggregator di luar daftar","")),IF(TRIM($H477)="","Genre kosong",IF((LEN(SUBSTITUTE(SUBSTITUTE(SUBSTITUTE(TRIM($H477),"/",","),";",",")," ",""))-LEN(SUBSTITUTE(SUBSTITUTE(SUBSTITUTE(SUBSTITUTE(TRIM($H477),"/",","),";",","),"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477),"/",","),";",",")," ","")&amp;",")))&lt;&gt;(LEN(SUBSTITUTE(SUBSTITUTE(SUBSTITUTE(TRIM($H477),"/",","),";",",")," ",""))-LEN(SUBSTITUTE(SUBSTITUTE(SUBSTITUTE(SUBSTITUTE(TRIM($H477),"/",","),";",",")," ",""),",",""))+1),"Genre di luar daftar",""))),IF($I477="","Nama Channel kosong",""),IF($J477="","Link Channel kosong",IF(ISERROR(SEARCH("youtu",$J477)),"Link Channel bukan youtube","")),IF($K477="","Link Video kosong",IF(ISERROR(SEARCH("youtu",$K477)),"Link Video bukan youtube","")),IF($L477="","Tgl Dibuat kosong",IF(NOT(ISNUMBER($L477)),"Tgl Dibuat bukan tanggal","")),IF(AND($M477&lt;&gt;"",NOT(ISNUMBER($M477))),"Tgl Publish bukan tanggal",""),IF(AND(ISNUMBER($L477),ISNUMBER($M477),$M477&lt;$L477),"Tgl Publish &lt; Tgl buat",""),IF(TRIM($N477)="","Status kosong",IF(ISERROR(MATCH(TRIM($N477),{"Draft","Menunggu Review","Revisi","Terjadwal","Upload","Publish","Published","Batal"},0)),"Status di luar daftar","")))),""))</f>
        <v/>
      </c>
      <c r="S477" s="12">
        <f>IF(AND($A477&lt;&gt;"",$C477&lt;&gt;""),IF(COUNTIFS($A$2:$A$1000,$A477,$C$2:$C$1000,$C477)&gt;1,"DUPLICAT",""),"")</f>
        <v/>
      </c>
    </row>
    <row r="478">
      <c r="A478" s="17" t="n"/>
      <c r="B478" s="17" t="n"/>
      <c r="C478" s="17" t="n"/>
      <c r="D478" s="18" t="n"/>
      <c r="E478" s="17" t="n"/>
      <c r="F478" s="19" t="n"/>
      <c r="G478" s="17" t="n"/>
      <c r="H478" s="17" t="n"/>
      <c r="I478" s="17" t="n"/>
      <c r="J478" s="19" t="n"/>
      <c r="K478" s="19" t="n"/>
      <c r="L478" s="20" t="n"/>
      <c r="M478" s="20" t="n"/>
      <c r="N478" s="17" t="n"/>
      <c r="O478" s="17" t="n"/>
      <c r="P478" s="21">
        <f>IF(AND(ISNUMBER($L478),ISNUMBER($M478)),MAX(0,$M478-$L478),"")</f>
        <v/>
      </c>
      <c r="Q478" s="21">
        <f>IF(ISNUMBER($D478),MAX(0,TODAY()-$D478),"")</f>
        <v/>
      </c>
      <c r="R478" s="19">
        <f>IF(COUNTA($A478:$O478)=0,"",IFERROR(TRIM(TEXTJOIN(" | ",TRUE,IF($A478="","PC kosong",""),IF($C478="","Worker ID kosong",""),IF($D478="","Update Date kosong",IF(NOT(ISNUMBER($D478)),"Update Date bukan tanggal","")),IF($E478="","Song ID YT kosong",""),IF($F478="","Judul kosong",""),IF(TRIM($G478)="","",IF(ISERROR(MATCH(TRIM($G478),{"TuneCore","DistroKid","TooLost","SoundOn","Ditto","Believe","CD Baby","Amuse","Symphonic Distribution","ONErpm","RouteNote","LANDR","Horus Music","Indie"},0)),"Aggregator di luar daftar","")),IF(TRIM($H478)="","Genre kosong",IF((LEN(SUBSTITUTE(SUBSTITUTE(SUBSTITUTE(TRIM($H478),"/",","),";",",")," ",""))-LEN(SUBSTITUTE(SUBSTITUTE(SUBSTITUTE(SUBSTITUTE(TRIM($H478),"/",","),";",","),"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478),"/",","),";",",")," ","")&amp;",")))&lt;&gt;(LEN(SUBSTITUTE(SUBSTITUTE(SUBSTITUTE(TRIM($H478),"/",","),";",",")," ",""))-LEN(SUBSTITUTE(SUBSTITUTE(SUBSTITUTE(SUBSTITUTE(TRIM($H478),"/",","),";",",")," ",""),",",""))+1),"Genre di luar daftar",""))),IF($I478="","Nama Channel kosong",""),IF($J478="","Link Channel kosong",IF(ISERROR(SEARCH("youtu",$J478)),"Link Channel bukan youtube","")),IF($K478="","Link Video kosong",IF(ISERROR(SEARCH("youtu",$K478)),"Link Video bukan youtube","")),IF($L478="","Tgl Dibuat kosong",IF(NOT(ISNUMBER($L478)),"Tgl Dibuat bukan tanggal","")),IF(AND($M478&lt;&gt;"",NOT(ISNUMBER($M478))),"Tgl Publish bukan tanggal",""),IF(AND(ISNUMBER($L478),ISNUMBER($M478),$M478&lt;$L478),"Tgl Publish &lt; Tgl buat",""),IF(TRIM($N478)="","Status kosong",IF(ISERROR(MATCH(TRIM($N478),{"Draft","Menunggu Review","Revisi","Terjadwal","Upload","Publish","Published","Batal"},0)),"Status di luar daftar","")))),""))</f>
        <v/>
      </c>
      <c r="S478" s="17">
        <f>IF(AND($A478&lt;&gt;"",$C478&lt;&gt;""),IF(COUNTIFS($A$2:$A$1000,$A478,$C$2:$C$1000,$C478)&gt;1,"DUPLICAT",""),"")</f>
        <v/>
      </c>
    </row>
    <row r="479">
      <c r="A479" s="12" t="n"/>
      <c r="B479" s="12" t="n"/>
      <c r="C479" s="12" t="n"/>
      <c r="D479" s="13" t="n"/>
      <c r="E479" s="12" t="n"/>
      <c r="F479" s="14" t="n"/>
      <c r="G479" s="12" t="n"/>
      <c r="H479" s="12" t="n"/>
      <c r="I479" s="12" t="n"/>
      <c r="J479" s="14" t="n"/>
      <c r="K479" s="14" t="n"/>
      <c r="L479" s="15" t="n"/>
      <c r="M479" s="15" t="n"/>
      <c r="N479" s="12" t="n"/>
      <c r="O479" s="12" t="n"/>
      <c r="P479" s="16">
        <f>IF(AND(ISNUMBER($L479),ISNUMBER($M479)),MAX(0,$M479-$L479),"")</f>
        <v/>
      </c>
      <c r="Q479" s="16">
        <f>IF(ISNUMBER($D479),MAX(0,TODAY()-$D479),"")</f>
        <v/>
      </c>
      <c r="R479" s="14">
        <f>IF(COUNTA($A479:$O479)=0,"",IFERROR(TRIM(TEXTJOIN(" | ",TRUE,IF($A479="","PC kosong",""),IF($C479="","Worker ID kosong",""),IF($D479="","Update Date kosong",IF(NOT(ISNUMBER($D479)),"Update Date bukan tanggal","")),IF($E479="","Song ID YT kosong",""),IF($F479="","Judul kosong",""),IF(TRIM($G479)="","",IF(ISERROR(MATCH(TRIM($G479),{"TuneCore","DistroKid","TooLost","SoundOn","Ditto","Believe","CD Baby","Amuse","Symphonic Distribution","ONErpm","RouteNote","LANDR","Horus Music","Indie"},0)),"Aggregator di luar daftar","")),IF(TRIM($H479)="","Genre kosong",IF((LEN(SUBSTITUTE(SUBSTITUTE(SUBSTITUTE(TRIM($H479),"/",","),";",",")," ",""))-LEN(SUBSTITUTE(SUBSTITUTE(SUBSTITUTE(SUBSTITUTE(TRIM($H479),"/",","),";",","),"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479),"/",","),";",",")," ","")&amp;",")))&lt;&gt;(LEN(SUBSTITUTE(SUBSTITUTE(SUBSTITUTE(TRIM($H479),"/",","),";",",")," ",""))-LEN(SUBSTITUTE(SUBSTITUTE(SUBSTITUTE(SUBSTITUTE(TRIM($H479),"/",","),";",",")," ",""),",",""))+1),"Genre di luar daftar",""))),IF($I479="","Nama Channel kosong",""),IF($J479="","Link Channel kosong",IF(ISERROR(SEARCH("youtu",$J479)),"Link Channel bukan youtube","")),IF($K479="","Link Video kosong",IF(ISERROR(SEARCH("youtu",$K479)),"Link Video bukan youtube","")),IF($L479="","Tgl Dibuat kosong",IF(NOT(ISNUMBER($L479)),"Tgl Dibuat bukan tanggal","")),IF(AND($M479&lt;&gt;"",NOT(ISNUMBER($M479))),"Tgl Publish bukan tanggal",""),IF(AND(ISNUMBER($L479),ISNUMBER($M479),$M479&lt;$L479),"Tgl Publish &lt; Tgl buat",""),IF(TRIM($N479)="","Status kosong",IF(ISERROR(MATCH(TRIM($N479),{"Draft","Menunggu Review","Revisi","Terjadwal","Upload","Publish","Published","Batal"},0)),"Status di luar daftar","")))),""))</f>
        <v/>
      </c>
      <c r="S479" s="12">
        <f>IF(AND($A479&lt;&gt;"",$C479&lt;&gt;""),IF(COUNTIFS($A$2:$A$1000,$A479,$C$2:$C$1000,$C479)&gt;1,"DUPLICAT",""),"")</f>
        <v/>
      </c>
    </row>
    <row r="480">
      <c r="A480" s="17" t="n"/>
      <c r="B480" s="17" t="n"/>
      <c r="C480" s="17" t="n"/>
      <c r="D480" s="18" t="n"/>
      <c r="E480" s="17" t="n"/>
      <c r="F480" s="19" t="n"/>
      <c r="G480" s="17" t="n"/>
      <c r="H480" s="17" t="n"/>
      <c r="I480" s="17" t="n"/>
      <c r="J480" s="19" t="n"/>
      <c r="K480" s="19" t="n"/>
      <c r="L480" s="20" t="n"/>
      <c r="M480" s="20" t="n"/>
      <c r="N480" s="17" t="n"/>
      <c r="O480" s="17" t="n"/>
      <c r="P480" s="21">
        <f>IF(AND(ISNUMBER($L480),ISNUMBER($M480)),MAX(0,$M480-$L480),"")</f>
        <v/>
      </c>
      <c r="Q480" s="21">
        <f>IF(ISNUMBER($D480),MAX(0,TODAY()-$D480),"")</f>
        <v/>
      </c>
      <c r="R480" s="19">
        <f>IF(COUNTA($A480:$O480)=0,"",IFERROR(TRIM(TEXTJOIN(" | ",TRUE,IF($A480="","PC kosong",""),IF($C480="","Worker ID kosong",""),IF($D480="","Update Date kosong",IF(NOT(ISNUMBER($D480)),"Update Date bukan tanggal","")),IF($E480="","Song ID YT kosong",""),IF($F480="","Judul kosong",""),IF(TRIM($G480)="","",IF(ISERROR(MATCH(TRIM($G480),{"TuneCore","DistroKid","TooLost","SoundOn","Ditto","Believe","CD Baby","Amuse","Symphonic Distribution","ONErpm","RouteNote","LANDR","Horus Music","Indie"},0)),"Aggregator di luar daftar","")),IF(TRIM($H480)="","Genre kosong",IF((LEN(SUBSTITUTE(SUBSTITUTE(SUBSTITUTE(TRIM($H480),"/",","),";",",")," ",""))-LEN(SUBSTITUTE(SUBSTITUTE(SUBSTITUTE(SUBSTITUTE(TRIM($H480),"/",","),";",","),"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480),"/",","),";",",")," ","")&amp;",")))&lt;&gt;(LEN(SUBSTITUTE(SUBSTITUTE(SUBSTITUTE(TRIM($H480),"/",","),";",",")," ",""))-LEN(SUBSTITUTE(SUBSTITUTE(SUBSTITUTE(SUBSTITUTE(TRIM($H480),"/",","),";",",")," ",""),",",""))+1),"Genre di luar daftar",""))),IF($I480="","Nama Channel kosong",""),IF($J480="","Link Channel kosong",IF(ISERROR(SEARCH("youtu",$J480)),"Link Channel bukan youtube","")),IF($K480="","Link Video kosong",IF(ISERROR(SEARCH("youtu",$K480)),"Link Video bukan youtube","")),IF($L480="","Tgl Dibuat kosong",IF(NOT(ISNUMBER($L480)),"Tgl Dibuat bukan tanggal","")),IF(AND($M480&lt;&gt;"",NOT(ISNUMBER($M480))),"Tgl Publish bukan tanggal",""),IF(AND(ISNUMBER($L480),ISNUMBER($M480),$M480&lt;$L480),"Tgl Publish &lt; Tgl buat",""),IF(TRIM($N480)="","Status kosong",IF(ISERROR(MATCH(TRIM($N480),{"Draft","Menunggu Review","Revisi","Terjadwal","Upload","Publish","Published","Batal"},0)),"Status di luar daftar","")))),""))</f>
        <v/>
      </c>
      <c r="S480" s="17">
        <f>IF(AND($A480&lt;&gt;"",$C480&lt;&gt;""),IF(COUNTIFS($A$2:$A$1000,$A480,$C$2:$C$1000,$C480)&gt;1,"DUPLICAT",""),"")</f>
        <v/>
      </c>
    </row>
    <row r="481">
      <c r="A481" s="12" t="n"/>
      <c r="B481" s="12" t="n"/>
      <c r="C481" s="12" t="n"/>
      <c r="D481" s="13" t="n"/>
      <c r="E481" s="12" t="n"/>
      <c r="F481" s="14" t="n"/>
      <c r="G481" s="12" t="n"/>
      <c r="H481" s="12" t="n"/>
      <c r="I481" s="12" t="n"/>
      <c r="J481" s="14" t="n"/>
      <c r="K481" s="14" t="n"/>
      <c r="L481" s="15" t="n"/>
      <c r="M481" s="15" t="n"/>
      <c r="N481" s="12" t="n"/>
      <c r="O481" s="12" t="n"/>
      <c r="P481" s="16">
        <f>IF(AND(ISNUMBER($L481),ISNUMBER($M481)),MAX(0,$M481-$L481),"")</f>
        <v/>
      </c>
      <c r="Q481" s="16">
        <f>IF(ISNUMBER($D481),MAX(0,TODAY()-$D481),"")</f>
        <v/>
      </c>
      <c r="R481" s="14">
        <f>IF(COUNTA($A481:$O481)=0,"",IFERROR(TRIM(TEXTJOIN(" | ",TRUE,IF($A481="","PC kosong",""),IF($C481="","Worker ID kosong",""),IF($D481="","Update Date kosong",IF(NOT(ISNUMBER($D481)),"Update Date bukan tanggal","")),IF($E481="","Song ID YT kosong",""),IF($F481="","Judul kosong",""),IF(TRIM($G481)="","",IF(ISERROR(MATCH(TRIM($G481),{"TuneCore","DistroKid","TooLost","SoundOn","Ditto","Believe","CD Baby","Amuse","Symphonic Distribution","ONErpm","RouteNote","LANDR","Horus Music","Indie"},0)),"Aggregator di luar daftar","")),IF(TRIM($H481)="","Genre kosong",IF((LEN(SUBSTITUTE(SUBSTITUTE(SUBSTITUTE(TRIM($H481),"/",","),";",",")," ",""))-LEN(SUBSTITUTE(SUBSTITUTE(SUBSTITUTE(SUBSTITUTE(TRIM($H481),"/",","),";",","),"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481),"/",","),";",",")," ","")&amp;",")))&lt;&gt;(LEN(SUBSTITUTE(SUBSTITUTE(SUBSTITUTE(TRIM($H481),"/",","),";",",")," ",""))-LEN(SUBSTITUTE(SUBSTITUTE(SUBSTITUTE(SUBSTITUTE(TRIM($H481),"/",","),";",",")," ",""),",",""))+1),"Genre di luar daftar",""))),IF($I481="","Nama Channel kosong",""),IF($J481="","Link Channel kosong",IF(ISERROR(SEARCH("youtu",$J481)),"Link Channel bukan youtube","")),IF($K481="","Link Video kosong",IF(ISERROR(SEARCH("youtu",$K481)),"Link Video bukan youtube","")),IF($L481="","Tgl Dibuat kosong",IF(NOT(ISNUMBER($L481)),"Tgl Dibuat bukan tanggal","")),IF(AND($M481&lt;&gt;"",NOT(ISNUMBER($M481))),"Tgl Publish bukan tanggal",""),IF(AND(ISNUMBER($L481),ISNUMBER($M481),$M481&lt;$L481),"Tgl Publish &lt; Tgl buat",""),IF(TRIM($N481)="","Status kosong",IF(ISERROR(MATCH(TRIM($N481),{"Draft","Menunggu Review","Revisi","Terjadwal","Upload","Publish","Published","Batal"},0)),"Status di luar daftar","")))),""))</f>
        <v/>
      </c>
      <c r="S481" s="12">
        <f>IF(AND($A481&lt;&gt;"",$C481&lt;&gt;""),IF(COUNTIFS($A$2:$A$1000,$A481,$C$2:$C$1000,$C481)&gt;1,"DUPLICAT",""),"")</f>
        <v/>
      </c>
    </row>
    <row r="482">
      <c r="A482" s="17" t="n"/>
      <c r="B482" s="17" t="n"/>
      <c r="C482" s="17" t="n"/>
      <c r="D482" s="18" t="n"/>
      <c r="E482" s="17" t="n"/>
      <c r="F482" s="19" t="n"/>
      <c r="G482" s="17" t="n"/>
      <c r="H482" s="17" t="n"/>
      <c r="I482" s="17" t="n"/>
      <c r="J482" s="19" t="n"/>
      <c r="K482" s="19" t="n"/>
      <c r="L482" s="20" t="n"/>
      <c r="M482" s="20" t="n"/>
      <c r="N482" s="17" t="n"/>
      <c r="O482" s="17" t="n"/>
      <c r="P482" s="21">
        <f>IF(AND(ISNUMBER($L482),ISNUMBER($M482)),MAX(0,$M482-$L482),"")</f>
        <v/>
      </c>
      <c r="Q482" s="21">
        <f>IF(ISNUMBER($D482),MAX(0,TODAY()-$D482),"")</f>
        <v/>
      </c>
      <c r="R482" s="19">
        <f>IF(COUNTA($A482:$O482)=0,"",IFERROR(TRIM(TEXTJOIN(" | ",TRUE,IF($A482="","PC kosong",""),IF($C482="","Worker ID kosong",""),IF($D482="","Update Date kosong",IF(NOT(ISNUMBER($D482)),"Update Date bukan tanggal","")),IF($E482="","Song ID YT kosong",""),IF($F482="","Judul kosong",""),IF(TRIM($G482)="","",IF(ISERROR(MATCH(TRIM($G482),{"TuneCore","DistroKid","TooLost","SoundOn","Ditto","Believe","CD Baby","Amuse","Symphonic Distribution","ONErpm","RouteNote","LANDR","Horus Music","Indie"},0)),"Aggregator di luar daftar","")),IF(TRIM($H482)="","Genre kosong",IF((LEN(SUBSTITUTE(SUBSTITUTE(SUBSTITUTE(TRIM($H482),"/",","),";",",")," ",""))-LEN(SUBSTITUTE(SUBSTITUTE(SUBSTITUTE(SUBSTITUTE(TRIM($H482),"/",","),";",","),"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482),"/",","),";",",")," ","")&amp;",")))&lt;&gt;(LEN(SUBSTITUTE(SUBSTITUTE(SUBSTITUTE(TRIM($H482),"/",","),";",",")," ",""))-LEN(SUBSTITUTE(SUBSTITUTE(SUBSTITUTE(SUBSTITUTE(TRIM($H482),"/",","),";",",")," ",""),",",""))+1),"Genre di luar daftar",""))),IF($I482="","Nama Channel kosong",""),IF($J482="","Link Channel kosong",IF(ISERROR(SEARCH("youtu",$J482)),"Link Channel bukan youtube","")),IF($K482="","Link Video kosong",IF(ISERROR(SEARCH("youtu",$K482)),"Link Video bukan youtube","")),IF($L482="","Tgl Dibuat kosong",IF(NOT(ISNUMBER($L482)),"Tgl Dibuat bukan tanggal","")),IF(AND($M482&lt;&gt;"",NOT(ISNUMBER($M482))),"Tgl Publish bukan tanggal",""),IF(AND(ISNUMBER($L482),ISNUMBER($M482),$M482&lt;$L482),"Tgl Publish &lt; Tgl buat",""),IF(TRIM($N482)="","Status kosong",IF(ISERROR(MATCH(TRIM($N482),{"Draft","Menunggu Review","Revisi","Terjadwal","Upload","Publish","Published","Batal"},0)),"Status di luar daftar","")))),""))</f>
        <v/>
      </c>
      <c r="S482" s="17">
        <f>IF(AND($A482&lt;&gt;"",$C482&lt;&gt;""),IF(COUNTIFS($A$2:$A$1000,$A482,$C$2:$C$1000,$C482)&gt;1,"DUPLICAT",""),"")</f>
        <v/>
      </c>
    </row>
    <row r="483">
      <c r="A483" s="12" t="n"/>
      <c r="B483" s="12" t="n"/>
      <c r="C483" s="12" t="n"/>
      <c r="D483" s="13" t="n"/>
      <c r="E483" s="12" t="n"/>
      <c r="F483" s="14" t="n"/>
      <c r="G483" s="12" t="n"/>
      <c r="H483" s="12" t="n"/>
      <c r="I483" s="12" t="n"/>
      <c r="J483" s="14" t="n"/>
      <c r="K483" s="14" t="n"/>
      <c r="L483" s="15" t="n"/>
      <c r="M483" s="15" t="n"/>
      <c r="N483" s="12" t="n"/>
      <c r="O483" s="12" t="n"/>
      <c r="P483" s="16">
        <f>IF(AND(ISNUMBER($L483),ISNUMBER($M483)),MAX(0,$M483-$L483),"")</f>
        <v/>
      </c>
      <c r="Q483" s="16">
        <f>IF(ISNUMBER($D483),MAX(0,TODAY()-$D483),"")</f>
        <v/>
      </c>
      <c r="R483" s="14">
        <f>IF(COUNTA($A483:$O483)=0,"",IFERROR(TRIM(TEXTJOIN(" | ",TRUE,IF($A483="","PC kosong",""),IF($C483="","Worker ID kosong",""),IF($D483="","Update Date kosong",IF(NOT(ISNUMBER($D483)),"Update Date bukan tanggal","")),IF($E483="","Song ID YT kosong",""),IF($F483="","Judul kosong",""),IF(TRIM($G483)="","",IF(ISERROR(MATCH(TRIM($G483),{"TuneCore","DistroKid","TooLost","SoundOn","Ditto","Believe","CD Baby","Amuse","Symphonic Distribution","ONErpm","RouteNote","LANDR","Horus Music","Indie"},0)),"Aggregator di luar daftar","")),IF(TRIM($H483)="","Genre kosong",IF((LEN(SUBSTITUTE(SUBSTITUTE(SUBSTITUTE(TRIM($H483),"/",","),";",",")," ",""))-LEN(SUBSTITUTE(SUBSTITUTE(SUBSTITUTE(SUBSTITUTE(TRIM($H483),"/",","),";",","),"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483),"/",","),";",",")," ","")&amp;",")))&lt;&gt;(LEN(SUBSTITUTE(SUBSTITUTE(SUBSTITUTE(TRIM($H483),"/",","),";",",")," ",""))-LEN(SUBSTITUTE(SUBSTITUTE(SUBSTITUTE(SUBSTITUTE(TRIM($H483),"/",","),";",",")," ",""),",",""))+1),"Genre di luar daftar",""))),IF($I483="","Nama Channel kosong",""),IF($J483="","Link Channel kosong",IF(ISERROR(SEARCH("youtu",$J483)),"Link Channel bukan youtube","")),IF($K483="","Link Video kosong",IF(ISERROR(SEARCH("youtu",$K483)),"Link Video bukan youtube","")),IF($L483="","Tgl Dibuat kosong",IF(NOT(ISNUMBER($L483)),"Tgl Dibuat bukan tanggal","")),IF(AND($M483&lt;&gt;"",NOT(ISNUMBER($M483))),"Tgl Publish bukan tanggal",""),IF(AND(ISNUMBER($L483),ISNUMBER($M483),$M483&lt;$L483),"Tgl Publish &lt; Tgl buat",""),IF(TRIM($N483)="","Status kosong",IF(ISERROR(MATCH(TRIM($N483),{"Draft","Menunggu Review","Revisi","Terjadwal","Upload","Publish","Published","Batal"},0)),"Status di luar daftar","")))),""))</f>
        <v/>
      </c>
      <c r="S483" s="12">
        <f>IF(AND($A483&lt;&gt;"",$C483&lt;&gt;""),IF(COUNTIFS($A$2:$A$1000,$A483,$C$2:$C$1000,$C483)&gt;1,"DUPLICAT",""),"")</f>
        <v/>
      </c>
    </row>
    <row r="484">
      <c r="A484" s="17" t="n"/>
      <c r="B484" s="17" t="n"/>
      <c r="C484" s="17" t="n"/>
      <c r="D484" s="18" t="n"/>
      <c r="E484" s="17" t="n"/>
      <c r="F484" s="19" t="n"/>
      <c r="G484" s="17" t="n"/>
      <c r="H484" s="17" t="n"/>
      <c r="I484" s="17" t="n"/>
      <c r="J484" s="19" t="n"/>
      <c r="K484" s="19" t="n"/>
      <c r="L484" s="20" t="n"/>
      <c r="M484" s="20" t="n"/>
      <c r="N484" s="17" t="n"/>
      <c r="O484" s="17" t="n"/>
      <c r="P484" s="21">
        <f>IF(AND(ISNUMBER($L484),ISNUMBER($M484)),MAX(0,$M484-$L484),"")</f>
        <v/>
      </c>
      <c r="Q484" s="21">
        <f>IF(ISNUMBER($D484),MAX(0,TODAY()-$D484),"")</f>
        <v/>
      </c>
      <c r="R484" s="19">
        <f>IF(COUNTA($A484:$O484)=0,"",IFERROR(TRIM(TEXTJOIN(" | ",TRUE,IF($A484="","PC kosong",""),IF($C484="","Worker ID kosong",""),IF($D484="","Update Date kosong",IF(NOT(ISNUMBER($D484)),"Update Date bukan tanggal","")),IF($E484="","Song ID YT kosong",""),IF($F484="","Judul kosong",""),IF(TRIM($G484)="","",IF(ISERROR(MATCH(TRIM($G484),{"TuneCore","DistroKid","TooLost","SoundOn","Ditto","Believe","CD Baby","Amuse","Symphonic Distribution","ONErpm","RouteNote","LANDR","Horus Music","Indie"},0)),"Aggregator di luar daftar","")),IF(TRIM($H484)="","Genre kosong",IF((LEN(SUBSTITUTE(SUBSTITUTE(SUBSTITUTE(TRIM($H484),"/",","),";",",")," ",""))-LEN(SUBSTITUTE(SUBSTITUTE(SUBSTITUTE(SUBSTITUTE(TRIM($H484),"/",","),";",","),"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484),"/",","),";",",")," ","")&amp;",")))&lt;&gt;(LEN(SUBSTITUTE(SUBSTITUTE(SUBSTITUTE(TRIM($H484),"/",","),";",",")," ",""))-LEN(SUBSTITUTE(SUBSTITUTE(SUBSTITUTE(SUBSTITUTE(TRIM($H484),"/",","),";",",")," ",""),",",""))+1),"Genre di luar daftar",""))),IF($I484="","Nama Channel kosong",""),IF($J484="","Link Channel kosong",IF(ISERROR(SEARCH("youtu",$J484)),"Link Channel bukan youtube","")),IF($K484="","Link Video kosong",IF(ISERROR(SEARCH("youtu",$K484)),"Link Video bukan youtube","")),IF($L484="","Tgl Dibuat kosong",IF(NOT(ISNUMBER($L484)),"Tgl Dibuat bukan tanggal","")),IF(AND($M484&lt;&gt;"",NOT(ISNUMBER($M484))),"Tgl Publish bukan tanggal",""),IF(AND(ISNUMBER($L484),ISNUMBER($M484),$M484&lt;$L484),"Tgl Publish &lt; Tgl buat",""),IF(TRIM($N484)="","Status kosong",IF(ISERROR(MATCH(TRIM($N484),{"Draft","Menunggu Review","Revisi","Terjadwal","Upload","Publish","Published","Batal"},0)),"Status di luar daftar","")))),""))</f>
        <v/>
      </c>
      <c r="S484" s="17">
        <f>IF(AND($A484&lt;&gt;"",$C484&lt;&gt;""),IF(COUNTIFS($A$2:$A$1000,$A484,$C$2:$C$1000,$C484)&gt;1,"DUPLICAT",""),"")</f>
        <v/>
      </c>
    </row>
    <row r="485">
      <c r="A485" s="12" t="n"/>
      <c r="B485" s="12" t="n"/>
      <c r="C485" s="12" t="n"/>
      <c r="D485" s="13" t="n"/>
      <c r="E485" s="12" t="n"/>
      <c r="F485" s="14" t="n"/>
      <c r="G485" s="12" t="n"/>
      <c r="H485" s="12" t="n"/>
      <c r="I485" s="12" t="n"/>
      <c r="J485" s="14" t="n"/>
      <c r="K485" s="14" t="n"/>
      <c r="L485" s="15" t="n"/>
      <c r="M485" s="15" t="n"/>
      <c r="N485" s="12" t="n"/>
      <c r="O485" s="12" t="n"/>
      <c r="P485" s="16">
        <f>IF(AND(ISNUMBER($L485),ISNUMBER($M485)),MAX(0,$M485-$L485),"")</f>
        <v/>
      </c>
      <c r="Q485" s="16">
        <f>IF(ISNUMBER($D485),MAX(0,TODAY()-$D485),"")</f>
        <v/>
      </c>
      <c r="R485" s="14">
        <f>IF(COUNTA($A485:$O485)=0,"",IFERROR(TRIM(TEXTJOIN(" | ",TRUE,IF($A485="","PC kosong",""),IF($C485="","Worker ID kosong",""),IF($D485="","Update Date kosong",IF(NOT(ISNUMBER($D485)),"Update Date bukan tanggal","")),IF($E485="","Song ID YT kosong",""),IF($F485="","Judul kosong",""),IF(TRIM($G485)="","",IF(ISERROR(MATCH(TRIM($G485),{"TuneCore","DistroKid","TooLost","SoundOn","Ditto","Believe","CD Baby","Amuse","Symphonic Distribution","ONErpm","RouteNote","LANDR","Horus Music","Indie"},0)),"Aggregator di luar daftar","")),IF(TRIM($H485)="","Genre kosong",IF((LEN(SUBSTITUTE(SUBSTITUTE(SUBSTITUTE(TRIM($H485),"/",","),";",",")," ",""))-LEN(SUBSTITUTE(SUBSTITUTE(SUBSTITUTE(SUBSTITUTE(TRIM($H485),"/",","),";",","),"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485),"/",","),";",",")," ","")&amp;",")))&lt;&gt;(LEN(SUBSTITUTE(SUBSTITUTE(SUBSTITUTE(TRIM($H485),"/",","),";",",")," ",""))-LEN(SUBSTITUTE(SUBSTITUTE(SUBSTITUTE(SUBSTITUTE(TRIM($H485),"/",","),";",",")," ",""),",",""))+1),"Genre di luar daftar",""))),IF($I485="","Nama Channel kosong",""),IF($J485="","Link Channel kosong",IF(ISERROR(SEARCH("youtu",$J485)),"Link Channel bukan youtube","")),IF($K485="","Link Video kosong",IF(ISERROR(SEARCH("youtu",$K485)),"Link Video bukan youtube","")),IF($L485="","Tgl Dibuat kosong",IF(NOT(ISNUMBER($L485)),"Tgl Dibuat bukan tanggal","")),IF(AND($M485&lt;&gt;"",NOT(ISNUMBER($M485))),"Tgl Publish bukan tanggal",""),IF(AND(ISNUMBER($L485),ISNUMBER($M485),$M485&lt;$L485),"Tgl Publish &lt; Tgl buat",""),IF(TRIM($N485)="","Status kosong",IF(ISERROR(MATCH(TRIM($N485),{"Draft","Menunggu Review","Revisi","Terjadwal","Upload","Publish","Published","Batal"},0)),"Status di luar daftar","")))),""))</f>
        <v/>
      </c>
      <c r="S485" s="12">
        <f>IF(AND($A485&lt;&gt;"",$C485&lt;&gt;""),IF(COUNTIFS($A$2:$A$1000,$A485,$C$2:$C$1000,$C485)&gt;1,"DUPLICAT",""),"")</f>
        <v/>
      </c>
    </row>
    <row r="486">
      <c r="A486" s="17" t="n"/>
      <c r="B486" s="17" t="n"/>
      <c r="C486" s="17" t="n"/>
      <c r="D486" s="18" t="n"/>
      <c r="E486" s="17" t="n"/>
      <c r="F486" s="19" t="n"/>
      <c r="G486" s="17" t="n"/>
      <c r="H486" s="17" t="n"/>
      <c r="I486" s="17" t="n"/>
      <c r="J486" s="19" t="n"/>
      <c r="K486" s="19" t="n"/>
      <c r="L486" s="20" t="n"/>
      <c r="M486" s="20" t="n"/>
      <c r="N486" s="17" t="n"/>
      <c r="O486" s="17" t="n"/>
      <c r="P486" s="21">
        <f>IF(AND(ISNUMBER($L486),ISNUMBER($M486)),MAX(0,$M486-$L486),"")</f>
        <v/>
      </c>
      <c r="Q486" s="21">
        <f>IF(ISNUMBER($D486),MAX(0,TODAY()-$D486),"")</f>
        <v/>
      </c>
      <c r="R486" s="19">
        <f>IF(COUNTA($A486:$O486)=0,"",IFERROR(TRIM(TEXTJOIN(" | ",TRUE,IF($A486="","PC kosong",""),IF($C486="","Worker ID kosong",""),IF($D486="","Update Date kosong",IF(NOT(ISNUMBER($D486)),"Update Date bukan tanggal","")),IF($E486="","Song ID YT kosong",""),IF($F486="","Judul kosong",""),IF(TRIM($G486)="","",IF(ISERROR(MATCH(TRIM($G486),{"TuneCore","DistroKid","TooLost","SoundOn","Ditto","Believe","CD Baby","Amuse","Symphonic Distribution","ONErpm","RouteNote","LANDR","Horus Music","Indie"},0)),"Aggregator di luar daftar","")),IF(TRIM($H486)="","Genre kosong",IF((LEN(SUBSTITUTE(SUBSTITUTE(SUBSTITUTE(TRIM($H486),"/",","),";",",")," ",""))-LEN(SUBSTITUTE(SUBSTITUTE(SUBSTITUTE(SUBSTITUTE(TRIM($H486),"/",","),";",","),"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486),"/",","),";",",")," ","")&amp;",")))&lt;&gt;(LEN(SUBSTITUTE(SUBSTITUTE(SUBSTITUTE(TRIM($H486),"/",","),";",",")," ",""))-LEN(SUBSTITUTE(SUBSTITUTE(SUBSTITUTE(SUBSTITUTE(TRIM($H486),"/",","),";",",")," ",""),",",""))+1),"Genre di luar daftar",""))),IF($I486="","Nama Channel kosong",""),IF($J486="","Link Channel kosong",IF(ISERROR(SEARCH("youtu",$J486)),"Link Channel bukan youtube","")),IF($K486="","Link Video kosong",IF(ISERROR(SEARCH("youtu",$K486)),"Link Video bukan youtube","")),IF($L486="","Tgl Dibuat kosong",IF(NOT(ISNUMBER($L486)),"Tgl Dibuat bukan tanggal","")),IF(AND($M486&lt;&gt;"",NOT(ISNUMBER($M486))),"Tgl Publish bukan tanggal",""),IF(AND(ISNUMBER($L486),ISNUMBER($M486),$M486&lt;$L486),"Tgl Publish &lt; Tgl buat",""),IF(TRIM($N486)="","Status kosong",IF(ISERROR(MATCH(TRIM($N486),{"Draft","Menunggu Review","Revisi","Terjadwal","Upload","Publish","Published","Batal"},0)),"Status di luar daftar","")))),""))</f>
        <v/>
      </c>
      <c r="S486" s="17">
        <f>IF(AND($A486&lt;&gt;"",$C486&lt;&gt;""),IF(COUNTIFS($A$2:$A$1000,$A486,$C$2:$C$1000,$C486)&gt;1,"DUPLICAT",""),"")</f>
        <v/>
      </c>
    </row>
    <row r="487">
      <c r="A487" s="12" t="n"/>
      <c r="B487" s="12" t="n"/>
      <c r="C487" s="12" t="n"/>
      <c r="D487" s="13" t="n"/>
      <c r="E487" s="12" t="n"/>
      <c r="F487" s="14" t="n"/>
      <c r="G487" s="12" t="n"/>
      <c r="H487" s="12" t="n"/>
      <c r="I487" s="12" t="n"/>
      <c r="J487" s="14" t="n"/>
      <c r="K487" s="14" t="n"/>
      <c r="L487" s="15" t="n"/>
      <c r="M487" s="15" t="n"/>
      <c r="N487" s="12" t="n"/>
      <c r="O487" s="12" t="n"/>
      <c r="P487" s="16">
        <f>IF(AND(ISNUMBER($L487),ISNUMBER($M487)),MAX(0,$M487-$L487),"")</f>
        <v/>
      </c>
      <c r="Q487" s="16">
        <f>IF(ISNUMBER($D487),MAX(0,TODAY()-$D487),"")</f>
        <v/>
      </c>
      <c r="R487" s="14">
        <f>IF(COUNTA($A487:$O487)=0,"",IFERROR(TRIM(TEXTJOIN(" | ",TRUE,IF($A487="","PC kosong",""),IF($C487="","Worker ID kosong",""),IF($D487="","Update Date kosong",IF(NOT(ISNUMBER($D487)),"Update Date bukan tanggal","")),IF($E487="","Song ID YT kosong",""),IF($F487="","Judul kosong",""),IF(TRIM($G487)="","",IF(ISERROR(MATCH(TRIM($G487),{"TuneCore","DistroKid","TooLost","SoundOn","Ditto","Believe","CD Baby","Amuse","Symphonic Distribution","ONErpm","RouteNote","LANDR","Horus Music","Indie"},0)),"Aggregator di luar daftar","")),IF(TRIM($H487)="","Genre kosong",IF((LEN(SUBSTITUTE(SUBSTITUTE(SUBSTITUTE(TRIM($H487),"/",","),";",",")," ",""))-LEN(SUBSTITUTE(SUBSTITUTE(SUBSTITUTE(SUBSTITUTE(TRIM($H487),"/",","),";",","),"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487),"/",","),";",",")," ","")&amp;",")))&lt;&gt;(LEN(SUBSTITUTE(SUBSTITUTE(SUBSTITUTE(TRIM($H487),"/",","),";",",")," ",""))-LEN(SUBSTITUTE(SUBSTITUTE(SUBSTITUTE(SUBSTITUTE(TRIM($H487),"/",","),";",",")," ",""),",",""))+1),"Genre di luar daftar",""))),IF($I487="","Nama Channel kosong",""),IF($J487="","Link Channel kosong",IF(ISERROR(SEARCH("youtu",$J487)),"Link Channel bukan youtube","")),IF($K487="","Link Video kosong",IF(ISERROR(SEARCH("youtu",$K487)),"Link Video bukan youtube","")),IF($L487="","Tgl Dibuat kosong",IF(NOT(ISNUMBER($L487)),"Tgl Dibuat bukan tanggal","")),IF(AND($M487&lt;&gt;"",NOT(ISNUMBER($M487))),"Tgl Publish bukan tanggal",""),IF(AND(ISNUMBER($L487),ISNUMBER($M487),$M487&lt;$L487),"Tgl Publish &lt; Tgl buat",""),IF(TRIM($N487)="","Status kosong",IF(ISERROR(MATCH(TRIM($N487),{"Draft","Menunggu Review","Revisi","Terjadwal","Upload","Publish","Published","Batal"},0)),"Status di luar daftar","")))),""))</f>
        <v/>
      </c>
      <c r="S487" s="12">
        <f>IF(AND($A487&lt;&gt;"",$C487&lt;&gt;""),IF(COUNTIFS($A$2:$A$1000,$A487,$C$2:$C$1000,$C487)&gt;1,"DUPLICAT",""),"")</f>
        <v/>
      </c>
    </row>
    <row r="488">
      <c r="A488" s="17" t="n"/>
      <c r="B488" s="17" t="n"/>
      <c r="C488" s="17" t="n"/>
      <c r="D488" s="18" t="n"/>
      <c r="E488" s="17" t="n"/>
      <c r="F488" s="19" t="n"/>
      <c r="G488" s="17" t="n"/>
      <c r="H488" s="17" t="n"/>
      <c r="I488" s="17" t="n"/>
      <c r="J488" s="19" t="n"/>
      <c r="K488" s="19" t="n"/>
      <c r="L488" s="20" t="n"/>
      <c r="M488" s="20" t="n"/>
      <c r="N488" s="17" t="n"/>
      <c r="O488" s="17" t="n"/>
      <c r="P488" s="21">
        <f>IF(AND(ISNUMBER($L488),ISNUMBER($M488)),MAX(0,$M488-$L488),"")</f>
        <v/>
      </c>
      <c r="Q488" s="21">
        <f>IF(ISNUMBER($D488),MAX(0,TODAY()-$D488),"")</f>
        <v/>
      </c>
      <c r="R488" s="19">
        <f>IF(COUNTA($A488:$O488)=0,"",IFERROR(TRIM(TEXTJOIN(" | ",TRUE,IF($A488="","PC kosong",""),IF($C488="","Worker ID kosong",""),IF($D488="","Update Date kosong",IF(NOT(ISNUMBER($D488)),"Update Date bukan tanggal","")),IF($E488="","Song ID YT kosong",""),IF($F488="","Judul kosong",""),IF(TRIM($G488)="","",IF(ISERROR(MATCH(TRIM($G488),{"TuneCore","DistroKid","TooLost","SoundOn","Ditto","Believe","CD Baby","Amuse","Symphonic Distribution","ONErpm","RouteNote","LANDR","Horus Music","Indie"},0)),"Aggregator di luar daftar","")),IF(TRIM($H488)="","Genre kosong",IF((LEN(SUBSTITUTE(SUBSTITUTE(SUBSTITUTE(TRIM($H488),"/",","),";",",")," ",""))-LEN(SUBSTITUTE(SUBSTITUTE(SUBSTITUTE(SUBSTITUTE(TRIM($H488),"/",","),";",","),"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488),"/",","),";",",")," ","")&amp;",")))&lt;&gt;(LEN(SUBSTITUTE(SUBSTITUTE(SUBSTITUTE(TRIM($H488),"/",","),";",",")," ",""))-LEN(SUBSTITUTE(SUBSTITUTE(SUBSTITUTE(SUBSTITUTE(TRIM($H488),"/",","),";",",")," ",""),",",""))+1),"Genre di luar daftar",""))),IF($I488="","Nama Channel kosong",""),IF($J488="","Link Channel kosong",IF(ISERROR(SEARCH("youtu",$J488)),"Link Channel bukan youtube","")),IF($K488="","Link Video kosong",IF(ISERROR(SEARCH("youtu",$K488)),"Link Video bukan youtube","")),IF($L488="","Tgl Dibuat kosong",IF(NOT(ISNUMBER($L488)),"Tgl Dibuat bukan tanggal","")),IF(AND($M488&lt;&gt;"",NOT(ISNUMBER($M488))),"Tgl Publish bukan tanggal",""),IF(AND(ISNUMBER($L488),ISNUMBER($M488),$M488&lt;$L488),"Tgl Publish &lt; Tgl buat",""),IF(TRIM($N488)="","Status kosong",IF(ISERROR(MATCH(TRIM($N488),{"Draft","Menunggu Review","Revisi","Terjadwal","Upload","Publish","Published","Batal"},0)),"Status di luar daftar","")))),""))</f>
        <v/>
      </c>
      <c r="S488" s="17">
        <f>IF(AND($A488&lt;&gt;"",$C488&lt;&gt;""),IF(COUNTIFS($A$2:$A$1000,$A488,$C$2:$C$1000,$C488)&gt;1,"DUPLICAT",""),"")</f>
        <v/>
      </c>
    </row>
    <row r="489">
      <c r="A489" s="12" t="n"/>
      <c r="B489" s="12" t="n"/>
      <c r="C489" s="12" t="n"/>
      <c r="D489" s="13" t="n"/>
      <c r="E489" s="12" t="n"/>
      <c r="F489" s="14" t="n"/>
      <c r="G489" s="12" t="n"/>
      <c r="H489" s="12" t="n"/>
      <c r="I489" s="12" t="n"/>
      <c r="J489" s="14" t="n"/>
      <c r="K489" s="14" t="n"/>
      <c r="L489" s="15" t="n"/>
      <c r="M489" s="15" t="n"/>
      <c r="N489" s="12" t="n"/>
      <c r="O489" s="12" t="n"/>
      <c r="P489" s="16">
        <f>IF(AND(ISNUMBER($L489),ISNUMBER($M489)),MAX(0,$M489-$L489),"")</f>
        <v/>
      </c>
      <c r="Q489" s="16">
        <f>IF(ISNUMBER($D489),MAX(0,TODAY()-$D489),"")</f>
        <v/>
      </c>
      <c r="R489" s="14">
        <f>IF(COUNTA($A489:$O489)=0,"",IFERROR(TRIM(TEXTJOIN(" | ",TRUE,IF($A489="","PC kosong",""),IF($C489="","Worker ID kosong",""),IF($D489="","Update Date kosong",IF(NOT(ISNUMBER($D489)),"Update Date bukan tanggal","")),IF($E489="","Song ID YT kosong",""),IF($F489="","Judul kosong",""),IF(TRIM($G489)="","",IF(ISERROR(MATCH(TRIM($G489),{"TuneCore","DistroKid","TooLost","SoundOn","Ditto","Believe","CD Baby","Amuse","Symphonic Distribution","ONErpm","RouteNote","LANDR","Horus Music","Indie"},0)),"Aggregator di luar daftar","")),IF(TRIM($H489)="","Genre kosong",IF((LEN(SUBSTITUTE(SUBSTITUTE(SUBSTITUTE(TRIM($H489),"/",","),";",",")," ",""))-LEN(SUBSTITUTE(SUBSTITUTE(SUBSTITUTE(SUBSTITUTE(TRIM($H489),"/",","),";",","),"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489),"/",","),";",",")," ","")&amp;",")))&lt;&gt;(LEN(SUBSTITUTE(SUBSTITUTE(SUBSTITUTE(TRIM($H489),"/",","),";",",")," ",""))-LEN(SUBSTITUTE(SUBSTITUTE(SUBSTITUTE(SUBSTITUTE(TRIM($H489),"/",","),";",",")," ",""),",",""))+1),"Genre di luar daftar",""))),IF($I489="","Nama Channel kosong",""),IF($J489="","Link Channel kosong",IF(ISERROR(SEARCH("youtu",$J489)),"Link Channel bukan youtube","")),IF($K489="","Link Video kosong",IF(ISERROR(SEARCH("youtu",$K489)),"Link Video bukan youtube","")),IF($L489="","Tgl Dibuat kosong",IF(NOT(ISNUMBER($L489)),"Tgl Dibuat bukan tanggal","")),IF(AND($M489&lt;&gt;"",NOT(ISNUMBER($M489))),"Tgl Publish bukan tanggal",""),IF(AND(ISNUMBER($L489),ISNUMBER($M489),$M489&lt;$L489),"Tgl Publish &lt; Tgl buat",""),IF(TRIM($N489)="","Status kosong",IF(ISERROR(MATCH(TRIM($N489),{"Draft","Menunggu Review","Revisi","Terjadwal","Upload","Publish","Published","Batal"},0)),"Status di luar daftar","")))),""))</f>
        <v/>
      </c>
      <c r="S489" s="12">
        <f>IF(AND($A489&lt;&gt;"",$C489&lt;&gt;""),IF(COUNTIFS($A$2:$A$1000,$A489,$C$2:$C$1000,$C489)&gt;1,"DUPLICAT",""),"")</f>
        <v/>
      </c>
    </row>
    <row r="490">
      <c r="A490" s="17" t="n"/>
      <c r="B490" s="17" t="n"/>
      <c r="C490" s="17" t="n"/>
      <c r="D490" s="18" t="n"/>
      <c r="E490" s="17" t="n"/>
      <c r="F490" s="19" t="n"/>
      <c r="G490" s="17" t="n"/>
      <c r="H490" s="17" t="n"/>
      <c r="I490" s="17" t="n"/>
      <c r="J490" s="19" t="n"/>
      <c r="K490" s="19" t="n"/>
      <c r="L490" s="20" t="n"/>
      <c r="M490" s="20" t="n"/>
      <c r="N490" s="17" t="n"/>
      <c r="O490" s="17" t="n"/>
      <c r="P490" s="21">
        <f>IF(AND(ISNUMBER($L490),ISNUMBER($M490)),MAX(0,$M490-$L490),"")</f>
        <v/>
      </c>
      <c r="Q490" s="21">
        <f>IF(ISNUMBER($D490),MAX(0,TODAY()-$D490),"")</f>
        <v/>
      </c>
      <c r="R490" s="19">
        <f>IF(COUNTA($A490:$O490)=0,"",IFERROR(TRIM(TEXTJOIN(" | ",TRUE,IF($A490="","PC kosong",""),IF($C490="","Worker ID kosong",""),IF($D490="","Update Date kosong",IF(NOT(ISNUMBER($D490)),"Update Date bukan tanggal","")),IF($E490="","Song ID YT kosong",""),IF($F490="","Judul kosong",""),IF(TRIM($G490)="","",IF(ISERROR(MATCH(TRIM($G490),{"TuneCore","DistroKid","TooLost","SoundOn","Ditto","Believe","CD Baby","Amuse","Symphonic Distribution","ONErpm","RouteNote","LANDR","Horus Music","Indie"},0)),"Aggregator di luar daftar","")),IF(TRIM($H490)="","Genre kosong",IF((LEN(SUBSTITUTE(SUBSTITUTE(SUBSTITUTE(TRIM($H490),"/",","),";",",")," ",""))-LEN(SUBSTITUTE(SUBSTITUTE(SUBSTITUTE(SUBSTITUTE(TRIM($H490),"/",","),";",","),"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490),"/",","),";",",")," ","")&amp;",")))&lt;&gt;(LEN(SUBSTITUTE(SUBSTITUTE(SUBSTITUTE(TRIM($H490),"/",","),";",",")," ",""))-LEN(SUBSTITUTE(SUBSTITUTE(SUBSTITUTE(SUBSTITUTE(TRIM($H490),"/",","),";",",")," ",""),",",""))+1),"Genre di luar daftar",""))),IF($I490="","Nama Channel kosong",""),IF($J490="","Link Channel kosong",IF(ISERROR(SEARCH("youtu",$J490)),"Link Channel bukan youtube","")),IF($K490="","Link Video kosong",IF(ISERROR(SEARCH("youtu",$K490)),"Link Video bukan youtube","")),IF($L490="","Tgl Dibuat kosong",IF(NOT(ISNUMBER($L490)),"Tgl Dibuat bukan tanggal","")),IF(AND($M490&lt;&gt;"",NOT(ISNUMBER($M490))),"Tgl Publish bukan tanggal",""),IF(AND(ISNUMBER($L490),ISNUMBER($M490),$M490&lt;$L490),"Tgl Publish &lt; Tgl buat",""),IF(TRIM($N490)="","Status kosong",IF(ISERROR(MATCH(TRIM($N490),{"Draft","Menunggu Review","Revisi","Terjadwal","Upload","Publish","Published","Batal"},0)),"Status di luar daftar","")))),""))</f>
        <v/>
      </c>
      <c r="S490" s="17">
        <f>IF(AND($A490&lt;&gt;"",$C490&lt;&gt;""),IF(COUNTIFS($A$2:$A$1000,$A490,$C$2:$C$1000,$C490)&gt;1,"DUPLICAT",""),"")</f>
        <v/>
      </c>
    </row>
    <row r="491">
      <c r="A491" s="12" t="n"/>
      <c r="B491" s="12" t="n"/>
      <c r="C491" s="12" t="n"/>
      <c r="D491" s="13" t="n"/>
      <c r="E491" s="12" t="n"/>
      <c r="F491" s="14" t="n"/>
      <c r="G491" s="12" t="n"/>
      <c r="H491" s="12" t="n"/>
      <c r="I491" s="12" t="n"/>
      <c r="J491" s="14" t="n"/>
      <c r="K491" s="14" t="n"/>
      <c r="L491" s="15" t="n"/>
      <c r="M491" s="15" t="n"/>
      <c r="N491" s="12" t="n"/>
      <c r="O491" s="12" t="n"/>
      <c r="P491" s="16">
        <f>IF(AND(ISNUMBER($L491),ISNUMBER($M491)),MAX(0,$M491-$L491),"")</f>
        <v/>
      </c>
      <c r="Q491" s="16">
        <f>IF(ISNUMBER($D491),MAX(0,TODAY()-$D491),"")</f>
        <v/>
      </c>
      <c r="R491" s="14">
        <f>IF(COUNTA($A491:$O491)=0,"",IFERROR(TRIM(TEXTJOIN(" | ",TRUE,IF($A491="","PC kosong",""),IF($C491="","Worker ID kosong",""),IF($D491="","Update Date kosong",IF(NOT(ISNUMBER($D491)),"Update Date bukan tanggal","")),IF($E491="","Song ID YT kosong",""),IF($F491="","Judul kosong",""),IF(TRIM($G491)="","",IF(ISERROR(MATCH(TRIM($G491),{"TuneCore","DistroKid","TooLost","SoundOn","Ditto","Believe","CD Baby","Amuse","Symphonic Distribution","ONErpm","RouteNote","LANDR","Horus Music","Indie"},0)),"Aggregator di luar daftar","")),IF(TRIM($H491)="","Genre kosong",IF((LEN(SUBSTITUTE(SUBSTITUTE(SUBSTITUTE(TRIM($H491),"/",","),";",",")," ",""))-LEN(SUBSTITUTE(SUBSTITUTE(SUBSTITUTE(SUBSTITUTE(TRIM($H491),"/",","),";",","),"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491),"/",","),";",",")," ","")&amp;",")))&lt;&gt;(LEN(SUBSTITUTE(SUBSTITUTE(SUBSTITUTE(TRIM($H491),"/",","),";",",")," ",""))-LEN(SUBSTITUTE(SUBSTITUTE(SUBSTITUTE(SUBSTITUTE(TRIM($H491),"/",","),";",",")," ",""),",",""))+1),"Genre di luar daftar",""))),IF($I491="","Nama Channel kosong",""),IF($J491="","Link Channel kosong",IF(ISERROR(SEARCH("youtu",$J491)),"Link Channel bukan youtube","")),IF($K491="","Link Video kosong",IF(ISERROR(SEARCH("youtu",$K491)),"Link Video bukan youtube","")),IF($L491="","Tgl Dibuat kosong",IF(NOT(ISNUMBER($L491)),"Tgl Dibuat bukan tanggal","")),IF(AND($M491&lt;&gt;"",NOT(ISNUMBER($M491))),"Tgl Publish bukan tanggal",""),IF(AND(ISNUMBER($L491),ISNUMBER($M491),$M491&lt;$L491),"Tgl Publish &lt; Tgl buat",""),IF(TRIM($N491)="","Status kosong",IF(ISERROR(MATCH(TRIM($N491),{"Draft","Menunggu Review","Revisi","Terjadwal","Upload","Publish","Published","Batal"},0)),"Status di luar daftar","")))),""))</f>
        <v/>
      </c>
      <c r="S491" s="12">
        <f>IF(AND($A491&lt;&gt;"",$C491&lt;&gt;""),IF(COUNTIFS($A$2:$A$1000,$A491,$C$2:$C$1000,$C491)&gt;1,"DUPLICAT",""),"")</f>
        <v/>
      </c>
    </row>
    <row r="492">
      <c r="A492" s="17" t="n"/>
      <c r="B492" s="17" t="n"/>
      <c r="C492" s="17" t="n"/>
      <c r="D492" s="18" t="n"/>
      <c r="E492" s="17" t="n"/>
      <c r="F492" s="19" t="n"/>
      <c r="G492" s="17" t="n"/>
      <c r="H492" s="17" t="n"/>
      <c r="I492" s="17" t="n"/>
      <c r="J492" s="19" t="n"/>
      <c r="K492" s="19" t="n"/>
      <c r="L492" s="20" t="n"/>
      <c r="M492" s="20" t="n"/>
      <c r="N492" s="17" t="n"/>
      <c r="O492" s="17" t="n"/>
      <c r="P492" s="21">
        <f>IF(AND(ISNUMBER($L492),ISNUMBER($M492)),MAX(0,$M492-$L492),"")</f>
        <v/>
      </c>
      <c r="Q492" s="21">
        <f>IF(ISNUMBER($D492),MAX(0,TODAY()-$D492),"")</f>
        <v/>
      </c>
      <c r="R492" s="19">
        <f>IF(COUNTA($A492:$O492)=0,"",IFERROR(TRIM(TEXTJOIN(" | ",TRUE,IF($A492="","PC kosong",""),IF($C492="","Worker ID kosong",""),IF($D492="","Update Date kosong",IF(NOT(ISNUMBER($D492)),"Update Date bukan tanggal","")),IF($E492="","Song ID YT kosong",""),IF($F492="","Judul kosong",""),IF(TRIM($G492)="","",IF(ISERROR(MATCH(TRIM($G492),{"TuneCore","DistroKid","TooLost","SoundOn","Ditto","Believe","CD Baby","Amuse","Symphonic Distribution","ONErpm","RouteNote","LANDR","Horus Music","Indie"},0)),"Aggregator di luar daftar","")),IF(TRIM($H492)="","Genre kosong",IF((LEN(SUBSTITUTE(SUBSTITUTE(SUBSTITUTE(TRIM($H492),"/",","),";",",")," ",""))-LEN(SUBSTITUTE(SUBSTITUTE(SUBSTITUTE(SUBSTITUTE(TRIM($H492),"/",","),";",","),"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492),"/",","),";",",")," ","")&amp;",")))&lt;&gt;(LEN(SUBSTITUTE(SUBSTITUTE(SUBSTITUTE(TRIM($H492),"/",","),";",",")," ",""))-LEN(SUBSTITUTE(SUBSTITUTE(SUBSTITUTE(SUBSTITUTE(TRIM($H492),"/",","),";",",")," ",""),",",""))+1),"Genre di luar daftar",""))),IF($I492="","Nama Channel kosong",""),IF($J492="","Link Channel kosong",IF(ISERROR(SEARCH("youtu",$J492)),"Link Channel bukan youtube","")),IF($K492="","Link Video kosong",IF(ISERROR(SEARCH("youtu",$K492)),"Link Video bukan youtube","")),IF($L492="","Tgl Dibuat kosong",IF(NOT(ISNUMBER($L492)),"Tgl Dibuat bukan tanggal","")),IF(AND($M492&lt;&gt;"",NOT(ISNUMBER($M492))),"Tgl Publish bukan tanggal",""),IF(AND(ISNUMBER($L492),ISNUMBER($M492),$M492&lt;$L492),"Tgl Publish &lt; Tgl buat",""),IF(TRIM($N492)="","Status kosong",IF(ISERROR(MATCH(TRIM($N492),{"Draft","Menunggu Review","Revisi","Terjadwal","Upload","Publish","Published","Batal"},0)),"Status di luar daftar","")))),""))</f>
        <v/>
      </c>
      <c r="S492" s="17">
        <f>IF(AND($A492&lt;&gt;"",$C492&lt;&gt;""),IF(COUNTIFS($A$2:$A$1000,$A492,$C$2:$C$1000,$C492)&gt;1,"DUPLICAT",""),"")</f>
        <v/>
      </c>
    </row>
    <row r="493">
      <c r="A493" s="12" t="n"/>
      <c r="B493" s="12" t="n"/>
      <c r="C493" s="12" t="n"/>
      <c r="D493" s="13" t="n"/>
      <c r="E493" s="12" t="n"/>
      <c r="F493" s="14" t="n"/>
      <c r="G493" s="12" t="n"/>
      <c r="H493" s="12" t="n"/>
      <c r="I493" s="12" t="n"/>
      <c r="J493" s="14" t="n"/>
      <c r="K493" s="14" t="n"/>
      <c r="L493" s="15" t="n"/>
      <c r="M493" s="15" t="n"/>
      <c r="N493" s="12" t="n"/>
      <c r="O493" s="12" t="n"/>
      <c r="P493" s="16">
        <f>IF(AND(ISNUMBER($L493),ISNUMBER($M493)),MAX(0,$M493-$L493),"")</f>
        <v/>
      </c>
      <c r="Q493" s="16">
        <f>IF(ISNUMBER($D493),MAX(0,TODAY()-$D493),"")</f>
        <v/>
      </c>
      <c r="R493" s="14">
        <f>IF(COUNTA($A493:$O493)=0,"",IFERROR(TRIM(TEXTJOIN(" | ",TRUE,IF($A493="","PC kosong",""),IF($C493="","Worker ID kosong",""),IF($D493="","Update Date kosong",IF(NOT(ISNUMBER($D493)),"Update Date bukan tanggal","")),IF($E493="","Song ID YT kosong",""),IF($F493="","Judul kosong",""),IF(TRIM($G493)="","",IF(ISERROR(MATCH(TRIM($G493),{"TuneCore","DistroKid","TooLost","SoundOn","Ditto","Believe","CD Baby","Amuse","Symphonic Distribution","ONErpm","RouteNote","LANDR","Horus Music","Indie"},0)),"Aggregator di luar daftar","")),IF(TRIM($H493)="","Genre kosong",IF((LEN(SUBSTITUTE(SUBSTITUTE(SUBSTITUTE(TRIM($H493),"/",","),";",",")," ",""))-LEN(SUBSTITUTE(SUBSTITUTE(SUBSTITUTE(SUBSTITUTE(TRIM($H493),"/",","),";",","),"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493),"/",","),";",",")," ","")&amp;",")))&lt;&gt;(LEN(SUBSTITUTE(SUBSTITUTE(SUBSTITUTE(TRIM($H493),"/",","),";",",")," ",""))-LEN(SUBSTITUTE(SUBSTITUTE(SUBSTITUTE(SUBSTITUTE(TRIM($H493),"/",","),";",",")," ",""),",",""))+1),"Genre di luar daftar",""))),IF($I493="","Nama Channel kosong",""),IF($J493="","Link Channel kosong",IF(ISERROR(SEARCH("youtu",$J493)),"Link Channel bukan youtube","")),IF($K493="","Link Video kosong",IF(ISERROR(SEARCH("youtu",$K493)),"Link Video bukan youtube","")),IF($L493="","Tgl Dibuat kosong",IF(NOT(ISNUMBER($L493)),"Tgl Dibuat bukan tanggal","")),IF(AND($M493&lt;&gt;"",NOT(ISNUMBER($M493))),"Tgl Publish bukan tanggal",""),IF(AND(ISNUMBER($L493),ISNUMBER($M493),$M493&lt;$L493),"Tgl Publish &lt; Tgl buat",""),IF(TRIM($N493)="","Status kosong",IF(ISERROR(MATCH(TRIM($N493),{"Draft","Menunggu Review","Revisi","Terjadwal","Upload","Publish","Published","Batal"},0)),"Status di luar daftar","")))),""))</f>
        <v/>
      </c>
      <c r="S493" s="12">
        <f>IF(AND($A493&lt;&gt;"",$C493&lt;&gt;""),IF(COUNTIFS($A$2:$A$1000,$A493,$C$2:$C$1000,$C493)&gt;1,"DUPLICAT",""),"")</f>
        <v/>
      </c>
    </row>
    <row r="494">
      <c r="A494" s="17" t="n"/>
      <c r="B494" s="17" t="n"/>
      <c r="C494" s="17" t="n"/>
      <c r="D494" s="18" t="n"/>
      <c r="E494" s="17" t="n"/>
      <c r="F494" s="19" t="n"/>
      <c r="G494" s="17" t="n"/>
      <c r="H494" s="17" t="n"/>
      <c r="I494" s="17" t="n"/>
      <c r="J494" s="19" t="n"/>
      <c r="K494" s="19" t="n"/>
      <c r="L494" s="20" t="n"/>
      <c r="M494" s="20" t="n"/>
      <c r="N494" s="17" t="n"/>
      <c r="O494" s="17" t="n"/>
      <c r="P494" s="21">
        <f>IF(AND(ISNUMBER($L494),ISNUMBER($M494)),MAX(0,$M494-$L494),"")</f>
        <v/>
      </c>
      <c r="Q494" s="21">
        <f>IF(ISNUMBER($D494),MAX(0,TODAY()-$D494),"")</f>
        <v/>
      </c>
      <c r="R494" s="19">
        <f>IF(COUNTA($A494:$O494)=0,"",IFERROR(TRIM(TEXTJOIN(" | ",TRUE,IF($A494="","PC kosong",""),IF($C494="","Worker ID kosong",""),IF($D494="","Update Date kosong",IF(NOT(ISNUMBER($D494)),"Update Date bukan tanggal","")),IF($E494="","Song ID YT kosong",""),IF($F494="","Judul kosong",""),IF(TRIM($G494)="","",IF(ISERROR(MATCH(TRIM($G494),{"TuneCore","DistroKid","TooLost","SoundOn","Ditto","Believe","CD Baby","Amuse","Symphonic Distribution","ONErpm","RouteNote","LANDR","Horus Music","Indie"},0)),"Aggregator di luar daftar","")),IF(TRIM($H494)="","Genre kosong",IF((LEN(SUBSTITUTE(SUBSTITUTE(SUBSTITUTE(TRIM($H494),"/",","),";",",")," ",""))-LEN(SUBSTITUTE(SUBSTITUTE(SUBSTITUTE(SUBSTITUTE(TRIM($H494),"/",","),";",","),"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494),"/",","),";",",")," ","")&amp;",")))&lt;&gt;(LEN(SUBSTITUTE(SUBSTITUTE(SUBSTITUTE(TRIM($H494),"/",","),";",",")," ",""))-LEN(SUBSTITUTE(SUBSTITUTE(SUBSTITUTE(SUBSTITUTE(TRIM($H494),"/",","),";",",")," ",""),",",""))+1),"Genre di luar daftar",""))),IF($I494="","Nama Channel kosong",""),IF($J494="","Link Channel kosong",IF(ISERROR(SEARCH("youtu",$J494)),"Link Channel bukan youtube","")),IF($K494="","Link Video kosong",IF(ISERROR(SEARCH("youtu",$K494)),"Link Video bukan youtube","")),IF($L494="","Tgl Dibuat kosong",IF(NOT(ISNUMBER($L494)),"Tgl Dibuat bukan tanggal","")),IF(AND($M494&lt;&gt;"",NOT(ISNUMBER($M494))),"Tgl Publish bukan tanggal",""),IF(AND(ISNUMBER($L494),ISNUMBER($M494),$M494&lt;$L494),"Tgl Publish &lt; Tgl buat",""),IF(TRIM($N494)="","Status kosong",IF(ISERROR(MATCH(TRIM($N494),{"Draft","Menunggu Review","Revisi","Terjadwal","Upload","Publish","Published","Batal"},0)),"Status di luar daftar","")))),""))</f>
        <v/>
      </c>
      <c r="S494" s="17">
        <f>IF(AND($A494&lt;&gt;"",$C494&lt;&gt;""),IF(COUNTIFS($A$2:$A$1000,$A494,$C$2:$C$1000,$C494)&gt;1,"DUPLICAT",""),"")</f>
        <v/>
      </c>
    </row>
    <row r="495">
      <c r="A495" s="12" t="n"/>
      <c r="B495" s="12" t="n"/>
      <c r="C495" s="12" t="n"/>
      <c r="D495" s="13" t="n"/>
      <c r="E495" s="12" t="n"/>
      <c r="F495" s="14" t="n"/>
      <c r="G495" s="12" t="n"/>
      <c r="H495" s="12" t="n"/>
      <c r="I495" s="12" t="n"/>
      <c r="J495" s="14" t="n"/>
      <c r="K495" s="14" t="n"/>
      <c r="L495" s="15" t="n"/>
      <c r="M495" s="15" t="n"/>
      <c r="N495" s="12" t="n"/>
      <c r="O495" s="12" t="n"/>
      <c r="P495" s="16">
        <f>IF(AND(ISNUMBER($L495),ISNUMBER($M495)),MAX(0,$M495-$L495),"")</f>
        <v/>
      </c>
      <c r="Q495" s="16">
        <f>IF(ISNUMBER($D495),MAX(0,TODAY()-$D495),"")</f>
        <v/>
      </c>
      <c r="R495" s="14">
        <f>IF(COUNTA($A495:$O495)=0,"",IFERROR(TRIM(TEXTJOIN(" | ",TRUE,IF($A495="","PC kosong",""),IF($C495="","Worker ID kosong",""),IF($D495="","Update Date kosong",IF(NOT(ISNUMBER($D495)),"Update Date bukan tanggal","")),IF($E495="","Song ID YT kosong",""),IF($F495="","Judul kosong",""),IF(TRIM($G495)="","",IF(ISERROR(MATCH(TRIM($G495),{"TuneCore","DistroKid","TooLost","SoundOn","Ditto","Believe","CD Baby","Amuse","Symphonic Distribution","ONErpm","RouteNote","LANDR","Horus Music","Indie"},0)),"Aggregator di luar daftar","")),IF(TRIM($H495)="","Genre kosong",IF((LEN(SUBSTITUTE(SUBSTITUTE(SUBSTITUTE(TRIM($H495),"/",","),";",",")," ",""))-LEN(SUBSTITUTE(SUBSTITUTE(SUBSTITUTE(SUBSTITUTE(TRIM($H495),"/",","),";",","),"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495),"/",","),";",",")," ","")&amp;",")))&lt;&gt;(LEN(SUBSTITUTE(SUBSTITUTE(SUBSTITUTE(TRIM($H495),"/",","),";",",")," ",""))-LEN(SUBSTITUTE(SUBSTITUTE(SUBSTITUTE(SUBSTITUTE(TRIM($H495),"/",","),";",",")," ",""),",",""))+1),"Genre di luar daftar",""))),IF($I495="","Nama Channel kosong",""),IF($J495="","Link Channel kosong",IF(ISERROR(SEARCH("youtu",$J495)),"Link Channel bukan youtube","")),IF($K495="","Link Video kosong",IF(ISERROR(SEARCH("youtu",$K495)),"Link Video bukan youtube","")),IF($L495="","Tgl Dibuat kosong",IF(NOT(ISNUMBER($L495)),"Tgl Dibuat bukan tanggal","")),IF(AND($M495&lt;&gt;"",NOT(ISNUMBER($M495))),"Tgl Publish bukan tanggal",""),IF(AND(ISNUMBER($L495),ISNUMBER($M495),$M495&lt;$L495),"Tgl Publish &lt; Tgl buat",""),IF(TRIM($N495)="","Status kosong",IF(ISERROR(MATCH(TRIM($N495),{"Draft","Menunggu Review","Revisi","Terjadwal","Upload","Publish","Published","Batal"},0)),"Status di luar daftar","")))),""))</f>
        <v/>
      </c>
      <c r="S495" s="12">
        <f>IF(AND($A495&lt;&gt;"",$C495&lt;&gt;""),IF(COUNTIFS($A$2:$A$1000,$A495,$C$2:$C$1000,$C495)&gt;1,"DUPLICAT",""),"")</f>
        <v/>
      </c>
    </row>
    <row r="496">
      <c r="A496" s="17" t="n"/>
      <c r="B496" s="17" t="n"/>
      <c r="C496" s="17" t="n"/>
      <c r="D496" s="18" t="n"/>
      <c r="E496" s="17" t="n"/>
      <c r="F496" s="19" t="n"/>
      <c r="G496" s="17" t="n"/>
      <c r="H496" s="17" t="n"/>
      <c r="I496" s="17" t="n"/>
      <c r="J496" s="19" t="n"/>
      <c r="K496" s="19" t="n"/>
      <c r="L496" s="20" t="n"/>
      <c r="M496" s="20" t="n"/>
      <c r="N496" s="17" t="n"/>
      <c r="O496" s="17" t="n"/>
      <c r="P496" s="21">
        <f>IF(AND(ISNUMBER($L496),ISNUMBER($M496)),MAX(0,$M496-$L496),"")</f>
        <v/>
      </c>
      <c r="Q496" s="21">
        <f>IF(ISNUMBER($D496),MAX(0,TODAY()-$D496),"")</f>
        <v/>
      </c>
      <c r="R496" s="19">
        <f>IF(COUNTA($A496:$O496)=0,"",IFERROR(TRIM(TEXTJOIN(" | ",TRUE,IF($A496="","PC kosong",""),IF($C496="","Worker ID kosong",""),IF($D496="","Update Date kosong",IF(NOT(ISNUMBER($D496)),"Update Date bukan tanggal","")),IF($E496="","Song ID YT kosong",""),IF($F496="","Judul kosong",""),IF(TRIM($G496)="","",IF(ISERROR(MATCH(TRIM($G496),{"TuneCore","DistroKid","TooLost","SoundOn","Ditto","Believe","CD Baby","Amuse","Symphonic Distribution","ONErpm","RouteNote","LANDR","Horus Music","Indie"},0)),"Aggregator di luar daftar","")),IF(TRIM($H496)="","Genre kosong",IF((LEN(SUBSTITUTE(SUBSTITUTE(SUBSTITUTE(TRIM($H496),"/",","),";",",")," ",""))-LEN(SUBSTITUTE(SUBSTITUTE(SUBSTITUTE(SUBSTITUTE(TRIM($H496),"/",","),";",","),"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496),"/",","),";",",")," ","")&amp;",")))&lt;&gt;(LEN(SUBSTITUTE(SUBSTITUTE(SUBSTITUTE(TRIM($H496),"/",","),";",",")," ",""))-LEN(SUBSTITUTE(SUBSTITUTE(SUBSTITUTE(SUBSTITUTE(TRIM($H496),"/",","),";",",")," ",""),",",""))+1),"Genre di luar daftar",""))),IF($I496="","Nama Channel kosong",""),IF($J496="","Link Channel kosong",IF(ISERROR(SEARCH("youtu",$J496)),"Link Channel bukan youtube","")),IF($K496="","Link Video kosong",IF(ISERROR(SEARCH("youtu",$K496)),"Link Video bukan youtube","")),IF($L496="","Tgl Dibuat kosong",IF(NOT(ISNUMBER($L496)),"Tgl Dibuat bukan tanggal","")),IF(AND($M496&lt;&gt;"",NOT(ISNUMBER($M496))),"Tgl Publish bukan tanggal",""),IF(AND(ISNUMBER($L496),ISNUMBER($M496),$M496&lt;$L496),"Tgl Publish &lt; Tgl buat",""),IF(TRIM($N496)="","Status kosong",IF(ISERROR(MATCH(TRIM($N496),{"Draft","Menunggu Review","Revisi","Terjadwal","Upload","Publish","Published","Batal"},0)),"Status di luar daftar","")))),""))</f>
        <v/>
      </c>
      <c r="S496" s="17">
        <f>IF(AND($A496&lt;&gt;"",$C496&lt;&gt;""),IF(COUNTIFS($A$2:$A$1000,$A496,$C$2:$C$1000,$C496)&gt;1,"DUPLICAT",""),"")</f>
        <v/>
      </c>
    </row>
    <row r="497">
      <c r="A497" s="12" t="n"/>
      <c r="B497" s="12" t="n"/>
      <c r="C497" s="12" t="n"/>
      <c r="D497" s="13" t="n"/>
      <c r="E497" s="12" t="n"/>
      <c r="F497" s="14" t="n"/>
      <c r="G497" s="12" t="n"/>
      <c r="H497" s="12" t="n"/>
      <c r="I497" s="12" t="n"/>
      <c r="J497" s="14" t="n"/>
      <c r="K497" s="14" t="n"/>
      <c r="L497" s="15" t="n"/>
      <c r="M497" s="15" t="n"/>
      <c r="N497" s="12" t="n"/>
      <c r="O497" s="12" t="n"/>
      <c r="P497" s="16">
        <f>IF(AND(ISNUMBER($L497),ISNUMBER($M497)),MAX(0,$M497-$L497),"")</f>
        <v/>
      </c>
      <c r="Q497" s="16">
        <f>IF(ISNUMBER($D497),MAX(0,TODAY()-$D497),"")</f>
        <v/>
      </c>
      <c r="R497" s="14">
        <f>IF(COUNTA($A497:$O497)=0,"",IFERROR(TRIM(TEXTJOIN(" | ",TRUE,IF($A497="","PC kosong",""),IF($C497="","Worker ID kosong",""),IF($D497="","Update Date kosong",IF(NOT(ISNUMBER($D497)),"Update Date bukan tanggal","")),IF($E497="","Song ID YT kosong",""),IF($F497="","Judul kosong",""),IF(TRIM($G497)="","",IF(ISERROR(MATCH(TRIM($G497),{"TuneCore","DistroKid","TooLost","SoundOn","Ditto","Believe","CD Baby","Amuse","Symphonic Distribution","ONErpm","RouteNote","LANDR","Horus Music","Indie"},0)),"Aggregator di luar daftar","")),IF(TRIM($H497)="","Genre kosong",IF((LEN(SUBSTITUTE(SUBSTITUTE(SUBSTITUTE(TRIM($H497),"/",","),";",",")," ",""))-LEN(SUBSTITUTE(SUBSTITUTE(SUBSTITUTE(SUBSTITUTE(TRIM($H497),"/",","),";",","),"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497),"/",","),";",",")," ","")&amp;",")))&lt;&gt;(LEN(SUBSTITUTE(SUBSTITUTE(SUBSTITUTE(TRIM($H497),"/",","),";",",")," ",""))-LEN(SUBSTITUTE(SUBSTITUTE(SUBSTITUTE(SUBSTITUTE(TRIM($H497),"/",","),";",",")," ",""),",",""))+1),"Genre di luar daftar",""))),IF($I497="","Nama Channel kosong",""),IF($J497="","Link Channel kosong",IF(ISERROR(SEARCH("youtu",$J497)),"Link Channel bukan youtube","")),IF($K497="","Link Video kosong",IF(ISERROR(SEARCH("youtu",$K497)),"Link Video bukan youtube","")),IF($L497="","Tgl Dibuat kosong",IF(NOT(ISNUMBER($L497)),"Tgl Dibuat bukan tanggal","")),IF(AND($M497&lt;&gt;"",NOT(ISNUMBER($M497))),"Tgl Publish bukan tanggal",""),IF(AND(ISNUMBER($L497),ISNUMBER($M497),$M497&lt;$L497),"Tgl Publish &lt; Tgl buat",""),IF(TRIM($N497)="","Status kosong",IF(ISERROR(MATCH(TRIM($N497),{"Draft","Menunggu Review","Revisi","Terjadwal","Upload","Publish","Published","Batal"},0)),"Status di luar daftar","")))),""))</f>
        <v/>
      </c>
      <c r="S497" s="12">
        <f>IF(AND($A497&lt;&gt;"",$C497&lt;&gt;""),IF(COUNTIFS($A$2:$A$1000,$A497,$C$2:$C$1000,$C497)&gt;1,"DUPLICAT",""),"")</f>
        <v/>
      </c>
    </row>
    <row r="498">
      <c r="A498" s="17" t="n"/>
      <c r="B498" s="17" t="n"/>
      <c r="C498" s="17" t="n"/>
      <c r="D498" s="18" t="n"/>
      <c r="E498" s="17" t="n"/>
      <c r="F498" s="19" t="n"/>
      <c r="G498" s="17" t="n"/>
      <c r="H498" s="17" t="n"/>
      <c r="I498" s="17" t="n"/>
      <c r="J498" s="19" t="n"/>
      <c r="K498" s="19" t="n"/>
      <c r="L498" s="20" t="n"/>
      <c r="M498" s="20" t="n"/>
      <c r="N498" s="17" t="n"/>
      <c r="O498" s="17" t="n"/>
      <c r="P498" s="21">
        <f>IF(AND(ISNUMBER($L498),ISNUMBER($M498)),MAX(0,$M498-$L498),"")</f>
        <v/>
      </c>
      <c r="Q498" s="21">
        <f>IF(ISNUMBER($D498),MAX(0,TODAY()-$D498),"")</f>
        <v/>
      </c>
      <c r="R498" s="19">
        <f>IF(COUNTA($A498:$O498)=0,"",IFERROR(TRIM(TEXTJOIN(" | ",TRUE,IF($A498="","PC kosong",""),IF($C498="","Worker ID kosong",""),IF($D498="","Update Date kosong",IF(NOT(ISNUMBER($D498)),"Update Date bukan tanggal","")),IF($E498="","Song ID YT kosong",""),IF($F498="","Judul kosong",""),IF(TRIM($G498)="","",IF(ISERROR(MATCH(TRIM($G498),{"TuneCore","DistroKid","TooLost","SoundOn","Ditto","Believe","CD Baby","Amuse","Symphonic Distribution","ONErpm","RouteNote","LANDR","Horus Music","Indie"},0)),"Aggregator di luar daftar","")),IF(TRIM($H498)="","Genre kosong",IF((LEN(SUBSTITUTE(SUBSTITUTE(SUBSTITUTE(TRIM($H498),"/",","),";",",")," ",""))-LEN(SUBSTITUTE(SUBSTITUTE(SUBSTITUTE(SUBSTITUTE(TRIM($H498),"/",","),";",","),"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498),"/",","),";",",")," ","")&amp;",")))&lt;&gt;(LEN(SUBSTITUTE(SUBSTITUTE(SUBSTITUTE(TRIM($H498),"/",","),";",",")," ",""))-LEN(SUBSTITUTE(SUBSTITUTE(SUBSTITUTE(SUBSTITUTE(TRIM($H498),"/",","),";",",")," ",""),",",""))+1),"Genre di luar daftar",""))),IF($I498="","Nama Channel kosong",""),IF($J498="","Link Channel kosong",IF(ISERROR(SEARCH("youtu",$J498)),"Link Channel bukan youtube","")),IF($K498="","Link Video kosong",IF(ISERROR(SEARCH("youtu",$K498)),"Link Video bukan youtube","")),IF($L498="","Tgl Dibuat kosong",IF(NOT(ISNUMBER($L498)),"Tgl Dibuat bukan tanggal","")),IF(AND($M498&lt;&gt;"",NOT(ISNUMBER($M498))),"Tgl Publish bukan tanggal",""),IF(AND(ISNUMBER($L498),ISNUMBER($M498),$M498&lt;$L498),"Tgl Publish &lt; Tgl buat",""),IF(TRIM($N498)="","Status kosong",IF(ISERROR(MATCH(TRIM($N498),{"Draft","Menunggu Review","Revisi","Terjadwal","Upload","Publish","Published","Batal"},0)),"Status di luar daftar","")))),""))</f>
        <v/>
      </c>
      <c r="S498" s="17">
        <f>IF(AND($A498&lt;&gt;"",$C498&lt;&gt;""),IF(COUNTIFS($A$2:$A$1000,$A498,$C$2:$C$1000,$C498)&gt;1,"DUPLICAT",""),"")</f>
        <v/>
      </c>
    </row>
    <row r="499">
      <c r="A499" s="12" t="n"/>
      <c r="B499" s="12" t="n"/>
      <c r="C499" s="12" t="n"/>
      <c r="D499" s="13" t="n"/>
      <c r="E499" s="12" t="n"/>
      <c r="F499" s="14" t="n"/>
      <c r="G499" s="12" t="n"/>
      <c r="H499" s="12" t="n"/>
      <c r="I499" s="12" t="n"/>
      <c r="J499" s="14" t="n"/>
      <c r="K499" s="14" t="n"/>
      <c r="L499" s="15" t="n"/>
      <c r="M499" s="15" t="n"/>
      <c r="N499" s="12" t="n"/>
      <c r="O499" s="12" t="n"/>
      <c r="P499" s="16">
        <f>IF(AND(ISNUMBER($L499),ISNUMBER($M499)),MAX(0,$M499-$L499),"")</f>
        <v/>
      </c>
      <c r="Q499" s="16">
        <f>IF(ISNUMBER($D499),MAX(0,TODAY()-$D499),"")</f>
        <v/>
      </c>
      <c r="R499" s="14">
        <f>IF(COUNTA($A499:$O499)=0,"",IFERROR(TRIM(TEXTJOIN(" | ",TRUE,IF($A499="","PC kosong",""),IF($C499="","Worker ID kosong",""),IF($D499="","Update Date kosong",IF(NOT(ISNUMBER($D499)),"Update Date bukan tanggal","")),IF($E499="","Song ID YT kosong",""),IF($F499="","Judul kosong",""),IF(TRIM($G499)="","",IF(ISERROR(MATCH(TRIM($G499),{"TuneCore","DistroKid","TooLost","SoundOn","Ditto","Believe","CD Baby","Amuse","Symphonic Distribution","ONErpm","RouteNote","LANDR","Horus Music","Indie"},0)),"Aggregator di luar daftar","")),IF(TRIM($H499)="","Genre kosong",IF((LEN(SUBSTITUTE(SUBSTITUTE(SUBSTITUTE(TRIM($H499),"/",","),";",",")," ",""))-LEN(SUBSTITUTE(SUBSTITUTE(SUBSTITUTE(SUBSTITUTE(TRIM($H499),"/",","),";",","),"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499),"/",","),";",",")," ","")&amp;",")))&lt;&gt;(LEN(SUBSTITUTE(SUBSTITUTE(SUBSTITUTE(TRIM($H499),"/",","),";",",")," ",""))-LEN(SUBSTITUTE(SUBSTITUTE(SUBSTITUTE(SUBSTITUTE(TRIM($H499),"/",","),";",",")," ",""),",",""))+1),"Genre di luar daftar",""))),IF($I499="","Nama Channel kosong",""),IF($J499="","Link Channel kosong",IF(ISERROR(SEARCH("youtu",$J499)),"Link Channel bukan youtube","")),IF($K499="","Link Video kosong",IF(ISERROR(SEARCH("youtu",$K499)),"Link Video bukan youtube","")),IF($L499="","Tgl Dibuat kosong",IF(NOT(ISNUMBER($L499)),"Tgl Dibuat bukan tanggal","")),IF(AND($M499&lt;&gt;"",NOT(ISNUMBER($M499))),"Tgl Publish bukan tanggal",""),IF(AND(ISNUMBER($L499),ISNUMBER($M499),$M499&lt;$L499),"Tgl Publish &lt; Tgl buat",""),IF(TRIM($N499)="","Status kosong",IF(ISERROR(MATCH(TRIM($N499),{"Draft","Menunggu Review","Revisi","Terjadwal","Upload","Publish","Published","Batal"},0)),"Status di luar daftar","")))),""))</f>
        <v/>
      </c>
      <c r="S499" s="12">
        <f>IF(AND($A499&lt;&gt;"",$C499&lt;&gt;""),IF(COUNTIFS($A$2:$A$1000,$A499,$C$2:$C$1000,$C499)&gt;1,"DUPLICAT",""),"")</f>
        <v/>
      </c>
    </row>
    <row r="500">
      <c r="A500" s="17" t="n"/>
      <c r="B500" s="17" t="n"/>
      <c r="C500" s="17" t="n"/>
      <c r="D500" s="18" t="n"/>
      <c r="E500" s="17" t="n"/>
      <c r="F500" s="19" t="n"/>
      <c r="G500" s="17" t="n"/>
      <c r="H500" s="17" t="n"/>
      <c r="I500" s="17" t="n"/>
      <c r="J500" s="19" t="n"/>
      <c r="K500" s="19" t="n"/>
      <c r="L500" s="20" t="n"/>
      <c r="M500" s="20" t="n"/>
      <c r="N500" s="17" t="n"/>
      <c r="O500" s="17" t="n"/>
      <c r="P500" s="21">
        <f>IF(AND(ISNUMBER($L500),ISNUMBER($M500)),MAX(0,$M500-$L500),"")</f>
        <v/>
      </c>
      <c r="Q500" s="21">
        <f>IF(ISNUMBER($D500),MAX(0,TODAY()-$D500),"")</f>
        <v/>
      </c>
      <c r="R500" s="19">
        <f>IF(COUNTA($A500:$O500)=0,"",IFERROR(TRIM(TEXTJOIN(" | ",TRUE,IF($A500="","PC kosong",""),IF($C500="","Worker ID kosong",""),IF($D500="","Update Date kosong",IF(NOT(ISNUMBER($D500)),"Update Date bukan tanggal","")),IF($E500="","Song ID YT kosong",""),IF($F500="","Judul kosong",""),IF(TRIM($G500)="","",IF(ISERROR(MATCH(TRIM($G500),{"TuneCore","DistroKid","TooLost","SoundOn","Ditto","Believe","CD Baby","Amuse","Symphonic Distribution","ONErpm","RouteNote","LANDR","Horus Music","Indie"},0)),"Aggregator di luar daftar","")),IF(TRIM($H500)="","Genre kosong",IF((LEN(SUBSTITUTE(SUBSTITUTE(SUBSTITUTE(TRIM($H500),"/",","),";",",")," ",""))-LEN(SUBSTITUTE(SUBSTITUTE(SUBSTITUTE(SUBSTITUTE(TRIM($H500),"/",","),";",","),"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500),"/",","),";",",")," ","")&amp;",")))&lt;&gt;(LEN(SUBSTITUTE(SUBSTITUTE(SUBSTITUTE(TRIM($H500),"/",","),";",",")," ",""))-LEN(SUBSTITUTE(SUBSTITUTE(SUBSTITUTE(SUBSTITUTE(TRIM($H500),"/",","),";",",")," ",""),",",""))+1),"Genre di luar daftar",""))),IF($I500="","Nama Channel kosong",""),IF($J500="","Link Channel kosong",IF(ISERROR(SEARCH("youtu",$J500)),"Link Channel bukan youtube","")),IF($K500="","Link Video kosong",IF(ISERROR(SEARCH("youtu",$K500)),"Link Video bukan youtube","")),IF($L500="","Tgl Dibuat kosong",IF(NOT(ISNUMBER($L500)),"Tgl Dibuat bukan tanggal","")),IF(AND($M500&lt;&gt;"",NOT(ISNUMBER($M500))),"Tgl Publish bukan tanggal",""),IF(AND(ISNUMBER($L500),ISNUMBER($M500),$M500&lt;$L500),"Tgl Publish &lt; Tgl buat",""),IF(TRIM($N500)="","Status kosong",IF(ISERROR(MATCH(TRIM($N500),{"Draft","Menunggu Review","Revisi","Terjadwal","Upload","Publish","Published","Batal"},0)),"Status di luar daftar","")))),""))</f>
        <v/>
      </c>
      <c r="S500" s="17">
        <f>IF(AND($A500&lt;&gt;"",$C500&lt;&gt;""),IF(COUNTIFS($A$2:$A$1000,$A500,$C$2:$C$1000,$C500)&gt;1,"DUPLICAT",""),"")</f>
        <v/>
      </c>
    </row>
    <row r="501">
      <c r="A501" s="12" t="n"/>
      <c r="B501" s="12" t="n"/>
      <c r="C501" s="12" t="n"/>
      <c r="D501" s="13" t="n"/>
      <c r="E501" s="12" t="n"/>
      <c r="F501" s="14" t="n"/>
      <c r="G501" s="12" t="n"/>
      <c r="H501" s="12" t="n"/>
      <c r="I501" s="12" t="n"/>
      <c r="J501" s="14" t="n"/>
      <c r="K501" s="14" t="n"/>
      <c r="L501" s="15" t="n"/>
      <c r="M501" s="15" t="n"/>
      <c r="N501" s="12" t="n"/>
      <c r="O501" s="12" t="n"/>
      <c r="P501" s="16">
        <f>IF(AND(ISNUMBER($L501),ISNUMBER($M501)),MAX(0,$M501-$L501),"")</f>
        <v/>
      </c>
      <c r="Q501" s="16">
        <f>IF(ISNUMBER($D501),MAX(0,TODAY()-$D501),"")</f>
        <v/>
      </c>
      <c r="R501" s="14">
        <f>IF(COUNTA($A501:$O501)=0,"",IFERROR(TRIM(TEXTJOIN(" | ",TRUE,IF($A501="","PC kosong",""),IF($C501="","Worker ID kosong",""),IF($D501="","Update Date kosong",IF(NOT(ISNUMBER($D501)),"Update Date bukan tanggal","")),IF($E501="","Song ID YT kosong",""),IF($F501="","Judul kosong",""),IF(TRIM($G501)="","",IF(ISERROR(MATCH(TRIM($G501),{"TuneCore","DistroKid","TooLost","SoundOn","Ditto","Believe","CD Baby","Amuse","Symphonic Distribution","ONErpm","RouteNote","LANDR","Horus Music","Indie"},0)),"Aggregator di luar daftar","")),IF(TRIM($H501)="","Genre kosong",IF((LEN(SUBSTITUTE(SUBSTITUTE(SUBSTITUTE(TRIM($H501),"/",","),";",",")," ",""))-LEN(SUBSTITUTE(SUBSTITUTE(SUBSTITUTE(SUBSTITUTE(TRIM($H501),"/",","),";",","),"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501),"/",","),";",",")," ","")&amp;",")))&lt;&gt;(LEN(SUBSTITUTE(SUBSTITUTE(SUBSTITUTE(TRIM($H501),"/",","),";",",")," ",""))-LEN(SUBSTITUTE(SUBSTITUTE(SUBSTITUTE(SUBSTITUTE(TRIM($H501),"/",","),";",",")," ",""),",",""))+1),"Genre di luar daftar",""))),IF($I501="","Nama Channel kosong",""),IF($J501="","Link Channel kosong",IF(ISERROR(SEARCH("youtu",$J501)),"Link Channel bukan youtube","")),IF($K501="","Link Video kosong",IF(ISERROR(SEARCH("youtu",$K501)),"Link Video bukan youtube","")),IF($L501="","Tgl Dibuat kosong",IF(NOT(ISNUMBER($L501)),"Tgl Dibuat bukan tanggal","")),IF(AND($M501&lt;&gt;"",NOT(ISNUMBER($M501))),"Tgl Publish bukan tanggal",""),IF(AND(ISNUMBER($L501),ISNUMBER($M501),$M501&lt;$L501),"Tgl Publish &lt; Tgl buat",""),IF(TRIM($N501)="","Status kosong",IF(ISERROR(MATCH(TRIM($N501),{"Draft","Menunggu Review","Revisi","Terjadwal","Upload","Publish","Published","Batal"},0)),"Status di luar daftar","")))),""))</f>
        <v/>
      </c>
      <c r="S501" s="12">
        <f>IF(AND($A501&lt;&gt;"",$C501&lt;&gt;""),IF(COUNTIFS($A$2:$A$1000,$A501,$C$2:$C$1000,$C501)&gt;1,"DUPLICAT",""),"")</f>
        <v/>
      </c>
    </row>
    <row r="502">
      <c r="A502" s="17" t="n"/>
      <c r="B502" s="17" t="n"/>
      <c r="C502" s="17" t="n"/>
      <c r="D502" s="18" t="n"/>
      <c r="E502" s="17" t="n"/>
      <c r="F502" s="19" t="n"/>
      <c r="G502" s="17" t="n"/>
      <c r="H502" s="17" t="n"/>
      <c r="I502" s="17" t="n"/>
      <c r="J502" s="19" t="n"/>
      <c r="K502" s="19" t="n"/>
      <c r="L502" s="20" t="n"/>
      <c r="M502" s="20" t="n"/>
      <c r="N502" s="17" t="n"/>
      <c r="O502" s="17" t="n"/>
      <c r="P502" s="21">
        <f>IF(AND(ISNUMBER($L502),ISNUMBER($M502)),MAX(0,$M502-$L502),"")</f>
        <v/>
      </c>
      <c r="Q502" s="21">
        <f>IF(ISNUMBER($D502),MAX(0,TODAY()-$D502),"")</f>
        <v/>
      </c>
      <c r="R502" s="19">
        <f>IF(COUNTA($A502:$O502)=0,"",IFERROR(TRIM(TEXTJOIN(" | ",TRUE,IF($A502="","PC kosong",""),IF($C502="","Worker ID kosong",""),IF($D502="","Update Date kosong",IF(NOT(ISNUMBER($D502)),"Update Date bukan tanggal","")),IF($E502="","Song ID YT kosong",""),IF($F502="","Judul kosong",""),IF(TRIM($G502)="","",IF(ISERROR(MATCH(TRIM($G502),{"TuneCore","DistroKid","TooLost","SoundOn","Ditto","Believe","CD Baby","Amuse","Symphonic Distribution","ONErpm","RouteNote","LANDR","Horus Music","Indie"},0)),"Aggregator di luar daftar","")),IF(TRIM($H502)="","Genre kosong",IF((LEN(SUBSTITUTE(SUBSTITUTE(SUBSTITUTE(TRIM($H502),"/",","),";",",")," ",""))-LEN(SUBSTITUTE(SUBSTITUTE(SUBSTITUTE(SUBSTITUTE(TRIM($H502),"/",","),";",","),"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502),"/",","),";",",")," ","")&amp;",")))&lt;&gt;(LEN(SUBSTITUTE(SUBSTITUTE(SUBSTITUTE(TRIM($H502),"/",","),";",",")," ",""))-LEN(SUBSTITUTE(SUBSTITUTE(SUBSTITUTE(SUBSTITUTE(TRIM($H502),"/",","),";",",")," ",""),",",""))+1),"Genre di luar daftar",""))),IF($I502="","Nama Channel kosong",""),IF($J502="","Link Channel kosong",IF(ISERROR(SEARCH("youtu",$J502)),"Link Channel bukan youtube","")),IF($K502="","Link Video kosong",IF(ISERROR(SEARCH("youtu",$K502)),"Link Video bukan youtube","")),IF($L502="","Tgl Dibuat kosong",IF(NOT(ISNUMBER($L502)),"Tgl Dibuat bukan tanggal","")),IF(AND($M502&lt;&gt;"",NOT(ISNUMBER($M502))),"Tgl Publish bukan tanggal",""),IF(AND(ISNUMBER($L502),ISNUMBER($M502),$M502&lt;$L502),"Tgl Publish &lt; Tgl buat",""),IF(TRIM($N502)="","Status kosong",IF(ISERROR(MATCH(TRIM($N502),{"Draft","Menunggu Review","Revisi","Terjadwal","Upload","Publish","Published","Batal"},0)),"Status di luar daftar","")))),""))</f>
        <v/>
      </c>
      <c r="S502" s="17">
        <f>IF(AND($A502&lt;&gt;"",$C502&lt;&gt;""),IF(COUNTIFS($A$2:$A$1000,$A502,$C$2:$C$1000,$C502)&gt;1,"DUPLICAT",""),"")</f>
        <v/>
      </c>
    </row>
    <row r="503">
      <c r="A503" s="12" t="n"/>
      <c r="B503" s="12" t="n"/>
      <c r="C503" s="12" t="n"/>
      <c r="D503" s="13" t="n"/>
      <c r="E503" s="12" t="n"/>
      <c r="F503" s="14" t="n"/>
      <c r="G503" s="12" t="n"/>
      <c r="H503" s="12" t="n"/>
      <c r="I503" s="12" t="n"/>
      <c r="J503" s="14" t="n"/>
      <c r="K503" s="14" t="n"/>
      <c r="L503" s="15" t="n"/>
      <c r="M503" s="15" t="n"/>
      <c r="N503" s="12" t="n"/>
      <c r="O503" s="12" t="n"/>
      <c r="P503" s="16">
        <f>IF(AND(ISNUMBER($L503),ISNUMBER($M503)),MAX(0,$M503-$L503),"")</f>
        <v/>
      </c>
      <c r="Q503" s="16">
        <f>IF(ISNUMBER($D503),MAX(0,TODAY()-$D503),"")</f>
        <v/>
      </c>
      <c r="R503" s="14">
        <f>IF(COUNTA($A503:$O503)=0,"",IFERROR(TRIM(TEXTJOIN(" | ",TRUE,IF($A503="","PC kosong",""),IF($C503="","Worker ID kosong",""),IF($D503="","Update Date kosong",IF(NOT(ISNUMBER($D503)),"Update Date bukan tanggal","")),IF($E503="","Song ID YT kosong",""),IF($F503="","Judul kosong",""),IF(TRIM($G503)="","",IF(ISERROR(MATCH(TRIM($G503),{"TuneCore","DistroKid","TooLost","SoundOn","Ditto","Believe","CD Baby","Amuse","Symphonic Distribution","ONErpm","RouteNote","LANDR","Horus Music","Indie"},0)),"Aggregator di luar daftar","")),IF(TRIM($H503)="","Genre kosong",IF((LEN(SUBSTITUTE(SUBSTITUTE(SUBSTITUTE(TRIM($H503),"/",","),";",",")," ",""))-LEN(SUBSTITUTE(SUBSTITUTE(SUBSTITUTE(SUBSTITUTE(TRIM($H503),"/",","),";",","),"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503),"/",","),";",",")," ","")&amp;",")))&lt;&gt;(LEN(SUBSTITUTE(SUBSTITUTE(SUBSTITUTE(TRIM($H503),"/",","),";",",")," ",""))-LEN(SUBSTITUTE(SUBSTITUTE(SUBSTITUTE(SUBSTITUTE(TRIM($H503),"/",","),";",",")," ",""),",",""))+1),"Genre di luar daftar",""))),IF($I503="","Nama Channel kosong",""),IF($J503="","Link Channel kosong",IF(ISERROR(SEARCH("youtu",$J503)),"Link Channel bukan youtube","")),IF($K503="","Link Video kosong",IF(ISERROR(SEARCH("youtu",$K503)),"Link Video bukan youtube","")),IF($L503="","Tgl Dibuat kosong",IF(NOT(ISNUMBER($L503)),"Tgl Dibuat bukan tanggal","")),IF(AND($M503&lt;&gt;"",NOT(ISNUMBER($M503))),"Tgl Publish bukan tanggal",""),IF(AND(ISNUMBER($L503),ISNUMBER($M503),$M503&lt;$L503),"Tgl Publish &lt; Tgl buat",""),IF(TRIM($N503)="","Status kosong",IF(ISERROR(MATCH(TRIM($N503),{"Draft","Menunggu Review","Revisi","Terjadwal","Upload","Publish","Published","Batal"},0)),"Status di luar daftar","")))),""))</f>
        <v/>
      </c>
      <c r="S503" s="12">
        <f>IF(AND($A503&lt;&gt;"",$C503&lt;&gt;""),IF(COUNTIFS($A$2:$A$1000,$A503,$C$2:$C$1000,$C503)&gt;1,"DUPLICAT",""),"")</f>
        <v/>
      </c>
    </row>
    <row r="504">
      <c r="A504" s="17" t="n"/>
      <c r="B504" s="17" t="n"/>
      <c r="C504" s="17" t="n"/>
      <c r="D504" s="18" t="n"/>
      <c r="E504" s="17" t="n"/>
      <c r="F504" s="19" t="n"/>
      <c r="G504" s="17" t="n"/>
      <c r="H504" s="17" t="n"/>
      <c r="I504" s="17" t="n"/>
      <c r="J504" s="19" t="n"/>
      <c r="K504" s="19" t="n"/>
      <c r="L504" s="20" t="n"/>
      <c r="M504" s="20" t="n"/>
      <c r="N504" s="17" t="n"/>
      <c r="O504" s="17" t="n"/>
      <c r="P504" s="21">
        <f>IF(AND(ISNUMBER($L504),ISNUMBER($M504)),MAX(0,$M504-$L504),"")</f>
        <v/>
      </c>
      <c r="Q504" s="21">
        <f>IF(ISNUMBER($D504),MAX(0,TODAY()-$D504),"")</f>
        <v/>
      </c>
      <c r="R504" s="19">
        <f>IF(COUNTA($A504:$O504)=0,"",IFERROR(TRIM(TEXTJOIN(" | ",TRUE,IF($A504="","PC kosong",""),IF($C504="","Worker ID kosong",""),IF($D504="","Update Date kosong",IF(NOT(ISNUMBER($D504)),"Update Date bukan tanggal","")),IF($E504="","Song ID YT kosong",""),IF($F504="","Judul kosong",""),IF(TRIM($G504)="","",IF(ISERROR(MATCH(TRIM($G504),{"TuneCore","DistroKid","TooLost","SoundOn","Ditto","Believe","CD Baby","Amuse","Symphonic Distribution","ONErpm","RouteNote","LANDR","Horus Music","Indie"},0)),"Aggregator di luar daftar","")),IF(TRIM($H504)="","Genre kosong",IF((LEN(SUBSTITUTE(SUBSTITUTE(SUBSTITUTE(TRIM($H504),"/",","),";",",")," ",""))-LEN(SUBSTITUTE(SUBSTITUTE(SUBSTITUTE(SUBSTITUTE(TRIM($H504),"/",","),";",","),"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504),"/",","),";",",")," ","")&amp;",")))&lt;&gt;(LEN(SUBSTITUTE(SUBSTITUTE(SUBSTITUTE(TRIM($H504),"/",","),";",",")," ",""))-LEN(SUBSTITUTE(SUBSTITUTE(SUBSTITUTE(SUBSTITUTE(TRIM($H504),"/",","),";",",")," ",""),",",""))+1),"Genre di luar daftar",""))),IF($I504="","Nama Channel kosong",""),IF($J504="","Link Channel kosong",IF(ISERROR(SEARCH("youtu",$J504)),"Link Channel bukan youtube","")),IF($K504="","Link Video kosong",IF(ISERROR(SEARCH("youtu",$K504)),"Link Video bukan youtube","")),IF($L504="","Tgl Dibuat kosong",IF(NOT(ISNUMBER($L504)),"Tgl Dibuat bukan tanggal","")),IF(AND($M504&lt;&gt;"",NOT(ISNUMBER($M504))),"Tgl Publish bukan tanggal",""),IF(AND(ISNUMBER($L504),ISNUMBER($M504),$M504&lt;$L504),"Tgl Publish &lt; Tgl buat",""),IF(TRIM($N504)="","Status kosong",IF(ISERROR(MATCH(TRIM($N504),{"Draft","Menunggu Review","Revisi","Terjadwal","Upload","Publish","Published","Batal"},0)),"Status di luar daftar","")))),""))</f>
        <v/>
      </c>
      <c r="S504" s="17">
        <f>IF(AND($A504&lt;&gt;"",$C504&lt;&gt;""),IF(COUNTIFS($A$2:$A$1000,$A504,$C$2:$C$1000,$C504)&gt;1,"DUPLICAT",""),"")</f>
        <v/>
      </c>
    </row>
    <row r="505">
      <c r="A505" s="12" t="n"/>
      <c r="B505" s="12" t="n"/>
      <c r="C505" s="12" t="n"/>
      <c r="D505" s="13" t="n"/>
      <c r="E505" s="12" t="n"/>
      <c r="F505" s="14" t="n"/>
      <c r="G505" s="12" t="n"/>
      <c r="H505" s="12" t="n"/>
      <c r="I505" s="12" t="n"/>
      <c r="J505" s="14" t="n"/>
      <c r="K505" s="14" t="n"/>
      <c r="L505" s="15" t="n"/>
      <c r="M505" s="15" t="n"/>
      <c r="N505" s="12" t="n"/>
      <c r="O505" s="12" t="n"/>
      <c r="P505" s="16">
        <f>IF(AND(ISNUMBER($L505),ISNUMBER($M505)),MAX(0,$M505-$L505),"")</f>
        <v/>
      </c>
      <c r="Q505" s="16">
        <f>IF(ISNUMBER($D505),MAX(0,TODAY()-$D505),"")</f>
        <v/>
      </c>
      <c r="R505" s="14">
        <f>IF(COUNTA($A505:$O505)=0,"",IFERROR(TRIM(TEXTJOIN(" | ",TRUE,IF($A505="","PC kosong",""),IF($C505="","Worker ID kosong",""),IF($D505="","Update Date kosong",IF(NOT(ISNUMBER($D505)),"Update Date bukan tanggal","")),IF($E505="","Song ID YT kosong",""),IF($F505="","Judul kosong",""),IF(TRIM($G505)="","",IF(ISERROR(MATCH(TRIM($G505),{"TuneCore","DistroKid","TooLost","SoundOn","Ditto","Believe","CD Baby","Amuse","Symphonic Distribution","ONErpm","RouteNote","LANDR","Horus Music","Indie"},0)),"Aggregator di luar daftar","")),IF(TRIM($H505)="","Genre kosong",IF((LEN(SUBSTITUTE(SUBSTITUTE(SUBSTITUTE(TRIM($H505),"/",","),";",",")," ",""))-LEN(SUBSTITUTE(SUBSTITUTE(SUBSTITUTE(SUBSTITUTE(TRIM($H505),"/",","),";",","),"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505),"/",","),";",",")," ","")&amp;",")))&lt;&gt;(LEN(SUBSTITUTE(SUBSTITUTE(SUBSTITUTE(TRIM($H505),"/",","),";",",")," ",""))-LEN(SUBSTITUTE(SUBSTITUTE(SUBSTITUTE(SUBSTITUTE(TRIM($H505),"/",","),";",",")," ",""),",",""))+1),"Genre di luar daftar",""))),IF($I505="","Nama Channel kosong",""),IF($J505="","Link Channel kosong",IF(ISERROR(SEARCH("youtu",$J505)),"Link Channel bukan youtube","")),IF($K505="","Link Video kosong",IF(ISERROR(SEARCH("youtu",$K505)),"Link Video bukan youtube","")),IF($L505="","Tgl Dibuat kosong",IF(NOT(ISNUMBER($L505)),"Tgl Dibuat bukan tanggal","")),IF(AND($M505&lt;&gt;"",NOT(ISNUMBER($M505))),"Tgl Publish bukan tanggal",""),IF(AND(ISNUMBER($L505),ISNUMBER($M505),$M505&lt;$L505),"Tgl Publish &lt; Tgl buat",""),IF(TRIM($N505)="","Status kosong",IF(ISERROR(MATCH(TRIM($N505),{"Draft","Menunggu Review","Revisi","Terjadwal","Upload","Publish","Published","Batal"},0)),"Status di luar daftar","")))),""))</f>
        <v/>
      </c>
      <c r="S505" s="12">
        <f>IF(AND($A505&lt;&gt;"",$C505&lt;&gt;""),IF(COUNTIFS($A$2:$A$1000,$A505,$C$2:$C$1000,$C505)&gt;1,"DUPLICAT",""),"")</f>
        <v/>
      </c>
    </row>
    <row r="506">
      <c r="A506" s="17" t="n"/>
      <c r="B506" s="17" t="n"/>
      <c r="C506" s="17" t="n"/>
      <c r="D506" s="18" t="n"/>
      <c r="E506" s="17" t="n"/>
      <c r="F506" s="19" t="n"/>
      <c r="G506" s="17" t="n"/>
      <c r="H506" s="17" t="n"/>
      <c r="I506" s="17" t="n"/>
      <c r="J506" s="19" t="n"/>
      <c r="K506" s="19" t="n"/>
      <c r="L506" s="20" t="n"/>
      <c r="M506" s="20" t="n"/>
      <c r="N506" s="17" t="n"/>
      <c r="O506" s="17" t="n"/>
      <c r="P506" s="21">
        <f>IF(AND(ISNUMBER($L506),ISNUMBER($M506)),MAX(0,$M506-$L506),"")</f>
        <v/>
      </c>
      <c r="Q506" s="21">
        <f>IF(ISNUMBER($D506),MAX(0,TODAY()-$D506),"")</f>
        <v/>
      </c>
      <c r="R506" s="19">
        <f>IF(COUNTA($A506:$O506)=0,"",IFERROR(TRIM(TEXTJOIN(" | ",TRUE,IF($A506="","PC kosong",""),IF($C506="","Worker ID kosong",""),IF($D506="","Update Date kosong",IF(NOT(ISNUMBER($D506)),"Update Date bukan tanggal","")),IF($E506="","Song ID YT kosong",""),IF($F506="","Judul kosong",""),IF(TRIM($G506)="","",IF(ISERROR(MATCH(TRIM($G506),{"TuneCore","DistroKid","TooLost","SoundOn","Ditto","Believe","CD Baby","Amuse","Symphonic Distribution","ONErpm","RouteNote","LANDR","Horus Music","Indie"},0)),"Aggregator di luar daftar","")),IF(TRIM($H506)="","Genre kosong",IF((LEN(SUBSTITUTE(SUBSTITUTE(SUBSTITUTE(TRIM($H506),"/",","),";",",")," ",""))-LEN(SUBSTITUTE(SUBSTITUTE(SUBSTITUTE(SUBSTITUTE(TRIM($H506),"/",","),";",","),"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506),"/",","),";",",")," ","")&amp;",")))&lt;&gt;(LEN(SUBSTITUTE(SUBSTITUTE(SUBSTITUTE(TRIM($H506),"/",","),";",",")," ",""))-LEN(SUBSTITUTE(SUBSTITUTE(SUBSTITUTE(SUBSTITUTE(TRIM($H506),"/",","),";",",")," ",""),",",""))+1),"Genre di luar daftar",""))),IF($I506="","Nama Channel kosong",""),IF($J506="","Link Channel kosong",IF(ISERROR(SEARCH("youtu",$J506)),"Link Channel bukan youtube","")),IF($K506="","Link Video kosong",IF(ISERROR(SEARCH("youtu",$K506)),"Link Video bukan youtube","")),IF($L506="","Tgl Dibuat kosong",IF(NOT(ISNUMBER($L506)),"Tgl Dibuat bukan tanggal","")),IF(AND($M506&lt;&gt;"",NOT(ISNUMBER($M506))),"Tgl Publish bukan tanggal",""),IF(AND(ISNUMBER($L506),ISNUMBER($M506),$M506&lt;$L506),"Tgl Publish &lt; Tgl buat",""),IF(TRIM($N506)="","Status kosong",IF(ISERROR(MATCH(TRIM($N506),{"Draft","Menunggu Review","Revisi","Terjadwal","Upload","Publish","Published","Batal"},0)),"Status di luar daftar","")))),""))</f>
        <v/>
      </c>
      <c r="S506" s="17">
        <f>IF(AND($A506&lt;&gt;"",$C506&lt;&gt;""),IF(COUNTIFS($A$2:$A$1000,$A506,$C$2:$C$1000,$C506)&gt;1,"DUPLICAT",""),"")</f>
        <v/>
      </c>
    </row>
    <row r="507">
      <c r="A507" s="12" t="n"/>
      <c r="B507" s="12" t="n"/>
      <c r="C507" s="12" t="n"/>
      <c r="D507" s="13" t="n"/>
      <c r="E507" s="12" t="n"/>
      <c r="F507" s="14" t="n"/>
      <c r="G507" s="12" t="n"/>
      <c r="H507" s="12" t="n"/>
      <c r="I507" s="12" t="n"/>
      <c r="J507" s="14" t="n"/>
      <c r="K507" s="14" t="n"/>
      <c r="L507" s="15" t="n"/>
      <c r="M507" s="15" t="n"/>
      <c r="N507" s="12" t="n"/>
      <c r="O507" s="12" t="n"/>
      <c r="P507" s="16">
        <f>IF(AND(ISNUMBER($L507),ISNUMBER($M507)),MAX(0,$M507-$L507),"")</f>
        <v/>
      </c>
      <c r="Q507" s="16">
        <f>IF(ISNUMBER($D507),MAX(0,TODAY()-$D507),"")</f>
        <v/>
      </c>
      <c r="R507" s="14">
        <f>IF(COUNTA($A507:$O507)=0,"",IFERROR(TRIM(TEXTJOIN(" | ",TRUE,IF($A507="","PC kosong",""),IF($C507="","Worker ID kosong",""),IF($D507="","Update Date kosong",IF(NOT(ISNUMBER($D507)),"Update Date bukan tanggal","")),IF($E507="","Song ID YT kosong",""),IF($F507="","Judul kosong",""),IF(TRIM($G507)="","",IF(ISERROR(MATCH(TRIM($G507),{"TuneCore","DistroKid","TooLost","SoundOn","Ditto","Believe","CD Baby","Amuse","Symphonic Distribution","ONErpm","RouteNote","LANDR","Horus Music","Indie"},0)),"Aggregator di luar daftar","")),IF(TRIM($H507)="","Genre kosong",IF((LEN(SUBSTITUTE(SUBSTITUTE(SUBSTITUTE(TRIM($H507),"/",","),";",",")," ",""))-LEN(SUBSTITUTE(SUBSTITUTE(SUBSTITUTE(SUBSTITUTE(TRIM($H507),"/",","),";",","),"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507),"/",","),";",",")," ","")&amp;",")))&lt;&gt;(LEN(SUBSTITUTE(SUBSTITUTE(SUBSTITUTE(TRIM($H507),"/",","),";",",")," ",""))-LEN(SUBSTITUTE(SUBSTITUTE(SUBSTITUTE(SUBSTITUTE(TRIM($H507),"/",","),";",",")," ",""),",",""))+1),"Genre di luar daftar",""))),IF($I507="","Nama Channel kosong",""),IF($J507="","Link Channel kosong",IF(ISERROR(SEARCH("youtu",$J507)),"Link Channel bukan youtube","")),IF($K507="","Link Video kosong",IF(ISERROR(SEARCH("youtu",$K507)),"Link Video bukan youtube","")),IF($L507="","Tgl Dibuat kosong",IF(NOT(ISNUMBER($L507)),"Tgl Dibuat bukan tanggal","")),IF(AND($M507&lt;&gt;"",NOT(ISNUMBER($M507))),"Tgl Publish bukan tanggal",""),IF(AND(ISNUMBER($L507),ISNUMBER($M507),$M507&lt;$L507),"Tgl Publish &lt; Tgl buat",""),IF(TRIM($N507)="","Status kosong",IF(ISERROR(MATCH(TRIM($N507),{"Draft","Menunggu Review","Revisi","Terjadwal","Upload","Publish","Published","Batal"},0)),"Status di luar daftar","")))),""))</f>
        <v/>
      </c>
      <c r="S507" s="12">
        <f>IF(AND($A507&lt;&gt;"",$C507&lt;&gt;""),IF(COUNTIFS($A$2:$A$1000,$A507,$C$2:$C$1000,$C507)&gt;1,"DUPLICAT",""),"")</f>
        <v/>
      </c>
    </row>
    <row r="508">
      <c r="A508" s="17" t="n"/>
      <c r="B508" s="17" t="n"/>
      <c r="C508" s="17" t="n"/>
      <c r="D508" s="18" t="n"/>
      <c r="E508" s="17" t="n"/>
      <c r="F508" s="19" t="n"/>
      <c r="G508" s="17" t="n"/>
      <c r="H508" s="17" t="n"/>
      <c r="I508" s="17" t="n"/>
      <c r="J508" s="19" t="n"/>
      <c r="K508" s="19" t="n"/>
      <c r="L508" s="20" t="n"/>
      <c r="M508" s="20" t="n"/>
      <c r="N508" s="17" t="n"/>
      <c r="O508" s="17" t="n"/>
      <c r="P508" s="21">
        <f>IF(AND(ISNUMBER($L508),ISNUMBER($M508)),MAX(0,$M508-$L508),"")</f>
        <v/>
      </c>
      <c r="Q508" s="21">
        <f>IF(ISNUMBER($D508),MAX(0,TODAY()-$D508),"")</f>
        <v/>
      </c>
      <c r="R508" s="19">
        <f>IF(COUNTA($A508:$O508)=0,"",IFERROR(TRIM(TEXTJOIN(" | ",TRUE,IF($A508="","PC kosong",""),IF($C508="","Worker ID kosong",""),IF($D508="","Update Date kosong",IF(NOT(ISNUMBER($D508)),"Update Date bukan tanggal","")),IF($E508="","Song ID YT kosong",""),IF($F508="","Judul kosong",""),IF(TRIM($G508)="","",IF(ISERROR(MATCH(TRIM($G508),{"TuneCore","DistroKid","TooLost","SoundOn","Ditto","Believe","CD Baby","Amuse","Symphonic Distribution","ONErpm","RouteNote","LANDR","Horus Music","Indie"},0)),"Aggregator di luar daftar","")),IF(TRIM($H508)="","Genre kosong",IF((LEN(SUBSTITUTE(SUBSTITUTE(SUBSTITUTE(TRIM($H508),"/",","),";",",")," ",""))-LEN(SUBSTITUTE(SUBSTITUTE(SUBSTITUTE(SUBSTITUTE(TRIM($H508),"/",","),";",","),"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508),"/",","),";",",")," ","")&amp;",")))&lt;&gt;(LEN(SUBSTITUTE(SUBSTITUTE(SUBSTITUTE(TRIM($H508),"/",","),";",",")," ",""))-LEN(SUBSTITUTE(SUBSTITUTE(SUBSTITUTE(SUBSTITUTE(TRIM($H508),"/",","),";",",")," ",""),",",""))+1),"Genre di luar daftar",""))),IF($I508="","Nama Channel kosong",""),IF($J508="","Link Channel kosong",IF(ISERROR(SEARCH("youtu",$J508)),"Link Channel bukan youtube","")),IF($K508="","Link Video kosong",IF(ISERROR(SEARCH("youtu",$K508)),"Link Video bukan youtube","")),IF($L508="","Tgl Dibuat kosong",IF(NOT(ISNUMBER($L508)),"Tgl Dibuat bukan tanggal","")),IF(AND($M508&lt;&gt;"",NOT(ISNUMBER($M508))),"Tgl Publish bukan tanggal",""),IF(AND(ISNUMBER($L508),ISNUMBER($M508),$M508&lt;$L508),"Tgl Publish &lt; Tgl buat",""),IF(TRIM($N508)="","Status kosong",IF(ISERROR(MATCH(TRIM($N508),{"Draft","Menunggu Review","Revisi","Terjadwal","Upload","Publish","Published","Batal"},0)),"Status di luar daftar","")))),""))</f>
        <v/>
      </c>
      <c r="S508" s="17">
        <f>IF(AND($A508&lt;&gt;"",$C508&lt;&gt;""),IF(COUNTIFS($A$2:$A$1000,$A508,$C$2:$C$1000,$C508)&gt;1,"DUPLICAT",""),"")</f>
        <v/>
      </c>
    </row>
    <row r="509">
      <c r="A509" s="12" t="n"/>
      <c r="B509" s="12" t="n"/>
      <c r="C509" s="12" t="n"/>
      <c r="D509" s="13" t="n"/>
      <c r="E509" s="12" t="n"/>
      <c r="F509" s="14" t="n"/>
      <c r="G509" s="12" t="n"/>
      <c r="H509" s="12" t="n"/>
      <c r="I509" s="12" t="n"/>
      <c r="J509" s="14" t="n"/>
      <c r="K509" s="14" t="n"/>
      <c r="L509" s="15" t="n"/>
      <c r="M509" s="15" t="n"/>
      <c r="N509" s="12" t="n"/>
      <c r="O509" s="12" t="n"/>
      <c r="P509" s="16">
        <f>IF(AND(ISNUMBER($L509),ISNUMBER($M509)),MAX(0,$M509-$L509),"")</f>
        <v/>
      </c>
      <c r="Q509" s="16">
        <f>IF(ISNUMBER($D509),MAX(0,TODAY()-$D509),"")</f>
        <v/>
      </c>
      <c r="R509" s="14">
        <f>IF(COUNTA($A509:$O509)=0,"",IFERROR(TRIM(TEXTJOIN(" | ",TRUE,IF($A509="","PC kosong",""),IF($C509="","Worker ID kosong",""),IF($D509="","Update Date kosong",IF(NOT(ISNUMBER($D509)),"Update Date bukan tanggal","")),IF($E509="","Song ID YT kosong",""),IF($F509="","Judul kosong",""),IF(TRIM($G509)="","",IF(ISERROR(MATCH(TRIM($G509),{"TuneCore","DistroKid","TooLost","SoundOn","Ditto","Believe","CD Baby","Amuse","Symphonic Distribution","ONErpm","RouteNote","LANDR","Horus Music","Indie"},0)),"Aggregator di luar daftar","")),IF(TRIM($H509)="","Genre kosong",IF((LEN(SUBSTITUTE(SUBSTITUTE(SUBSTITUTE(TRIM($H509),"/",","),";",",")," ",""))-LEN(SUBSTITUTE(SUBSTITUTE(SUBSTITUTE(SUBSTITUTE(TRIM($H509),"/",","),";",","),"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509),"/",","),";",",")," ","")&amp;",")))&lt;&gt;(LEN(SUBSTITUTE(SUBSTITUTE(SUBSTITUTE(TRIM($H509),"/",","),";",",")," ",""))-LEN(SUBSTITUTE(SUBSTITUTE(SUBSTITUTE(SUBSTITUTE(TRIM($H509),"/",","),";",",")," ",""),",",""))+1),"Genre di luar daftar",""))),IF($I509="","Nama Channel kosong",""),IF($J509="","Link Channel kosong",IF(ISERROR(SEARCH("youtu",$J509)),"Link Channel bukan youtube","")),IF($K509="","Link Video kosong",IF(ISERROR(SEARCH("youtu",$K509)),"Link Video bukan youtube","")),IF($L509="","Tgl Dibuat kosong",IF(NOT(ISNUMBER($L509)),"Tgl Dibuat bukan tanggal","")),IF(AND($M509&lt;&gt;"",NOT(ISNUMBER($M509))),"Tgl Publish bukan tanggal",""),IF(AND(ISNUMBER($L509),ISNUMBER($M509),$M509&lt;$L509),"Tgl Publish &lt; Tgl buat",""),IF(TRIM($N509)="","Status kosong",IF(ISERROR(MATCH(TRIM($N509),{"Draft","Menunggu Review","Revisi","Terjadwal","Upload","Publish","Published","Batal"},0)),"Status di luar daftar","")))),""))</f>
        <v/>
      </c>
      <c r="S509" s="12">
        <f>IF(AND($A509&lt;&gt;"",$C509&lt;&gt;""),IF(COUNTIFS($A$2:$A$1000,$A509,$C$2:$C$1000,$C509)&gt;1,"DUPLICAT",""),"")</f>
        <v/>
      </c>
    </row>
    <row r="510">
      <c r="A510" s="17" t="n"/>
      <c r="B510" s="17" t="n"/>
      <c r="C510" s="17" t="n"/>
      <c r="D510" s="18" t="n"/>
      <c r="E510" s="17" t="n"/>
      <c r="F510" s="19" t="n"/>
      <c r="G510" s="17" t="n"/>
      <c r="H510" s="17" t="n"/>
      <c r="I510" s="17" t="n"/>
      <c r="J510" s="19" t="n"/>
      <c r="K510" s="19" t="n"/>
      <c r="L510" s="20" t="n"/>
      <c r="M510" s="20" t="n"/>
      <c r="N510" s="17" t="n"/>
      <c r="O510" s="17" t="n"/>
      <c r="P510" s="21">
        <f>IF(AND(ISNUMBER($L510),ISNUMBER($M510)),MAX(0,$M510-$L510),"")</f>
        <v/>
      </c>
      <c r="Q510" s="21">
        <f>IF(ISNUMBER($D510),MAX(0,TODAY()-$D510),"")</f>
        <v/>
      </c>
      <c r="R510" s="19">
        <f>IF(COUNTA($A510:$O510)=0,"",IFERROR(TRIM(TEXTJOIN(" | ",TRUE,IF($A510="","PC kosong",""),IF($C510="","Worker ID kosong",""),IF($D510="","Update Date kosong",IF(NOT(ISNUMBER($D510)),"Update Date bukan tanggal","")),IF($E510="","Song ID YT kosong",""),IF($F510="","Judul kosong",""),IF(TRIM($G510)="","",IF(ISERROR(MATCH(TRIM($G510),{"TuneCore","DistroKid","TooLost","SoundOn","Ditto","Believe","CD Baby","Amuse","Symphonic Distribution","ONErpm","RouteNote","LANDR","Horus Music","Indie"},0)),"Aggregator di luar daftar","")),IF(TRIM($H510)="","Genre kosong",IF((LEN(SUBSTITUTE(SUBSTITUTE(SUBSTITUTE(TRIM($H510),"/",","),";",",")," ",""))-LEN(SUBSTITUTE(SUBSTITUTE(SUBSTITUTE(SUBSTITUTE(TRIM($H510),"/",","),";",","),"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510),"/",","),";",",")," ","")&amp;",")))&lt;&gt;(LEN(SUBSTITUTE(SUBSTITUTE(SUBSTITUTE(TRIM($H510),"/",","),";",",")," ",""))-LEN(SUBSTITUTE(SUBSTITUTE(SUBSTITUTE(SUBSTITUTE(TRIM($H510),"/",","),";",",")," ",""),",",""))+1),"Genre di luar daftar",""))),IF($I510="","Nama Channel kosong",""),IF($J510="","Link Channel kosong",IF(ISERROR(SEARCH("youtu",$J510)),"Link Channel bukan youtube","")),IF($K510="","Link Video kosong",IF(ISERROR(SEARCH("youtu",$K510)),"Link Video bukan youtube","")),IF($L510="","Tgl Dibuat kosong",IF(NOT(ISNUMBER($L510)),"Tgl Dibuat bukan tanggal","")),IF(AND($M510&lt;&gt;"",NOT(ISNUMBER($M510))),"Tgl Publish bukan tanggal",""),IF(AND(ISNUMBER($L510),ISNUMBER($M510),$M510&lt;$L510),"Tgl Publish &lt; Tgl buat",""),IF(TRIM($N510)="","Status kosong",IF(ISERROR(MATCH(TRIM($N510),{"Draft","Menunggu Review","Revisi","Terjadwal","Upload","Publish","Published","Batal"},0)),"Status di luar daftar","")))),""))</f>
        <v/>
      </c>
      <c r="S510" s="17">
        <f>IF(AND($A510&lt;&gt;"",$C510&lt;&gt;""),IF(COUNTIFS($A$2:$A$1000,$A510,$C$2:$C$1000,$C510)&gt;1,"DUPLICAT",""),"")</f>
        <v/>
      </c>
    </row>
    <row r="511">
      <c r="A511" s="12" t="n"/>
      <c r="B511" s="12" t="n"/>
      <c r="C511" s="12" t="n"/>
      <c r="D511" s="13" t="n"/>
      <c r="E511" s="12" t="n"/>
      <c r="F511" s="14" t="n"/>
      <c r="G511" s="12" t="n"/>
      <c r="H511" s="12" t="n"/>
      <c r="I511" s="12" t="n"/>
      <c r="J511" s="14" t="n"/>
      <c r="K511" s="14" t="n"/>
      <c r="L511" s="15" t="n"/>
      <c r="M511" s="15" t="n"/>
      <c r="N511" s="12" t="n"/>
      <c r="O511" s="12" t="n"/>
      <c r="P511" s="16">
        <f>IF(AND(ISNUMBER($L511),ISNUMBER($M511)),MAX(0,$M511-$L511),"")</f>
        <v/>
      </c>
      <c r="Q511" s="16">
        <f>IF(ISNUMBER($D511),MAX(0,TODAY()-$D511),"")</f>
        <v/>
      </c>
      <c r="R511" s="14">
        <f>IF(COUNTA($A511:$O511)=0,"",IFERROR(TRIM(TEXTJOIN(" | ",TRUE,IF($A511="","PC kosong",""),IF($C511="","Worker ID kosong",""),IF($D511="","Update Date kosong",IF(NOT(ISNUMBER($D511)),"Update Date bukan tanggal","")),IF($E511="","Song ID YT kosong",""),IF($F511="","Judul kosong",""),IF(TRIM($G511)="","",IF(ISERROR(MATCH(TRIM($G511),{"TuneCore","DistroKid","TooLost","SoundOn","Ditto","Believe","CD Baby","Amuse","Symphonic Distribution","ONErpm","RouteNote","LANDR","Horus Music","Indie"},0)),"Aggregator di luar daftar","")),IF(TRIM($H511)="","Genre kosong",IF((LEN(SUBSTITUTE(SUBSTITUTE(SUBSTITUTE(TRIM($H511),"/",","),";",",")," ",""))-LEN(SUBSTITUTE(SUBSTITUTE(SUBSTITUTE(SUBSTITUTE(TRIM($H511),"/",","),";",","),"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511),"/",","),";",",")," ","")&amp;",")))&lt;&gt;(LEN(SUBSTITUTE(SUBSTITUTE(SUBSTITUTE(TRIM($H511),"/",","),";",",")," ",""))-LEN(SUBSTITUTE(SUBSTITUTE(SUBSTITUTE(SUBSTITUTE(TRIM($H511),"/",","),";",",")," ",""),",",""))+1),"Genre di luar daftar",""))),IF($I511="","Nama Channel kosong",""),IF($J511="","Link Channel kosong",IF(ISERROR(SEARCH("youtu",$J511)),"Link Channel bukan youtube","")),IF($K511="","Link Video kosong",IF(ISERROR(SEARCH("youtu",$K511)),"Link Video bukan youtube","")),IF($L511="","Tgl Dibuat kosong",IF(NOT(ISNUMBER($L511)),"Tgl Dibuat bukan tanggal","")),IF(AND($M511&lt;&gt;"",NOT(ISNUMBER($M511))),"Tgl Publish bukan tanggal",""),IF(AND(ISNUMBER($L511),ISNUMBER($M511),$M511&lt;$L511),"Tgl Publish &lt; Tgl buat",""),IF(TRIM($N511)="","Status kosong",IF(ISERROR(MATCH(TRIM($N511),{"Draft","Menunggu Review","Revisi","Terjadwal","Upload","Publish","Published","Batal"},0)),"Status di luar daftar","")))),""))</f>
        <v/>
      </c>
      <c r="S511" s="12">
        <f>IF(AND($A511&lt;&gt;"",$C511&lt;&gt;""),IF(COUNTIFS($A$2:$A$1000,$A511,$C$2:$C$1000,$C511)&gt;1,"DUPLICAT",""),"")</f>
        <v/>
      </c>
    </row>
    <row r="512">
      <c r="A512" s="17" t="n"/>
      <c r="B512" s="17" t="n"/>
      <c r="C512" s="17" t="n"/>
      <c r="D512" s="18" t="n"/>
      <c r="E512" s="17" t="n"/>
      <c r="F512" s="19" t="n"/>
      <c r="G512" s="17" t="n"/>
      <c r="H512" s="17" t="n"/>
      <c r="I512" s="17" t="n"/>
      <c r="J512" s="19" t="n"/>
      <c r="K512" s="19" t="n"/>
      <c r="L512" s="20" t="n"/>
      <c r="M512" s="20" t="n"/>
      <c r="N512" s="17" t="n"/>
      <c r="O512" s="17" t="n"/>
      <c r="P512" s="21">
        <f>IF(AND(ISNUMBER($L512),ISNUMBER($M512)),MAX(0,$M512-$L512),"")</f>
        <v/>
      </c>
      <c r="Q512" s="21">
        <f>IF(ISNUMBER($D512),MAX(0,TODAY()-$D512),"")</f>
        <v/>
      </c>
      <c r="R512" s="19">
        <f>IF(COUNTA($A512:$O512)=0,"",IFERROR(TRIM(TEXTJOIN(" | ",TRUE,IF($A512="","PC kosong",""),IF($C512="","Worker ID kosong",""),IF($D512="","Update Date kosong",IF(NOT(ISNUMBER($D512)),"Update Date bukan tanggal","")),IF($E512="","Song ID YT kosong",""),IF($F512="","Judul kosong",""),IF(TRIM($G512)="","",IF(ISERROR(MATCH(TRIM($G512),{"TuneCore","DistroKid","TooLost","SoundOn","Ditto","Believe","CD Baby","Amuse","Symphonic Distribution","ONErpm","RouteNote","LANDR","Horus Music","Indie"},0)),"Aggregator di luar daftar","")),IF(TRIM($H512)="","Genre kosong",IF((LEN(SUBSTITUTE(SUBSTITUTE(SUBSTITUTE(TRIM($H512),"/",","),";",",")," ",""))-LEN(SUBSTITUTE(SUBSTITUTE(SUBSTITUTE(SUBSTITUTE(TRIM($H512),"/",","),";",","),"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512),"/",","),";",",")," ","")&amp;",")))&lt;&gt;(LEN(SUBSTITUTE(SUBSTITUTE(SUBSTITUTE(TRIM($H512),"/",","),";",",")," ",""))-LEN(SUBSTITUTE(SUBSTITUTE(SUBSTITUTE(SUBSTITUTE(TRIM($H512),"/",","),";",",")," ",""),",",""))+1),"Genre di luar daftar",""))),IF($I512="","Nama Channel kosong",""),IF($J512="","Link Channel kosong",IF(ISERROR(SEARCH("youtu",$J512)),"Link Channel bukan youtube","")),IF($K512="","Link Video kosong",IF(ISERROR(SEARCH("youtu",$K512)),"Link Video bukan youtube","")),IF($L512="","Tgl Dibuat kosong",IF(NOT(ISNUMBER($L512)),"Tgl Dibuat bukan tanggal","")),IF(AND($M512&lt;&gt;"",NOT(ISNUMBER($M512))),"Tgl Publish bukan tanggal",""),IF(AND(ISNUMBER($L512),ISNUMBER($M512),$M512&lt;$L512),"Tgl Publish &lt; Tgl buat",""),IF(TRIM($N512)="","Status kosong",IF(ISERROR(MATCH(TRIM($N512),{"Draft","Menunggu Review","Revisi","Terjadwal","Upload","Publish","Published","Batal"},0)),"Status di luar daftar","")))),""))</f>
        <v/>
      </c>
      <c r="S512" s="17">
        <f>IF(AND($A512&lt;&gt;"",$C512&lt;&gt;""),IF(COUNTIFS($A$2:$A$1000,$A512,$C$2:$C$1000,$C512)&gt;1,"DUPLICAT",""),"")</f>
        <v/>
      </c>
    </row>
    <row r="513">
      <c r="A513" s="12" t="n"/>
      <c r="B513" s="12" t="n"/>
      <c r="C513" s="12" t="n"/>
      <c r="D513" s="13" t="n"/>
      <c r="E513" s="12" t="n"/>
      <c r="F513" s="14" t="n"/>
      <c r="G513" s="12" t="n"/>
      <c r="H513" s="12" t="n"/>
      <c r="I513" s="12" t="n"/>
      <c r="J513" s="14" t="n"/>
      <c r="K513" s="14" t="n"/>
      <c r="L513" s="15" t="n"/>
      <c r="M513" s="15" t="n"/>
      <c r="N513" s="12" t="n"/>
      <c r="O513" s="12" t="n"/>
      <c r="P513" s="16">
        <f>IF(AND(ISNUMBER($L513),ISNUMBER($M513)),MAX(0,$M513-$L513),"")</f>
        <v/>
      </c>
      <c r="Q513" s="16">
        <f>IF(ISNUMBER($D513),MAX(0,TODAY()-$D513),"")</f>
        <v/>
      </c>
      <c r="R513" s="14">
        <f>IF(COUNTA($A513:$O513)=0,"",IFERROR(TRIM(TEXTJOIN(" | ",TRUE,IF($A513="","PC kosong",""),IF($C513="","Worker ID kosong",""),IF($D513="","Update Date kosong",IF(NOT(ISNUMBER($D513)),"Update Date bukan tanggal","")),IF($E513="","Song ID YT kosong",""),IF($F513="","Judul kosong",""),IF(TRIM($G513)="","",IF(ISERROR(MATCH(TRIM($G513),{"TuneCore","DistroKid","TooLost","SoundOn","Ditto","Believe","CD Baby","Amuse","Symphonic Distribution","ONErpm","RouteNote","LANDR","Horus Music","Indie"},0)),"Aggregator di luar daftar","")),IF(TRIM($H513)="","Genre kosong",IF((LEN(SUBSTITUTE(SUBSTITUTE(SUBSTITUTE(TRIM($H513),"/",","),";",",")," ",""))-LEN(SUBSTITUTE(SUBSTITUTE(SUBSTITUTE(SUBSTITUTE(TRIM($H513),"/",","),";",","),"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513),"/",","),";",",")," ","")&amp;",")))&lt;&gt;(LEN(SUBSTITUTE(SUBSTITUTE(SUBSTITUTE(TRIM($H513),"/",","),";",",")," ",""))-LEN(SUBSTITUTE(SUBSTITUTE(SUBSTITUTE(SUBSTITUTE(TRIM($H513),"/",","),";",",")," ",""),",",""))+1),"Genre di luar daftar",""))),IF($I513="","Nama Channel kosong",""),IF($J513="","Link Channel kosong",IF(ISERROR(SEARCH("youtu",$J513)),"Link Channel bukan youtube","")),IF($K513="","Link Video kosong",IF(ISERROR(SEARCH("youtu",$K513)),"Link Video bukan youtube","")),IF($L513="","Tgl Dibuat kosong",IF(NOT(ISNUMBER($L513)),"Tgl Dibuat bukan tanggal","")),IF(AND($M513&lt;&gt;"",NOT(ISNUMBER($M513))),"Tgl Publish bukan tanggal",""),IF(AND(ISNUMBER($L513),ISNUMBER($M513),$M513&lt;$L513),"Tgl Publish &lt; Tgl buat",""),IF(TRIM($N513)="","Status kosong",IF(ISERROR(MATCH(TRIM($N513),{"Draft","Menunggu Review","Revisi","Terjadwal","Upload","Publish","Published","Batal"},0)),"Status di luar daftar","")))),""))</f>
        <v/>
      </c>
      <c r="S513" s="12">
        <f>IF(AND($A513&lt;&gt;"",$C513&lt;&gt;""),IF(COUNTIFS($A$2:$A$1000,$A513,$C$2:$C$1000,$C513)&gt;1,"DUPLICAT",""),"")</f>
        <v/>
      </c>
    </row>
    <row r="514">
      <c r="A514" s="17" t="n"/>
      <c r="B514" s="17" t="n"/>
      <c r="C514" s="17" t="n"/>
      <c r="D514" s="18" t="n"/>
      <c r="E514" s="17" t="n"/>
      <c r="F514" s="19" t="n"/>
      <c r="G514" s="17" t="n"/>
      <c r="H514" s="17" t="n"/>
      <c r="I514" s="17" t="n"/>
      <c r="J514" s="19" t="n"/>
      <c r="K514" s="19" t="n"/>
      <c r="L514" s="20" t="n"/>
      <c r="M514" s="20" t="n"/>
      <c r="N514" s="17" t="n"/>
      <c r="O514" s="17" t="n"/>
      <c r="P514" s="21">
        <f>IF(AND(ISNUMBER($L514),ISNUMBER($M514)),MAX(0,$M514-$L514),"")</f>
        <v/>
      </c>
      <c r="Q514" s="21">
        <f>IF(ISNUMBER($D514),MAX(0,TODAY()-$D514),"")</f>
        <v/>
      </c>
      <c r="R514" s="19">
        <f>IF(COUNTA($A514:$O514)=0,"",IFERROR(TRIM(TEXTJOIN(" | ",TRUE,IF($A514="","PC kosong",""),IF($C514="","Worker ID kosong",""),IF($D514="","Update Date kosong",IF(NOT(ISNUMBER($D514)),"Update Date bukan tanggal","")),IF($E514="","Song ID YT kosong",""),IF($F514="","Judul kosong",""),IF(TRIM($G514)="","",IF(ISERROR(MATCH(TRIM($G514),{"TuneCore","DistroKid","TooLost","SoundOn","Ditto","Believe","CD Baby","Amuse","Symphonic Distribution","ONErpm","RouteNote","LANDR","Horus Music","Indie"},0)),"Aggregator di luar daftar","")),IF(TRIM($H514)="","Genre kosong",IF((LEN(SUBSTITUTE(SUBSTITUTE(SUBSTITUTE(TRIM($H514),"/",","),";",",")," ",""))-LEN(SUBSTITUTE(SUBSTITUTE(SUBSTITUTE(SUBSTITUTE(TRIM($H514),"/",","),";",","),"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514),"/",","),";",",")," ","")&amp;",")))&lt;&gt;(LEN(SUBSTITUTE(SUBSTITUTE(SUBSTITUTE(TRIM($H514),"/",","),";",",")," ",""))-LEN(SUBSTITUTE(SUBSTITUTE(SUBSTITUTE(SUBSTITUTE(TRIM($H514),"/",","),";",",")," ",""),",",""))+1),"Genre di luar daftar",""))),IF($I514="","Nama Channel kosong",""),IF($J514="","Link Channel kosong",IF(ISERROR(SEARCH("youtu",$J514)),"Link Channel bukan youtube","")),IF($K514="","Link Video kosong",IF(ISERROR(SEARCH("youtu",$K514)),"Link Video bukan youtube","")),IF($L514="","Tgl Dibuat kosong",IF(NOT(ISNUMBER($L514)),"Tgl Dibuat bukan tanggal","")),IF(AND($M514&lt;&gt;"",NOT(ISNUMBER($M514))),"Tgl Publish bukan tanggal",""),IF(AND(ISNUMBER($L514),ISNUMBER($M514),$M514&lt;$L514),"Tgl Publish &lt; Tgl buat",""),IF(TRIM($N514)="","Status kosong",IF(ISERROR(MATCH(TRIM($N514),{"Draft","Menunggu Review","Revisi","Terjadwal","Upload","Publish","Published","Batal"},0)),"Status di luar daftar","")))),""))</f>
        <v/>
      </c>
      <c r="S514" s="17">
        <f>IF(AND($A514&lt;&gt;"",$C514&lt;&gt;""),IF(COUNTIFS($A$2:$A$1000,$A514,$C$2:$C$1000,$C514)&gt;1,"DUPLICAT",""),"")</f>
        <v/>
      </c>
    </row>
    <row r="515">
      <c r="A515" s="12" t="n"/>
      <c r="B515" s="12" t="n"/>
      <c r="C515" s="12" t="n"/>
      <c r="D515" s="13" t="n"/>
      <c r="E515" s="12" t="n"/>
      <c r="F515" s="14" t="n"/>
      <c r="G515" s="12" t="n"/>
      <c r="H515" s="12" t="n"/>
      <c r="I515" s="12" t="n"/>
      <c r="J515" s="14" t="n"/>
      <c r="K515" s="14" t="n"/>
      <c r="L515" s="15" t="n"/>
      <c r="M515" s="15" t="n"/>
      <c r="N515" s="12" t="n"/>
      <c r="O515" s="12" t="n"/>
      <c r="P515" s="16">
        <f>IF(AND(ISNUMBER($L515),ISNUMBER($M515)),MAX(0,$M515-$L515),"")</f>
        <v/>
      </c>
      <c r="Q515" s="16">
        <f>IF(ISNUMBER($D515),MAX(0,TODAY()-$D515),"")</f>
        <v/>
      </c>
      <c r="R515" s="14">
        <f>IF(COUNTA($A515:$O515)=0,"",IFERROR(TRIM(TEXTJOIN(" | ",TRUE,IF($A515="","PC kosong",""),IF($C515="","Worker ID kosong",""),IF($D515="","Update Date kosong",IF(NOT(ISNUMBER($D515)),"Update Date bukan tanggal","")),IF($E515="","Song ID YT kosong",""),IF($F515="","Judul kosong",""),IF(TRIM($G515)="","",IF(ISERROR(MATCH(TRIM($G515),{"TuneCore","DistroKid","TooLost","SoundOn","Ditto","Believe","CD Baby","Amuse","Symphonic Distribution","ONErpm","RouteNote","LANDR","Horus Music","Indie"},0)),"Aggregator di luar daftar","")),IF(TRIM($H515)="","Genre kosong",IF((LEN(SUBSTITUTE(SUBSTITUTE(SUBSTITUTE(TRIM($H515),"/",","),";",",")," ",""))-LEN(SUBSTITUTE(SUBSTITUTE(SUBSTITUTE(SUBSTITUTE(TRIM($H515),"/",","),";",","),"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515),"/",","),";",",")," ","")&amp;",")))&lt;&gt;(LEN(SUBSTITUTE(SUBSTITUTE(SUBSTITUTE(TRIM($H515),"/",","),";",",")," ",""))-LEN(SUBSTITUTE(SUBSTITUTE(SUBSTITUTE(SUBSTITUTE(TRIM($H515),"/",","),";",",")," ",""),",",""))+1),"Genre di luar daftar",""))),IF($I515="","Nama Channel kosong",""),IF($J515="","Link Channel kosong",IF(ISERROR(SEARCH("youtu",$J515)),"Link Channel bukan youtube","")),IF($K515="","Link Video kosong",IF(ISERROR(SEARCH("youtu",$K515)),"Link Video bukan youtube","")),IF($L515="","Tgl Dibuat kosong",IF(NOT(ISNUMBER($L515)),"Tgl Dibuat bukan tanggal","")),IF(AND($M515&lt;&gt;"",NOT(ISNUMBER($M515))),"Tgl Publish bukan tanggal",""),IF(AND(ISNUMBER($L515),ISNUMBER($M515),$M515&lt;$L515),"Tgl Publish &lt; Tgl buat",""),IF(TRIM($N515)="","Status kosong",IF(ISERROR(MATCH(TRIM($N515),{"Draft","Menunggu Review","Revisi","Terjadwal","Upload","Publish","Published","Batal"},0)),"Status di luar daftar","")))),""))</f>
        <v/>
      </c>
      <c r="S515" s="12">
        <f>IF(AND($A515&lt;&gt;"",$C515&lt;&gt;""),IF(COUNTIFS($A$2:$A$1000,$A515,$C$2:$C$1000,$C515)&gt;1,"DUPLICAT",""),"")</f>
        <v/>
      </c>
    </row>
    <row r="516">
      <c r="A516" s="17" t="n"/>
      <c r="B516" s="17" t="n"/>
      <c r="C516" s="17" t="n"/>
      <c r="D516" s="18" t="n"/>
      <c r="E516" s="17" t="n"/>
      <c r="F516" s="19" t="n"/>
      <c r="G516" s="17" t="n"/>
      <c r="H516" s="17" t="n"/>
      <c r="I516" s="17" t="n"/>
      <c r="J516" s="19" t="n"/>
      <c r="K516" s="19" t="n"/>
      <c r="L516" s="20" t="n"/>
      <c r="M516" s="20" t="n"/>
      <c r="N516" s="17" t="n"/>
      <c r="O516" s="17" t="n"/>
      <c r="P516" s="21">
        <f>IF(AND(ISNUMBER($L516),ISNUMBER($M516)),MAX(0,$M516-$L516),"")</f>
        <v/>
      </c>
      <c r="Q516" s="21">
        <f>IF(ISNUMBER($D516),MAX(0,TODAY()-$D516),"")</f>
        <v/>
      </c>
      <c r="R516" s="19">
        <f>IF(COUNTA($A516:$O516)=0,"",IFERROR(TRIM(TEXTJOIN(" | ",TRUE,IF($A516="","PC kosong",""),IF($C516="","Worker ID kosong",""),IF($D516="","Update Date kosong",IF(NOT(ISNUMBER($D516)),"Update Date bukan tanggal","")),IF($E516="","Song ID YT kosong",""),IF($F516="","Judul kosong",""),IF(TRIM($G516)="","",IF(ISERROR(MATCH(TRIM($G516),{"TuneCore","DistroKid","TooLost","SoundOn","Ditto","Believe","CD Baby","Amuse","Symphonic Distribution","ONErpm","RouteNote","LANDR","Horus Music","Indie"},0)),"Aggregator di luar daftar","")),IF(TRIM($H516)="","Genre kosong",IF((LEN(SUBSTITUTE(SUBSTITUTE(SUBSTITUTE(TRIM($H516),"/",","),";",",")," ",""))-LEN(SUBSTITUTE(SUBSTITUTE(SUBSTITUTE(SUBSTITUTE(TRIM($H516),"/",","),";",","),"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516),"/",","),";",",")," ","")&amp;",")))&lt;&gt;(LEN(SUBSTITUTE(SUBSTITUTE(SUBSTITUTE(TRIM($H516),"/",","),";",",")," ",""))-LEN(SUBSTITUTE(SUBSTITUTE(SUBSTITUTE(SUBSTITUTE(TRIM($H516),"/",","),";",",")," ",""),",",""))+1),"Genre di luar daftar",""))),IF($I516="","Nama Channel kosong",""),IF($J516="","Link Channel kosong",IF(ISERROR(SEARCH("youtu",$J516)),"Link Channel bukan youtube","")),IF($K516="","Link Video kosong",IF(ISERROR(SEARCH("youtu",$K516)),"Link Video bukan youtube","")),IF($L516="","Tgl Dibuat kosong",IF(NOT(ISNUMBER($L516)),"Tgl Dibuat bukan tanggal","")),IF(AND($M516&lt;&gt;"",NOT(ISNUMBER($M516))),"Tgl Publish bukan tanggal",""),IF(AND(ISNUMBER($L516),ISNUMBER($M516),$M516&lt;$L516),"Tgl Publish &lt; Tgl buat",""),IF(TRIM($N516)="","Status kosong",IF(ISERROR(MATCH(TRIM($N516),{"Draft","Menunggu Review","Revisi","Terjadwal","Upload","Publish","Published","Batal"},0)),"Status di luar daftar","")))),""))</f>
        <v/>
      </c>
      <c r="S516" s="17">
        <f>IF(AND($A516&lt;&gt;"",$C516&lt;&gt;""),IF(COUNTIFS($A$2:$A$1000,$A516,$C$2:$C$1000,$C516)&gt;1,"DUPLICAT",""),"")</f>
        <v/>
      </c>
    </row>
    <row r="517">
      <c r="A517" s="12" t="n"/>
      <c r="B517" s="12" t="n"/>
      <c r="C517" s="12" t="n"/>
      <c r="D517" s="13" t="n"/>
      <c r="E517" s="12" t="n"/>
      <c r="F517" s="14" t="n"/>
      <c r="G517" s="12" t="n"/>
      <c r="H517" s="12" t="n"/>
      <c r="I517" s="12" t="n"/>
      <c r="J517" s="14" t="n"/>
      <c r="K517" s="14" t="n"/>
      <c r="L517" s="15" t="n"/>
      <c r="M517" s="15" t="n"/>
      <c r="N517" s="12" t="n"/>
      <c r="O517" s="12" t="n"/>
      <c r="P517" s="16">
        <f>IF(AND(ISNUMBER($L517),ISNUMBER($M517)),MAX(0,$M517-$L517),"")</f>
        <v/>
      </c>
      <c r="Q517" s="16">
        <f>IF(ISNUMBER($D517),MAX(0,TODAY()-$D517),"")</f>
        <v/>
      </c>
      <c r="R517" s="14">
        <f>IF(COUNTA($A517:$O517)=0,"",IFERROR(TRIM(TEXTJOIN(" | ",TRUE,IF($A517="","PC kosong",""),IF($C517="","Worker ID kosong",""),IF($D517="","Update Date kosong",IF(NOT(ISNUMBER($D517)),"Update Date bukan tanggal","")),IF($E517="","Song ID YT kosong",""),IF($F517="","Judul kosong",""),IF(TRIM($G517)="","",IF(ISERROR(MATCH(TRIM($G517),{"TuneCore","DistroKid","TooLost","SoundOn","Ditto","Believe","CD Baby","Amuse","Symphonic Distribution","ONErpm","RouteNote","LANDR","Horus Music","Indie"},0)),"Aggregator di luar daftar","")),IF(TRIM($H517)="","Genre kosong",IF((LEN(SUBSTITUTE(SUBSTITUTE(SUBSTITUTE(TRIM($H517),"/",","),";",",")," ",""))-LEN(SUBSTITUTE(SUBSTITUTE(SUBSTITUTE(SUBSTITUTE(TRIM($H517),"/",","),";",","),"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517),"/",","),";",",")," ","")&amp;",")))&lt;&gt;(LEN(SUBSTITUTE(SUBSTITUTE(SUBSTITUTE(TRIM($H517),"/",","),";",",")," ",""))-LEN(SUBSTITUTE(SUBSTITUTE(SUBSTITUTE(SUBSTITUTE(TRIM($H517),"/",","),";",",")," ",""),",",""))+1),"Genre di luar daftar",""))),IF($I517="","Nama Channel kosong",""),IF($J517="","Link Channel kosong",IF(ISERROR(SEARCH("youtu",$J517)),"Link Channel bukan youtube","")),IF($K517="","Link Video kosong",IF(ISERROR(SEARCH("youtu",$K517)),"Link Video bukan youtube","")),IF($L517="","Tgl Dibuat kosong",IF(NOT(ISNUMBER($L517)),"Tgl Dibuat bukan tanggal","")),IF(AND($M517&lt;&gt;"",NOT(ISNUMBER($M517))),"Tgl Publish bukan tanggal",""),IF(AND(ISNUMBER($L517),ISNUMBER($M517),$M517&lt;$L517),"Tgl Publish &lt; Tgl buat",""),IF(TRIM($N517)="","Status kosong",IF(ISERROR(MATCH(TRIM($N517),{"Draft","Menunggu Review","Revisi","Terjadwal","Upload","Publish","Published","Batal"},0)),"Status di luar daftar","")))),""))</f>
        <v/>
      </c>
      <c r="S517" s="12">
        <f>IF(AND($A517&lt;&gt;"",$C517&lt;&gt;""),IF(COUNTIFS($A$2:$A$1000,$A517,$C$2:$C$1000,$C517)&gt;1,"DUPLICAT",""),"")</f>
        <v/>
      </c>
    </row>
    <row r="518">
      <c r="A518" s="17" t="n"/>
      <c r="B518" s="17" t="n"/>
      <c r="C518" s="17" t="n"/>
      <c r="D518" s="18" t="n"/>
      <c r="E518" s="17" t="n"/>
      <c r="F518" s="19" t="n"/>
      <c r="G518" s="17" t="n"/>
      <c r="H518" s="17" t="n"/>
      <c r="I518" s="17" t="n"/>
      <c r="J518" s="19" t="n"/>
      <c r="K518" s="19" t="n"/>
      <c r="L518" s="20" t="n"/>
      <c r="M518" s="20" t="n"/>
      <c r="N518" s="17" t="n"/>
      <c r="O518" s="17" t="n"/>
      <c r="P518" s="21">
        <f>IF(AND(ISNUMBER($L518),ISNUMBER($M518)),MAX(0,$M518-$L518),"")</f>
        <v/>
      </c>
      <c r="Q518" s="21">
        <f>IF(ISNUMBER($D518),MAX(0,TODAY()-$D518),"")</f>
        <v/>
      </c>
      <c r="R518" s="19">
        <f>IF(COUNTA($A518:$O518)=0,"",IFERROR(TRIM(TEXTJOIN(" | ",TRUE,IF($A518="","PC kosong",""),IF($C518="","Worker ID kosong",""),IF($D518="","Update Date kosong",IF(NOT(ISNUMBER($D518)),"Update Date bukan tanggal","")),IF($E518="","Song ID YT kosong",""),IF($F518="","Judul kosong",""),IF(TRIM($G518)="","",IF(ISERROR(MATCH(TRIM($G518),{"TuneCore","DistroKid","TooLost","SoundOn","Ditto","Believe","CD Baby","Amuse","Symphonic Distribution","ONErpm","RouteNote","LANDR","Horus Music","Indie"},0)),"Aggregator di luar daftar","")),IF(TRIM($H518)="","Genre kosong",IF((LEN(SUBSTITUTE(SUBSTITUTE(SUBSTITUTE(TRIM($H518),"/",","),";",",")," ",""))-LEN(SUBSTITUTE(SUBSTITUTE(SUBSTITUTE(SUBSTITUTE(TRIM($H518),"/",","),";",","),"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518),"/",","),";",",")," ","")&amp;",")))&lt;&gt;(LEN(SUBSTITUTE(SUBSTITUTE(SUBSTITUTE(TRIM($H518),"/",","),";",",")," ",""))-LEN(SUBSTITUTE(SUBSTITUTE(SUBSTITUTE(SUBSTITUTE(TRIM($H518),"/",","),";",",")," ",""),",",""))+1),"Genre di luar daftar",""))),IF($I518="","Nama Channel kosong",""),IF($J518="","Link Channel kosong",IF(ISERROR(SEARCH("youtu",$J518)),"Link Channel bukan youtube","")),IF($K518="","Link Video kosong",IF(ISERROR(SEARCH("youtu",$K518)),"Link Video bukan youtube","")),IF($L518="","Tgl Dibuat kosong",IF(NOT(ISNUMBER($L518)),"Tgl Dibuat bukan tanggal","")),IF(AND($M518&lt;&gt;"",NOT(ISNUMBER($M518))),"Tgl Publish bukan tanggal",""),IF(AND(ISNUMBER($L518),ISNUMBER($M518),$M518&lt;$L518),"Tgl Publish &lt; Tgl buat",""),IF(TRIM($N518)="","Status kosong",IF(ISERROR(MATCH(TRIM($N518),{"Draft","Menunggu Review","Revisi","Terjadwal","Upload","Publish","Published","Batal"},0)),"Status di luar daftar","")))),""))</f>
        <v/>
      </c>
      <c r="S518" s="17">
        <f>IF(AND($A518&lt;&gt;"",$C518&lt;&gt;""),IF(COUNTIFS($A$2:$A$1000,$A518,$C$2:$C$1000,$C518)&gt;1,"DUPLICAT",""),"")</f>
        <v/>
      </c>
    </row>
    <row r="519">
      <c r="A519" s="12" t="n"/>
      <c r="B519" s="12" t="n"/>
      <c r="C519" s="12" t="n"/>
      <c r="D519" s="13" t="n"/>
      <c r="E519" s="12" t="n"/>
      <c r="F519" s="14" t="n"/>
      <c r="G519" s="12" t="n"/>
      <c r="H519" s="12" t="n"/>
      <c r="I519" s="12" t="n"/>
      <c r="J519" s="14" t="n"/>
      <c r="K519" s="14" t="n"/>
      <c r="L519" s="15" t="n"/>
      <c r="M519" s="15" t="n"/>
      <c r="N519" s="12" t="n"/>
      <c r="O519" s="12" t="n"/>
      <c r="P519" s="16">
        <f>IF(AND(ISNUMBER($L519),ISNUMBER($M519)),MAX(0,$M519-$L519),"")</f>
        <v/>
      </c>
      <c r="Q519" s="16">
        <f>IF(ISNUMBER($D519),MAX(0,TODAY()-$D519),"")</f>
        <v/>
      </c>
      <c r="R519" s="14">
        <f>IF(COUNTA($A519:$O519)=0,"",IFERROR(TRIM(TEXTJOIN(" | ",TRUE,IF($A519="","PC kosong",""),IF($C519="","Worker ID kosong",""),IF($D519="","Update Date kosong",IF(NOT(ISNUMBER($D519)),"Update Date bukan tanggal","")),IF($E519="","Song ID YT kosong",""),IF($F519="","Judul kosong",""),IF(TRIM($G519)="","",IF(ISERROR(MATCH(TRIM($G519),{"TuneCore","DistroKid","TooLost","SoundOn","Ditto","Believe","CD Baby","Amuse","Symphonic Distribution","ONErpm","RouteNote","LANDR","Horus Music","Indie"},0)),"Aggregator di luar daftar","")),IF(TRIM($H519)="","Genre kosong",IF((LEN(SUBSTITUTE(SUBSTITUTE(SUBSTITUTE(TRIM($H519),"/",","),";",",")," ",""))-LEN(SUBSTITUTE(SUBSTITUTE(SUBSTITUTE(SUBSTITUTE(TRIM($H519),"/",","),";",","),"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519),"/",","),";",",")," ","")&amp;",")))&lt;&gt;(LEN(SUBSTITUTE(SUBSTITUTE(SUBSTITUTE(TRIM($H519),"/",","),";",",")," ",""))-LEN(SUBSTITUTE(SUBSTITUTE(SUBSTITUTE(SUBSTITUTE(TRIM($H519),"/",","),";",",")," ",""),",",""))+1),"Genre di luar daftar",""))),IF($I519="","Nama Channel kosong",""),IF($J519="","Link Channel kosong",IF(ISERROR(SEARCH("youtu",$J519)),"Link Channel bukan youtube","")),IF($K519="","Link Video kosong",IF(ISERROR(SEARCH("youtu",$K519)),"Link Video bukan youtube","")),IF($L519="","Tgl Dibuat kosong",IF(NOT(ISNUMBER($L519)),"Tgl Dibuat bukan tanggal","")),IF(AND($M519&lt;&gt;"",NOT(ISNUMBER($M519))),"Tgl Publish bukan tanggal",""),IF(AND(ISNUMBER($L519),ISNUMBER($M519),$M519&lt;$L519),"Tgl Publish &lt; Tgl buat",""),IF(TRIM($N519)="","Status kosong",IF(ISERROR(MATCH(TRIM($N519),{"Draft","Menunggu Review","Revisi","Terjadwal","Upload","Publish","Published","Batal"},0)),"Status di luar daftar","")))),""))</f>
        <v/>
      </c>
      <c r="S519" s="12">
        <f>IF(AND($A519&lt;&gt;"",$C519&lt;&gt;""),IF(COUNTIFS($A$2:$A$1000,$A519,$C$2:$C$1000,$C519)&gt;1,"DUPLICAT",""),"")</f>
        <v/>
      </c>
    </row>
    <row r="520">
      <c r="A520" s="17" t="n"/>
      <c r="B520" s="17" t="n"/>
      <c r="C520" s="17" t="n"/>
      <c r="D520" s="18" t="n"/>
      <c r="E520" s="17" t="n"/>
      <c r="F520" s="19" t="n"/>
      <c r="G520" s="17" t="n"/>
      <c r="H520" s="17" t="n"/>
      <c r="I520" s="17" t="n"/>
      <c r="J520" s="19" t="n"/>
      <c r="K520" s="19" t="n"/>
      <c r="L520" s="20" t="n"/>
      <c r="M520" s="20" t="n"/>
      <c r="N520" s="17" t="n"/>
      <c r="O520" s="17" t="n"/>
      <c r="P520" s="21">
        <f>IF(AND(ISNUMBER($L520),ISNUMBER($M520)),MAX(0,$M520-$L520),"")</f>
        <v/>
      </c>
      <c r="Q520" s="21">
        <f>IF(ISNUMBER($D520),MAX(0,TODAY()-$D520),"")</f>
        <v/>
      </c>
      <c r="R520" s="19">
        <f>IF(COUNTA($A520:$O520)=0,"",IFERROR(TRIM(TEXTJOIN(" | ",TRUE,IF($A520="","PC kosong",""),IF($C520="","Worker ID kosong",""),IF($D520="","Update Date kosong",IF(NOT(ISNUMBER($D520)),"Update Date bukan tanggal","")),IF($E520="","Song ID YT kosong",""),IF($F520="","Judul kosong",""),IF(TRIM($G520)="","",IF(ISERROR(MATCH(TRIM($G520),{"TuneCore","DistroKid","TooLost","SoundOn","Ditto","Believe","CD Baby","Amuse","Symphonic Distribution","ONErpm","RouteNote","LANDR","Horus Music","Indie"},0)),"Aggregator di luar daftar","")),IF(TRIM($H520)="","Genre kosong",IF((LEN(SUBSTITUTE(SUBSTITUTE(SUBSTITUTE(TRIM($H520),"/",","),";",",")," ",""))-LEN(SUBSTITUTE(SUBSTITUTE(SUBSTITUTE(SUBSTITUTE(TRIM($H520),"/",","),";",","),"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520),"/",","),";",",")," ","")&amp;",")))&lt;&gt;(LEN(SUBSTITUTE(SUBSTITUTE(SUBSTITUTE(TRIM($H520),"/",","),";",",")," ",""))-LEN(SUBSTITUTE(SUBSTITUTE(SUBSTITUTE(SUBSTITUTE(TRIM($H520),"/",","),";",",")," ",""),",",""))+1),"Genre di luar daftar",""))),IF($I520="","Nama Channel kosong",""),IF($J520="","Link Channel kosong",IF(ISERROR(SEARCH("youtu",$J520)),"Link Channel bukan youtube","")),IF($K520="","Link Video kosong",IF(ISERROR(SEARCH("youtu",$K520)),"Link Video bukan youtube","")),IF($L520="","Tgl Dibuat kosong",IF(NOT(ISNUMBER($L520)),"Tgl Dibuat bukan tanggal","")),IF(AND($M520&lt;&gt;"",NOT(ISNUMBER($M520))),"Tgl Publish bukan tanggal",""),IF(AND(ISNUMBER($L520),ISNUMBER($M520),$M520&lt;$L520),"Tgl Publish &lt; Tgl buat",""),IF(TRIM($N520)="","Status kosong",IF(ISERROR(MATCH(TRIM($N520),{"Draft","Menunggu Review","Revisi","Terjadwal","Upload","Publish","Published","Batal"},0)),"Status di luar daftar","")))),""))</f>
        <v/>
      </c>
      <c r="S520" s="17">
        <f>IF(AND($A520&lt;&gt;"",$C520&lt;&gt;""),IF(COUNTIFS($A$2:$A$1000,$A520,$C$2:$C$1000,$C520)&gt;1,"DUPLICAT",""),"")</f>
        <v/>
      </c>
    </row>
    <row r="521">
      <c r="A521" s="12" t="n"/>
      <c r="B521" s="12" t="n"/>
      <c r="C521" s="12" t="n"/>
      <c r="D521" s="13" t="n"/>
      <c r="E521" s="12" t="n"/>
      <c r="F521" s="14" t="n"/>
      <c r="G521" s="12" t="n"/>
      <c r="H521" s="12" t="n"/>
      <c r="I521" s="12" t="n"/>
      <c r="J521" s="14" t="n"/>
      <c r="K521" s="14" t="n"/>
      <c r="L521" s="15" t="n"/>
      <c r="M521" s="15" t="n"/>
      <c r="N521" s="12" t="n"/>
      <c r="O521" s="12" t="n"/>
      <c r="P521" s="16">
        <f>IF(AND(ISNUMBER($L521),ISNUMBER($M521)),MAX(0,$M521-$L521),"")</f>
        <v/>
      </c>
      <c r="Q521" s="16">
        <f>IF(ISNUMBER($D521),MAX(0,TODAY()-$D521),"")</f>
        <v/>
      </c>
      <c r="R521" s="14">
        <f>IF(COUNTA($A521:$O521)=0,"",IFERROR(TRIM(TEXTJOIN(" | ",TRUE,IF($A521="","PC kosong",""),IF($C521="","Worker ID kosong",""),IF($D521="","Update Date kosong",IF(NOT(ISNUMBER($D521)),"Update Date bukan tanggal","")),IF($E521="","Song ID YT kosong",""),IF($F521="","Judul kosong",""),IF(TRIM($G521)="","",IF(ISERROR(MATCH(TRIM($G521),{"TuneCore","DistroKid","TooLost","SoundOn","Ditto","Believe","CD Baby","Amuse","Symphonic Distribution","ONErpm","RouteNote","LANDR","Horus Music","Indie"},0)),"Aggregator di luar daftar","")),IF(TRIM($H521)="","Genre kosong",IF((LEN(SUBSTITUTE(SUBSTITUTE(SUBSTITUTE(TRIM($H521),"/",","),";",",")," ",""))-LEN(SUBSTITUTE(SUBSTITUTE(SUBSTITUTE(SUBSTITUTE(TRIM($H521),"/",","),";",","),"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521),"/",","),";",",")," ","")&amp;",")))&lt;&gt;(LEN(SUBSTITUTE(SUBSTITUTE(SUBSTITUTE(TRIM($H521),"/",","),";",",")," ",""))-LEN(SUBSTITUTE(SUBSTITUTE(SUBSTITUTE(SUBSTITUTE(TRIM($H521),"/",","),";",",")," ",""),",",""))+1),"Genre di luar daftar",""))),IF($I521="","Nama Channel kosong",""),IF($J521="","Link Channel kosong",IF(ISERROR(SEARCH("youtu",$J521)),"Link Channel bukan youtube","")),IF($K521="","Link Video kosong",IF(ISERROR(SEARCH("youtu",$K521)),"Link Video bukan youtube","")),IF($L521="","Tgl Dibuat kosong",IF(NOT(ISNUMBER($L521)),"Tgl Dibuat bukan tanggal","")),IF(AND($M521&lt;&gt;"",NOT(ISNUMBER($M521))),"Tgl Publish bukan tanggal",""),IF(AND(ISNUMBER($L521),ISNUMBER($M521),$M521&lt;$L521),"Tgl Publish &lt; Tgl buat",""),IF(TRIM($N521)="","Status kosong",IF(ISERROR(MATCH(TRIM($N521),{"Draft","Menunggu Review","Revisi","Terjadwal","Upload","Publish","Published","Batal"},0)),"Status di luar daftar","")))),""))</f>
        <v/>
      </c>
      <c r="S521" s="12">
        <f>IF(AND($A521&lt;&gt;"",$C521&lt;&gt;""),IF(COUNTIFS($A$2:$A$1000,$A521,$C$2:$C$1000,$C521)&gt;1,"DUPLICAT",""),"")</f>
        <v/>
      </c>
    </row>
    <row r="522">
      <c r="A522" s="17" t="n"/>
      <c r="B522" s="17" t="n"/>
      <c r="C522" s="17" t="n"/>
      <c r="D522" s="18" t="n"/>
      <c r="E522" s="17" t="n"/>
      <c r="F522" s="19" t="n"/>
      <c r="G522" s="17" t="n"/>
      <c r="H522" s="17" t="n"/>
      <c r="I522" s="17" t="n"/>
      <c r="J522" s="19" t="n"/>
      <c r="K522" s="19" t="n"/>
      <c r="L522" s="20" t="n"/>
      <c r="M522" s="20" t="n"/>
      <c r="N522" s="17" t="n"/>
      <c r="O522" s="17" t="n"/>
      <c r="P522" s="21">
        <f>IF(AND(ISNUMBER($L522),ISNUMBER($M522)),MAX(0,$M522-$L522),"")</f>
        <v/>
      </c>
      <c r="Q522" s="21">
        <f>IF(ISNUMBER($D522),MAX(0,TODAY()-$D522),"")</f>
        <v/>
      </c>
      <c r="R522" s="19">
        <f>IF(COUNTA($A522:$O522)=0,"",IFERROR(TRIM(TEXTJOIN(" | ",TRUE,IF($A522="","PC kosong",""),IF($C522="","Worker ID kosong",""),IF($D522="","Update Date kosong",IF(NOT(ISNUMBER($D522)),"Update Date bukan tanggal","")),IF($E522="","Song ID YT kosong",""),IF($F522="","Judul kosong",""),IF(TRIM($G522)="","",IF(ISERROR(MATCH(TRIM($G522),{"TuneCore","DistroKid","TooLost","SoundOn","Ditto","Believe","CD Baby","Amuse","Symphonic Distribution","ONErpm","RouteNote","LANDR","Horus Music","Indie"},0)),"Aggregator di luar daftar","")),IF(TRIM($H522)="","Genre kosong",IF((LEN(SUBSTITUTE(SUBSTITUTE(SUBSTITUTE(TRIM($H522),"/",","),";",",")," ",""))-LEN(SUBSTITUTE(SUBSTITUTE(SUBSTITUTE(SUBSTITUTE(TRIM($H522),"/",","),";",","),"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522),"/",","),";",",")," ","")&amp;",")))&lt;&gt;(LEN(SUBSTITUTE(SUBSTITUTE(SUBSTITUTE(TRIM($H522),"/",","),";",",")," ",""))-LEN(SUBSTITUTE(SUBSTITUTE(SUBSTITUTE(SUBSTITUTE(TRIM($H522),"/",","),";",",")," ",""),",",""))+1),"Genre di luar daftar",""))),IF($I522="","Nama Channel kosong",""),IF($J522="","Link Channel kosong",IF(ISERROR(SEARCH("youtu",$J522)),"Link Channel bukan youtube","")),IF($K522="","Link Video kosong",IF(ISERROR(SEARCH("youtu",$K522)),"Link Video bukan youtube","")),IF($L522="","Tgl Dibuat kosong",IF(NOT(ISNUMBER($L522)),"Tgl Dibuat bukan tanggal","")),IF(AND($M522&lt;&gt;"",NOT(ISNUMBER($M522))),"Tgl Publish bukan tanggal",""),IF(AND(ISNUMBER($L522),ISNUMBER($M522),$M522&lt;$L522),"Tgl Publish &lt; Tgl buat",""),IF(TRIM($N522)="","Status kosong",IF(ISERROR(MATCH(TRIM($N522),{"Draft","Menunggu Review","Revisi","Terjadwal","Upload","Publish","Published","Batal"},0)),"Status di luar daftar","")))),""))</f>
        <v/>
      </c>
      <c r="S522" s="17">
        <f>IF(AND($A522&lt;&gt;"",$C522&lt;&gt;""),IF(COUNTIFS($A$2:$A$1000,$A522,$C$2:$C$1000,$C522)&gt;1,"DUPLICAT",""),"")</f>
        <v/>
      </c>
    </row>
    <row r="523">
      <c r="A523" s="12" t="n"/>
      <c r="B523" s="12" t="n"/>
      <c r="C523" s="12" t="n"/>
      <c r="D523" s="13" t="n"/>
      <c r="E523" s="12" t="n"/>
      <c r="F523" s="14" t="n"/>
      <c r="G523" s="12" t="n"/>
      <c r="H523" s="12" t="n"/>
      <c r="I523" s="12" t="n"/>
      <c r="J523" s="14" t="n"/>
      <c r="K523" s="14" t="n"/>
      <c r="L523" s="15" t="n"/>
      <c r="M523" s="15" t="n"/>
      <c r="N523" s="12" t="n"/>
      <c r="O523" s="12" t="n"/>
      <c r="P523" s="16">
        <f>IF(AND(ISNUMBER($L523),ISNUMBER($M523)),MAX(0,$M523-$L523),"")</f>
        <v/>
      </c>
      <c r="Q523" s="16">
        <f>IF(ISNUMBER($D523),MAX(0,TODAY()-$D523),"")</f>
        <v/>
      </c>
      <c r="R523" s="14">
        <f>IF(COUNTA($A523:$O523)=0,"",IFERROR(TRIM(TEXTJOIN(" | ",TRUE,IF($A523="","PC kosong",""),IF($C523="","Worker ID kosong",""),IF($D523="","Update Date kosong",IF(NOT(ISNUMBER($D523)),"Update Date bukan tanggal","")),IF($E523="","Song ID YT kosong",""),IF($F523="","Judul kosong",""),IF(TRIM($G523)="","",IF(ISERROR(MATCH(TRIM($G523),{"TuneCore","DistroKid","TooLost","SoundOn","Ditto","Believe","CD Baby","Amuse","Symphonic Distribution","ONErpm","RouteNote","LANDR","Horus Music","Indie"},0)),"Aggregator di luar daftar","")),IF(TRIM($H523)="","Genre kosong",IF((LEN(SUBSTITUTE(SUBSTITUTE(SUBSTITUTE(TRIM($H523),"/",","),";",",")," ",""))-LEN(SUBSTITUTE(SUBSTITUTE(SUBSTITUTE(SUBSTITUTE(TRIM($H523),"/",","),";",","),"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523),"/",","),";",",")," ","")&amp;",")))&lt;&gt;(LEN(SUBSTITUTE(SUBSTITUTE(SUBSTITUTE(TRIM($H523),"/",","),";",",")," ",""))-LEN(SUBSTITUTE(SUBSTITUTE(SUBSTITUTE(SUBSTITUTE(TRIM($H523),"/",","),";",",")," ",""),",",""))+1),"Genre di luar daftar",""))),IF($I523="","Nama Channel kosong",""),IF($J523="","Link Channel kosong",IF(ISERROR(SEARCH("youtu",$J523)),"Link Channel bukan youtube","")),IF($K523="","Link Video kosong",IF(ISERROR(SEARCH("youtu",$K523)),"Link Video bukan youtube","")),IF($L523="","Tgl Dibuat kosong",IF(NOT(ISNUMBER($L523)),"Tgl Dibuat bukan tanggal","")),IF(AND($M523&lt;&gt;"",NOT(ISNUMBER($M523))),"Tgl Publish bukan tanggal",""),IF(AND(ISNUMBER($L523),ISNUMBER($M523),$M523&lt;$L523),"Tgl Publish &lt; Tgl buat",""),IF(TRIM($N523)="","Status kosong",IF(ISERROR(MATCH(TRIM($N523),{"Draft","Menunggu Review","Revisi","Terjadwal","Upload","Publish","Published","Batal"},0)),"Status di luar daftar","")))),""))</f>
        <v/>
      </c>
      <c r="S523" s="12">
        <f>IF(AND($A523&lt;&gt;"",$C523&lt;&gt;""),IF(COUNTIFS($A$2:$A$1000,$A523,$C$2:$C$1000,$C523)&gt;1,"DUPLICAT",""),"")</f>
        <v/>
      </c>
    </row>
    <row r="524">
      <c r="A524" s="17" t="n"/>
      <c r="B524" s="17" t="n"/>
      <c r="C524" s="17" t="n"/>
      <c r="D524" s="18" t="n"/>
      <c r="E524" s="17" t="n"/>
      <c r="F524" s="19" t="n"/>
      <c r="G524" s="17" t="n"/>
      <c r="H524" s="17" t="n"/>
      <c r="I524" s="17" t="n"/>
      <c r="J524" s="19" t="n"/>
      <c r="K524" s="19" t="n"/>
      <c r="L524" s="20" t="n"/>
      <c r="M524" s="20" t="n"/>
      <c r="N524" s="17" t="n"/>
      <c r="O524" s="17" t="n"/>
      <c r="P524" s="21">
        <f>IF(AND(ISNUMBER($L524),ISNUMBER($M524)),MAX(0,$M524-$L524),"")</f>
        <v/>
      </c>
      <c r="Q524" s="21">
        <f>IF(ISNUMBER($D524),MAX(0,TODAY()-$D524),"")</f>
        <v/>
      </c>
      <c r="R524" s="19">
        <f>IF(COUNTA($A524:$O524)=0,"",IFERROR(TRIM(TEXTJOIN(" | ",TRUE,IF($A524="","PC kosong",""),IF($C524="","Worker ID kosong",""),IF($D524="","Update Date kosong",IF(NOT(ISNUMBER($D524)),"Update Date bukan tanggal","")),IF($E524="","Song ID YT kosong",""),IF($F524="","Judul kosong",""),IF(TRIM($G524)="","",IF(ISERROR(MATCH(TRIM($G524),{"TuneCore","DistroKid","TooLost","SoundOn","Ditto","Believe","CD Baby","Amuse","Symphonic Distribution","ONErpm","RouteNote","LANDR","Horus Music","Indie"},0)),"Aggregator di luar daftar","")),IF(TRIM($H524)="","Genre kosong",IF((LEN(SUBSTITUTE(SUBSTITUTE(SUBSTITUTE(TRIM($H524),"/",","),";",",")," ",""))-LEN(SUBSTITUTE(SUBSTITUTE(SUBSTITUTE(SUBSTITUTE(TRIM($H524),"/",","),";",","),"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524),"/",","),";",",")," ","")&amp;",")))&lt;&gt;(LEN(SUBSTITUTE(SUBSTITUTE(SUBSTITUTE(TRIM($H524),"/",","),";",",")," ",""))-LEN(SUBSTITUTE(SUBSTITUTE(SUBSTITUTE(SUBSTITUTE(TRIM($H524),"/",","),";",",")," ",""),",",""))+1),"Genre di luar daftar",""))),IF($I524="","Nama Channel kosong",""),IF($J524="","Link Channel kosong",IF(ISERROR(SEARCH("youtu",$J524)),"Link Channel bukan youtube","")),IF($K524="","Link Video kosong",IF(ISERROR(SEARCH("youtu",$K524)),"Link Video bukan youtube","")),IF($L524="","Tgl Dibuat kosong",IF(NOT(ISNUMBER($L524)),"Tgl Dibuat bukan tanggal","")),IF(AND($M524&lt;&gt;"",NOT(ISNUMBER($M524))),"Tgl Publish bukan tanggal",""),IF(AND(ISNUMBER($L524),ISNUMBER($M524),$M524&lt;$L524),"Tgl Publish &lt; Tgl buat",""),IF(TRIM($N524)="","Status kosong",IF(ISERROR(MATCH(TRIM($N524),{"Draft","Menunggu Review","Revisi","Terjadwal","Upload","Publish","Published","Batal"},0)),"Status di luar daftar","")))),""))</f>
        <v/>
      </c>
      <c r="S524" s="17">
        <f>IF(AND($A524&lt;&gt;"",$C524&lt;&gt;""),IF(COUNTIFS($A$2:$A$1000,$A524,$C$2:$C$1000,$C524)&gt;1,"DUPLICAT",""),"")</f>
        <v/>
      </c>
    </row>
    <row r="525">
      <c r="A525" s="12" t="n"/>
      <c r="B525" s="12" t="n"/>
      <c r="C525" s="12" t="n"/>
      <c r="D525" s="13" t="n"/>
      <c r="E525" s="12" t="n"/>
      <c r="F525" s="14" t="n"/>
      <c r="G525" s="12" t="n"/>
      <c r="H525" s="12" t="n"/>
      <c r="I525" s="12" t="n"/>
      <c r="J525" s="14" t="n"/>
      <c r="K525" s="14" t="n"/>
      <c r="L525" s="15" t="n"/>
      <c r="M525" s="15" t="n"/>
      <c r="N525" s="12" t="n"/>
      <c r="O525" s="12" t="n"/>
      <c r="P525" s="16">
        <f>IF(AND(ISNUMBER($L525),ISNUMBER($M525)),MAX(0,$M525-$L525),"")</f>
        <v/>
      </c>
      <c r="Q525" s="16">
        <f>IF(ISNUMBER($D525),MAX(0,TODAY()-$D525),"")</f>
        <v/>
      </c>
      <c r="R525" s="14">
        <f>IF(COUNTA($A525:$O525)=0,"",IFERROR(TRIM(TEXTJOIN(" | ",TRUE,IF($A525="","PC kosong",""),IF($C525="","Worker ID kosong",""),IF($D525="","Update Date kosong",IF(NOT(ISNUMBER($D525)),"Update Date bukan tanggal","")),IF($E525="","Song ID YT kosong",""),IF($F525="","Judul kosong",""),IF(TRIM($G525)="","",IF(ISERROR(MATCH(TRIM($G525),{"TuneCore","DistroKid","TooLost","SoundOn","Ditto","Believe","CD Baby","Amuse","Symphonic Distribution","ONErpm","RouteNote","LANDR","Horus Music","Indie"},0)),"Aggregator di luar daftar","")),IF(TRIM($H525)="","Genre kosong",IF((LEN(SUBSTITUTE(SUBSTITUTE(SUBSTITUTE(TRIM($H525),"/",","),";",",")," ",""))-LEN(SUBSTITUTE(SUBSTITUTE(SUBSTITUTE(SUBSTITUTE(TRIM($H525),"/",","),";",","),"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525),"/",","),";",",")," ","")&amp;",")))&lt;&gt;(LEN(SUBSTITUTE(SUBSTITUTE(SUBSTITUTE(TRIM($H525),"/",","),";",",")," ",""))-LEN(SUBSTITUTE(SUBSTITUTE(SUBSTITUTE(SUBSTITUTE(TRIM($H525),"/",","),";",",")," ",""),",",""))+1),"Genre di luar daftar",""))),IF($I525="","Nama Channel kosong",""),IF($J525="","Link Channel kosong",IF(ISERROR(SEARCH("youtu",$J525)),"Link Channel bukan youtube","")),IF($K525="","Link Video kosong",IF(ISERROR(SEARCH("youtu",$K525)),"Link Video bukan youtube","")),IF($L525="","Tgl Dibuat kosong",IF(NOT(ISNUMBER($L525)),"Tgl Dibuat bukan tanggal","")),IF(AND($M525&lt;&gt;"",NOT(ISNUMBER($M525))),"Tgl Publish bukan tanggal",""),IF(AND(ISNUMBER($L525),ISNUMBER($M525),$M525&lt;$L525),"Tgl Publish &lt; Tgl buat",""),IF(TRIM($N525)="","Status kosong",IF(ISERROR(MATCH(TRIM($N525),{"Draft","Menunggu Review","Revisi","Terjadwal","Upload","Publish","Published","Batal"},0)),"Status di luar daftar","")))),""))</f>
        <v/>
      </c>
      <c r="S525" s="12">
        <f>IF(AND($A525&lt;&gt;"",$C525&lt;&gt;""),IF(COUNTIFS($A$2:$A$1000,$A525,$C$2:$C$1000,$C525)&gt;1,"DUPLICAT",""),"")</f>
        <v/>
      </c>
    </row>
    <row r="526">
      <c r="A526" s="17" t="n"/>
      <c r="B526" s="17" t="n"/>
      <c r="C526" s="17" t="n"/>
      <c r="D526" s="18" t="n"/>
      <c r="E526" s="17" t="n"/>
      <c r="F526" s="19" t="n"/>
      <c r="G526" s="17" t="n"/>
      <c r="H526" s="17" t="n"/>
      <c r="I526" s="17" t="n"/>
      <c r="J526" s="19" t="n"/>
      <c r="K526" s="19" t="n"/>
      <c r="L526" s="20" t="n"/>
      <c r="M526" s="20" t="n"/>
      <c r="N526" s="17" t="n"/>
      <c r="O526" s="17" t="n"/>
      <c r="P526" s="21">
        <f>IF(AND(ISNUMBER($L526),ISNUMBER($M526)),MAX(0,$M526-$L526),"")</f>
        <v/>
      </c>
      <c r="Q526" s="21">
        <f>IF(ISNUMBER($D526),MAX(0,TODAY()-$D526),"")</f>
        <v/>
      </c>
      <c r="R526" s="19">
        <f>IF(COUNTA($A526:$O526)=0,"",IFERROR(TRIM(TEXTJOIN(" | ",TRUE,IF($A526="","PC kosong",""),IF($C526="","Worker ID kosong",""),IF($D526="","Update Date kosong",IF(NOT(ISNUMBER($D526)),"Update Date bukan tanggal","")),IF($E526="","Song ID YT kosong",""),IF($F526="","Judul kosong",""),IF(TRIM($G526)="","",IF(ISERROR(MATCH(TRIM($G526),{"TuneCore","DistroKid","TooLost","SoundOn","Ditto","Believe","CD Baby","Amuse","Symphonic Distribution","ONErpm","RouteNote","LANDR","Horus Music","Indie"},0)),"Aggregator di luar daftar","")),IF(TRIM($H526)="","Genre kosong",IF((LEN(SUBSTITUTE(SUBSTITUTE(SUBSTITUTE(TRIM($H526),"/",","),";",",")," ",""))-LEN(SUBSTITUTE(SUBSTITUTE(SUBSTITUTE(SUBSTITUTE(TRIM($H526),"/",","),";",","),"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526),"/",","),";",",")," ","")&amp;",")))&lt;&gt;(LEN(SUBSTITUTE(SUBSTITUTE(SUBSTITUTE(TRIM($H526),"/",","),";",",")," ",""))-LEN(SUBSTITUTE(SUBSTITUTE(SUBSTITUTE(SUBSTITUTE(TRIM($H526),"/",","),";",",")," ",""),",",""))+1),"Genre di luar daftar",""))),IF($I526="","Nama Channel kosong",""),IF($J526="","Link Channel kosong",IF(ISERROR(SEARCH("youtu",$J526)),"Link Channel bukan youtube","")),IF($K526="","Link Video kosong",IF(ISERROR(SEARCH("youtu",$K526)),"Link Video bukan youtube","")),IF($L526="","Tgl Dibuat kosong",IF(NOT(ISNUMBER($L526)),"Tgl Dibuat bukan tanggal","")),IF(AND($M526&lt;&gt;"",NOT(ISNUMBER($M526))),"Tgl Publish bukan tanggal",""),IF(AND(ISNUMBER($L526),ISNUMBER($M526),$M526&lt;$L526),"Tgl Publish &lt; Tgl buat",""),IF(TRIM($N526)="","Status kosong",IF(ISERROR(MATCH(TRIM($N526),{"Draft","Menunggu Review","Revisi","Terjadwal","Upload","Publish","Published","Batal"},0)),"Status di luar daftar","")))),""))</f>
        <v/>
      </c>
      <c r="S526" s="17">
        <f>IF(AND($A526&lt;&gt;"",$C526&lt;&gt;""),IF(COUNTIFS($A$2:$A$1000,$A526,$C$2:$C$1000,$C526)&gt;1,"DUPLICAT",""),"")</f>
        <v/>
      </c>
    </row>
    <row r="527">
      <c r="A527" s="12" t="n"/>
      <c r="B527" s="12" t="n"/>
      <c r="C527" s="12" t="n"/>
      <c r="D527" s="13" t="n"/>
      <c r="E527" s="12" t="n"/>
      <c r="F527" s="14" t="n"/>
      <c r="G527" s="12" t="n"/>
      <c r="H527" s="12" t="n"/>
      <c r="I527" s="12" t="n"/>
      <c r="J527" s="14" t="n"/>
      <c r="K527" s="14" t="n"/>
      <c r="L527" s="15" t="n"/>
      <c r="M527" s="15" t="n"/>
      <c r="N527" s="12" t="n"/>
      <c r="O527" s="12" t="n"/>
      <c r="P527" s="16">
        <f>IF(AND(ISNUMBER($L527),ISNUMBER($M527)),MAX(0,$M527-$L527),"")</f>
        <v/>
      </c>
      <c r="Q527" s="16">
        <f>IF(ISNUMBER($D527),MAX(0,TODAY()-$D527),"")</f>
        <v/>
      </c>
      <c r="R527" s="14">
        <f>IF(COUNTA($A527:$O527)=0,"",IFERROR(TRIM(TEXTJOIN(" | ",TRUE,IF($A527="","PC kosong",""),IF($C527="","Worker ID kosong",""),IF($D527="","Update Date kosong",IF(NOT(ISNUMBER($D527)),"Update Date bukan tanggal","")),IF($E527="","Song ID YT kosong",""),IF($F527="","Judul kosong",""),IF(TRIM($G527)="","",IF(ISERROR(MATCH(TRIM($G527),{"TuneCore","DistroKid","TooLost","SoundOn","Ditto","Believe","CD Baby","Amuse","Symphonic Distribution","ONErpm","RouteNote","LANDR","Horus Music","Indie"},0)),"Aggregator di luar daftar","")),IF(TRIM($H527)="","Genre kosong",IF((LEN(SUBSTITUTE(SUBSTITUTE(SUBSTITUTE(TRIM($H527),"/",","),";",",")," ",""))-LEN(SUBSTITUTE(SUBSTITUTE(SUBSTITUTE(SUBSTITUTE(TRIM($H527),"/",","),";",","),"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527),"/",","),";",",")," ","")&amp;",")))&lt;&gt;(LEN(SUBSTITUTE(SUBSTITUTE(SUBSTITUTE(TRIM($H527),"/",","),";",",")," ",""))-LEN(SUBSTITUTE(SUBSTITUTE(SUBSTITUTE(SUBSTITUTE(TRIM($H527),"/",","),";",",")," ",""),",",""))+1),"Genre di luar daftar",""))),IF($I527="","Nama Channel kosong",""),IF($J527="","Link Channel kosong",IF(ISERROR(SEARCH("youtu",$J527)),"Link Channel bukan youtube","")),IF($K527="","Link Video kosong",IF(ISERROR(SEARCH("youtu",$K527)),"Link Video bukan youtube","")),IF($L527="","Tgl Dibuat kosong",IF(NOT(ISNUMBER($L527)),"Tgl Dibuat bukan tanggal","")),IF(AND($M527&lt;&gt;"",NOT(ISNUMBER($M527))),"Tgl Publish bukan tanggal",""),IF(AND(ISNUMBER($L527),ISNUMBER($M527),$M527&lt;$L527),"Tgl Publish &lt; Tgl buat",""),IF(TRIM($N527)="","Status kosong",IF(ISERROR(MATCH(TRIM($N527),{"Draft","Menunggu Review","Revisi","Terjadwal","Upload","Publish","Published","Batal"},0)),"Status di luar daftar","")))),""))</f>
        <v/>
      </c>
      <c r="S527" s="12">
        <f>IF(AND($A527&lt;&gt;"",$C527&lt;&gt;""),IF(COUNTIFS($A$2:$A$1000,$A527,$C$2:$C$1000,$C527)&gt;1,"DUPLICAT",""),"")</f>
        <v/>
      </c>
    </row>
    <row r="528">
      <c r="A528" s="17" t="n"/>
      <c r="B528" s="17" t="n"/>
      <c r="C528" s="17" t="n"/>
      <c r="D528" s="18" t="n"/>
      <c r="E528" s="17" t="n"/>
      <c r="F528" s="19" t="n"/>
      <c r="G528" s="17" t="n"/>
      <c r="H528" s="17" t="n"/>
      <c r="I528" s="17" t="n"/>
      <c r="J528" s="19" t="n"/>
      <c r="K528" s="19" t="n"/>
      <c r="L528" s="20" t="n"/>
      <c r="M528" s="20" t="n"/>
      <c r="N528" s="17" t="n"/>
      <c r="O528" s="17" t="n"/>
      <c r="P528" s="21">
        <f>IF(AND(ISNUMBER($L528),ISNUMBER($M528)),MAX(0,$M528-$L528),"")</f>
        <v/>
      </c>
      <c r="Q528" s="21">
        <f>IF(ISNUMBER($D528),MAX(0,TODAY()-$D528),"")</f>
        <v/>
      </c>
      <c r="R528" s="19">
        <f>IF(COUNTA($A528:$O528)=0,"",IFERROR(TRIM(TEXTJOIN(" | ",TRUE,IF($A528="","PC kosong",""),IF($C528="","Worker ID kosong",""),IF($D528="","Update Date kosong",IF(NOT(ISNUMBER($D528)),"Update Date bukan tanggal","")),IF($E528="","Song ID YT kosong",""),IF($F528="","Judul kosong",""),IF(TRIM($G528)="","",IF(ISERROR(MATCH(TRIM($G528),{"TuneCore","DistroKid","TooLost","SoundOn","Ditto","Believe","CD Baby","Amuse","Symphonic Distribution","ONErpm","RouteNote","LANDR","Horus Music","Indie"},0)),"Aggregator di luar daftar","")),IF(TRIM($H528)="","Genre kosong",IF((LEN(SUBSTITUTE(SUBSTITUTE(SUBSTITUTE(TRIM($H528),"/",","),";",",")," ",""))-LEN(SUBSTITUTE(SUBSTITUTE(SUBSTITUTE(SUBSTITUTE(TRIM($H528),"/",","),";",","),"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528),"/",","),";",",")," ","")&amp;",")))&lt;&gt;(LEN(SUBSTITUTE(SUBSTITUTE(SUBSTITUTE(TRIM($H528),"/",","),";",",")," ",""))-LEN(SUBSTITUTE(SUBSTITUTE(SUBSTITUTE(SUBSTITUTE(TRIM($H528),"/",","),";",",")," ",""),",",""))+1),"Genre di luar daftar",""))),IF($I528="","Nama Channel kosong",""),IF($J528="","Link Channel kosong",IF(ISERROR(SEARCH("youtu",$J528)),"Link Channel bukan youtube","")),IF($K528="","Link Video kosong",IF(ISERROR(SEARCH("youtu",$K528)),"Link Video bukan youtube","")),IF($L528="","Tgl Dibuat kosong",IF(NOT(ISNUMBER($L528)),"Tgl Dibuat bukan tanggal","")),IF(AND($M528&lt;&gt;"",NOT(ISNUMBER($M528))),"Tgl Publish bukan tanggal",""),IF(AND(ISNUMBER($L528),ISNUMBER($M528),$M528&lt;$L528),"Tgl Publish &lt; Tgl buat",""),IF(TRIM($N528)="","Status kosong",IF(ISERROR(MATCH(TRIM($N528),{"Draft","Menunggu Review","Revisi","Terjadwal","Upload","Publish","Published","Batal"},0)),"Status di luar daftar","")))),""))</f>
        <v/>
      </c>
      <c r="S528" s="17">
        <f>IF(AND($A528&lt;&gt;"",$C528&lt;&gt;""),IF(COUNTIFS($A$2:$A$1000,$A528,$C$2:$C$1000,$C528)&gt;1,"DUPLICAT",""),"")</f>
        <v/>
      </c>
    </row>
    <row r="529">
      <c r="A529" s="12" t="n"/>
      <c r="B529" s="12" t="n"/>
      <c r="C529" s="12" t="n"/>
      <c r="D529" s="13" t="n"/>
      <c r="E529" s="12" t="n"/>
      <c r="F529" s="14" t="n"/>
      <c r="G529" s="12" t="n"/>
      <c r="H529" s="12" t="n"/>
      <c r="I529" s="12" t="n"/>
      <c r="J529" s="14" t="n"/>
      <c r="K529" s="14" t="n"/>
      <c r="L529" s="15" t="n"/>
      <c r="M529" s="15" t="n"/>
      <c r="N529" s="12" t="n"/>
      <c r="O529" s="12" t="n"/>
      <c r="P529" s="16">
        <f>IF(AND(ISNUMBER($L529),ISNUMBER($M529)),MAX(0,$M529-$L529),"")</f>
        <v/>
      </c>
      <c r="Q529" s="16">
        <f>IF(ISNUMBER($D529),MAX(0,TODAY()-$D529),"")</f>
        <v/>
      </c>
      <c r="R529" s="14">
        <f>IF(COUNTA($A529:$O529)=0,"",IFERROR(TRIM(TEXTJOIN(" | ",TRUE,IF($A529="","PC kosong",""),IF($C529="","Worker ID kosong",""),IF($D529="","Update Date kosong",IF(NOT(ISNUMBER($D529)),"Update Date bukan tanggal","")),IF($E529="","Song ID YT kosong",""),IF($F529="","Judul kosong",""),IF(TRIM($G529)="","",IF(ISERROR(MATCH(TRIM($G529),{"TuneCore","DistroKid","TooLost","SoundOn","Ditto","Believe","CD Baby","Amuse","Symphonic Distribution","ONErpm","RouteNote","LANDR","Horus Music","Indie"},0)),"Aggregator di luar daftar","")),IF(TRIM($H529)="","Genre kosong",IF((LEN(SUBSTITUTE(SUBSTITUTE(SUBSTITUTE(TRIM($H529),"/",","),";",",")," ",""))-LEN(SUBSTITUTE(SUBSTITUTE(SUBSTITUTE(SUBSTITUTE(TRIM($H529),"/",","),";",","),"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529),"/",","),";",",")," ","")&amp;",")))&lt;&gt;(LEN(SUBSTITUTE(SUBSTITUTE(SUBSTITUTE(TRIM($H529),"/",","),";",",")," ",""))-LEN(SUBSTITUTE(SUBSTITUTE(SUBSTITUTE(SUBSTITUTE(TRIM($H529),"/",","),";",",")," ",""),",",""))+1),"Genre di luar daftar",""))),IF($I529="","Nama Channel kosong",""),IF($J529="","Link Channel kosong",IF(ISERROR(SEARCH("youtu",$J529)),"Link Channel bukan youtube","")),IF($K529="","Link Video kosong",IF(ISERROR(SEARCH("youtu",$K529)),"Link Video bukan youtube","")),IF($L529="","Tgl Dibuat kosong",IF(NOT(ISNUMBER($L529)),"Tgl Dibuat bukan tanggal","")),IF(AND($M529&lt;&gt;"",NOT(ISNUMBER($M529))),"Tgl Publish bukan tanggal",""),IF(AND(ISNUMBER($L529),ISNUMBER($M529),$M529&lt;$L529),"Tgl Publish &lt; Tgl buat",""),IF(TRIM($N529)="","Status kosong",IF(ISERROR(MATCH(TRIM($N529),{"Draft","Menunggu Review","Revisi","Terjadwal","Upload","Publish","Published","Batal"},0)),"Status di luar daftar","")))),""))</f>
        <v/>
      </c>
      <c r="S529" s="12">
        <f>IF(AND($A529&lt;&gt;"",$C529&lt;&gt;""),IF(COUNTIFS($A$2:$A$1000,$A529,$C$2:$C$1000,$C529)&gt;1,"DUPLICAT",""),"")</f>
        <v/>
      </c>
    </row>
    <row r="530">
      <c r="A530" s="17" t="n"/>
      <c r="B530" s="17" t="n"/>
      <c r="C530" s="17" t="n"/>
      <c r="D530" s="18" t="n"/>
      <c r="E530" s="17" t="n"/>
      <c r="F530" s="19" t="n"/>
      <c r="G530" s="17" t="n"/>
      <c r="H530" s="17" t="n"/>
      <c r="I530" s="17" t="n"/>
      <c r="J530" s="19" t="n"/>
      <c r="K530" s="19" t="n"/>
      <c r="L530" s="20" t="n"/>
      <c r="M530" s="20" t="n"/>
      <c r="N530" s="17" t="n"/>
      <c r="O530" s="17" t="n"/>
      <c r="P530" s="21">
        <f>IF(AND(ISNUMBER($L530),ISNUMBER($M530)),MAX(0,$M530-$L530),"")</f>
        <v/>
      </c>
      <c r="Q530" s="21">
        <f>IF(ISNUMBER($D530),MAX(0,TODAY()-$D530),"")</f>
        <v/>
      </c>
      <c r="R530" s="19">
        <f>IF(COUNTA($A530:$O530)=0,"",IFERROR(TRIM(TEXTJOIN(" | ",TRUE,IF($A530="","PC kosong",""),IF($C530="","Worker ID kosong",""),IF($D530="","Update Date kosong",IF(NOT(ISNUMBER($D530)),"Update Date bukan tanggal","")),IF($E530="","Song ID YT kosong",""),IF($F530="","Judul kosong",""),IF(TRIM($G530)="","",IF(ISERROR(MATCH(TRIM($G530),{"TuneCore","DistroKid","TooLost","SoundOn","Ditto","Believe","CD Baby","Amuse","Symphonic Distribution","ONErpm","RouteNote","LANDR","Horus Music","Indie"},0)),"Aggregator di luar daftar","")),IF(TRIM($H530)="","Genre kosong",IF((LEN(SUBSTITUTE(SUBSTITUTE(SUBSTITUTE(TRIM($H530),"/",","),";",",")," ",""))-LEN(SUBSTITUTE(SUBSTITUTE(SUBSTITUTE(SUBSTITUTE(TRIM($H530),"/",","),";",","),"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530),"/",","),";",",")," ","")&amp;",")))&lt;&gt;(LEN(SUBSTITUTE(SUBSTITUTE(SUBSTITUTE(TRIM($H530),"/",","),";",",")," ",""))-LEN(SUBSTITUTE(SUBSTITUTE(SUBSTITUTE(SUBSTITUTE(TRIM($H530),"/",","),";",",")," ",""),",",""))+1),"Genre di luar daftar",""))),IF($I530="","Nama Channel kosong",""),IF($J530="","Link Channel kosong",IF(ISERROR(SEARCH("youtu",$J530)),"Link Channel bukan youtube","")),IF($K530="","Link Video kosong",IF(ISERROR(SEARCH("youtu",$K530)),"Link Video bukan youtube","")),IF($L530="","Tgl Dibuat kosong",IF(NOT(ISNUMBER($L530)),"Tgl Dibuat bukan tanggal","")),IF(AND($M530&lt;&gt;"",NOT(ISNUMBER($M530))),"Tgl Publish bukan tanggal",""),IF(AND(ISNUMBER($L530),ISNUMBER($M530),$M530&lt;$L530),"Tgl Publish &lt; Tgl buat",""),IF(TRIM($N530)="","Status kosong",IF(ISERROR(MATCH(TRIM($N530),{"Draft","Menunggu Review","Revisi","Terjadwal","Upload","Publish","Published","Batal"},0)),"Status di luar daftar","")))),""))</f>
        <v/>
      </c>
      <c r="S530" s="17">
        <f>IF(AND($A530&lt;&gt;"",$C530&lt;&gt;""),IF(COUNTIFS($A$2:$A$1000,$A530,$C$2:$C$1000,$C530)&gt;1,"DUPLICAT",""),"")</f>
        <v/>
      </c>
    </row>
    <row r="531">
      <c r="A531" s="12" t="n"/>
      <c r="B531" s="12" t="n"/>
      <c r="C531" s="12" t="n"/>
      <c r="D531" s="13" t="n"/>
      <c r="E531" s="12" t="n"/>
      <c r="F531" s="14" t="n"/>
      <c r="G531" s="12" t="n"/>
      <c r="H531" s="12" t="n"/>
      <c r="I531" s="12" t="n"/>
      <c r="J531" s="14" t="n"/>
      <c r="K531" s="14" t="n"/>
      <c r="L531" s="15" t="n"/>
      <c r="M531" s="15" t="n"/>
      <c r="N531" s="12" t="n"/>
      <c r="O531" s="12" t="n"/>
      <c r="P531" s="16">
        <f>IF(AND(ISNUMBER($L531),ISNUMBER($M531)),MAX(0,$M531-$L531),"")</f>
        <v/>
      </c>
      <c r="Q531" s="16">
        <f>IF(ISNUMBER($D531),MAX(0,TODAY()-$D531),"")</f>
        <v/>
      </c>
      <c r="R531" s="14">
        <f>IF(COUNTA($A531:$O531)=0,"",IFERROR(TRIM(TEXTJOIN(" | ",TRUE,IF($A531="","PC kosong",""),IF($C531="","Worker ID kosong",""),IF($D531="","Update Date kosong",IF(NOT(ISNUMBER($D531)),"Update Date bukan tanggal","")),IF($E531="","Song ID YT kosong",""),IF($F531="","Judul kosong",""),IF(TRIM($G531)="","",IF(ISERROR(MATCH(TRIM($G531),{"TuneCore","DistroKid","TooLost","SoundOn","Ditto","Believe","CD Baby","Amuse","Symphonic Distribution","ONErpm","RouteNote","LANDR","Horus Music","Indie"},0)),"Aggregator di luar daftar","")),IF(TRIM($H531)="","Genre kosong",IF((LEN(SUBSTITUTE(SUBSTITUTE(SUBSTITUTE(TRIM($H531),"/",","),";",",")," ",""))-LEN(SUBSTITUTE(SUBSTITUTE(SUBSTITUTE(SUBSTITUTE(TRIM($H531),"/",","),";",","),"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531),"/",","),";",",")," ","")&amp;",")))&lt;&gt;(LEN(SUBSTITUTE(SUBSTITUTE(SUBSTITUTE(TRIM($H531),"/",","),";",",")," ",""))-LEN(SUBSTITUTE(SUBSTITUTE(SUBSTITUTE(SUBSTITUTE(TRIM($H531),"/",","),";",",")," ",""),",",""))+1),"Genre di luar daftar",""))),IF($I531="","Nama Channel kosong",""),IF($J531="","Link Channel kosong",IF(ISERROR(SEARCH("youtu",$J531)),"Link Channel bukan youtube","")),IF($K531="","Link Video kosong",IF(ISERROR(SEARCH("youtu",$K531)),"Link Video bukan youtube","")),IF($L531="","Tgl Dibuat kosong",IF(NOT(ISNUMBER($L531)),"Tgl Dibuat bukan tanggal","")),IF(AND($M531&lt;&gt;"",NOT(ISNUMBER($M531))),"Tgl Publish bukan tanggal",""),IF(AND(ISNUMBER($L531),ISNUMBER($M531),$M531&lt;$L531),"Tgl Publish &lt; Tgl buat",""),IF(TRIM($N531)="","Status kosong",IF(ISERROR(MATCH(TRIM($N531),{"Draft","Menunggu Review","Revisi","Terjadwal","Upload","Publish","Published","Batal"},0)),"Status di luar daftar","")))),""))</f>
        <v/>
      </c>
      <c r="S531" s="12">
        <f>IF(AND($A531&lt;&gt;"",$C531&lt;&gt;""),IF(COUNTIFS($A$2:$A$1000,$A531,$C$2:$C$1000,$C531)&gt;1,"DUPLICAT",""),"")</f>
        <v/>
      </c>
    </row>
    <row r="532">
      <c r="A532" s="17" t="n"/>
      <c r="B532" s="17" t="n"/>
      <c r="C532" s="17" t="n"/>
      <c r="D532" s="18" t="n"/>
      <c r="E532" s="17" t="n"/>
      <c r="F532" s="19" t="n"/>
      <c r="G532" s="17" t="n"/>
      <c r="H532" s="17" t="n"/>
      <c r="I532" s="17" t="n"/>
      <c r="J532" s="19" t="n"/>
      <c r="K532" s="19" t="n"/>
      <c r="L532" s="20" t="n"/>
      <c r="M532" s="20" t="n"/>
      <c r="N532" s="17" t="n"/>
      <c r="O532" s="17" t="n"/>
      <c r="P532" s="21">
        <f>IF(AND(ISNUMBER($L532),ISNUMBER($M532)),MAX(0,$M532-$L532),"")</f>
        <v/>
      </c>
      <c r="Q532" s="21">
        <f>IF(ISNUMBER($D532),MAX(0,TODAY()-$D532),"")</f>
        <v/>
      </c>
      <c r="R532" s="19">
        <f>IF(COUNTA($A532:$O532)=0,"",IFERROR(TRIM(TEXTJOIN(" | ",TRUE,IF($A532="","PC kosong",""),IF($C532="","Worker ID kosong",""),IF($D532="","Update Date kosong",IF(NOT(ISNUMBER($D532)),"Update Date bukan tanggal","")),IF($E532="","Song ID YT kosong",""),IF($F532="","Judul kosong",""),IF(TRIM($G532)="","",IF(ISERROR(MATCH(TRIM($G532),{"TuneCore","DistroKid","TooLost","SoundOn","Ditto","Believe","CD Baby","Amuse","Symphonic Distribution","ONErpm","RouteNote","LANDR","Horus Music","Indie"},0)),"Aggregator di luar daftar","")),IF(TRIM($H532)="","Genre kosong",IF((LEN(SUBSTITUTE(SUBSTITUTE(SUBSTITUTE(TRIM($H532),"/",","),";",",")," ",""))-LEN(SUBSTITUTE(SUBSTITUTE(SUBSTITUTE(SUBSTITUTE(TRIM($H532),"/",","),";",","),"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532),"/",","),";",",")," ","")&amp;",")))&lt;&gt;(LEN(SUBSTITUTE(SUBSTITUTE(SUBSTITUTE(TRIM($H532),"/",","),";",",")," ",""))-LEN(SUBSTITUTE(SUBSTITUTE(SUBSTITUTE(SUBSTITUTE(TRIM($H532),"/",","),";",",")," ",""),",",""))+1),"Genre di luar daftar",""))),IF($I532="","Nama Channel kosong",""),IF($J532="","Link Channel kosong",IF(ISERROR(SEARCH("youtu",$J532)),"Link Channel bukan youtube","")),IF($K532="","Link Video kosong",IF(ISERROR(SEARCH("youtu",$K532)),"Link Video bukan youtube","")),IF($L532="","Tgl Dibuat kosong",IF(NOT(ISNUMBER($L532)),"Tgl Dibuat bukan tanggal","")),IF(AND($M532&lt;&gt;"",NOT(ISNUMBER($M532))),"Tgl Publish bukan tanggal",""),IF(AND(ISNUMBER($L532),ISNUMBER($M532),$M532&lt;$L532),"Tgl Publish &lt; Tgl buat",""),IF(TRIM($N532)="","Status kosong",IF(ISERROR(MATCH(TRIM($N532),{"Draft","Menunggu Review","Revisi","Terjadwal","Upload","Publish","Published","Batal"},0)),"Status di luar daftar","")))),""))</f>
        <v/>
      </c>
      <c r="S532" s="17">
        <f>IF(AND($A532&lt;&gt;"",$C532&lt;&gt;""),IF(COUNTIFS($A$2:$A$1000,$A532,$C$2:$C$1000,$C532)&gt;1,"DUPLICAT",""),"")</f>
        <v/>
      </c>
    </row>
    <row r="533">
      <c r="A533" s="12" t="n"/>
      <c r="B533" s="12" t="n"/>
      <c r="C533" s="12" t="n"/>
      <c r="D533" s="13" t="n"/>
      <c r="E533" s="12" t="n"/>
      <c r="F533" s="14" t="n"/>
      <c r="G533" s="12" t="n"/>
      <c r="H533" s="12" t="n"/>
      <c r="I533" s="12" t="n"/>
      <c r="J533" s="14" t="n"/>
      <c r="K533" s="14" t="n"/>
      <c r="L533" s="15" t="n"/>
      <c r="M533" s="15" t="n"/>
      <c r="N533" s="12" t="n"/>
      <c r="O533" s="12" t="n"/>
      <c r="P533" s="16">
        <f>IF(AND(ISNUMBER($L533),ISNUMBER($M533)),MAX(0,$M533-$L533),"")</f>
        <v/>
      </c>
      <c r="Q533" s="16">
        <f>IF(ISNUMBER($D533),MAX(0,TODAY()-$D533),"")</f>
        <v/>
      </c>
      <c r="R533" s="14">
        <f>IF(COUNTA($A533:$O533)=0,"",IFERROR(TRIM(TEXTJOIN(" | ",TRUE,IF($A533="","PC kosong",""),IF($C533="","Worker ID kosong",""),IF($D533="","Update Date kosong",IF(NOT(ISNUMBER($D533)),"Update Date bukan tanggal","")),IF($E533="","Song ID YT kosong",""),IF($F533="","Judul kosong",""),IF(TRIM($G533)="","",IF(ISERROR(MATCH(TRIM($G533),{"TuneCore","DistroKid","TooLost","SoundOn","Ditto","Believe","CD Baby","Amuse","Symphonic Distribution","ONErpm","RouteNote","LANDR","Horus Music","Indie"},0)),"Aggregator di luar daftar","")),IF(TRIM($H533)="","Genre kosong",IF((LEN(SUBSTITUTE(SUBSTITUTE(SUBSTITUTE(TRIM($H533),"/",","),";",",")," ",""))-LEN(SUBSTITUTE(SUBSTITUTE(SUBSTITUTE(SUBSTITUTE(TRIM($H533),"/",","),";",","),"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533),"/",","),";",",")," ","")&amp;",")))&lt;&gt;(LEN(SUBSTITUTE(SUBSTITUTE(SUBSTITUTE(TRIM($H533),"/",","),";",",")," ",""))-LEN(SUBSTITUTE(SUBSTITUTE(SUBSTITUTE(SUBSTITUTE(TRIM($H533),"/",","),";",",")," ",""),",",""))+1),"Genre di luar daftar",""))),IF($I533="","Nama Channel kosong",""),IF($J533="","Link Channel kosong",IF(ISERROR(SEARCH("youtu",$J533)),"Link Channel bukan youtube","")),IF($K533="","Link Video kosong",IF(ISERROR(SEARCH("youtu",$K533)),"Link Video bukan youtube","")),IF($L533="","Tgl Dibuat kosong",IF(NOT(ISNUMBER($L533)),"Tgl Dibuat bukan tanggal","")),IF(AND($M533&lt;&gt;"",NOT(ISNUMBER($M533))),"Tgl Publish bukan tanggal",""),IF(AND(ISNUMBER($L533),ISNUMBER($M533),$M533&lt;$L533),"Tgl Publish &lt; Tgl buat",""),IF(TRIM($N533)="","Status kosong",IF(ISERROR(MATCH(TRIM($N533),{"Draft","Menunggu Review","Revisi","Terjadwal","Upload","Publish","Published","Batal"},0)),"Status di luar daftar","")))),""))</f>
        <v/>
      </c>
      <c r="S533" s="12">
        <f>IF(AND($A533&lt;&gt;"",$C533&lt;&gt;""),IF(COUNTIFS($A$2:$A$1000,$A533,$C$2:$C$1000,$C533)&gt;1,"DUPLICAT",""),"")</f>
        <v/>
      </c>
    </row>
    <row r="534">
      <c r="A534" s="17" t="n"/>
      <c r="B534" s="17" t="n"/>
      <c r="C534" s="17" t="n"/>
      <c r="D534" s="18" t="n"/>
      <c r="E534" s="17" t="n"/>
      <c r="F534" s="19" t="n"/>
      <c r="G534" s="17" t="n"/>
      <c r="H534" s="17" t="n"/>
      <c r="I534" s="17" t="n"/>
      <c r="J534" s="19" t="n"/>
      <c r="K534" s="19" t="n"/>
      <c r="L534" s="20" t="n"/>
      <c r="M534" s="20" t="n"/>
      <c r="N534" s="17" t="n"/>
      <c r="O534" s="17" t="n"/>
      <c r="P534" s="21">
        <f>IF(AND(ISNUMBER($L534),ISNUMBER($M534)),MAX(0,$M534-$L534),"")</f>
        <v/>
      </c>
      <c r="Q534" s="21">
        <f>IF(ISNUMBER($D534),MAX(0,TODAY()-$D534),"")</f>
        <v/>
      </c>
      <c r="R534" s="19">
        <f>IF(COUNTA($A534:$O534)=0,"",IFERROR(TRIM(TEXTJOIN(" | ",TRUE,IF($A534="","PC kosong",""),IF($C534="","Worker ID kosong",""),IF($D534="","Update Date kosong",IF(NOT(ISNUMBER($D534)),"Update Date bukan tanggal","")),IF($E534="","Song ID YT kosong",""),IF($F534="","Judul kosong",""),IF(TRIM($G534)="","",IF(ISERROR(MATCH(TRIM($G534),{"TuneCore","DistroKid","TooLost","SoundOn","Ditto","Believe","CD Baby","Amuse","Symphonic Distribution","ONErpm","RouteNote","LANDR","Horus Music","Indie"},0)),"Aggregator di luar daftar","")),IF(TRIM($H534)="","Genre kosong",IF((LEN(SUBSTITUTE(SUBSTITUTE(SUBSTITUTE(TRIM($H534),"/",","),";",",")," ",""))-LEN(SUBSTITUTE(SUBSTITUTE(SUBSTITUTE(SUBSTITUTE(TRIM($H534),"/",","),";",","),"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534),"/",","),";",",")," ","")&amp;",")))&lt;&gt;(LEN(SUBSTITUTE(SUBSTITUTE(SUBSTITUTE(TRIM($H534),"/",","),";",",")," ",""))-LEN(SUBSTITUTE(SUBSTITUTE(SUBSTITUTE(SUBSTITUTE(TRIM($H534),"/",","),";",",")," ",""),",",""))+1),"Genre di luar daftar",""))),IF($I534="","Nama Channel kosong",""),IF($J534="","Link Channel kosong",IF(ISERROR(SEARCH("youtu",$J534)),"Link Channel bukan youtube","")),IF($K534="","Link Video kosong",IF(ISERROR(SEARCH("youtu",$K534)),"Link Video bukan youtube","")),IF($L534="","Tgl Dibuat kosong",IF(NOT(ISNUMBER($L534)),"Tgl Dibuat bukan tanggal","")),IF(AND($M534&lt;&gt;"",NOT(ISNUMBER($M534))),"Tgl Publish bukan tanggal",""),IF(AND(ISNUMBER($L534),ISNUMBER($M534),$M534&lt;$L534),"Tgl Publish &lt; Tgl buat",""),IF(TRIM($N534)="","Status kosong",IF(ISERROR(MATCH(TRIM($N534),{"Draft","Menunggu Review","Revisi","Terjadwal","Upload","Publish","Published","Batal"},0)),"Status di luar daftar","")))),""))</f>
        <v/>
      </c>
      <c r="S534" s="17">
        <f>IF(AND($A534&lt;&gt;"",$C534&lt;&gt;""),IF(COUNTIFS($A$2:$A$1000,$A534,$C$2:$C$1000,$C534)&gt;1,"DUPLICAT",""),"")</f>
        <v/>
      </c>
    </row>
    <row r="535">
      <c r="A535" s="12" t="n"/>
      <c r="B535" s="12" t="n"/>
      <c r="C535" s="12" t="n"/>
      <c r="D535" s="13" t="n"/>
      <c r="E535" s="12" t="n"/>
      <c r="F535" s="14" t="n"/>
      <c r="G535" s="12" t="n"/>
      <c r="H535" s="12" t="n"/>
      <c r="I535" s="12" t="n"/>
      <c r="J535" s="14" t="n"/>
      <c r="K535" s="14" t="n"/>
      <c r="L535" s="15" t="n"/>
      <c r="M535" s="15" t="n"/>
      <c r="N535" s="12" t="n"/>
      <c r="O535" s="12" t="n"/>
      <c r="P535" s="16">
        <f>IF(AND(ISNUMBER($L535),ISNUMBER($M535)),MAX(0,$M535-$L535),"")</f>
        <v/>
      </c>
      <c r="Q535" s="16">
        <f>IF(ISNUMBER($D535),MAX(0,TODAY()-$D535),"")</f>
        <v/>
      </c>
      <c r="R535" s="14">
        <f>IF(COUNTA($A535:$O535)=0,"",IFERROR(TRIM(TEXTJOIN(" | ",TRUE,IF($A535="","PC kosong",""),IF($C535="","Worker ID kosong",""),IF($D535="","Update Date kosong",IF(NOT(ISNUMBER($D535)),"Update Date bukan tanggal","")),IF($E535="","Song ID YT kosong",""),IF($F535="","Judul kosong",""),IF(TRIM($G535)="","",IF(ISERROR(MATCH(TRIM($G535),{"TuneCore","DistroKid","TooLost","SoundOn","Ditto","Believe","CD Baby","Amuse","Symphonic Distribution","ONErpm","RouteNote","LANDR","Horus Music","Indie"},0)),"Aggregator di luar daftar","")),IF(TRIM($H535)="","Genre kosong",IF((LEN(SUBSTITUTE(SUBSTITUTE(SUBSTITUTE(TRIM($H535),"/",","),";",",")," ",""))-LEN(SUBSTITUTE(SUBSTITUTE(SUBSTITUTE(SUBSTITUTE(TRIM($H535),"/",","),";",","),"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535),"/",","),";",",")," ","")&amp;",")))&lt;&gt;(LEN(SUBSTITUTE(SUBSTITUTE(SUBSTITUTE(TRIM($H535),"/",","),";",",")," ",""))-LEN(SUBSTITUTE(SUBSTITUTE(SUBSTITUTE(SUBSTITUTE(TRIM($H535),"/",","),";",",")," ",""),",",""))+1),"Genre di luar daftar",""))),IF($I535="","Nama Channel kosong",""),IF($J535="","Link Channel kosong",IF(ISERROR(SEARCH("youtu",$J535)),"Link Channel bukan youtube","")),IF($K535="","Link Video kosong",IF(ISERROR(SEARCH("youtu",$K535)),"Link Video bukan youtube","")),IF($L535="","Tgl Dibuat kosong",IF(NOT(ISNUMBER($L535)),"Tgl Dibuat bukan tanggal","")),IF(AND($M535&lt;&gt;"",NOT(ISNUMBER($M535))),"Tgl Publish bukan tanggal",""),IF(AND(ISNUMBER($L535),ISNUMBER($M535),$M535&lt;$L535),"Tgl Publish &lt; Tgl buat",""),IF(TRIM($N535)="","Status kosong",IF(ISERROR(MATCH(TRIM($N535),{"Draft","Menunggu Review","Revisi","Terjadwal","Upload","Publish","Published","Batal"},0)),"Status di luar daftar","")))),""))</f>
        <v/>
      </c>
      <c r="S535" s="12">
        <f>IF(AND($A535&lt;&gt;"",$C535&lt;&gt;""),IF(COUNTIFS($A$2:$A$1000,$A535,$C$2:$C$1000,$C535)&gt;1,"DUPLICAT",""),"")</f>
        <v/>
      </c>
    </row>
    <row r="536">
      <c r="A536" s="17" t="n"/>
      <c r="B536" s="17" t="n"/>
      <c r="C536" s="17" t="n"/>
      <c r="D536" s="18" t="n"/>
      <c r="E536" s="17" t="n"/>
      <c r="F536" s="19" t="n"/>
      <c r="G536" s="17" t="n"/>
      <c r="H536" s="17" t="n"/>
      <c r="I536" s="17" t="n"/>
      <c r="J536" s="19" t="n"/>
      <c r="K536" s="19" t="n"/>
      <c r="L536" s="20" t="n"/>
      <c r="M536" s="20" t="n"/>
      <c r="N536" s="17" t="n"/>
      <c r="O536" s="17" t="n"/>
      <c r="P536" s="21">
        <f>IF(AND(ISNUMBER($L536),ISNUMBER($M536)),MAX(0,$M536-$L536),"")</f>
        <v/>
      </c>
      <c r="Q536" s="21">
        <f>IF(ISNUMBER($D536),MAX(0,TODAY()-$D536),"")</f>
        <v/>
      </c>
      <c r="R536" s="19">
        <f>IF(COUNTA($A536:$O536)=0,"",IFERROR(TRIM(TEXTJOIN(" | ",TRUE,IF($A536="","PC kosong",""),IF($C536="","Worker ID kosong",""),IF($D536="","Update Date kosong",IF(NOT(ISNUMBER($D536)),"Update Date bukan tanggal","")),IF($E536="","Song ID YT kosong",""),IF($F536="","Judul kosong",""),IF(TRIM($G536)="","",IF(ISERROR(MATCH(TRIM($G536),{"TuneCore","DistroKid","TooLost","SoundOn","Ditto","Believe","CD Baby","Amuse","Symphonic Distribution","ONErpm","RouteNote","LANDR","Horus Music","Indie"},0)),"Aggregator di luar daftar","")),IF(TRIM($H536)="","Genre kosong",IF((LEN(SUBSTITUTE(SUBSTITUTE(SUBSTITUTE(TRIM($H536),"/",","),";",",")," ",""))-LEN(SUBSTITUTE(SUBSTITUTE(SUBSTITUTE(SUBSTITUTE(TRIM($H536),"/",","),";",","),"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536),"/",","),";",",")," ","")&amp;",")))&lt;&gt;(LEN(SUBSTITUTE(SUBSTITUTE(SUBSTITUTE(TRIM($H536),"/",","),";",",")," ",""))-LEN(SUBSTITUTE(SUBSTITUTE(SUBSTITUTE(SUBSTITUTE(TRIM($H536),"/",","),";",",")," ",""),",",""))+1),"Genre di luar daftar",""))),IF($I536="","Nama Channel kosong",""),IF($J536="","Link Channel kosong",IF(ISERROR(SEARCH("youtu",$J536)),"Link Channel bukan youtube","")),IF($K536="","Link Video kosong",IF(ISERROR(SEARCH("youtu",$K536)),"Link Video bukan youtube","")),IF($L536="","Tgl Dibuat kosong",IF(NOT(ISNUMBER($L536)),"Tgl Dibuat bukan tanggal","")),IF(AND($M536&lt;&gt;"",NOT(ISNUMBER($M536))),"Tgl Publish bukan tanggal",""),IF(AND(ISNUMBER($L536),ISNUMBER($M536),$M536&lt;$L536),"Tgl Publish &lt; Tgl buat",""),IF(TRIM($N536)="","Status kosong",IF(ISERROR(MATCH(TRIM($N536),{"Draft","Menunggu Review","Revisi","Terjadwal","Upload","Publish","Published","Batal"},0)),"Status di luar daftar","")))),""))</f>
        <v/>
      </c>
      <c r="S536" s="17">
        <f>IF(AND($A536&lt;&gt;"",$C536&lt;&gt;""),IF(COUNTIFS($A$2:$A$1000,$A536,$C$2:$C$1000,$C536)&gt;1,"DUPLICAT",""),"")</f>
        <v/>
      </c>
    </row>
    <row r="537">
      <c r="A537" s="12" t="n"/>
      <c r="B537" s="12" t="n"/>
      <c r="C537" s="12" t="n"/>
      <c r="D537" s="13" t="n"/>
      <c r="E537" s="12" t="n"/>
      <c r="F537" s="14" t="n"/>
      <c r="G537" s="12" t="n"/>
      <c r="H537" s="12" t="n"/>
      <c r="I537" s="12" t="n"/>
      <c r="J537" s="14" t="n"/>
      <c r="K537" s="14" t="n"/>
      <c r="L537" s="15" t="n"/>
      <c r="M537" s="15" t="n"/>
      <c r="N537" s="12" t="n"/>
      <c r="O537" s="12" t="n"/>
      <c r="P537" s="16">
        <f>IF(AND(ISNUMBER($L537),ISNUMBER($M537)),MAX(0,$M537-$L537),"")</f>
        <v/>
      </c>
      <c r="Q537" s="16">
        <f>IF(ISNUMBER($D537),MAX(0,TODAY()-$D537),"")</f>
        <v/>
      </c>
      <c r="R537" s="14">
        <f>IF(COUNTA($A537:$O537)=0,"",IFERROR(TRIM(TEXTJOIN(" | ",TRUE,IF($A537="","PC kosong",""),IF($C537="","Worker ID kosong",""),IF($D537="","Update Date kosong",IF(NOT(ISNUMBER($D537)),"Update Date bukan tanggal","")),IF($E537="","Song ID YT kosong",""),IF($F537="","Judul kosong",""),IF(TRIM($G537)="","",IF(ISERROR(MATCH(TRIM($G537),{"TuneCore","DistroKid","TooLost","SoundOn","Ditto","Believe","CD Baby","Amuse","Symphonic Distribution","ONErpm","RouteNote","LANDR","Horus Music","Indie"},0)),"Aggregator di luar daftar","")),IF(TRIM($H537)="","Genre kosong",IF((LEN(SUBSTITUTE(SUBSTITUTE(SUBSTITUTE(TRIM($H537),"/",","),";",",")," ",""))-LEN(SUBSTITUTE(SUBSTITUTE(SUBSTITUTE(SUBSTITUTE(TRIM($H537),"/",","),";",","),"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537),"/",","),";",",")," ","")&amp;",")))&lt;&gt;(LEN(SUBSTITUTE(SUBSTITUTE(SUBSTITUTE(TRIM($H537),"/",","),";",",")," ",""))-LEN(SUBSTITUTE(SUBSTITUTE(SUBSTITUTE(SUBSTITUTE(TRIM($H537),"/",","),";",",")," ",""),",",""))+1),"Genre di luar daftar",""))),IF($I537="","Nama Channel kosong",""),IF($J537="","Link Channel kosong",IF(ISERROR(SEARCH("youtu",$J537)),"Link Channel bukan youtube","")),IF($K537="","Link Video kosong",IF(ISERROR(SEARCH("youtu",$K537)),"Link Video bukan youtube","")),IF($L537="","Tgl Dibuat kosong",IF(NOT(ISNUMBER($L537)),"Tgl Dibuat bukan tanggal","")),IF(AND($M537&lt;&gt;"",NOT(ISNUMBER($M537))),"Tgl Publish bukan tanggal",""),IF(AND(ISNUMBER($L537),ISNUMBER($M537),$M537&lt;$L537),"Tgl Publish &lt; Tgl buat",""),IF(TRIM($N537)="","Status kosong",IF(ISERROR(MATCH(TRIM($N537),{"Draft","Menunggu Review","Revisi","Terjadwal","Upload","Publish","Published","Batal"},0)),"Status di luar daftar","")))),""))</f>
        <v/>
      </c>
      <c r="S537" s="12">
        <f>IF(AND($A537&lt;&gt;"",$C537&lt;&gt;""),IF(COUNTIFS($A$2:$A$1000,$A537,$C$2:$C$1000,$C537)&gt;1,"DUPLICAT",""),"")</f>
        <v/>
      </c>
    </row>
    <row r="538">
      <c r="A538" s="17" t="n"/>
      <c r="B538" s="17" t="n"/>
      <c r="C538" s="17" t="n"/>
      <c r="D538" s="18" t="n"/>
      <c r="E538" s="17" t="n"/>
      <c r="F538" s="19" t="n"/>
      <c r="G538" s="17" t="n"/>
      <c r="H538" s="17" t="n"/>
      <c r="I538" s="17" t="n"/>
      <c r="J538" s="19" t="n"/>
      <c r="K538" s="19" t="n"/>
      <c r="L538" s="20" t="n"/>
      <c r="M538" s="20" t="n"/>
      <c r="N538" s="17" t="n"/>
      <c r="O538" s="17" t="n"/>
      <c r="P538" s="21">
        <f>IF(AND(ISNUMBER($L538),ISNUMBER($M538)),MAX(0,$M538-$L538),"")</f>
        <v/>
      </c>
      <c r="Q538" s="21">
        <f>IF(ISNUMBER($D538),MAX(0,TODAY()-$D538),"")</f>
        <v/>
      </c>
      <c r="R538" s="19">
        <f>IF(COUNTA($A538:$O538)=0,"",IFERROR(TRIM(TEXTJOIN(" | ",TRUE,IF($A538="","PC kosong",""),IF($C538="","Worker ID kosong",""),IF($D538="","Update Date kosong",IF(NOT(ISNUMBER($D538)),"Update Date bukan tanggal","")),IF($E538="","Song ID YT kosong",""),IF($F538="","Judul kosong",""),IF(TRIM($G538)="","",IF(ISERROR(MATCH(TRIM($G538),{"TuneCore","DistroKid","TooLost","SoundOn","Ditto","Believe","CD Baby","Amuse","Symphonic Distribution","ONErpm","RouteNote","LANDR","Horus Music","Indie"},0)),"Aggregator di luar daftar","")),IF(TRIM($H538)="","Genre kosong",IF((LEN(SUBSTITUTE(SUBSTITUTE(SUBSTITUTE(TRIM($H538),"/",","),";",",")," ",""))-LEN(SUBSTITUTE(SUBSTITUTE(SUBSTITUTE(SUBSTITUTE(TRIM($H538),"/",","),";",","),"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538),"/",","),";",",")," ","")&amp;",")))&lt;&gt;(LEN(SUBSTITUTE(SUBSTITUTE(SUBSTITUTE(TRIM($H538),"/",","),";",",")," ",""))-LEN(SUBSTITUTE(SUBSTITUTE(SUBSTITUTE(SUBSTITUTE(TRIM($H538),"/",","),";",",")," ",""),",",""))+1),"Genre di luar daftar",""))),IF($I538="","Nama Channel kosong",""),IF($J538="","Link Channel kosong",IF(ISERROR(SEARCH("youtu",$J538)),"Link Channel bukan youtube","")),IF($K538="","Link Video kosong",IF(ISERROR(SEARCH("youtu",$K538)),"Link Video bukan youtube","")),IF($L538="","Tgl Dibuat kosong",IF(NOT(ISNUMBER($L538)),"Tgl Dibuat bukan tanggal","")),IF(AND($M538&lt;&gt;"",NOT(ISNUMBER($M538))),"Tgl Publish bukan tanggal",""),IF(AND(ISNUMBER($L538),ISNUMBER($M538),$M538&lt;$L538),"Tgl Publish &lt; Tgl buat",""),IF(TRIM($N538)="","Status kosong",IF(ISERROR(MATCH(TRIM($N538),{"Draft","Menunggu Review","Revisi","Terjadwal","Upload","Publish","Published","Batal"},0)),"Status di luar daftar","")))),""))</f>
        <v/>
      </c>
      <c r="S538" s="17">
        <f>IF(AND($A538&lt;&gt;"",$C538&lt;&gt;""),IF(COUNTIFS($A$2:$A$1000,$A538,$C$2:$C$1000,$C538)&gt;1,"DUPLICAT",""),"")</f>
        <v/>
      </c>
    </row>
    <row r="539">
      <c r="A539" s="12" t="n"/>
      <c r="B539" s="12" t="n"/>
      <c r="C539" s="12" t="n"/>
      <c r="D539" s="13" t="n"/>
      <c r="E539" s="12" t="n"/>
      <c r="F539" s="14" t="n"/>
      <c r="G539" s="12" t="n"/>
      <c r="H539" s="12" t="n"/>
      <c r="I539" s="12" t="n"/>
      <c r="J539" s="14" t="n"/>
      <c r="K539" s="14" t="n"/>
      <c r="L539" s="15" t="n"/>
      <c r="M539" s="15" t="n"/>
      <c r="N539" s="12" t="n"/>
      <c r="O539" s="12" t="n"/>
      <c r="P539" s="16">
        <f>IF(AND(ISNUMBER($L539),ISNUMBER($M539)),MAX(0,$M539-$L539),"")</f>
        <v/>
      </c>
      <c r="Q539" s="16">
        <f>IF(ISNUMBER($D539),MAX(0,TODAY()-$D539),"")</f>
        <v/>
      </c>
      <c r="R539" s="14">
        <f>IF(COUNTA($A539:$O539)=0,"",IFERROR(TRIM(TEXTJOIN(" | ",TRUE,IF($A539="","PC kosong",""),IF($C539="","Worker ID kosong",""),IF($D539="","Update Date kosong",IF(NOT(ISNUMBER($D539)),"Update Date bukan tanggal","")),IF($E539="","Song ID YT kosong",""),IF($F539="","Judul kosong",""),IF(TRIM($G539)="","",IF(ISERROR(MATCH(TRIM($G539),{"TuneCore","DistroKid","TooLost","SoundOn","Ditto","Believe","CD Baby","Amuse","Symphonic Distribution","ONErpm","RouteNote","LANDR","Horus Music","Indie"},0)),"Aggregator di luar daftar","")),IF(TRIM($H539)="","Genre kosong",IF((LEN(SUBSTITUTE(SUBSTITUTE(SUBSTITUTE(TRIM($H539),"/",","),";",",")," ",""))-LEN(SUBSTITUTE(SUBSTITUTE(SUBSTITUTE(SUBSTITUTE(TRIM($H539),"/",","),";",","),"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539),"/",","),";",",")," ","")&amp;",")))&lt;&gt;(LEN(SUBSTITUTE(SUBSTITUTE(SUBSTITUTE(TRIM($H539),"/",","),";",",")," ",""))-LEN(SUBSTITUTE(SUBSTITUTE(SUBSTITUTE(SUBSTITUTE(TRIM($H539),"/",","),";",",")," ",""),",",""))+1),"Genre di luar daftar",""))),IF($I539="","Nama Channel kosong",""),IF($J539="","Link Channel kosong",IF(ISERROR(SEARCH("youtu",$J539)),"Link Channel bukan youtube","")),IF($K539="","Link Video kosong",IF(ISERROR(SEARCH("youtu",$K539)),"Link Video bukan youtube","")),IF($L539="","Tgl Dibuat kosong",IF(NOT(ISNUMBER($L539)),"Tgl Dibuat bukan tanggal","")),IF(AND($M539&lt;&gt;"",NOT(ISNUMBER($M539))),"Tgl Publish bukan tanggal",""),IF(AND(ISNUMBER($L539),ISNUMBER($M539),$M539&lt;$L539),"Tgl Publish &lt; Tgl buat",""),IF(TRIM($N539)="","Status kosong",IF(ISERROR(MATCH(TRIM($N539),{"Draft","Menunggu Review","Revisi","Terjadwal","Upload","Publish","Published","Batal"},0)),"Status di luar daftar","")))),""))</f>
        <v/>
      </c>
      <c r="S539" s="12">
        <f>IF(AND($A539&lt;&gt;"",$C539&lt;&gt;""),IF(COUNTIFS($A$2:$A$1000,$A539,$C$2:$C$1000,$C539)&gt;1,"DUPLICAT",""),"")</f>
        <v/>
      </c>
    </row>
    <row r="540">
      <c r="A540" s="17" t="n"/>
      <c r="B540" s="17" t="n"/>
      <c r="C540" s="17" t="n"/>
      <c r="D540" s="18" t="n"/>
      <c r="E540" s="17" t="n"/>
      <c r="F540" s="19" t="n"/>
      <c r="G540" s="17" t="n"/>
      <c r="H540" s="17" t="n"/>
      <c r="I540" s="17" t="n"/>
      <c r="J540" s="19" t="n"/>
      <c r="K540" s="19" t="n"/>
      <c r="L540" s="20" t="n"/>
      <c r="M540" s="20" t="n"/>
      <c r="N540" s="17" t="n"/>
      <c r="O540" s="17" t="n"/>
      <c r="P540" s="21">
        <f>IF(AND(ISNUMBER($L540),ISNUMBER($M540)),MAX(0,$M540-$L540),"")</f>
        <v/>
      </c>
      <c r="Q540" s="21">
        <f>IF(ISNUMBER($D540),MAX(0,TODAY()-$D540),"")</f>
        <v/>
      </c>
      <c r="R540" s="19">
        <f>IF(COUNTA($A540:$O540)=0,"",IFERROR(TRIM(TEXTJOIN(" | ",TRUE,IF($A540="","PC kosong",""),IF($C540="","Worker ID kosong",""),IF($D540="","Update Date kosong",IF(NOT(ISNUMBER($D540)),"Update Date bukan tanggal","")),IF($E540="","Song ID YT kosong",""),IF($F540="","Judul kosong",""),IF(TRIM($G540)="","",IF(ISERROR(MATCH(TRIM($G540),{"TuneCore","DistroKid","TooLost","SoundOn","Ditto","Believe","CD Baby","Amuse","Symphonic Distribution","ONErpm","RouteNote","LANDR","Horus Music","Indie"},0)),"Aggregator di luar daftar","")),IF(TRIM($H540)="","Genre kosong",IF((LEN(SUBSTITUTE(SUBSTITUTE(SUBSTITUTE(TRIM($H540),"/",","),";",",")," ",""))-LEN(SUBSTITUTE(SUBSTITUTE(SUBSTITUTE(SUBSTITUTE(TRIM($H540),"/",","),";",","),"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540),"/",","),";",",")," ","")&amp;",")))&lt;&gt;(LEN(SUBSTITUTE(SUBSTITUTE(SUBSTITUTE(TRIM($H540),"/",","),";",",")," ",""))-LEN(SUBSTITUTE(SUBSTITUTE(SUBSTITUTE(SUBSTITUTE(TRIM($H540),"/",","),";",",")," ",""),",",""))+1),"Genre di luar daftar",""))),IF($I540="","Nama Channel kosong",""),IF($J540="","Link Channel kosong",IF(ISERROR(SEARCH("youtu",$J540)),"Link Channel bukan youtube","")),IF($K540="","Link Video kosong",IF(ISERROR(SEARCH("youtu",$K540)),"Link Video bukan youtube","")),IF($L540="","Tgl Dibuat kosong",IF(NOT(ISNUMBER($L540)),"Tgl Dibuat bukan tanggal","")),IF(AND($M540&lt;&gt;"",NOT(ISNUMBER($M540))),"Tgl Publish bukan tanggal",""),IF(AND(ISNUMBER($L540),ISNUMBER($M540),$M540&lt;$L540),"Tgl Publish &lt; Tgl buat",""),IF(TRIM($N540)="","Status kosong",IF(ISERROR(MATCH(TRIM($N540),{"Draft","Menunggu Review","Revisi","Terjadwal","Upload","Publish","Published","Batal"},0)),"Status di luar daftar","")))),""))</f>
        <v/>
      </c>
      <c r="S540" s="17">
        <f>IF(AND($A540&lt;&gt;"",$C540&lt;&gt;""),IF(COUNTIFS($A$2:$A$1000,$A540,$C$2:$C$1000,$C540)&gt;1,"DUPLICAT",""),"")</f>
        <v/>
      </c>
    </row>
    <row r="541">
      <c r="A541" s="12" t="n"/>
      <c r="B541" s="12" t="n"/>
      <c r="C541" s="12" t="n"/>
      <c r="D541" s="13" t="n"/>
      <c r="E541" s="12" t="n"/>
      <c r="F541" s="14" t="n"/>
      <c r="G541" s="12" t="n"/>
      <c r="H541" s="12" t="n"/>
      <c r="I541" s="12" t="n"/>
      <c r="J541" s="14" t="n"/>
      <c r="K541" s="14" t="n"/>
      <c r="L541" s="15" t="n"/>
      <c r="M541" s="15" t="n"/>
      <c r="N541" s="12" t="n"/>
      <c r="O541" s="12" t="n"/>
      <c r="P541" s="16">
        <f>IF(AND(ISNUMBER($L541),ISNUMBER($M541)),MAX(0,$M541-$L541),"")</f>
        <v/>
      </c>
      <c r="Q541" s="16">
        <f>IF(ISNUMBER($D541),MAX(0,TODAY()-$D541),"")</f>
        <v/>
      </c>
      <c r="R541" s="14">
        <f>IF(COUNTA($A541:$O541)=0,"",IFERROR(TRIM(TEXTJOIN(" | ",TRUE,IF($A541="","PC kosong",""),IF($C541="","Worker ID kosong",""),IF($D541="","Update Date kosong",IF(NOT(ISNUMBER($D541)),"Update Date bukan tanggal","")),IF($E541="","Song ID YT kosong",""),IF($F541="","Judul kosong",""),IF(TRIM($G541)="","",IF(ISERROR(MATCH(TRIM($G541),{"TuneCore","DistroKid","TooLost","SoundOn","Ditto","Believe","CD Baby","Amuse","Symphonic Distribution","ONErpm","RouteNote","LANDR","Horus Music","Indie"},0)),"Aggregator di luar daftar","")),IF(TRIM($H541)="","Genre kosong",IF((LEN(SUBSTITUTE(SUBSTITUTE(SUBSTITUTE(TRIM($H541),"/",","),";",",")," ",""))-LEN(SUBSTITUTE(SUBSTITUTE(SUBSTITUTE(SUBSTITUTE(TRIM($H541),"/",","),";",","),"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541),"/",","),";",",")," ","")&amp;",")))&lt;&gt;(LEN(SUBSTITUTE(SUBSTITUTE(SUBSTITUTE(TRIM($H541),"/",","),";",",")," ",""))-LEN(SUBSTITUTE(SUBSTITUTE(SUBSTITUTE(SUBSTITUTE(TRIM($H541),"/",","),";",",")," ",""),",",""))+1),"Genre di luar daftar",""))),IF($I541="","Nama Channel kosong",""),IF($J541="","Link Channel kosong",IF(ISERROR(SEARCH("youtu",$J541)),"Link Channel bukan youtube","")),IF($K541="","Link Video kosong",IF(ISERROR(SEARCH("youtu",$K541)),"Link Video bukan youtube","")),IF($L541="","Tgl Dibuat kosong",IF(NOT(ISNUMBER($L541)),"Tgl Dibuat bukan tanggal","")),IF(AND($M541&lt;&gt;"",NOT(ISNUMBER($M541))),"Tgl Publish bukan tanggal",""),IF(AND(ISNUMBER($L541),ISNUMBER($M541),$M541&lt;$L541),"Tgl Publish &lt; Tgl buat",""),IF(TRIM($N541)="","Status kosong",IF(ISERROR(MATCH(TRIM($N541),{"Draft","Menunggu Review","Revisi","Terjadwal","Upload","Publish","Published","Batal"},0)),"Status di luar daftar","")))),""))</f>
        <v/>
      </c>
      <c r="S541" s="12">
        <f>IF(AND($A541&lt;&gt;"",$C541&lt;&gt;""),IF(COUNTIFS($A$2:$A$1000,$A541,$C$2:$C$1000,$C541)&gt;1,"DUPLICAT",""),"")</f>
        <v/>
      </c>
    </row>
    <row r="542">
      <c r="A542" s="17" t="n"/>
      <c r="B542" s="17" t="n"/>
      <c r="C542" s="17" t="n"/>
      <c r="D542" s="18" t="n"/>
      <c r="E542" s="17" t="n"/>
      <c r="F542" s="19" t="n"/>
      <c r="G542" s="17" t="n"/>
      <c r="H542" s="17" t="n"/>
      <c r="I542" s="17" t="n"/>
      <c r="J542" s="19" t="n"/>
      <c r="K542" s="19" t="n"/>
      <c r="L542" s="20" t="n"/>
      <c r="M542" s="20" t="n"/>
      <c r="N542" s="17" t="n"/>
      <c r="O542" s="17" t="n"/>
      <c r="P542" s="21">
        <f>IF(AND(ISNUMBER($L542),ISNUMBER($M542)),MAX(0,$M542-$L542),"")</f>
        <v/>
      </c>
      <c r="Q542" s="21">
        <f>IF(ISNUMBER($D542),MAX(0,TODAY()-$D542),"")</f>
        <v/>
      </c>
      <c r="R542" s="19">
        <f>IF(COUNTA($A542:$O542)=0,"",IFERROR(TRIM(TEXTJOIN(" | ",TRUE,IF($A542="","PC kosong",""),IF($C542="","Worker ID kosong",""),IF($D542="","Update Date kosong",IF(NOT(ISNUMBER($D542)),"Update Date bukan tanggal","")),IF($E542="","Song ID YT kosong",""),IF($F542="","Judul kosong",""),IF(TRIM($G542)="","",IF(ISERROR(MATCH(TRIM($G542),{"TuneCore","DistroKid","TooLost","SoundOn","Ditto","Believe","CD Baby","Amuse","Symphonic Distribution","ONErpm","RouteNote","LANDR","Horus Music","Indie"},0)),"Aggregator di luar daftar","")),IF(TRIM($H542)="","Genre kosong",IF((LEN(SUBSTITUTE(SUBSTITUTE(SUBSTITUTE(TRIM($H542),"/",","),";",",")," ",""))-LEN(SUBSTITUTE(SUBSTITUTE(SUBSTITUTE(SUBSTITUTE(TRIM($H542),"/",","),";",","),"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542),"/",","),";",",")," ","")&amp;",")))&lt;&gt;(LEN(SUBSTITUTE(SUBSTITUTE(SUBSTITUTE(TRIM($H542),"/",","),";",",")," ",""))-LEN(SUBSTITUTE(SUBSTITUTE(SUBSTITUTE(SUBSTITUTE(TRIM($H542),"/",","),";",",")," ",""),",",""))+1),"Genre di luar daftar",""))),IF($I542="","Nama Channel kosong",""),IF($J542="","Link Channel kosong",IF(ISERROR(SEARCH("youtu",$J542)),"Link Channel bukan youtube","")),IF($K542="","Link Video kosong",IF(ISERROR(SEARCH("youtu",$K542)),"Link Video bukan youtube","")),IF($L542="","Tgl Dibuat kosong",IF(NOT(ISNUMBER($L542)),"Tgl Dibuat bukan tanggal","")),IF(AND($M542&lt;&gt;"",NOT(ISNUMBER($M542))),"Tgl Publish bukan tanggal",""),IF(AND(ISNUMBER($L542),ISNUMBER($M542),$M542&lt;$L542),"Tgl Publish &lt; Tgl buat",""),IF(TRIM($N542)="","Status kosong",IF(ISERROR(MATCH(TRIM($N542),{"Draft","Menunggu Review","Revisi","Terjadwal","Upload","Publish","Published","Batal"},0)),"Status di luar daftar","")))),""))</f>
        <v/>
      </c>
      <c r="S542" s="17">
        <f>IF(AND($A542&lt;&gt;"",$C542&lt;&gt;""),IF(COUNTIFS($A$2:$A$1000,$A542,$C$2:$C$1000,$C542)&gt;1,"DUPLICAT",""),"")</f>
        <v/>
      </c>
    </row>
    <row r="543">
      <c r="A543" s="12" t="n"/>
      <c r="B543" s="12" t="n"/>
      <c r="C543" s="12" t="n"/>
      <c r="D543" s="13" t="n"/>
      <c r="E543" s="12" t="n"/>
      <c r="F543" s="14" t="n"/>
      <c r="G543" s="12" t="n"/>
      <c r="H543" s="12" t="n"/>
      <c r="I543" s="12" t="n"/>
      <c r="J543" s="14" t="n"/>
      <c r="K543" s="14" t="n"/>
      <c r="L543" s="15" t="n"/>
      <c r="M543" s="15" t="n"/>
      <c r="N543" s="12" t="n"/>
      <c r="O543" s="12" t="n"/>
      <c r="P543" s="16">
        <f>IF(AND(ISNUMBER($L543),ISNUMBER($M543)),MAX(0,$M543-$L543),"")</f>
        <v/>
      </c>
      <c r="Q543" s="16">
        <f>IF(ISNUMBER($D543),MAX(0,TODAY()-$D543),"")</f>
        <v/>
      </c>
      <c r="R543" s="14">
        <f>IF(COUNTA($A543:$O543)=0,"",IFERROR(TRIM(TEXTJOIN(" | ",TRUE,IF($A543="","PC kosong",""),IF($C543="","Worker ID kosong",""),IF($D543="","Update Date kosong",IF(NOT(ISNUMBER($D543)),"Update Date bukan tanggal","")),IF($E543="","Song ID YT kosong",""),IF($F543="","Judul kosong",""),IF(TRIM($G543)="","",IF(ISERROR(MATCH(TRIM($G543),{"TuneCore","DistroKid","TooLost","SoundOn","Ditto","Believe","CD Baby","Amuse","Symphonic Distribution","ONErpm","RouteNote","LANDR","Horus Music","Indie"},0)),"Aggregator di luar daftar","")),IF(TRIM($H543)="","Genre kosong",IF((LEN(SUBSTITUTE(SUBSTITUTE(SUBSTITUTE(TRIM($H543),"/",","),";",",")," ",""))-LEN(SUBSTITUTE(SUBSTITUTE(SUBSTITUTE(SUBSTITUTE(TRIM($H543),"/",","),";",","),"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543),"/",","),";",",")," ","")&amp;",")))&lt;&gt;(LEN(SUBSTITUTE(SUBSTITUTE(SUBSTITUTE(TRIM($H543),"/",","),";",",")," ",""))-LEN(SUBSTITUTE(SUBSTITUTE(SUBSTITUTE(SUBSTITUTE(TRIM($H543),"/",","),";",",")," ",""),",",""))+1),"Genre di luar daftar",""))),IF($I543="","Nama Channel kosong",""),IF($J543="","Link Channel kosong",IF(ISERROR(SEARCH("youtu",$J543)),"Link Channel bukan youtube","")),IF($K543="","Link Video kosong",IF(ISERROR(SEARCH("youtu",$K543)),"Link Video bukan youtube","")),IF($L543="","Tgl Dibuat kosong",IF(NOT(ISNUMBER($L543)),"Tgl Dibuat bukan tanggal","")),IF(AND($M543&lt;&gt;"",NOT(ISNUMBER($M543))),"Tgl Publish bukan tanggal",""),IF(AND(ISNUMBER($L543),ISNUMBER($M543),$M543&lt;$L543),"Tgl Publish &lt; Tgl buat",""),IF(TRIM($N543)="","Status kosong",IF(ISERROR(MATCH(TRIM($N543),{"Draft","Menunggu Review","Revisi","Terjadwal","Upload","Publish","Published","Batal"},0)),"Status di luar daftar","")))),""))</f>
        <v/>
      </c>
      <c r="S543" s="12">
        <f>IF(AND($A543&lt;&gt;"",$C543&lt;&gt;""),IF(COUNTIFS($A$2:$A$1000,$A543,$C$2:$C$1000,$C543)&gt;1,"DUPLICAT",""),"")</f>
        <v/>
      </c>
    </row>
    <row r="544">
      <c r="A544" s="17" t="n"/>
      <c r="B544" s="17" t="n"/>
      <c r="C544" s="17" t="n"/>
      <c r="D544" s="18" t="n"/>
      <c r="E544" s="17" t="n"/>
      <c r="F544" s="19" t="n"/>
      <c r="G544" s="17" t="n"/>
      <c r="H544" s="17" t="n"/>
      <c r="I544" s="17" t="n"/>
      <c r="J544" s="19" t="n"/>
      <c r="K544" s="19" t="n"/>
      <c r="L544" s="20" t="n"/>
      <c r="M544" s="20" t="n"/>
      <c r="N544" s="17" t="n"/>
      <c r="O544" s="17" t="n"/>
      <c r="P544" s="21">
        <f>IF(AND(ISNUMBER($L544),ISNUMBER($M544)),MAX(0,$M544-$L544),"")</f>
        <v/>
      </c>
      <c r="Q544" s="21">
        <f>IF(ISNUMBER($D544),MAX(0,TODAY()-$D544),"")</f>
        <v/>
      </c>
      <c r="R544" s="19">
        <f>IF(COUNTA($A544:$O544)=0,"",IFERROR(TRIM(TEXTJOIN(" | ",TRUE,IF($A544="","PC kosong",""),IF($C544="","Worker ID kosong",""),IF($D544="","Update Date kosong",IF(NOT(ISNUMBER($D544)),"Update Date bukan tanggal","")),IF($E544="","Song ID YT kosong",""),IF($F544="","Judul kosong",""),IF(TRIM($G544)="","",IF(ISERROR(MATCH(TRIM($G544),{"TuneCore","DistroKid","TooLost","SoundOn","Ditto","Believe","CD Baby","Amuse","Symphonic Distribution","ONErpm","RouteNote","LANDR","Horus Music","Indie"},0)),"Aggregator di luar daftar","")),IF(TRIM($H544)="","Genre kosong",IF((LEN(SUBSTITUTE(SUBSTITUTE(SUBSTITUTE(TRIM($H544),"/",","),";",",")," ",""))-LEN(SUBSTITUTE(SUBSTITUTE(SUBSTITUTE(SUBSTITUTE(TRIM($H544),"/",","),";",","),"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544),"/",","),";",",")," ","")&amp;",")))&lt;&gt;(LEN(SUBSTITUTE(SUBSTITUTE(SUBSTITUTE(TRIM($H544),"/",","),";",",")," ",""))-LEN(SUBSTITUTE(SUBSTITUTE(SUBSTITUTE(SUBSTITUTE(TRIM($H544),"/",","),";",",")," ",""),",",""))+1),"Genre di luar daftar",""))),IF($I544="","Nama Channel kosong",""),IF($J544="","Link Channel kosong",IF(ISERROR(SEARCH("youtu",$J544)),"Link Channel bukan youtube","")),IF($K544="","Link Video kosong",IF(ISERROR(SEARCH("youtu",$K544)),"Link Video bukan youtube","")),IF($L544="","Tgl Dibuat kosong",IF(NOT(ISNUMBER($L544)),"Tgl Dibuat bukan tanggal","")),IF(AND($M544&lt;&gt;"",NOT(ISNUMBER($M544))),"Tgl Publish bukan tanggal",""),IF(AND(ISNUMBER($L544),ISNUMBER($M544),$M544&lt;$L544),"Tgl Publish &lt; Tgl buat",""),IF(TRIM($N544)="","Status kosong",IF(ISERROR(MATCH(TRIM($N544),{"Draft","Menunggu Review","Revisi","Terjadwal","Upload","Publish","Published","Batal"},0)),"Status di luar daftar","")))),""))</f>
        <v/>
      </c>
      <c r="S544" s="17">
        <f>IF(AND($A544&lt;&gt;"",$C544&lt;&gt;""),IF(COUNTIFS($A$2:$A$1000,$A544,$C$2:$C$1000,$C544)&gt;1,"DUPLICAT",""),"")</f>
        <v/>
      </c>
    </row>
    <row r="545">
      <c r="A545" s="12" t="n"/>
      <c r="B545" s="12" t="n"/>
      <c r="C545" s="12" t="n"/>
      <c r="D545" s="13" t="n"/>
      <c r="E545" s="12" t="n"/>
      <c r="F545" s="14" t="n"/>
      <c r="G545" s="12" t="n"/>
      <c r="H545" s="12" t="n"/>
      <c r="I545" s="12" t="n"/>
      <c r="J545" s="14" t="n"/>
      <c r="K545" s="14" t="n"/>
      <c r="L545" s="15" t="n"/>
      <c r="M545" s="15" t="n"/>
      <c r="N545" s="12" t="n"/>
      <c r="O545" s="12" t="n"/>
      <c r="P545" s="16">
        <f>IF(AND(ISNUMBER($L545),ISNUMBER($M545)),MAX(0,$M545-$L545),"")</f>
        <v/>
      </c>
      <c r="Q545" s="16">
        <f>IF(ISNUMBER($D545),MAX(0,TODAY()-$D545),"")</f>
        <v/>
      </c>
      <c r="R545" s="14">
        <f>IF(COUNTA($A545:$O545)=0,"",IFERROR(TRIM(TEXTJOIN(" | ",TRUE,IF($A545="","PC kosong",""),IF($C545="","Worker ID kosong",""),IF($D545="","Update Date kosong",IF(NOT(ISNUMBER($D545)),"Update Date bukan tanggal","")),IF($E545="","Song ID YT kosong",""),IF($F545="","Judul kosong",""),IF(TRIM($G545)="","",IF(ISERROR(MATCH(TRIM($G545),{"TuneCore","DistroKid","TooLost","SoundOn","Ditto","Believe","CD Baby","Amuse","Symphonic Distribution","ONErpm","RouteNote","LANDR","Horus Music","Indie"},0)),"Aggregator di luar daftar","")),IF(TRIM($H545)="","Genre kosong",IF((LEN(SUBSTITUTE(SUBSTITUTE(SUBSTITUTE(TRIM($H545),"/",","),";",",")," ",""))-LEN(SUBSTITUTE(SUBSTITUTE(SUBSTITUTE(SUBSTITUTE(TRIM($H545),"/",","),";",","),"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545),"/",","),";",",")," ","")&amp;",")))&lt;&gt;(LEN(SUBSTITUTE(SUBSTITUTE(SUBSTITUTE(TRIM($H545),"/",","),";",",")," ",""))-LEN(SUBSTITUTE(SUBSTITUTE(SUBSTITUTE(SUBSTITUTE(TRIM($H545),"/",","),";",",")," ",""),",",""))+1),"Genre di luar daftar",""))),IF($I545="","Nama Channel kosong",""),IF($J545="","Link Channel kosong",IF(ISERROR(SEARCH("youtu",$J545)),"Link Channel bukan youtube","")),IF($K545="","Link Video kosong",IF(ISERROR(SEARCH("youtu",$K545)),"Link Video bukan youtube","")),IF($L545="","Tgl Dibuat kosong",IF(NOT(ISNUMBER($L545)),"Tgl Dibuat bukan tanggal","")),IF(AND($M545&lt;&gt;"",NOT(ISNUMBER($M545))),"Tgl Publish bukan tanggal",""),IF(AND(ISNUMBER($L545),ISNUMBER($M545),$M545&lt;$L545),"Tgl Publish &lt; Tgl buat",""),IF(TRIM($N545)="","Status kosong",IF(ISERROR(MATCH(TRIM($N545),{"Draft","Menunggu Review","Revisi","Terjadwal","Upload","Publish","Published","Batal"},0)),"Status di luar daftar","")))),""))</f>
        <v/>
      </c>
      <c r="S545" s="12">
        <f>IF(AND($A545&lt;&gt;"",$C545&lt;&gt;""),IF(COUNTIFS($A$2:$A$1000,$A545,$C$2:$C$1000,$C545)&gt;1,"DUPLICAT",""),"")</f>
        <v/>
      </c>
    </row>
    <row r="546">
      <c r="A546" s="17" t="n"/>
      <c r="B546" s="17" t="n"/>
      <c r="C546" s="17" t="n"/>
      <c r="D546" s="18" t="n"/>
      <c r="E546" s="17" t="n"/>
      <c r="F546" s="19" t="n"/>
      <c r="G546" s="17" t="n"/>
      <c r="H546" s="17" t="n"/>
      <c r="I546" s="17" t="n"/>
      <c r="J546" s="19" t="n"/>
      <c r="K546" s="19" t="n"/>
      <c r="L546" s="20" t="n"/>
      <c r="M546" s="20" t="n"/>
      <c r="N546" s="17" t="n"/>
      <c r="O546" s="17" t="n"/>
      <c r="P546" s="21">
        <f>IF(AND(ISNUMBER($L546),ISNUMBER($M546)),MAX(0,$M546-$L546),"")</f>
        <v/>
      </c>
      <c r="Q546" s="21">
        <f>IF(ISNUMBER($D546),MAX(0,TODAY()-$D546),"")</f>
        <v/>
      </c>
      <c r="R546" s="19">
        <f>IF(COUNTA($A546:$O546)=0,"",IFERROR(TRIM(TEXTJOIN(" | ",TRUE,IF($A546="","PC kosong",""),IF($C546="","Worker ID kosong",""),IF($D546="","Update Date kosong",IF(NOT(ISNUMBER($D546)),"Update Date bukan tanggal","")),IF($E546="","Song ID YT kosong",""),IF($F546="","Judul kosong",""),IF(TRIM($G546)="","",IF(ISERROR(MATCH(TRIM($G546),{"TuneCore","DistroKid","TooLost","SoundOn","Ditto","Believe","CD Baby","Amuse","Symphonic Distribution","ONErpm","RouteNote","LANDR","Horus Music","Indie"},0)),"Aggregator di luar daftar","")),IF(TRIM($H546)="","Genre kosong",IF((LEN(SUBSTITUTE(SUBSTITUTE(SUBSTITUTE(TRIM($H546),"/",","),";",",")," ",""))-LEN(SUBSTITUTE(SUBSTITUTE(SUBSTITUTE(SUBSTITUTE(TRIM($H546),"/",","),";",","),"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546),"/",","),";",",")," ","")&amp;",")))&lt;&gt;(LEN(SUBSTITUTE(SUBSTITUTE(SUBSTITUTE(TRIM($H546),"/",","),";",",")," ",""))-LEN(SUBSTITUTE(SUBSTITUTE(SUBSTITUTE(SUBSTITUTE(TRIM($H546),"/",","),";",",")," ",""),",",""))+1),"Genre di luar daftar",""))),IF($I546="","Nama Channel kosong",""),IF($J546="","Link Channel kosong",IF(ISERROR(SEARCH("youtu",$J546)),"Link Channel bukan youtube","")),IF($K546="","Link Video kosong",IF(ISERROR(SEARCH("youtu",$K546)),"Link Video bukan youtube","")),IF($L546="","Tgl Dibuat kosong",IF(NOT(ISNUMBER($L546)),"Tgl Dibuat bukan tanggal","")),IF(AND($M546&lt;&gt;"",NOT(ISNUMBER($M546))),"Tgl Publish bukan tanggal",""),IF(AND(ISNUMBER($L546),ISNUMBER($M546),$M546&lt;$L546),"Tgl Publish &lt; Tgl buat",""),IF(TRIM($N546)="","Status kosong",IF(ISERROR(MATCH(TRIM($N546),{"Draft","Menunggu Review","Revisi","Terjadwal","Upload","Publish","Published","Batal"},0)),"Status di luar daftar","")))),""))</f>
        <v/>
      </c>
      <c r="S546" s="17">
        <f>IF(AND($A546&lt;&gt;"",$C546&lt;&gt;""),IF(COUNTIFS($A$2:$A$1000,$A546,$C$2:$C$1000,$C546)&gt;1,"DUPLICAT",""),"")</f>
        <v/>
      </c>
    </row>
    <row r="547">
      <c r="A547" s="12" t="n"/>
      <c r="B547" s="12" t="n"/>
      <c r="C547" s="12" t="n"/>
      <c r="D547" s="13" t="n"/>
      <c r="E547" s="12" t="n"/>
      <c r="F547" s="14" t="n"/>
      <c r="G547" s="12" t="n"/>
      <c r="H547" s="12" t="n"/>
      <c r="I547" s="12" t="n"/>
      <c r="J547" s="14" t="n"/>
      <c r="K547" s="14" t="n"/>
      <c r="L547" s="15" t="n"/>
      <c r="M547" s="15" t="n"/>
      <c r="N547" s="12" t="n"/>
      <c r="O547" s="12" t="n"/>
      <c r="P547" s="16">
        <f>IF(AND(ISNUMBER($L547),ISNUMBER($M547)),MAX(0,$M547-$L547),"")</f>
        <v/>
      </c>
      <c r="Q547" s="16">
        <f>IF(ISNUMBER($D547),MAX(0,TODAY()-$D547),"")</f>
        <v/>
      </c>
      <c r="R547" s="14">
        <f>IF(COUNTA($A547:$O547)=0,"",IFERROR(TRIM(TEXTJOIN(" | ",TRUE,IF($A547="","PC kosong",""),IF($C547="","Worker ID kosong",""),IF($D547="","Update Date kosong",IF(NOT(ISNUMBER($D547)),"Update Date bukan tanggal","")),IF($E547="","Song ID YT kosong",""),IF($F547="","Judul kosong",""),IF(TRIM($G547)="","",IF(ISERROR(MATCH(TRIM($G547),{"TuneCore","DistroKid","TooLost","SoundOn","Ditto","Believe","CD Baby","Amuse","Symphonic Distribution","ONErpm","RouteNote","LANDR","Horus Music","Indie"},0)),"Aggregator di luar daftar","")),IF(TRIM($H547)="","Genre kosong",IF((LEN(SUBSTITUTE(SUBSTITUTE(SUBSTITUTE(TRIM($H547),"/",","),";",",")," ",""))-LEN(SUBSTITUTE(SUBSTITUTE(SUBSTITUTE(SUBSTITUTE(TRIM($H547),"/",","),";",","),"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547),"/",","),";",",")," ","")&amp;",")))&lt;&gt;(LEN(SUBSTITUTE(SUBSTITUTE(SUBSTITUTE(TRIM($H547),"/",","),";",",")," ",""))-LEN(SUBSTITUTE(SUBSTITUTE(SUBSTITUTE(SUBSTITUTE(TRIM($H547),"/",","),";",",")," ",""),",",""))+1),"Genre di luar daftar",""))),IF($I547="","Nama Channel kosong",""),IF($J547="","Link Channel kosong",IF(ISERROR(SEARCH("youtu",$J547)),"Link Channel bukan youtube","")),IF($K547="","Link Video kosong",IF(ISERROR(SEARCH("youtu",$K547)),"Link Video bukan youtube","")),IF($L547="","Tgl Dibuat kosong",IF(NOT(ISNUMBER($L547)),"Tgl Dibuat bukan tanggal","")),IF(AND($M547&lt;&gt;"",NOT(ISNUMBER($M547))),"Tgl Publish bukan tanggal",""),IF(AND(ISNUMBER($L547),ISNUMBER($M547),$M547&lt;$L547),"Tgl Publish &lt; Tgl buat",""),IF(TRIM($N547)="","Status kosong",IF(ISERROR(MATCH(TRIM($N547),{"Draft","Menunggu Review","Revisi","Terjadwal","Upload","Publish","Published","Batal"},0)),"Status di luar daftar","")))),""))</f>
        <v/>
      </c>
      <c r="S547" s="12">
        <f>IF(AND($A547&lt;&gt;"",$C547&lt;&gt;""),IF(COUNTIFS($A$2:$A$1000,$A547,$C$2:$C$1000,$C547)&gt;1,"DUPLICAT",""),"")</f>
        <v/>
      </c>
    </row>
    <row r="548">
      <c r="A548" s="17" t="n"/>
      <c r="B548" s="17" t="n"/>
      <c r="C548" s="17" t="n"/>
      <c r="D548" s="18" t="n"/>
      <c r="E548" s="17" t="n"/>
      <c r="F548" s="19" t="n"/>
      <c r="G548" s="17" t="n"/>
      <c r="H548" s="17" t="n"/>
      <c r="I548" s="17" t="n"/>
      <c r="J548" s="19" t="n"/>
      <c r="K548" s="19" t="n"/>
      <c r="L548" s="20" t="n"/>
      <c r="M548" s="20" t="n"/>
      <c r="N548" s="17" t="n"/>
      <c r="O548" s="17" t="n"/>
      <c r="P548" s="21">
        <f>IF(AND(ISNUMBER($L548),ISNUMBER($M548)),MAX(0,$M548-$L548),"")</f>
        <v/>
      </c>
      <c r="Q548" s="21">
        <f>IF(ISNUMBER($D548),MAX(0,TODAY()-$D548),"")</f>
        <v/>
      </c>
      <c r="R548" s="19">
        <f>IF(COUNTA($A548:$O548)=0,"",IFERROR(TRIM(TEXTJOIN(" | ",TRUE,IF($A548="","PC kosong",""),IF($C548="","Worker ID kosong",""),IF($D548="","Update Date kosong",IF(NOT(ISNUMBER($D548)),"Update Date bukan tanggal","")),IF($E548="","Song ID YT kosong",""),IF($F548="","Judul kosong",""),IF(TRIM($G548)="","",IF(ISERROR(MATCH(TRIM($G548),{"TuneCore","DistroKid","TooLost","SoundOn","Ditto","Believe","CD Baby","Amuse","Symphonic Distribution","ONErpm","RouteNote","LANDR","Horus Music","Indie"},0)),"Aggregator di luar daftar","")),IF(TRIM($H548)="","Genre kosong",IF((LEN(SUBSTITUTE(SUBSTITUTE(SUBSTITUTE(TRIM($H548),"/",","),";",",")," ",""))-LEN(SUBSTITUTE(SUBSTITUTE(SUBSTITUTE(SUBSTITUTE(TRIM($H548),"/",","),";",","),"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548),"/",","),";",",")," ","")&amp;",")))&lt;&gt;(LEN(SUBSTITUTE(SUBSTITUTE(SUBSTITUTE(TRIM($H548),"/",","),";",",")," ",""))-LEN(SUBSTITUTE(SUBSTITUTE(SUBSTITUTE(SUBSTITUTE(TRIM($H548),"/",","),";",",")," ",""),",",""))+1),"Genre di luar daftar",""))),IF($I548="","Nama Channel kosong",""),IF($J548="","Link Channel kosong",IF(ISERROR(SEARCH("youtu",$J548)),"Link Channel bukan youtube","")),IF($K548="","Link Video kosong",IF(ISERROR(SEARCH("youtu",$K548)),"Link Video bukan youtube","")),IF($L548="","Tgl Dibuat kosong",IF(NOT(ISNUMBER($L548)),"Tgl Dibuat bukan tanggal","")),IF(AND($M548&lt;&gt;"",NOT(ISNUMBER($M548))),"Tgl Publish bukan tanggal",""),IF(AND(ISNUMBER($L548),ISNUMBER($M548),$M548&lt;$L548),"Tgl Publish &lt; Tgl buat",""),IF(TRIM($N548)="","Status kosong",IF(ISERROR(MATCH(TRIM($N548),{"Draft","Menunggu Review","Revisi","Terjadwal","Upload","Publish","Published","Batal"},0)),"Status di luar daftar","")))),""))</f>
        <v/>
      </c>
      <c r="S548" s="17">
        <f>IF(AND($A548&lt;&gt;"",$C548&lt;&gt;""),IF(COUNTIFS($A$2:$A$1000,$A548,$C$2:$C$1000,$C548)&gt;1,"DUPLICAT",""),"")</f>
        <v/>
      </c>
    </row>
    <row r="549">
      <c r="A549" s="12" t="n"/>
      <c r="B549" s="12" t="n"/>
      <c r="C549" s="12" t="n"/>
      <c r="D549" s="13" t="n"/>
      <c r="E549" s="12" t="n"/>
      <c r="F549" s="14" t="n"/>
      <c r="G549" s="12" t="n"/>
      <c r="H549" s="12" t="n"/>
      <c r="I549" s="12" t="n"/>
      <c r="J549" s="14" t="n"/>
      <c r="K549" s="14" t="n"/>
      <c r="L549" s="15" t="n"/>
      <c r="M549" s="15" t="n"/>
      <c r="N549" s="12" t="n"/>
      <c r="O549" s="12" t="n"/>
      <c r="P549" s="16">
        <f>IF(AND(ISNUMBER($L549),ISNUMBER($M549)),MAX(0,$M549-$L549),"")</f>
        <v/>
      </c>
      <c r="Q549" s="16">
        <f>IF(ISNUMBER($D549),MAX(0,TODAY()-$D549),"")</f>
        <v/>
      </c>
      <c r="R549" s="14">
        <f>IF(COUNTA($A549:$O549)=0,"",IFERROR(TRIM(TEXTJOIN(" | ",TRUE,IF($A549="","PC kosong",""),IF($C549="","Worker ID kosong",""),IF($D549="","Update Date kosong",IF(NOT(ISNUMBER($D549)),"Update Date bukan tanggal","")),IF($E549="","Song ID YT kosong",""),IF($F549="","Judul kosong",""),IF(TRIM($G549)="","",IF(ISERROR(MATCH(TRIM($G549),{"TuneCore","DistroKid","TooLost","SoundOn","Ditto","Believe","CD Baby","Amuse","Symphonic Distribution","ONErpm","RouteNote","LANDR","Horus Music","Indie"},0)),"Aggregator di luar daftar","")),IF(TRIM($H549)="","Genre kosong",IF((LEN(SUBSTITUTE(SUBSTITUTE(SUBSTITUTE(TRIM($H549),"/",","),";",",")," ",""))-LEN(SUBSTITUTE(SUBSTITUTE(SUBSTITUTE(SUBSTITUTE(TRIM($H549),"/",","),";",","),"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549),"/",","),";",",")," ","")&amp;",")))&lt;&gt;(LEN(SUBSTITUTE(SUBSTITUTE(SUBSTITUTE(TRIM($H549),"/",","),";",",")," ",""))-LEN(SUBSTITUTE(SUBSTITUTE(SUBSTITUTE(SUBSTITUTE(TRIM($H549),"/",","),";",",")," ",""),",",""))+1),"Genre di luar daftar",""))),IF($I549="","Nama Channel kosong",""),IF($J549="","Link Channel kosong",IF(ISERROR(SEARCH("youtu",$J549)),"Link Channel bukan youtube","")),IF($K549="","Link Video kosong",IF(ISERROR(SEARCH("youtu",$K549)),"Link Video bukan youtube","")),IF($L549="","Tgl Dibuat kosong",IF(NOT(ISNUMBER($L549)),"Tgl Dibuat bukan tanggal","")),IF(AND($M549&lt;&gt;"",NOT(ISNUMBER($M549))),"Tgl Publish bukan tanggal",""),IF(AND(ISNUMBER($L549),ISNUMBER($M549),$M549&lt;$L549),"Tgl Publish &lt; Tgl buat",""),IF(TRIM($N549)="","Status kosong",IF(ISERROR(MATCH(TRIM($N549),{"Draft","Menunggu Review","Revisi","Terjadwal","Upload","Publish","Published","Batal"},0)),"Status di luar daftar","")))),""))</f>
        <v/>
      </c>
      <c r="S549" s="12">
        <f>IF(AND($A549&lt;&gt;"",$C549&lt;&gt;""),IF(COUNTIFS($A$2:$A$1000,$A549,$C$2:$C$1000,$C549)&gt;1,"DUPLICAT",""),"")</f>
        <v/>
      </c>
    </row>
    <row r="550">
      <c r="A550" s="17" t="n"/>
      <c r="B550" s="17" t="n"/>
      <c r="C550" s="17" t="n"/>
      <c r="D550" s="18" t="n"/>
      <c r="E550" s="17" t="n"/>
      <c r="F550" s="19" t="n"/>
      <c r="G550" s="17" t="n"/>
      <c r="H550" s="17" t="n"/>
      <c r="I550" s="17" t="n"/>
      <c r="J550" s="19" t="n"/>
      <c r="K550" s="19" t="n"/>
      <c r="L550" s="20" t="n"/>
      <c r="M550" s="20" t="n"/>
      <c r="N550" s="17" t="n"/>
      <c r="O550" s="17" t="n"/>
      <c r="P550" s="21">
        <f>IF(AND(ISNUMBER($L550),ISNUMBER($M550)),MAX(0,$M550-$L550),"")</f>
        <v/>
      </c>
      <c r="Q550" s="21">
        <f>IF(ISNUMBER($D550),MAX(0,TODAY()-$D550),"")</f>
        <v/>
      </c>
      <c r="R550" s="19">
        <f>IF(COUNTA($A550:$O550)=0,"",IFERROR(TRIM(TEXTJOIN(" | ",TRUE,IF($A550="","PC kosong",""),IF($C550="","Worker ID kosong",""),IF($D550="","Update Date kosong",IF(NOT(ISNUMBER($D550)),"Update Date bukan tanggal","")),IF($E550="","Song ID YT kosong",""),IF($F550="","Judul kosong",""),IF(TRIM($G550)="","",IF(ISERROR(MATCH(TRIM($G550),{"TuneCore","DistroKid","TooLost","SoundOn","Ditto","Believe","CD Baby","Amuse","Symphonic Distribution","ONErpm","RouteNote","LANDR","Horus Music","Indie"},0)),"Aggregator di luar daftar","")),IF(TRIM($H550)="","Genre kosong",IF((LEN(SUBSTITUTE(SUBSTITUTE(SUBSTITUTE(TRIM($H550),"/",","),";",",")," ",""))-LEN(SUBSTITUTE(SUBSTITUTE(SUBSTITUTE(SUBSTITUTE(TRIM($H550),"/",","),";",","),"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550),"/",","),";",",")," ","")&amp;",")))&lt;&gt;(LEN(SUBSTITUTE(SUBSTITUTE(SUBSTITUTE(TRIM($H550),"/",","),";",",")," ",""))-LEN(SUBSTITUTE(SUBSTITUTE(SUBSTITUTE(SUBSTITUTE(TRIM($H550),"/",","),";",",")," ",""),",",""))+1),"Genre di luar daftar",""))),IF($I550="","Nama Channel kosong",""),IF($J550="","Link Channel kosong",IF(ISERROR(SEARCH("youtu",$J550)),"Link Channel bukan youtube","")),IF($K550="","Link Video kosong",IF(ISERROR(SEARCH("youtu",$K550)),"Link Video bukan youtube","")),IF($L550="","Tgl Dibuat kosong",IF(NOT(ISNUMBER($L550)),"Tgl Dibuat bukan tanggal","")),IF(AND($M550&lt;&gt;"",NOT(ISNUMBER($M550))),"Tgl Publish bukan tanggal",""),IF(AND(ISNUMBER($L550),ISNUMBER($M550),$M550&lt;$L550),"Tgl Publish &lt; Tgl buat",""),IF(TRIM($N550)="","Status kosong",IF(ISERROR(MATCH(TRIM($N550),{"Draft","Menunggu Review","Revisi","Terjadwal","Upload","Publish","Published","Batal"},0)),"Status di luar daftar","")))),""))</f>
        <v/>
      </c>
      <c r="S550" s="17">
        <f>IF(AND($A550&lt;&gt;"",$C550&lt;&gt;""),IF(COUNTIFS($A$2:$A$1000,$A550,$C$2:$C$1000,$C550)&gt;1,"DUPLICAT",""),"")</f>
        <v/>
      </c>
    </row>
    <row r="551">
      <c r="A551" s="12" t="n"/>
      <c r="B551" s="12" t="n"/>
      <c r="C551" s="12" t="n"/>
      <c r="D551" s="13" t="n"/>
      <c r="E551" s="12" t="n"/>
      <c r="F551" s="14" t="n"/>
      <c r="G551" s="12" t="n"/>
      <c r="H551" s="12" t="n"/>
      <c r="I551" s="12" t="n"/>
      <c r="J551" s="14" t="n"/>
      <c r="K551" s="14" t="n"/>
      <c r="L551" s="15" t="n"/>
      <c r="M551" s="15" t="n"/>
      <c r="N551" s="12" t="n"/>
      <c r="O551" s="12" t="n"/>
      <c r="P551" s="16">
        <f>IF(AND(ISNUMBER($L551),ISNUMBER($M551)),MAX(0,$M551-$L551),"")</f>
        <v/>
      </c>
      <c r="Q551" s="16">
        <f>IF(ISNUMBER($D551),MAX(0,TODAY()-$D551),"")</f>
        <v/>
      </c>
      <c r="R551" s="14">
        <f>IF(COUNTA($A551:$O551)=0,"",IFERROR(TRIM(TEXTJOIN(" | ",TRUE,IF($A551="","PC kosong",""),IF($C551="","Worker ID kosong",""),IF($D551="","Update Date kosong",IF(NOT(ISNUMBER($D551)),"Update Date bukan tanggal","")),IF($E551="","Song ID YT kosong",""),IF($F551="","Judul kosong",""),IF(TRIM($G551)="","",IF(ISERROR(MATCH(TRIM($G551),{"TuneCore","DistroKid","TooLost","SoundOn","Ditto","Believe","CD Baby","Amuse","Symphonic Distribution","ONErpm","RouteNote","LANDR","Horus Music","Indie"},0)),"Aggregator di luar daftar","")),IF(TRIM($H551)="","Genre kosong",IF((LEN(SUBSTITUTE(SUBSTITUTE(SUBSTITUTE(TRIM($H551),"/",","),";",",")," ",""))-LEN(SUBSTITUTE(SUBSTITUTE(SUBSTITUTE(SUBSTITUTE(TRIM($H551),"/",","),";",","),"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551),"/",","),";",",")," ","")&amp;",")))&lt;&gt;(LEN(SUBSTITUTE(SUBSTITUTE(SUBSTITUTE(TRIM($H551),"/",","),";",",")," ",""))-LEN(SUBSTITUTE(SUBSTITUTE(SUBSTITUTE(SUBSTITUTE(TRIM($H551),"/",","),";",",")," ",""),",",""))+1),"Genre di luar daftar",""))),IF($I551="","Nama Channel kosong",""),IF($J551="","Link Channel kosong",IF(ISERROR(SEARCH("youtu",$J551)),"Link Channel bukan youtube","")),IF($K551="","Link Video kosong",IF(ISERROR(SEARCH("youtu",$K551)),"Link Video bukan youtube","")),IF($L551="","Tgl Dibuat kosong",IF(NOT(ISNUMBER($L551)),"Tgl Dibuat bukan tanggal","")),IF(AND($M551&lt;&gt;"",NOT(ISNUMBER($M551))),"Tgl Publish bukan tanggal",""),IF(AND(ISNUMBER($L551),ISNUMBER($M551),$M551&lt;$L551),"Tgl Publish &lt; Tgl buat",""),IF(TRIM($N551)="","Status kosong",IF(ISERROR(MATCH(TRIM($N551),{"Draft","Menunggu Review","Revisi","Terjadwal","Upload","Publish","Published","Batal"},0)),"Status di luar daftar","")))),""))</f>
        <v/>
      </c>
      <c r="S551" s="12">
        <f>IF(AND($A551&lt;&gt;"",$C551&lt;&gt;""),IF(COUNTIFS($A$2:$A$1000,$A551,$C$2:$C$1000,$C551)&gt;1,"DUPLICAT",""),"")</f>
        <v/>
      </c>
    </row>
    <row r="552">
      <c r="A552" s="17" t="n"/>
      <c r="B552" s="17" t="n"/>
      <c r="C552" s="17" t="n"/>
      <c r="D552" s="18" t="n"/>
      <c r="E552" s="17" t="n"/>
      <c r="F552" s="19" t="n"/>
      <c r="G552" s="17" t="n"/>
      <c r="H552" s="17" t="n"/>
      <c r="I552" s="17" t="n"/>
      <c r="J552" s="19" t="n"/>
      <c r="K552" s="19" t="n"/>
      <c r="L552" s="20" t="n"/>
      <c r="M552" s="20" t="n"/>
      <c r="N552" s="17" t="n"/>
      <c r="O552" s="17" t="n"/>
      <c r="P552" s="21">
        <f>IF(AND(ISNUMBER($L552),ISNUMBER($M552)),MAX(0,$M552-$L552),"")</f>
        <v/>
      </c>
      <c r="Q552" s="21">
        <f>IF(ISNUMBER($D552),MAX(0,TODAY()-$D552),"")</f>
        <v/>
      </c>
      <c r="R552" s="19">
        <f>IF(COUNTA($A552:$O552)=0,"",IFERROR(TRIM(TEXTJOIN(" | ",TRUE,IF($A552="","PC kosong",""),IF($C552="","Worker ID kosong",""),IF($D552="","Update Date kosong",IF(NOT(ISNUMBER($D552)),"Update Date bukan tanggal","")),IF($E552="","Song ID YT kosong",""),IF($F552="","Judul kosong",""),IF(TRIM($G552)="","",IF(ISERROR(MATCH(TRIM($G552),{"TuneCore","DistroKid","TooLost","SoundOn","Ditto","Believe","CD Baby","Amuse","Symphonic Distribution","ONErpm","RouteNote","LANDR","Horus Music","Indie"},0)),"Aggregator di luar daftar","")),IF(TRIM($H552)="","Genre kosong",IF((LEN(SUBSTITUTE(SUBSTITUTE(SUBSTITUTE(TRIM($H552),"/",","),";",",")," ",""))-LEN(SUBSTITUTE(SUBSTITUTE(SUBSTITUTE(SUBSTITUTE(TRIM($H552),"/",","),";",","),"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552),"/",","),";",",")," ","")&amp;",")))&lt;&gt;(LEN(SUBSTITUTE(SUBSTITUTE(SUBSTITUTE(TRIM($H552),"/",","),";",",")," ",""))-LEN(SUBSTITUTE(SUBSTITUTE(SUBSTITUTE(SUBSTITUTE(TRIM($H552),"/",","),";",",")," ",""),",",""))+1),"Genre di luar daftar",""))),IF($I552="","Nama Channel kosong",""),IF($J552="","Link Channel kosong",IF(ISERROR(SEARCH("youtu",$J552)),"Link Channel bukan youtube","")),IF($K552="","Link Video kosong",IF(ISERROR(SEARCH("youtu",$K552)),"Link Video bukan youtube","")),IF($L552="","Tgl Dibuat kosong",IF(NOT(ISNUMBER($L552)),"Tgl Dibuat bukan tanggal","")),IF(AND($M552&lt;&gt;"",NOT(ISNUMBER($M552))),"Tgl Publish bukan tanggal",""),IF(AND(ISNUMBER($L552),ISNUMBER($M552),$M552&lt;$L552),"Tgl Publish &lt; Tgl buat",""),IF(TRIM($N552)="","Status kosong",IF(ISERROR(MATCH(TRIM($N552),{"Draft","Menunggu Review","Revisi","Terjadwal","Upload","Publish","Published","Batal"},0)),"Status di luar daftar","")))),""))</f>
        <v/>
      </c>
      <c r="S552" s="17">
        <f>IF(AND($A552&lt;&gt;"",$C552&lt;&gt;""),IF(COUNTIFS($A$2:$A$1000,$A552,$C$2:$C$1000,$C552)&gt;1,"DUPLICAT",""),"")</f>
        <v/>
      </c>
    </row>
    <row r="553">
      <c r="A553" s="12" t="n"/>
      <c r="B553" s="12" t="n"/>
      <c r="C553" s="12" t="n"/>
      <c r="D553" s="13" t="n"/>
      <c r="E553" s="12" t="n"/>
      <c r="F553" s="14" t="n"/>
      <c r="G553" s="12" t="n"/>
      <c r="H553" s="12" t="n"/>
      <c r="I553" s="12" t="n"/>
      <c r="J553" s="14" t="n"/>
      <c r="K553" s="14" t="n"/>
      <c r="L553" s="15" t="n"/>
      <c r="M553" s="15" t="n"/>
      <c r="N553" s="12" t="n"/>
      <c r="O553" s="12" t="n"/>
      <c r="P553" s="16">
        <f>IF(AND(ISNUMBER($L553),ISNUMBER($M553)),MAX(0,$M553-$L553),"")</f>
        <v/>
      </c>
      <c r="Q553" s="16">
        <f>IF(ISNUMBER($D553),MAX(0,TODAY()-$D553),"")</f>
        <v/>
      </c>
      <c r="R553" s="14">
        <f>IF(COUNTA($A553:$O553)=0,"",IFERROR(TRIM(TEXTJOIN(" | ",TRUE,IF($A553="","PC kosong",""),IF($C553="","Worker ID kosong",""),IF($D553="","Update Date kosong",IF(NOT(ISNUMBER($D553)),"Update Date bukan tanggal","")),IF($E553="","Song ID YT kosong",""),IF($F553="","Judul kosong",""),IF(TRIM($G553)="","",IF(ISERROR(MATCH(TRIM($G553),{"TuneCore","DistroKid","TooLost","SoundOn","Ditto","Believe","CD Baby","Amuse","Symphonic Distribution","ONErpm","RouteNote","LANDR","Horus Music","Indie"},0)),"Aggregator di luar daftar","")),IF(TRIM($H553)="","Genre kosong",IF((LEN(SUBSTITUTE(SUBSTITUTE(SUBSTITUTE(TRIM($H553),"/",","),";",",")," ",""))-LEN(SUBSTITUTE(SUBSTITUTE(SUBSTITUTE(SUBSTITUTE(TRIM($H553),"/",","),";",","),"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553),"/",","),";",",")," ","")&amp;",")))&lt;&gt;(LEN(SUBSTITUTE(SUBSTITUTE(SUBSTITUTE(TRIM($H553),"/",","),";",",")," ",""))-LEN(SUBSTITUTE(SUBSTITUTE(SUBSTITUTE(SUBSTITUTE(TRIM($H553),"/",","),";",",")," ",""),",",""))+1),"Genre di luar daftar",""))),IF($I553="","Nama Channel kosong",""),IF($J553="","Link Channel kosong",IF(ISERROR(SEARCH("youtu",$J553)),"Link Channel bukan youtube","")),IF($K553="","Link Video kosong",IF(ISERROR(SEARCH("youtu",$K553)),"Link Video bukan youtube","")),IF($L553="","Tgl Dibuat kosong",IF(NOT(ISNUMBER($L553)),"Tgl Dibuat bukan tanggal","")),IF(AND($M553&lt;&gt;"",NOT(ISNUMBER($M553))),"Tgl Publish bukan tanggal",""),IF(AND(ISNUMBER($L553),ISNUMBER($M553),$M553&lt;$L553),"Tgl Publish &lt; Tgl buat",""),IF(TRIM($N553)="","Status kosong",IF(ISERROR(MATCH(TRIM($N553),{"Draft","Menunggu Review","Revisi","Terjadwal","Upload","Publish","Published","Batal"},0)),"Status di luar daftar","")))),""))</f>
        <v/>
      </c>
      <c r="S553" s="12">
        <f>IF(AND($A553&lt;&gt;"",$C553&lt;&gt;""),IF(COUNTIFS($A$2:$A$1000,$A553,$C$2:$C$1000,$C553)&gt;1,"DUPLICAT",""),"")</f>
        <v/>
      </c>
    </row>
    <row r="554">
      <c r="A554" s="17" t="n"/>
      <c r="B554" s="17" t="n"/>
      <c r="C554" s="17" t="n"/>
      <c r="D554" s="18" t="n"/>
      <c r="E554" s="17" t="n"/>
      <c r="F554" s="19" t="n"/>
      <c r="G554" s="17" t="n"/>
      <c r="H554" s="17" t="n"/>
      <c r="I554" s="17" t="n"/>
      <c r="J554" s="19" t="n"/>
      <c r="K554" s="19" t="n"/>
      <c r="L554" s="20" t="n"/>
      <c r="M554" s="20" t="n"/>
      <c r="N554" s="17" t="n"/>
      <c r="O554" s="17" t="n"/>
      <c r="P554" s="21">
        <f>IF(AND(ISNUMBER($L554),ISNUMBER($M554)),MAX(0,$M554-$L554),"")</f>
        <v/>
      </c>
      <c r="Q554" s="21">
        <f>IF(ISNUMBER($D554),MAX(0,TODAY()-$D554),"")</f>
        <v/>
      </c>
      <c r="R554" s="19">
        <f>IF(COUNTA($A554:$O554)=0,"",IFERROR(TRIM(TEXTJOIN(" | ",TRUE,IF($A554="","PC kosong",""),IF($C554="","Worker ID kosong",""),IF($D554="","Update Date kosong",IF(NOT(ISNUMBER($D554)),"Update Date bukan tanggal","")),IF($E554="","Song ID YT kosong",""),IF($F554="","Judul kosong",""),IF(TRIM($G554)="","",IF(ISERROR(MATCH(TRIM($G554),{"TuneCore","DistroKid","TooLost","SoundOn","Ditto","Believe","CD Baby","Amuse","Symphonic Distribution","ONErpm","RouteNote","LANDR","Horus Music","Indie"},0)),"Aggregator di luar daftar","")),IF(TRIM($H554)="","Genre kosong",IF((LEN(SUBSTITUTE(SUBSTITUTE(SUBSTITUTE(TRIM($H554),"/",","),";",",")," ",""))-LEN(SUBSTITUTE(SUBSTITUTE(SUBSTITUTE(SUBSTITUTE(TRIM($H554),"/",","),";",","),"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554),"/",","),";",",")," ","")&amp;",")))&lt;&gt;(LEN(SUBSTITUTE(SUBSTITUTE(SUBSTITUTE(TRIM($H554),"/",","),";",",")," ",""))-LEN(SUBSTITUTE(SUBSTITUTE(SUBSTITUTE(SUBSTITUTE(TRIM($H554),"/",","),";",",")," ",""),",",""))+1),"Genre di luar daftar",""))),IF($I554="","Nama Channel kosong",""),IF($J554="","Link Channel kosong",IF(ISERROR(SEARCH("youtu",$J554)),"Link Channel bukan youtube","")),IF($K554="","Link Video kosong",IF(ISERROR(SEARCH("youtu",$K554)),"Link Video bukan youtube","")),IF($L554="","Tgl Dibuat kosong",IF(NOT(ISNUMBER($L554)),"Tgl Dibuat bukan tanggal","")),IF(AND($M554&lt;&gt;"",NOT(ISNUMBER($M554))),"Tgl Publish bukan tanggal",""),IF(AND(ISNUMBER($L554),ISNUMBER($M554),$M554&lt;$L554),"Tgl Publish &lt; Tgl buat",""),IF(TRIM($N554)="","Status kosong",IF(ISERROR(MATCH(TRIM($N554),{"Draft","Menunggu Review","Revisi","Terjadwal","Upload","Publish","Published","Batal"},0)),"Status di luar daftar","")))),""))</f>
        <v/>
      </c>
      <c r="S554" s="17">
        <f>IF(AND($A554&lt;&gt;"",$C554&lt;&gt;""),IF(COUNTIFS($A$2:$A$1000,$A554,$C$2:$C$1000,$C554)&gt;1,"DUPLICAT",""),"")</f>
        <v/>
      </c>
    </row>
    <row r="555">
      <c r="A555" s="12" t="n"/>
      <c r="B555" s="12" t="n"/>
      <c r="C555" s="12" t="n"/>
      <c r="D555" s="13" t="n"/>
      <c r="E555" s="12" t="n"/>
      <c r="F555" s="14" t="n"/>
      <c r="G555" s="12" t="n"/>
      <c r="H555" s="12" t="n"/>
      <c r="I555" s="12" t="n"/>
      <c r="J555" s="14" t="n"/>
      <c r="K555" s="14" t="n"/>
      <c r="L555" s="15" t="n"/>
      <c r="M555" s="15" t="n"/>
      <c r="N555" s="12" t="n"/>
      <c r="O555" s="12" t="n"/>
      <c r="P555" s="16">
        <f>IF(AND(ISNUMBER($L555),ISNUMBER($M555)),MAX(0,$M555-$L555),"")</f>
        <v/>
      </c>
      <c r="Q555" s="16">
        <f>IF(ISNUMBER($D555),MAX(0,TODAY()-$D555),"")</f>
        <v/>
      </c>
      <c r="R555" s="14">
        <f>IF(COUNTA($A555:$O555)=0,"",IFERROR(TRIM(TEXTJOIN(" | ",TRUE,IF($A555="","PC kosong",""),IF($C555="","Worker ID kosong",""),IF($D555="","Update Date kosong",IF(NOT(ISNUMBER($D555)),"Update Date bukan tanggal","")),IF($E555="","Song ID YT kosong",""),IF($F555="","Judul kosong",""),IF(TRIM($G555)="","",IF(ISERROR(MATCH(TRIM($G555),{"TuneCore","DistroKid","TooLost","SoundOn","Ditto","Believe","CD Baby","Amuse","Symphonic Distribution","ONErpm","RouteNote","LANDR","Horus Music","Indie"},0)),"Aggregator di luar daftar","")),IF(TRIM($H555)="","Genre kosong",IF((LEN(SUBSTITUTE(SUBSTITUTE(SUBSTITUTE(TRIM($H555),"/",","),";",",")," ",""))-LEN(SUBSTITUTE(SUBSTITUTE(SUBSTITUTE(SUBSTITUTE(TRIM($H555),"/",","),";",","),"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555),"/",","),";",",")," ","")&amp;",")))&lt;&gt;(LEN(SUBSTITUTE(SUBSTITUTE(SUBSTITUTE(TRIM($H555),"/",","),";",",")," ",""))-LEN(SUBSTITUTE(SUBSTITUTE(SUBSTITUTE(SUBSTITUTE(TRIM($H555),"/",","),";",",")," ",""),",",""))+1),"Genre di luar daftar",""))),IF($I555="","Nama Channel kosong",""),IF($J555="","Link Channel kosong",IF(ISERROR(SEARCH("youtu",$J555)),"Link Channel bukan youtube","")),IF($K555="","Link Video kosong",IF(ISERROR(SEARCH("youtu",$K555)),"Link Video bukan youtube","")),IF($L555="","Tgl Dibuat kosong",IF(NOT(ISNUMBER($L555)),"Tgl Dibuat bukan tanggal","")),IF(AND($M555&lt;&gt;"",NOT(ISNUMBER($M555))),"Tgl Publish bukan tanggal",""),IF(AND(ISNUMBER($L555),ISNUMBER($M555),$M555&lt;$L555),"Tgl Publish &lt; Tgl buat",""),IF(TRIM($N555)="","Status kosong",IF(ISERROR(MATCH(TRIM($N555),{"Draft","Menunggu Review","Revisi","Terjadwal","Upload","Publish","Published","Batal"},0)),"Status di luar daftar","")))),""))</f>
        <v/>
      </c>
      <c r="S555" s="12">
        <f>IF(AND($A555&lt;&gt;"",$C555&lt;&gt;""),IF(COUNTIFS($A$2:$A$1000,$A555,$C$2:$C$1000,$C555)&gt;1,"DUPLICAT",""),"")</f>
        <v/>
      </c>
    </row>
    <row r="556">
      <c r="A556" s="17" t="n"/>
      <c r="B556" s="17" t="n"/>
      <c r="C556" s="17" t="n"/>
      <c r="D556" s="18" t="n"/>
      <c r="E556" s="17" t="n"/>
      <c r="F556" s="19" t="n"/>
      <c r="G556" s="17" t="n"/>
      <c r="H556" s="17" t="n"/>
      <c r="I556" s="17" t="n"/>
      <c r="J556" s="19" t="n"/>
      <c r="K556" s="19" t="n"/>
      <c r="L556" s="20" t="n"/>
      <c r="M556" s="20" t="n"/>
      <c r="N556" s="17" t="n"/>
      <c r="O556" s="17" t="n"/>
      <c r="P556" s="21">
        <f>IF(AND(ISNUMBER($L556),ISNUMBER($M556)),MAX(0,$M556-$L556),"")</f>
        <v/>
      </c>
      <c r="Q556" s="21">
        <f>IF(ISNUMBER($D556),MAX(0,TODAY()-$D556),"")</f>
        <v/>
      </c>
      <c r="R556" s="19">
        <f>IF(COUNTA($A556:$O556)=0,"",IFERROR(TRIM(TEXTJOIN(" | ",TRUE,IF($A556="","PC kosong",""),IF($C556="","Worker ID kosong",""),IF($D556="","Update Date kosong",IF(NOT(ISNUMBER($D556)),"Update Date bukan tanggal","")),IF($E556="","Song ID YT kosong",""),IF($F556="","Judul kosong",""),IF(TRIM($G556)="","",IF(ISERROR(MATCH(TRIM($G556),{"TuneCore","DistroKid","TooLost","SoundOn","Ditto","Believe","CD Baby","Amuse","Symphonic Distribution","ONErpm","RouteNote","LANDR","Horus Music","Indie"},0)),"Aggregator di luar daftar","")),IF(TRIM($H556)="","Genre kosong",IF((LEN(SUBSTITUTE(SUBSTITUTE(SUBSTITUTE(TRIM($H556),"/",","),";",",")," ",""))-LEN(SUBSTITUTE(SUBSTITUTE(SUBSTITUTE(SUBSTITUTE(TRIM($H556),"/",","),";",","),"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556),"/",","),";",",")," ","")&amp;",")))&lt;&gt;(LEN(SUBSTITUTE(SUBSTITUTE(SUBSTITUTE(TRIM($H556),"/",","),";",",")," ",""))-LEN(SUBSTITUTE(SUBSTITUTE(SUBSTITUTE(SUBSTITUTE(TRIM($H556),"/",","),";",",")," ",""),",",""))+1),"Genre di luar daftar",""))),IF($I556="","Nama Channel kosong",""),IF($J556="","Link Channel kosong",IF(ISERROR(SEARCH("youtu",$J556)),"Link Channel bukan youtube","")),IF($K556="","Link Video kosong",IF(ISERROR(SEARCH("youtu",$K556)),"Link Video bukan youtube","")),IF($L556="","Tgl Dibuat kosong",IF(NOT(ISNUMBER($L556)),"Tgl Dibuat bukan tanggal","")),IF(AND($M556&lt;&gt;"",NOT(ISNUMBER($M556))),"Tgl Publish bukan tanggal",""),IF(AND(ISNUMBER($L556),ISNUMBER($M556),$M556&lt;$L556),"Tgl Publish &lt; Tgl buat",""),IF(TRIM($N556)="","Status kosong",IF(ISERROR(MATCH(TRIM($N556),{"Draft","Menunggu Review","Revisi","Terjadwal","Upload","Publish","Published","Batal"},0)),"Status di luar daftar","")))),""))</f>
        <v/>
      </c>
      <c r="S556" s="17">
        <f>IF(AND($A556&lt;&gt;"",$C556&lt;&gt;""),IF(COUNTIFS($A$2:$A$1000,$A556,$C$2:$C$1000,$C556)&gt;1,"DUPLICAT",""),"")</f>
        <v/>
      </c>
    </row>
    <row r="557">
      <c r="A557" s="12" t="n"/>
      <c r="B557" s="12" t="n"/>
      <c r="C557" s="12" t="n"/>
      <c r="D557" s="13" t="n"/>
      <c r="E557" s="12" t="n"/>
      <c r="F557" s="14" t="n"/>
      <c r="G557" s="12" t="n"/>
      <c r="H557" s="12" t="n"/>
      <c r="I557" s="12" t="n"/>
      <c r="J557" s="14" t="n"/>
      <c r="K557" s="14" t="n"/>
      <c r="L557" s="15" t="n"/>
      <c r="M557" s="15" t="n"/>
      <c r="N557" s="12" t="n"/>
      <c r="O557" s="12" t="n"/>
      <c r="P557" s="16">
        <f>IF(AND(ISNUMBER($L557),ISNUMBER($M557)),MAX(0,$M557-$L557),"")</f>
        <v/>
      </c>
      <c r="Q557" s="16">
        <f>IF(ISNUMBER($D557),MAX(0,TODAY()-$D557),"")</f>
        <v/>
      </c>
      <c r="R557" s="14">
        <f>IF(COUNTA($A557:$O557)=0,"",IFERROR(TRIM(TEXTJOIN(" | ",TRUE,IF($A557="","PC kosong",""),IF($C557="","Worker ID kosong",""),IF($D557="","Update Date kosong",IF(NOT(ISNUMBER($D557)),"Update Date bukan tanggal","")),IF($E557="","Song ID YT kosong",""),IF($F557="","Judul kosong",""),IF(TRIM($G557)="","",IF(ISERROR(MATCH(TRIM($G557),{"TuneCore","DistroKid","TooLost","SoundOn","Ditto","Believe","CD Baby","Amuse","Symphonic Distribution","ONErpm","RouteNote","LANDR","Horus Music","Indie"},0)),"Aggregator di luar daftar","")),IF(TRIM($H557)="","Genre kosong",IF((LEN(SUBSTITUTE(SUBSTITUTE(SUBSTITUTE(TRIM($H557),"/",","),";",",")," ",""))-LEN(SUBSTITUTE(SUBSTITUTE(SUBSTITUTE(SUBSTITUTE(TRIM($H557),"/",","),";",","),"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557),"/",","),";",",")," ","")&amp;",")))&lt;&gt;(LEN(SUBSTITUTE(SUBSTITUTE(SUBSTITUTE(TRIM($H557),"/",","),";",",")," ",""))-LEN(SUBSTITUTE(SUBSTITUTE(SUBSTITUTE(SUBSTITUTE(TRIM($H557),"/",","),";",",")," ",""),",",""))+1),"Genre di luar daftar",""))),IF($I557="","Nama Channel kosong",""),IF($J557="","Link Channel kosong",IF(ISERROR(SEARCH("youtu",$J557)),"Link Channel bukan youtube","")),IF($K557="","Link Video kosong",IF(ISERROR(SEARCH("youtu",$K557)),"Link Video bukan youtube","")),IF($L557="","Tgl Dibuat kosong",IF(NOT(ISNUMBER($L557)),"Tgl Dibuat bukan tanggal","")),IF(AND($M557&lt;&gt;"",NOT(ISNUMBER($M557))),"Tgl Publish bukan tanggal",""),IF(AND(ISNUMBER($L557),ISNUMBER($M557),$M557&lt;$L557),"Tgl Publish &lt; Tgl buat",""),IF(TRIM($N557)="","Status kosong",IF(ISERROR(MATCH(TRIM($N557),{"Draft","Menunggu Review","Revisi","Terjadwal","Upload","Publish","Published","Batal"},0)),"Status di luar daftar","")))),""))</f>
        <v/>
      </c>
      <c r="S557" s="12">
        <f>IF(AND($A557&lt;&gt;"",$C557&lt;&gt;""),IF(COUNTIFS($A$2:$A$1000,$A557,$C$2:$C$1000,$C557)&gt;1,"DUPLICAT",""),"")</f>
        <v/>
      </c>
    </row>
    <row r="558">
      <c r="A558" s="17" t="n"/>
      <c r="B558" s="17" t="n"/>
      <c r="C558" s="17" t="n"/>
      <c r="D558" s="18" t="n"/>
      <c r="E558" s="17" t="n"/>
      <c r="F558" s="19" t="n"/>
      <c r="G558" s="17" t="n"/>
      <c r="H558" s="17" t="n"/>
      <c r="I558" s="17" t="n"/>
      <c r="J558" s="19" t="n"/>
      <c r="K558" s="19" t="n"/>
      <c r="L558" s="20" t="n"/>
      <c r="M558" s="20" t="n"/>
      <c r="N558" s="17" t="n"/>
      <c r="O558" s="17" t="n"/>
      <c r="P558" s="21">
        <f>IF(AND(ISNUMBER($L558),ISNUMBER($M558)),MAX(0,$M558-$L558),"")</f>
        <v/>
      </c>
      <c r="Q558" s="21">
        <f>IF(ISNUMBER($D558),MAX(0,TODAY()-$D558),"")</f>
        <v/>
      </c>
      <c r="R558" s="19">
        <f>IF(COUNTA($A558:$O558)=0,"",IFERROR(TRIM(TEXTJOIN(" | ",TRUE,IF($A558="","PC kosong",""),IF($C558="","Worker ID kosong",""),IF($D558="","Update Date kosong",IF(NOT(ISNUMBER($D558)),"Update Date bukan tanggal","")),IF($E558="","Song ID YT kosong",""),IF($F558="","Judul kosong",""),IF(TRIM($G558)="","",IF(ISERROR(MATCH(TRIM($G558),{"TuneCore","DistroKid","TooLost","SoundOn","Ditto","Believe","CD Baby","Amuse","Symphonic Distribution","ONErpm","RouteNote","LANDR","Horus Music","Indie"},0)),"Aggregator di luar daftar","")),IF(TRIM($H558)="","Genre kosong",IF((LEN(SUBSTITUTE(SUBSTITUTE(SUBSTITUTE(TRIM($H558),"/",","),";",",")," ",""))-LEN(SUBSTITUTE(SUBSTITUTE(SUBSTITUTE(SUBSTITUTE(TRIM($H558),"/",","),";",","),"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558),"/",","),";",",")," ","")&amp;",")))&lt;&gt;(LEN(SUBSTITUTE(SUBSTITUTE(SUBSTITUTE(TRIM($H558),"/",","),";",",")," ",""))-LEN(SUBSTITUTE(SUBSTITUTE(SUBSTITUTE(SUBSTITUTE(TRIM($H558),"/",","),";",",")," ",""),",",""))+1),"Genre di luar daftar",""))),IF($I558="","Nama Channel kosong",""),IF($J558="","Link Channel kosong",IF(ISERROR(SEARCH("youtu",$J558)),"Link Channel bukan youtube","")),IF($K558="","Link Video kosong",IF(ISERROR(SEARCH("youtu",$K558)),"Link Video bukan youtube","")),IF($L558="","Tgl Dibuat kosong",IF(NOT(ISNUMBER($L558)),"Tgl Dibuat bukan tanggal","")),IF(AND($M558&lt;&gt;"",NOT(ISNUMBER($M558))),"Tgl Publish bukan tanggal",""),IF(AND(ISNUMBER($L558),ISNUMBER($M558),$M558&lt;$L558),"Tgl Publish &lt; Tgl buat",""),IF(TRIM($N558)="","Status kosong",IF(ISERROR(MATCH(TRIM($N558),{"Draft","Menunggu Review","Revisi","Terjadwal","Upload","Publish","Published","Batal"},0)),"Status di luar daftar","")))),""))</f>
        <v/>
      </c>
      <c r="S558" s="17">
        <f>IF(AND($A558&lt;&gt;"",$C558&lt;&gt;""),IF(COUNTIFS($A$2:$A$1000,$A558,$C$2:$C$1000,$C558)&gt;1,"DUPLICAT",""),"")</f>
        <v/>
      </c>
    </row>
    <row r="559">
      <c r="A559" s="12" t="n"/>
      <c r="B559" s="12" t="n"/>
      <c r="C559" s="12" t="n"/>
      <c r="D559" s="13" t="n"/>
      <c r="E559" s="12" t="n"/>
      <c r="F559" s="14" t="n"/>
      <c r="G559" s="12" t="n"/>
      <c r="H559" s="12" t="n"/>
      <c r="I559" s="12" t="n"/>
      <c r="J559" s="14" t="n"/>
      <c r="K559" s="14" t="n"/>
      <c r="L559" s="15" t="n"/>
      <c r="M559" s="15" t="n"/>
      <c r="N559" s="12" t="n"/>
      <c r="O559" s="12" t="n"/>
      <c r="P559" s="16">
        <f>IF(AND(ISNUMBER($L559),ISNUMBER($M559)),MAX(0,$M559-$L559),"")</f>
        <v/>
      </c>
      <c r="Q559" s="16">
        <f>IF(ISNUMBER($D559),MAX(0,TODAY()-$D559),"")</f>
        <v/>
      </c>
      <c r="R559" s="14">
        <f>IF(COUNTA($A559:$O559)=0,"",IFERROR(TRIM(TEXTJOIN(" | ",TRUE,IF($A559="","PC kosong",""),IF($C559="","Worker ID kosong",""),IF($D559="","Update Date kosong",IF(NOT(ISNUMBER($D559)),"Update Date bukan tanggal","")),IF($E559="","Song ID YT kosong",""),IF($F559="","Judul kosong",""),IF(TRIM($G559)="","",IF(ISERROR(MATCH(TRIM($G559),{"TuneCore","DistroKid","TooLost","SoundOn","Ditto","Believe","CD Baby","Amuse","Symphonic Distribution","ONErpm","RouteNote","LANDR","Horus Music","Indie"},0)),"Aggregator di luar daftar","")),IF(TRIM($H559)="","Genre kosong",IF((LEN(SUBSTITUTE(SUBSTITUTE(SUBSTITUTE(TRIM($H559),"/",","),";",",")," ",""))-LEN(SUBSTITUTE(SUBSTITUTE(SUBSTITUTE(SUBSTITUTE(TRIM($H559),"/",","),";",","),"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559),"/",","),";",",")," ","")&amp;",")))&lt;&gt;(LEN(SUBSTITUTE(SUBSTITUTE(SUBSTITUTE(TRIM($H559),"/",","),";",",")," ",""))-LEN(SUBSTITUTE(SUBSTITUTE(SUBSTITUTE(SUBSTITUTE(TRIM($H559),"/",","),";",",")," ",""),",",""))+1),"Genre di luar daftar",""))),IF($I559="","Nama Channel kosong",""),IF($J559="","Link Channel kosong",IF(ISERROR(SEARCH("youtu",$J559)),"Link Channel bukan youtube","")),IF($K559="","Link Video kosong",IF(ISERROR(SEARCH("youtu",$K559)),"Link Video bukan youtube","")),IF($L559="","Tgl Dibuat kosong",IF(NOT(ISNUMBER($L559)),"Tgl Dibuat bukan tanggal","")),IF(AND($M559&lt;&gt;"",NOT(ISNUMBER($M559))),"Tgl Publish bukan tanggal",""),IF(AND(ISNUMBER($L559),ISNUMBER($M559),$M559&lt;$L559),"Tgl Publish &lt; Tgl buat",""),IF(TRIM($N559)="","Status kosong",IF(ISERROR(MATCH(TRIM($N559),{"Draft","Menunggu Review","Revisi","Terjadwal","Upload","Publish","Published","Batal"},0)),"Status di luar daftar","")))),""))</f>
        <v/>
      </c>
      <c r="S559" s="12">
        <f>IF(AND($A559&lt;&gt;"",$C559&lt;&gt;""),IF(COUNTIFS($A$2:$A$1000,$A559,$C$2:$C$1000,$C559)&gt;1,"DUPLICAT",""),"")</f>
        <v/>
      </c>
    </row>
    <row r="560">
      <c r="A560" s="17" t="n"/>
      <c r="B560" s="17" t="n"/>
      <c r="C560" s="17" t="n"/>
      <c r="D560" s="18" t="n"/>
      <c r="E560" s="17" t="n"/>
      <c r="F560" s="19" t="n"/>
      <c r="G560" s="17" t="n"/>
      <c r="H560" s="17" t="n"/>
      <c r="I560" s="17" t="n"/>
      <c r="J560" s="19" t="n"/>
      <c r="K560" s="19" t="n"/>
      <c r="L560" s="20" t="n"/>
      <c r="M560" s="20" t="n"/>
      <c r="N560" s="17" t="n"/>
      <c r="O560" s="17" t="n"/>
      <c r="P560" s="21">
        <f>IF(AND(ISNUMBER($L560),ISNUMBER($M560)),MAX(0,$M560-$L560),"")</f>
        <v/>
      </c>
      <c r="Q560" s="21">
        <f>IF(ISNUMBER($D560),MAX(0,TODAY()-$D560),"")</f>
        <v/>
      </c>
      <c r="R560" s="19">
        <f>IF(COUNTA($A560:$O560)=0,"",IFERROR(TRIM(TEXTJOIN(" | ",TRUE,IF($A560="","PC kosong",""),IF($C560="","Worker ID kosong",""),IF($D560="","Update Date kosong",IF(NOT(ISNUMBER($D560)),"Update Date bukan tanggal","")),IF($E560="","Song ID YT kosong",""),IF($F560="","Judul kosong",""),IF(TRIM($G560)="","",IF(ISERROR(MATCH(TRIM($G560),{"TuneCore","DistroKid","TooLost","SoundOn","Ditto","Believe","CD Baby","Amuse","Symphonic Distribution","ONErpm","RouteNote","LANDR","Horus Music","Indie"},0)),"Aggregator di luar daftar","")),IF(TRIM($H560)="","Genre kosong",IF((LEN(SUBSTITUTE(SUBSTITUTE(SUBSTITUTE(TRIM($H560),"/",","),";",",")," ",""))-LEN(SUBSTITUTE(SUBSTITUTE(SUBSTITUTE(SUBSTITUTE(TRIM($H560),"/",","),";",","),"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560),"/",","),";",",")," ","")&amp;",")))&lt;&gt;(LEN(SUBSTITUTE(SUBSTITUTE(SUBSTITUTE(TRIM($H560),"/",","),";",",")," ",""))-LEN(SUBSTITUTE(SUBSTITUTE(SUBSTITUTE(SUBSTITUTE(TRIM($H560),"/",","),";",",")," ",""),",",""))+1),"Genre di luar daftar",""))),IF($I560="","Nama Channel kosong",""),IF($J560="","Link Channel kosong",IF(ISERROR(SEARCH("youtu",$J560)),"Link Channel bukan youtube","")),IF($K560="","Link Video kosong",IF(ISERROR(SEARCH("youtu",$K560)),"Link Video bukan youtube","")),IF($L560="","Tgl Dibuat kosong",IF(NOT(ISNUMBER($L560)),"Tgl Dibuat bukan tanggal","")),IF(AND($M560&lt;&gt;"",NOT(ISNUMBER($M560))),"Tgl Publish bukan tanggal",""),IF(AND(ISNUMBER($L560),ISNUMBER($M560),$M560&lt;$L560),"Tgl Publish &lt; Tgl buat",""),IF(TRIM($N560)="","Status kosong",IF(ISERROR(MATCH(TRIM($N560),{"Draft","Menunggu Review","Revisi","Terjadwal","Upload","Publish","Published","Batal"},0)),"Status di luar daftar","")))),""))</f>
        <v/>
      </c>
      <c r="S560" s="17">
        <f>IF(AND($A560&lt;&gt;"",$C560&lt;&gt;""),IF(COUNTIFS($A$2:$A$1000,$A560,$C$2:$C$1000,$C560)&gt;1,"DUPLICAT",""),"")</f>
        <v/>
      </c>
    </row>
    <row r="561">
      <c r="A561" s="12" t="n"/>
      <c r="B561" s="12" t="n"/>
      <c r="C561" s="12" t="n"/>
      <c r="D561" s="13" t="n"/>
      <c r="E561" s="12" t="n"/>
      <c r="F561" s="14" t="n"/>
      <c r="G561" s="12" t="n"/>
      <c r="H561" s="12" t="n"/>
      <c r="I561" s="12" t="n"/>
      <c r="J561" s="14" t="n"/>
      <c r="K561" s="14" t="n"/>
      <c r="L561" s="15" t="n"/>
      <c r="M561" s="15" t="n"/>
      <c r="N561" s="12" t="n"/>
      <c r="O561" s="12" t="n"/>
      <c r="P561" s="16">
        <f>IF(AND(ISNUMBER($L561),ISNUMBER($M561)),MAX(0,$M561-$L561),"")</f>
        <v/>
      </c>
      <c r="Q561" s="16">
        <f>IF(ISNUMBER($D561),MAX(0,TODAY()-$D561),"")</f>
        <v/>
      </c>
      <c r="R561" s="14">
        <f>IF(COUNTA($A561:$O561)=0,"",IFERROR(TRIM(TEXTJOIN(" | ",TRUE,IF($A561="","PC kosong",""),IF($C561="","Worker ID kosong",""),IF($D561="","Update Date kosong",IF(NOT(ISNUMBER($D561)),"Update Date bukan tanggal","")),IF($E561="","Song ID YT kosong",""),IF($F561="","Judul kosong",""),IF(TRIM($G561)="","",IF(ISERROR(MATCH(TRIM($G561),{"TuneCore","DistroKid","TooLost","SoundOn","Ditto","Believe","CD Baby","Amuse","Symphonic Distribution","ONErpm","RouteNote","LANDR","Horus Music","Indie"},0)),"Aggregator di luar daftar","")),IF(TRIM($H561)="","Genre kosong",IF((LEN(SUBSTITUTE(SUBSTITUTE(SUBSTITUTE(TRIM($H561),"/",","),";",",")," ",""))-LEN(SUBSTITUTE(SUBSTITUTE(SUBSTITUTE(SUBSTITUTE(TRIM($H561),"/",","),";",","),"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561),"/",","),";",",")," ","")&amp;",")))&lt;&gt;(LEN(SUBSTITUTE(SUBSTITUTE(SUBSTITUTE(TRIM($H561),"/",","),";",",")," ",""))-LEN(SUBSTITUTE(SUBSTITUTE(SUBSTITUTE(SUBSTITUTE(TRIM($H561),"/",","),";",",")," ",""),",",""))+1),"Genre di luar daftar",""))),IF($I561="","Nama Channel kosong",""),IF($J561="","Link Channel kosong",IF(ISERROR(SEARCH("youtu",$J561)),"Link Channel bukan youtube","")),IF($K561="","Link Video kosong",IF(ISERROR(SEARCH("youtu",$K561)),"Link Video bukan youtube","")),IF($L561="","Tgl Dibuat kosong",IF(NOT(ISNUMBER($L561)),"Tgl Dibuat bukan tanggal","")),IF(AND($M561&lt;&gt;"",NOT(ISNUMBER($M561))),"Tgl Publish bukan tanggal",""),IF(AND(ISNUMBER($L561),ISNUMBER($M561),$M561&lt;$L561),"Tgl Publish &lt; Tgl buat",""),IF(TRIM($N561)="","Status kosong",IF(ISERROR(MATCH(TRIM($N561),{"Draft","Menunggu Review","Revisi","Terjadwal","Upload","Publish","Published","Batal"},0)),"Status di luar daftar","")))),""))</f>
        <v/>
      </c>
      <c r="S561" s="12">
        <f>IF(AND($A561&lt;&gt;"",$C561&lt;&gt;""),IF(COUNTIFS($A$2:$A$1000,$A561,$C$2:$C$1000,$C561)&gt;1,"DUPLICAT",""),"")</f>
        <v/>
      </c>
    </row>
    <row r="562">
      <c r="A562" s="17" t="n"/>
      <c r="B562" s="17" t="n"/>
      <c r="C562" s="17" t="n"/>
      <c r="D562" s="18" t="n"/>
      <c r="E562" s="17" t="n"/>
      <c r="F562" s="19" t="n"/>
      <c r="G562" s="17" t="n"/>
      <c r="H562" s="17" t="n"/>
      <c r="I562" s="17" t="n"/>
      <c r="J562" s="19" t="n"/>
      <c r="K562" s="19" t="n"/>
      <c r="L562" s="20" t="n"/>
      <c r="M562" s="20" t="n"/>
      <c r="N562" s="17" t="n"/>
      <c r="O562" s="17" t="n"/>
      <c r="P562" s="21">
        <f>IF(AND(ISNUMBER($L562),ISNUMBER($M562)),MAX(0,$M562-$L562),"")</f>
        <v/>
      </c>
      <c r="Q562" s="21">
        <f>IF(ISNUMBER($D562),MAX(0,TODAY()-$D562),"")</f>
        <v/>
      </c>
      <c r="R562" s="19">
        <f>IF(COUNTA($A562:$O562)=0,"",IFERROR(TRIM(TEXTJOIN(" | ",TRUE,IF($A562="","PC kosong",""),IF($C562="","Worker ID kosong",""),IF($D562="","Update Date kosong",IF(NOT(ISNUMBER($D562)),"Update Date bukan tanggal","")),IF($E562="","Song ID YT kosong",""),IF($F562="","Judul kosong",""),IF(TRIM($G562)="","",IF(ISERROR(MATCH(TRIM($G562),{"TuneCore","DistroKid","TooLost","SoundOn","Ditto","Believe","CD Baby","Amuse","Symphonic Distribution","ONErpm","RouteNote","LANDR","Horus Music","Indie"},0)),"Aggregator di luar daftar","")),IF(TRIM($H562)="","Genre kosong",IF((LEN(SUBSTITUTE(SUBSTITUTE(SUBSTITUTE(TRIM($H562),"/",","),";",",")," ",""))-LEN(SUBSTITUTE(SUBSTITUTE(SUBSTITUTE(SUBSTITUTE(TRIM($H562),"/",","),";",","),"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562),"/",","),";",",")," ","")&amp;",")))&lt;&gt;(LEN(SUBSTITUTE(SUBSTITUTE(SUBSTITUTE(TRIM($H562),"/",","),";",",")," ",""))-LEN(SUBSTITUTE(SUBSTITUTE(SUBSTITUTE(SUBSTITUTE(TRIM($H562),"/",","),";",",")," ",""),",",""))+1),"Genre di luar daftar",""))),IF($I562="","Nama Channel kosong",""),IF($J562="","Link Channel kosong",IF(ISERROR(SEARCH("youtu",$J562)),"Link Channel bukan youtube","")),IF($K562="","Link Video kosong",IF(ISERROR(SEARCH("youtu",$K562)),"Link Video bukan youtube","")),IF($L562="","Tgl Dibuat kosong",IF(NOT(ISNUMBER($L562)),"Tgl Dibuat bukan tanggal","")),IF(AND($M562&lt;&gt;"",NOT(ISNUMBER($M562))),"Tgl Publish bukan tanggal",""),IF(AND(ISNUMBER($L562),ISNUMBER($M562),$M562&lt;$L562),"Tgl Publish &lt; Tgl buat",""),IF(TRIM($N562)="","Status kosong",IF(ISERROR(MATCH(TRIM($N562),{"Draft","Menunggu Review","Revisi","Terjadwal","Upload","Publish","Published","Batal"},0)),"Status di luar daftar","")))),""))</f>
        <v/>
      </c>
      <c r="S562" s="17">
        <f>IF(AND($A562&lt;&gt;"",$C562&lt;&gt;""),IF(COUNTIFS($A$2:$A$1000,$A562,$C$2:$C$1000,$C562)&gt;1,"DUPLICAT",""),"")</f>
        <v/>
      </c>
    </row>
    <row r="563">
      <c r="A563" s="12" t="n"/>
      <c r="B563" s="12" t="n"/>
      <c r="C563" s="12" t="n"/>
      <c r="D563" s="13" t="n"/>
      <c r="E563" s="12" t="n"/>
      <c r="F563" s="14" t="n"/>
      <c r="G563" s="12" t="n"/>
      <c r="H563" s="12" t="n"/>
      <c r="I563" s="12" t="n"/>
      <c r="J563" s="14" t="n"/>
      <c r="K563" s="14" t="n"/>
      <c r="L563" s="15" t="n"/>
      <c r="M563" s="15" t="n"/>
      <c r="N563" s="12" t="n"/>
      <c r="O563" s="12" t="n"/>
      <c r="P563" s="16">
        <f>IF(AND(ISNUMBER($L563),ISNUMBER($M563)),MAX(0,$M563-$L563),"")</f>
        <v/>
      </c>
      <c r="Q563" s="16">
        <f>IF(ISNUMBER($D563),MAX(0,TODAY()-$D563),"")</f>
        <v/>
      </c>
      <c r="R563" s="14">
        <f>IF(COUNTA($A563:$O563)=0,"",IFERROR(TRIM(TEXTJOIN(" | ",TRUE,IF($A563="","PC kosong",""),IF($C563="","Worker ID kosong",""),IF($D563="","Update Date kosong",IF(NOT(ISNUMBER($D563)),"Update Date bukan tanggal","")),IF($E563="","Song ID YT kosong",""),IF($F563="","Judul kosong",""),IF(TRIM($G563)="","",IF(ISERROR(MATCH(TRIM($G563),{"TuneCore","DistroKid","TooLost","SoundOn","Ditto","Believe","CD Baby","Amuse","Symphonic Distribution","ONErpm","RouteNote","LANDR","Horus Music","Indie"},0)),"Aggregator di luar daftar","")),IF(TRIM($H563)="","Genre kosong",IF((LEN(SUBSTITUTE(SUBSTITUTE(SUBSTITUTE(TRIM($H563),"/",","),";",",")," ",""))-LEN(SUBSTITUTE(SUBSTITUTE(SUBSTITUTE(SUBSTITUTE(TRIM($H563),"/",","),";",","),"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563),"/",","),";",",")," ","")&amp;",")))&lt;&gt;(LEN(SUBSTITUTE(SUBSTITUTE(SUBSTITUTE(TRIM($H563),"/",","),";",",")," ",""))-LEN(SUBSTITUTE(SUBSTITUTE(SUBSTITUTE(SUBSTITUTE(TRIM($H563),"/",","),";",",")," ",""),",",""))+1),"Genre di luar daftar",""))),IF($I563="","Nama Channel kosong",""),IF($J563="","Link Channel kosong",IF(ISERROR(SEARCH("youtu",$J563)),"Link Channel bukan youtube","")),IF($K563="","Link Video kosong",IF(ISERROR(SEARCH("youtu",$K563)),"Link Video bukan youtube","")),IF($L563="","Tgl Dibuat kosong",IF(NOT(ISNUMBER($L563)),"Tgl Dibuat bukan tanggal","")),IF(AND($M563&lt;&gt;"",NOT(ISNUMBER($M563))),"Tgl Publish bukan tanggal",""),IF(AND(ISNUMBER($L563),ISNUMBER($M563),$M563&lt;$L563),"Tgl Publish &lt; Tgl buat",""),IF(TRIM($N563)="","Status kosong",IF(ISERROR(MATCH(TRIM($N563),{"Draft","Menunggu Review","Revisi","Terjadwal","Upload","Publish","Published","Batal"},0)),"Status di luar daftar","")))),""))</f>
        <v/>
      </c>
      <c r="S563" s="12">
        <f>IF(AND($A563&lt;&gt;"",$C563&lt;&gt;""),IF(COUNTIFS($A$2:$A$1000,$A563,$C$2:$C$1000,$C563)&gt;1,"DUPLICAT",""),"")</f>
        <v/>
      </c>
    </row>
    <row r="564">
      <c r="A564" s="17" t="n"/>
      <c r="B564" s="17" t="n"/>
      <c r="C564" s="17" t="n"/>
      <c r="D564" s="18" t="n"/>
      <c r="E564" s="17" t="n"/>
      <c r="F564" s="19" t="n"/>
      <c r="G564" s="17" t="n"/>
      <c r="H564" s="17" t="n"/>
      <c r="I564" s="17" t="n"/>
      <c r="J564" s="19" t="n"/>
      <c r="K564" s="19" t="n"/>
      <c r="L564" s="20" t="n"/>
      <c r="M564" s="20" t="n"/>
      <c r="N564" s="17" t="n"/>
      <c r="O564" s="17" t="n"/>
      <c r="P564" s="21">
        <f>IF(AND(ISNUMBER($L564),ISNUMBER($M564)),MAX(0,$M564-$L564),"")</f>
        <v/>
      </c>
      <c r="Q564" s="21">
        <f>IF(ISNUMBER($D564),MAX(0,TODAY()-$D564),"")</f>
        <v/>
      </c>
      <c r="R564" s="19">
        <f>IF(COUNTA($A564:$O564)=0,"",IFERROR(TRIM(TEXTJOIN(" | ",TRUE,IF($A564="","PC kosong",""),IF($C564="","Worker ID kosong",""),IF($D564="","Update Date kosong",IF(NOT(ISNUMBER($D564)),"Update Date bukan tanggal","")),IF($E564="","Song ID YT kosong",""),IF($F564="","Judul kosong",""),IF(TRIM($G564)="","",IF(ISERROR(MATCH(TRIM($G564),{"TuneCore","DistroKid","TooLost","SoundOn","Ditto","Believe","CD Baby","Amuse","Symphonic Distribution","ONErpm","RouteNote","LANDR","Horus Music","Indie"},0)),"Aggregator di luar daftar","")),IF(TRIM($H564)="","Genre kosong",IF((LEN(SUBSTITUTE(SUBSTITUTE(SUBSTITUTE(TRIM($H564),"/",","),";",",")," ",""))-LEN(SUBSTITUTE(SUBSTITUTE(SUBSTITUTE(SUBSTITUTE(TRIM($H564),"/",","),";",","),"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564),"/",","),";",",")," ","")&amp;",")))&lt;&gt;(LEN(SUBSTITUTE(SUBSTITUTE(SUBSTITUTE(TRIM($H564),"/",","),";",",")," ",""))-LEN(SUBSTITUTE(SUBSTITUTE(SUBSTITUTE(SUBSTITUTE(TRIM($H564),"/",","),";",",")," ",""),",",""))+1),"Genre di luar daftar",""))),IF($I564="","Nama Channel kosong",""),IF($J564="","Link Channel kosong",IF(ISERROR(SEARCH("youtu",$J564)),"Link Channel bukan youtube","")),IF($K564="","Link Video kosong",IF(ISERROR(SEARCH("youtu",$K564)),"Link Video bukan youtube","")),IF($L564="","Tgl Dibuat kosong",IF(NOT(ISNUMBER($L564)),"Tgl Dibuat bukan tanggal","")),IF(AND($M564&lt;&gt;"",NOT(ISNUMBER($M564))),"Tgl Publish bukan tanggal",""),IF(AND(ISNUMBER($L564),ISNUMBER($M564),$M564&lt;$L564),"Tgl Publish &lt; Tgl buat",""),IF(TRIM($N564)="","Status kosong",IF(ISERROR(MATCH(TRIM($N564),{"Draft","Menunggu Review","Revisi","Terjadwal","Upload","Publish","Published","Batal"},0)),"Status di luar daftar","")))),""))</f>
        <v/>
      </c>
      <c r="S564" s="17">
        <f>IF(AND($A564&lt;&gt;"",$C564&lt;&gt;""),IF(COUNTIFS($A$2:$A$1000,$A564,$C$2:$C$1000,$C564)&gt;1,"DUPLICAT",""),"")</f>
        <v/>
      </c>
    </row>
    <row r="565">
      <c r="A565" s="12" t="n"/>
      <c r="B565" s="12" t="n"/>
      <c r="C565" s="12" t="n"/>
      <c r="D565" s="13" t="n"/>
      <c r="E565" s="12" t="n"/>
      <c r="F565" s="14" t="n"/>
      <c r="G565" s="12" t="n"/>
      <c r="H565" s="12" t="n"/>
      <c r="I565" s="12" t="n"/>
      <c r="J565" s="14" t="n"/>
      <c r="K565" s="14" t="n"/>
      <c r="L565" s="15" t="n"/>
      <c r="M565" s="15" t="n"/>
      <c r="N565" s="12" t="n"/>
      <c r="O565" s="12" t="n"/>
      <c r="P565" s="16">
        <f>IF(AND(ISNUMBER($L565),ISNUMBER($M565)),MAX(0,$M565-$L565),"")</f>
        <v/>
      </c>
      <c r="Q565" s="16">
        <f>IF(ISNUMBER($D565),MAX(0,TODAY()-$D565),"")</f>
        <v/>
      </c>
      <c r="R565" s="14">
        <f>IF(COUNTA($A565:$O565)=0,"",IFERROR(TRIM(TEXTJOIN(" | ",TRUE,IF($A565="","PC kosong",""),IF($C565="","Worker ID kosong",""),IF($D565="","Update Date kosong",IF(NOT(ISNUMBER($D565)),"Update Date bukan tanggal","")),IF($E565="","Song ID YT kosong",""),IF($F565="","Judul kosong",""),IF(TRIM($G565)="","",IF(ISERROR(MATCH(TRIM($G565),{"TuneCore","DistroKid","TooLost","SoundOn","Ditto","Believe","CD Baby","Amuse","Symphonic Distribution","ONErpm","RouteNote","LANDR","Horus Music","Indie"},0)),"Aggregator di luar daftar","")),IF(TRIM($H565)="","Genre kosong",IF((LEN(SUBSTITUTE(SUBSTITUTE(SUBSTITUTE(TRIM($H565),"/",","),";",",")," ",""))-LEN(SUBSTITUTE(SUBSTITUTE(SUBSTITUTE(SUBSTITUTE(TRIM($H565),"/",","),";",","),"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565),"/",","),";",",")," ","")&amp;",")))&lt;&gt;(LEN(SUBSTITUTE(SUBSTITUTE(SUBSTITUTE(TRIM($H565),"/",","),";",",")," ",""))-LEN(SUBSTITUTE(SUBSTITUTE(SUBSTITUTE(SUBSTITUTE(TRIM($H565),"/",","),";",",")," ",""),",",""))+1),"Genre di luar daftar",""))),IF($I565="","Nama Channel kosong",""),IF($J565="","Link Channel kosong",IF(ISERROR(SEARCH("youtu",$J565)),"Link Channel bukan youtube","")),IF($K565="","Link Video kosong",IF(ISERROR(SEARCH("youtu",$K565)),"Link Video bukan youtube","")),IF($L565="","Tgl Dibuat kosong",IF(NOT(ISNUMBER($L565)),"Tgl Dibuat bukan tanggal","")),IF(AND($M565&lt;&gt;"",NOT(ISNUMBER($M565))),"Tgl Publish bukan tanggal",""),IF(AND(ISNUMBER($L565),ISNUMBER($M565),$M565&lt;$L565),"Tgl Publish &lt; Tgl buat",""),IF(TRIM($N565)="","Status kosong",IF(ISERROR(MATCH(TRIM($N565),{"Draft","Menunggu Review","Revisi","Terjadwal","Upload","Publish","Published","Batal"},0)),"Status di luar daftar","")))),""))</f>
        <v/>
      </c>
      <c r="S565" s="12">
        <f>IF(AND($A565&lt;&gt;"",$C565&lt;&gt;""),IF(COUNTIFS($A$2:$A$1000,$A565,$C$2:$C$1000,$C565)&gt;1,"DUPLICAT",""),"")</f>
        <v/>
      </c>
    </row>
    <row r="566">
      <c r="A566" s="17" t="n"/>
      <c r="B566" s="17" t="n"/>
      <c r="C566" s="17" t="n"/>
      <c r="D566" s="18" t="n"/>
      <c r="E566" s="17" t="n"/>
      <c r="F566" s="19" t="n"/>
      <c r="G566" s="17" t="n"/>
      <c r="H566" s="17" t="n"/>
      <c r="I566" s="17" t="n"/>
      <c r="J566" s="19" t="n"/>
      <c r="K566" s="19" t="n"/>
      <c r="L566" s="20" t="n"/>
      <c r="M566" s="20" t="n"/>
      <c r="N566" s="17" t="n"/>
      <c r="O566" s="17" t="n"/>
      <c r="P566" s="21">
        <f>IF(AND(ISNUMBER($L566),ISNUMBER($M566)),MAX(0,$M566-$L566),"")</f>
        <v/>
      </c>
      <c r="Q566" s="21">
        <f>IF(ISNUMBER($D566),MAX(0,TODAY()-$D566),"")</f>
        <v/>
      </c>
      <c r="R566" s="19">
        <f>IF(COUNTA($A566:$O566)=0,"",IFERROR(TRIM(TEXTJOIN(" | ",TRUE,IF($A566="","PC kosong",""),IF($C566="","Worker ID kosong",""),IF($D566="","Update Date kosong",IF(NOT(ISNUMBER($D566)),"Update Date bukan tanggal","")),IF($E566="","Song ID YT kosong",""),IF($F566="","Judul kosong",""),IF(TRIM($G566)="","",IF(ISERROR(MATCH(TRIM($G566),{"TuneCore","DistroKid","TooLost","SoundOn","Ditto","Believe","CD Baby","Amuse","Symphonic Distribution","ONErpm","RouteNote","LANDR","Horus Music","Indie"},0)),"Aggregator di luar daftar","")),IF(TRIM($H566)="","Genre kosong",IF((LEN(SUBSTITUTE(SUBSTITUTE(SUBSTITUTE(TRIM($H566),"/",","),";",",")," ",""))-LEN(SUBSTITUTE(SUBSTITUTE(SUBSTITUTE(SUBSTITUTE(TRIM($H566),"/",","),";",","),"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566),"/",","),";",",")," ","")&amp;",")))&lt;&gt;(LEN(SUBSTITUTE(SUBSTITUTE(SUBSTITUTE(TRIM($H566),"/",","),";",",")," ",""))-LEN(SUBSTITUTE(SUBSTITUTE(SUBSTITUTE(SUBSTITUTE(TRIM($H566),"/",","),";",",")," ",""),",",""))+1),"Genre di luar daftar",""))),IF($I566="","Nama Channel kosong",""),IF($J566="","Link Channel kosong",IF(ISERROR(SEARCH("youtu",$J566)),"Link Channel bukan youtube","")),IF($K566="","Link Video kosong",IF(ISERROR(SEARCH("youtu",$K566)),"Link Video bukan youtube","")),IF($L566="","Tgl Dibuat kosong",IF(NOT(ISNUMBER($L566)),"Tgl Dibuat bukan tanggal","")),IF(AND($M566&lt;&gt;"",NOT(ISNUMBER($M566))),"Tgl Publish bukan tanggal",""),IF(AND(ISNUMBER($L566),ISNUMBER($M566),$M566&lt;$L566),"Tgl Publish &lt; Tgl buat",""),IF(TRIM($N566)="","Status kosong",IF(ISERROR(MATCH(TRIM($N566),{"Draft","Menunggu Review","Revisi","Terjadwal","Upload","Publish","Published","Batal"},0)),"Status di luar daftar","")))),""))</f>
        <v/>
      </c>
      <c r="S566" s="17">
        <f>IF(AND($A566&lt;&gt;"",$C566&lt;&gt;""),IF(COUNTIFS($A$2:$A$1000,$A566,$C$2:$C$1000,$C566)&gt;1,"DUPLICAT",""),"")</f>
        <v/>
      </c>
    </row>
    <row r="567">
      <c r="A567" s="12" t="n"/>
      <c r="B567" s="12" t="n"/>
      <c r="C567" s="12" t="n"/>
      <c r="D567" s="13" t="n"/>
      <c r="E567" s="12" t="n"/>
      <c r="F567" s="14" t="n"/>
      <c r="G567" s="12" t="n"/>
      <c r="H567" s="12" t="n"/>
      <c r="I567" s="12" t="n"/>
      <c r="J567" s="14" t="n"/>
      <c r="K567" s="14" t="n"/>
      <c r="L567" s="15" t="n"/>
      <c r="M567" s="15" t="n"/>
      <c r="N567" s="12" t="n"/>
      <c r="O567" s="12" t="n"/>
      <c r="P567" s="16">
        <f>IF(AND(ISNUMBER($L567),ISNUMBER($M567)),MAX(0,$M567-$L567),"")</f>
        <v/>
      </c>
      <c r="Q567" s="16">
        <f>IF(ISNUMBER($D567),MAX(0,TODAY()-$D567),"")</f>
        <v/>
      </c>
      <c r="R567" s="14">
        <f>IF(COUNTA($A567:$O567)=0,"",IFERROR(TRIM(TEXTJOIN(" | ",TRUE,IF($A567="","PC kosong",""),IF($C567="","Worker ID kosong",""),IF($D567="","Update Date kosong",IF(NOT(ISNUMBER($D567)),"Update Date bukan tanggal","")),IF($E567="","Song ID YT kosong",""),IF($F567="","Judul kosong",""),IF(TRIM($G567)="","",IF(ISERROR(MATCH(TRIM($G567),{"TuneCore","DistroKid","TooLost","SoundOn","Ditto","Believe","CD Baby","Amuse","Symphonic Distribution","ONErpm","RouteNote","LANDR","Horus Music","Indie"},0)),"Aggregator di luar daftar","")),IF(TRIM($H567)="","Genre kosong",IF((LEN(SUBSTITUTE(SUBSTITUTE(SUBSTITUTE(TRIM($H567),"/",","),";",",")," ",""))-LEN(SUBSTITUTE(SUBSTITUTE(SUBSTITUTE(SUBSTITUTE(TRIM($H567),"/",","),";",","),"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567),"/",","),";",",")," ","")&amp;",")))&lt;&gt;(LEN(SUBSTITUTE(SUBSTITUTE(SUBSTITUTE(TRIM($H567),"/",","),";",",")," ",""))-LEN(SUBSTITUTE(SUBSTITUTE(SUBSTITUTE(SUBSTITUTE(TRIM($H567),"/",","),";",",")," ",""),",",""))+1),"Genre di luar daftar",""))),IF($I567="","Nama Channel kosong",""),IF($J567="","Link Channel kosong",IF(ISERROR(SEARCH("youtu",$J567)),"Link Channel bukan youtube","")),IF($K567="","Link Video kosong",IF(ISERROR(SEARCH("youtu",$K567)),"Link Video bukan youtube","")),IF($L567="","Tgl Dibuat kosong",IF(NOT(ISNUMBER($L567)),"Tgl Dibuat bukan tanggal","")),IF(AND($M567&lt;&gt;"",NOT(ISNUMBER($M567))),"Tgl Publish bukan tanggal",""),IF(AND(ISNUMBER($L567),ISNUMBER($M567),$M567&lt;$L567),"Tgl Publish &lt; Tgl buat",""),IF(TRIM($N567)="","Status kosong",IF(ISERROR(MATCH(TRIM($N567),{"Draft","Menunggu Review","Revisi","Terjadwal","Upload","Publish","Published","Batal"},0)),"Status di luar daftar","")))),""))</f>
        <v/>
      </c>
      <c r="S567" s="12">
        <f>IF(AND($A567&lt;&gt;"",$C567&lt;&gt;""),IF(COUNTIFS($A$2:$A$1000,$A567,$C$2:$C$1000,$C567)&gt;1,"DUPLICAT",""),"")</f>
        <v/>
      </c>
    </row>
    <row r="568">
      <c r="A568" s="17" t="n"/>
      <c r="B568" s="17" t="n"/>
      <c r="C568" s="17" t="n"/>
      <c r="D568" s="18" t="n"/>
      <c r="E568" s="17" t="n"/>
      <c r="F568" s="19" t="n"/>
      <c r="G568" s="17" t="n"/>
      <c r="H568" s="17" t="n"/>
      <c r="I568" s="17" t="n"/>
      <c r="J568" s="19" t="n"/>
      <c r="K568" s="19" t="n"/>
      <c r="L568" s="20" t="n"/>
      <c r="M568" s="20" t="n"/>
      <c r="N568" s="17" t="n"/>
      <c r="O568" s="17" t="n"/>
      <c r="P568" s="21">
        <f>IF(AND(ISNUMBER($L568),ISNUMBER($M568)),MAX(0,$M568-$L568),"")</f>
        <v/>
      </c>
      <c r="Q568" s="21">
        <f>IF(ISNUMBER($D568),MAX(0,TODAY()-$D568),"")</f>
        <v/>
      </c>
      <c r="R568" s="19">
        <f>IF(COUNTA($A568:$O568)=0,"",IFERROR(TRIM(TEXTJOIN(" | ",TRUE,IF($A568="","PC kosong",""),IF($C568="","Worker ID kosong",""),IF($D568="","Update Date kosong",IF(NOT(ISNUMBER($D568)),"Update Date bukan tanggal","")),IF($E568="","Song ID YT kosong",""),IF($F568="","Judul kosong",""),IF(TRIM($G568)="","",IF(ISERROR(MATCH(TRIM($G568),{"TuneCore","DistroKid","TooLost","SoundOn","Ditto","Believe","CD Baby","Amuse","Symphonic Distribution","ONErpm","RouteNote","LANDR","Horus Music","Indie"},0)),"Aggregator di luar daftar","")),IF(TRIM($H568)="","Genre kosong",IF((LEN(SUBSTITUTE(SUBSTITUTE(SUBSTITUTE(TRIM($H568),"/",","),";",",")," ",""))-LEN(SUBSTITUTE(SUBSTITUTE(SUBSTITUTE(SUBSTITUTE(TRIM($H568),"/",","),";",","),"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568),"/",","),";",",")," ","")&amp;",")))&lt;&gt;(LEN(SUBSTITUTE(SUBSTITUTE(SUBSTITUTE(TRIM($H568),"/",","),";",",")," ",""))-LEN(SUBSTITUTE(SUBSTITUTE(SUBSTITUTE(SUBSTITUTE(TRIM($H568),"/",","),";",",")," ",""),",",""))+1),"Genre di luar daftar",""))),IF($I568="","Nama Channel kosong",""),IF($J568="","Link Channel kosong",IF(ISERROR(SEARCH("youtu",$J568)),"Link Channel bukan youtube","")),IF($K568="","Link Video kosong",IF(ISERROR(SEARCH("youtu",$K568)),"Link Video bukan youtube","")),IF($L568="","Tgl Dibuat kosong",IF(NOT(ISNUMBER($L568)),"Tgl Dibuat bukan tanggal","")),IF(AND($M568&lt;&gt;"",NOT(ISNUMBER($M568))),"Tgl Publish bukan tanggal",""),IF(AND(ISNUMBER($L568),ISNUMBER($M568),$M568&lt;$L568),"Tgl Publish &lt; Tgl buat",""),IF(TRIM($N568)="","Status kosong",IF(ISERROR(MATCH(TRIM($N568),{"Draft","Menunggu Review","Revisi","Terjadwal","Upload","Publish","Published","Batal"},0)),"Status di luar daftar","")))),""))</f>
        <v/>
      </c>
      <c r="S568" s="17">
        <f>IF(AND($A568&lt;&gt;"",$C568&lt;&gt;""),IF(COUNTIFS($A$2:$A$1000,$A568,$C$2:$C$1000,$C568)&gt;1,"DUPLICAT",""),"")</f>
        <v/>
      </c>
    </row>
    <row r="569">
      <c r="A569" s="12" t="n"/>
      <c r="B569" s="12" t="n"/>
      <c r="C569" s="12" t="n"/>
      <c r="D569" s="13" t="n"/>
      <c r="E569" s="12" t="n"/>
      <c r="F569" s="14" t="n"/>
      <c r="G569" s="12" t="n"/>
      <c r="H569" s="12" t="n"/>
      <c r="I569" s="12" t="n"/>
      <c r="J569" s="14" t="n"/>
      <c r="K569" s="14" t="n"/>
      <c r="L569" s="15" t="n"/>
      <c r="M569" s="15" t="n"/>
      <c r="N569" s="12" t="n"/>
      <c r="O569" s="12" t="n"/>
      <c r="P569" s="16">
        <f>IF(AND(ISNUMBER($L569),ISNUMBER($M569)),MAX(0,$M569-$L569),"")</f>
        <v/>
      </c>
      <c r="Q569" s="16">
        <f>IF(ISNUMBER($D569),MAX(0,TODAY()-$D569),"")</f>
        <v/>
      </c>
      <c r="R569" s="14">
        <f>IF(COUNTA($A569:$O569)=0,"",IFERROR(TRIM(TEXTJOIN(" | ",TRUE,IF($A569="","PC kosong",""),IF($C569="","Worker ID kosong",""),IF($D569="","Update Date kosong",IF(NOT(ISNUMBER($D569)),"Update Date bukan tanggal","")),IF($E569="","Song ID YT kosong",""),IF($F569="","Judul kosong",""),IF(TRIM($G569)="","",IF(ISERROR(MATCH(TRIM($G569),{"TuneCore","DistroKid","TooLost","SoundOn","Ditto","Believe","CD Baby","Amuse","Symphonic Distribution","ONErpm","RouteNote","LANDR","Horus Music","Indie"},0)),"Aggregator di luar daftar","")),IF(TRIM($H569)="","Genre kosong",IF((LEN(SUBSTITUTE(SUBSTITUTE(SUBSTITUTE(TRIM($H569),"/",","),";",",")," ",""))-LEN(SUBSTITUTE(SUBSTITUTE(SUBSTITUTE(SUBSTITUTE(TRIM($H569),"/",","),";",","),"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569),"/",","),";",",")," ","")&amp;",")))&lt;&gt;(LEN(SUBSTITUTE(SUBSTITUTE(SUBSTITUTE(TRIM($H569),"/",","),";",",")," ",""))-LEN(SUBSTITUTE(SUBSTITUTE(SUBSTITUTE(SUBSTITUTE(TRIM($H569),"/",","),";",",")," ",""),",",""))+1),"Genre di luar daftar",""))),IF($I569="","Nama Channel kosong",""),IF($J569="","Link Channel kosong",IF(ISERROR(SEARCH("youtu",$J569)),"Link Channel bukan youtube","")),IF($K569="","Link Video kosong",IF(ISERROR(SEARCH("youtu",$K569)),"Link Video bukan youtube","")),IF($L569="","Tgl Dibuat kosong",IF(NOT(ISNUMBER($L569)),"Tgl Dibuat bukan tanggal","")),IF(AND($M569&lt;&gt;"",NOT(ISNUMBER($M569))),"Tgl Publish bukan tanggal",""),IF(AND(ISNUMBER($L569),ISNUMBER($M569),$M569&lt;$L569),"Tgl Publish &lt; Tgl buat",""),IF(TRIM($N569)="","Status kosong",IF(ISERROR(MATCH(TRIM($N569),{"Draft","Menunggu Review","Revisi","Terjadwal","Upload","Publish","Published","Batal"},0)),"Status di luar daftar","")))),""))</f>
        <v/>
      </c>
      <c r="S569" s="12">
        <f>IF(AND($A569&lt;&gt;"",$C569&lt;&gt;""),IF(COUNTIFS($A$2:$A$1000,$A569,$C$2:$C$1000,$C569)&gt;1,"DUPLICAT",""),"")</f>
        <v/>
      </c>
    </row>
    <row r="570">
      <c r="A570" s="17" t="n"/>
      <c r="B570" s="17" t="n"/>
      <c r="C570" s="17" t="n"/>
      <c r="D570" s="18" t="n"/>
      <c r="E570" s="17" t="n"/>
      <c r="F570" s="19" t="n"/>
      <c r="G570" s="17" t="n"/>
      <c r="H570" s="17" t="n"/>
      <c r="I570" s="17" t="n"/>
      <c r="J570" s="19" t="n"/>
      <c r="K570" s="19" t="n"/>
      <c r="L570" s="20" t="n"/>
      <c r="M570" s="20" t="n"/>
      <c r="N570" s="17" t="n"/>
      <c r="O570" s="17" t="n"/>
      <c r="P570" s="21">
        <f>IF(AND(ISNUMBER($L570),ISNUMBER($M570)),MAX(0,$M570-$L570),"")</f>
        <v/>
      </c>
      <c r="Q570" s="21">
        <f>IF(ISNUMBER($D570),MAX(0,TODAY()-$D570),"")</f>
        <v/>
      </c>
      <c r="R570" s="19">
        <f>IF(COUNTA($A570:$O570)=0,"",IFERROR(TRIM(TEXTJOIN(" | ",TRUE,IF($A570="","PC kosong",""),IF($C570="","Worker ID kosong",""),IF($D570="","Update Date kosong",IF(NOT(ISNUMBER($D570)),"Update Date bukan tanggal","")),IF($E570="","Song ID YT kosong",""),IF($F570="","Judul kosong",""),IF(TRIM($G570)="","",IF(ISERROR(MATCH(TRIM($G570),{"TuneCore","DistroKid","TooLost","SoundOn","Ditto","Believe","CD Baby","Amuse","Symphonic Distribution","ONErpm","RouteNote","LANDR","Horus Music","Indie"},0)),"Aggregator di luar daftar","")),IF(TRIM($H570)="","Genre kosong",IF((LEN(SUBSTITUTE(SUBSTITUTE(SUBSTITUTE(TRIM($H570),"/",","),";",",")," ",""))-LEN(SUBSTITUTE(SUBSTITUTE(SUBSTITUTE(SUBSTITUTE(TRIM($H570),"/",","),";",","),"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570),"/",","),";",",")," ","")&amp;",")))&lt;&gt;(LEN(SUBSTITUTE(SUBSTITUTE(SUBSTITUTE(TRIM($H570),"/",","),";",",")," ",""))-LEN(SUBSTITUTE(SUBSTITUTE(SUBSTITUTE(SUBSTITUTE(TRIM($H570),"/",","),";",",")," ",""),",",""))+1),"Genre di luar daftar",""))),IF($I570="","Nama Channel kosong",""),IF($J570="","Link Channel kosong",IF(ISERROR(SEARCH("youtu",$J570)),"Link Channel bukan youtube","")),IF($K570="","Link Video kosong",IF(ISERROR(SEARCH("youtu",$K570)),"Link Video bukan youtube","")),IF($L570="","Tgl Dibuat kosong",IF(NOT(ISNUMBER($L570)),"Tgl Dibuat bukan tanggal","")),IF(AND($M570&lt;&gt;"",NOT(ISNUMBER($M570))),"Tgl Publish bukan tanggal",""),IF(AND(ISNUMBER($L570),ISNUMBER($M570),$M570&lt;$L570),"Tgl Publish &lt; Tgl buat",""),IF(TRIM($N570)="","Status kosong",IF(ISERROR(MATCH(TRIM($N570),{"Draft","Menunggu Review","Revisi","Terjadwal","Upload","Publish","Published","Batal"},0)),"Status di luar daftar","")))),""))</f>
        <v/>
      </c>
      <c r="S570" s="17">
        <f>IF(AND($A570&lt;&gt;"",$C570&lt;&gt;""),IF(COUNTIFS($A$2:$A$1000,$A570,$C$2:$C$1000,$C570)&gt;1,"DUPLICAT",""),"")</f>
        <v/>
      </c>
    </row>
    <row r="571">
      <c r="A571" s="12" t="n"/>
      <c r="B571" s="12" t="n"/>
      <c r="C571" s="12" t="n"/>
      <c r="D571" s="13" t="n"/>
      <c r="E571" s="12" t="n"/>
      <c r="F571" s="14" t="n"/>
      <c r="G571" s="12" t="n"/>
      <c r="H571" s="12" t="n"/>
      <c r="I571" s="12" t="n"/>
      <c r="J571" s="14" t="n"/>
      <c r="K571" s="14" t="n"/>
      <c r="L571" s="15" t="n"/>
      <c r="M571" s="15" t="n"/>
      <c r="N571" s="12" t="n"/>
      <c r="O571" s="12" t="n"/>
      <c r="P571" s="16">
        <f>IF(AND(ISNUMBER($L571),ISNUMBER($M571)),MAX(0,$M571-$L571),"")</f>
        <v/>
      </c>
      <c r="Q571" s="16">
        <f>IF(ISNUMBER($D571),MAX(0,TODAY()-$D571),"")</f>
        <v/>
      </c>
      <c r="R571" s="14">
        <f>IF(COUNTA($A571:$O571)=0,"",IFERROR(TRIM(TEXTJOIN(" | ",TRUE,IF($A571="","PC kosong",""),IF($C571="","Worker ID kosong",""),IF($D571="","Update Date kosong",IF(NOT(ISNUMBER($D571)),"Update Date bukan tanggal","")),IF($E571="","Song ID YT kosong",""),IF($F571="","Judul kosong",""),IF(TRIM($G571)="","",IF(ISERROR(MATCH(TRIM($G571),{"TuneCore","DistroKid","TooLost","SoundOn","Ditto","Believe","CD Baby","Amuse","Symphonic Distribution","ONErpm","RouteNote","LANDR","Horus Music","Indie"},0)),"Aggregator di luar daftar","")),IF(TRIM($H571)="","Genre kosong",IF((LEN(SUBSTITUTE(SUBSTITUTE(SUBSTITUTE(TRIM($H571),"/",","),";",",")," ",""))-LEN(SUBSTITUTE(SUBSTITUTE(SUBSTITUTE(SUBSTITUTE(TRIM($H571),"/",","),";",","),"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571),"/",","),";",",")," ","")&amp;",")))&lt;&gt;(LEN(SUBSTITUTE(SUBSTITUTE(SUBSTITUTE(TRIM($H571),"/",","),";",",")," ",""))-LEN(SUBSTITUTE(SUBSTITUTE(SUBSTITUTE(SUBSTITUTE(TRIM($H571),"/",","),";",",")," ",""),",",""))+1),"Genre di luar daftar",""))),IF($I571="","Nama Channel kosong",""),IF($J571="","Link Channel kosong",IF(ISERROR(SEARCH("youtu",$J571)),"Link Channel bukan youtube","")),IF($K571="","Link Video kosong",IF(ISERROR(SEARCH("youtu",$K571)),"Link Video bukan youtube","")),IF($L571="","Tgl Dibuat kosong",IF(NOT(ISNUMBER($L571)),"Tgl Dibuat bukan tanggal","")),IF(AND($M571&lt;&gt;"",NOT(ISNUMBER($M571))),"Tgl Publish bukan tanggal",""),IF(AND(ISNUMBER($L571),ISNUMBER($M571),$M571&lt;$L571),"Tgl Publish &lt; Tgl buat",""),IF(TRIM($N571)="","Status kosong",IF(ISERROR(MATCH(TRIM($N571),{"Draft","Menunggu Review","Revisi","Terjadwal","Upload","Publish","Published","Batal"},0)),"Status di luar daftar","")))),""))</f>
        <v/>
      </c>
      <c r="S571" s="12">
        <f>IF(AND($A571&lt;&gt;"",$C571&lt;&gt;""),IF(COUNTIFS($A$2:$A$1000,$A571,$C$2:$C$1000,$C571)&gt;1,"DUPLICAT",""),"")</f>
        <v/>
      </c>
    </row>
    <row r="572">
      <c r="A572" s="17" t="n"/>
      <c r="B572" s="17" t="n"/>
      <c r="C572" s="17" t="n"/>
      <c r="D572" s="18" t="n"/>
      <c r="E572" s="17" t="n"/>
      <c r="F572" s="19" t="n"/>
      <c r="G572" s="17" t="n"/>
      <c r="H572" s="17" t="n"/>
      <c r="I572" s="17" t="n"/>
      <c r="J572" s="19" t="n"/>
      <c r="K572" s="19" t="n"/>
      <c r="L572" s="20" t="n"/>
      <c r="M572" s="20" t="n"/>
      <c r="N572" s="17" t="n"/>
      <c r="O572" s="17" t="n"/>
      <c r="P572" s="21">
        <f>IF(AND(ISNUMBER($L572),ISNUMBER($M572)),MAX(0,$M572-$L572),"")</f>
        <v/>
      </c>
      <c r="Q572" s="21">
        <f>IF(ISNUMBER($D572),MAX(0,TODAY()-$D572),"")</f>
        <v/>
      </c>
      <c r="R572" s="19">
        <f>IF(COUNTA($A572:$O572)=0,"",IFERROR(TRIM(TEXTJOIN(" | ",TRUE,IF($A572="","PC kosong",""),IF($C572="","Worker ID kosong",""),IF($D572="","Update Date kosong",IF(NOT(ISNUMBER($D572)),"Update Date bukan tanggal","")),IF($E572="","Song ID YT kosong",""),IF($F572="","Judul kosong",""),IF(TRIM($G572)="","",IF(ISERROR(MATCH(TRIM($G572),{"TuneCore","DistroKid","TooLost","SoundOn","Ditto","Believe","CD Baby","Amuse","Symphonic Distribution","ONErpm","RouteNote","LANDR","Horus Music","Indie"},0)),"Aggregator di luar daftar","")),IF(TRIM($H572)="","Genre kosong",IF((LEN(SUBSTITUTE(SUBSTITUTE(SUBSTITUTE(TRIM($H572),"/",","),";",",")," ",""))-LEN(SUBSTITUTE(SUBSTITUTE(SUBSTITUTE(SUBSTITUTE(TRIM($H572),"/",","),";",","),"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572),"/",","),";",",")," ","")&amp;",")))&lt;&gt;(LEN(SUBSTITUTE(SUBSTITUTE(SUBSTITUTE(TRIM($H572),"/",","),";",",")," ",""))-LEN(SUBSTITUTE(SUBSTITUTE(SUBSTITUTE(SUBSTITUTE(TRIM($H572),"/",","),";",",")," ",""),",",""))+1),"Genre di luar daftar",""))),IF($I572="","Nama Channel kosong",""),IF($J572="","Link Channel kosong",IF(ISERROR(SEARCH("youtu",$J572)),"Link Channel bukan youtube","")),IF($K572="","Link Video kosong",IF(ISERROR(SEARCH("youtu",$K572)),"Link Video bukan youtube","")),IF($L572="","Tgl Dibuat kosong",IF(NOT(ISNUMBER($L572)),"Tgl Dibuat bukan tanggal","")),IF(AND($M572&lt;&gt;"",NOT(ISNUMBER($M572))),"Tgl Publish bukan tanggal",""),IF(AND(ISNUMBER($L572),ISNUMBER($M572),$M572&lt;$L572),"Tgl Publish &lt; Tgl buat",""),IF(TRIM($N572)="","Status kosong",IF(ISERROR(MATCH(TRIM($N572),{"Draft","Menunggu Review","Revisi","Terjadwal","Upload","Publish","Published","Batal"},0)),"Status di luar daftar","")))),""))</f>
        <v/>
      </c>
      <c r="S572" s="17">
        <f>IF(AND($A572&lt;&gt;"",$C572&lt;&gt;""),IF(COUNTIFS($A$2:$A$1000,$A572,$C$2:$C$1000,$C572)&gt;1,"DUPLICAT",""),"")</f>
        <v/>
      </c>
    </row>
    <row r="573">
      <c r="A573" s="12" t="n"/>
      <c r="B573" s="12" t="n"/>
      <c r="C573" s="12" t="n"/>
      <c r="D573" s="13" t="n"/>
      <c r="E573" s="12" t="n"/>
      <c r="F573" s="14" t="n"/>
      <c r="G573" s="12" t="n"/>
      <c r="H573" s="12" t="n"/>
      <c r="I573" s="12" t="n"/>
      <c r="J573" s="14" t="n"/>
      <c r="K573" s="14" t="n"/>
      <c r="L573" s="15" t="n"/>
      <c r="M573" s="15" t="n"/>
      <c r="N573" s="12" t="n"/>
      <c r="O573" s="12" t="n"/>
      <c r="P573" s="16">
        <f>IF(AND(ISNUMBER($L573),ISNUMBER($M573)),MAX(0,$M573-$L573),"")</f>
        <v/>
      </c>
      <c r="Q573" s="16">
        <f>IF(ISNUMBER($D573),MAX(0,TODAY()-$D573),"")</f>
        <v/>
      </c>
      <c r="R573" s="14">
        <f>IF(COUNTA($A573:$O573)=0,"",IFERROR(TRIM(TEXTJOIN(" | ",TRUE,IF($A573="","PC kosong",""),IF($C573="","Worker ID kosong",""),IF($D573="","Update Date kosong",IF(NOT(ISNUMBER($D573)),"Update Date bukan tanggal","")),IF($E573="","Song ID YT kosong",""),IF($F573="","Judul kosong",""),IF(TRIM($G573)="","",IF(ISERROR(MATCH(TRIM($G573),{"TuneCore","DistroKid","TooLost","SoundOn","Ditto","Believe","CD Baby","Amuse","Symphonic Distribution","ONErpm","RouteNote","LANDR","Horus Music","Indie"},0)),"Aggregator di luar daftar","")),IF(TRIM($H573)="","Genre kosong",IF((LEN(SUBSTITUTE(SUBSTITUTE(SUBSTITUTE(TRIM($H573),"/",","),";",",")," ",""))-LEN(SUBSTITUTE(SUBSTITUTE(SUBSTITUTE(SUBSTITUTE(TRIM($H573),"/",","),";",","),"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573),"/",","),";",",")," ","")&amp;",")))&lt;&gt;(LEN(SUBSTITUTE(SUBSTITUTE(SUBSTITUTE(TRIM($H573),"/",","),";",",")," ",""))-LEN(SUBSTITUTE(SUBSTITUTE(SUBSTITUTE(SUBSTITUTE(TRIM($H573),"/",","),";",",")," ",""),",",""))+1),"Genre di luar daftar",""))),IF($I573="","Nama Channel kosong",""),IF($J573="","Link Channel kosong",IF(ISERROR(SEARCH("youtu",$J573)),"Link Channel bukan youtube","")),IF($K573="","Link Video kosong",IF(ISERROR(SEARCH("youtu",$K573)),"Link Video bukan youtube","")),IF($L573="","Tgl Dibuat kosong",IF(NOT(ISNUMBER($L573)),"Tgl Dibuat bukan tanggal","")),IF(AND($M573&lt;&gt;"",NOT(ISNUMBER($M573))),"Tgl Publish bukan tanggal",""),IF(AND(ISNUMBER($L573),ISNUMBER($M573),$M573&lt;$L573),"Tgl Publish &lt; Tgl buat",""),IF(TRIM($N573)="","Status kosong",IF(ISERROR(MATCH(TRIM($N573),{"Draft","Menunggu Review","Revisi","Terjadwal","Upload","Publish","Published","Batal"},0)),"Status di luar daftar","")))),""))</f>
        <v/>
      </c>
      <c r="S573" s="12">
        <f>IF(AND($A573&lt;&gt;"",$C573&lt;&gt;""),IF(COUNTIFS($A$2:$A$1000,$A573,$C$2:$C$1000,$C573)&gt;1,"DUPLICAT",""),"")</f>
        <v/>
      </c>
    </row>
    <row r="574">
      <c r="A574" s="17" t="n"/>
      <c r="B574" s="17" t="n"/>
      <c r="C574" s="17" t="n"/>
      <c r="D574" s="18" t="n"/>
      <c r="E574" s="17" t="n"/>
      <c r="F574" s="19" t="n"/>
      <c r="G574" s="17" t="n"/>
      <c r="H574" s="17" t="n"/>
      <c r="I574" s="17" t="n"/>
      <c r="J574" s="19" t="n"/>
      <c r="K574" s="19" t="n"/>
      <c r="L574" s="20" t="n"/>
      <c r="M574" s="20" t="n"/>
      <c r="N574" s="17" t="n"/>
      <c r="O574" s="17" t="n"/>
      <c r="P574" s="21">
        <f>IF(AND(ISNUMBER($L574),ISNUMBER($M574)),MAX(0,$M574-$L574),"")</f>
        <v/>
      </c>
      <c r="Q574" s="21">
        <f>IF(ISNUMBER($D574),MAX(0,TODAY()-$D574),"")</f>
        <v/>
      </c>
      <c r="R574" s="19">
        <f>IF(COUNTA($A574:$O574)=0,"",IFERROR(TRIM(TEXTJOIN(" | ",TRUE,IF($A574="","PC kosong",""),IF($C574="","Worker ID kosong",""),IF($D574="","Update Date kosong",IF(NOT(ISNUMBER($D574)),"Update Date bukan tanggal","")),IF($E574="","Song ID YT kosong",""),IF($F574="","Judul kosong",""),IF(TRIM($G574)="","",IF(ISERROR(MATCH(TRIM($G574),{"TuneCore","DistroKid","TooLost","SoundOn","Ditto","Believe","CD Baby","Amuse","Symphonic Distribution","ONErpm","RouteNote","LANDR","Horus Music","Indie"},0)),"Aggregator di luar daftar","")),IF(TRIM($H574)="","Genre kosong",IF((LEN(SUBSTITUTE(SUBSTITUTE(SUBSTITUTE(TRIM($H574),"/",","),";",",")," ",""))-LEN(SUBSTITUTE(SUBSTITUTE(SUBSTITUTE(SUBSTITUTE(TRIM($H574),"/",","),";",","),"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574),"/",","),";",",")," ","")&amp;",")))&lt;&gt;(LEN(SUBSTITUTE(SUBSTITUTE(SUBSTITUTE(TRIM($H574),"/",","),";",",")," ",""))-LEN(SUBSTITUTE(SUBSTITUTE(SUBSTITUTE(SUBSTITUTE(TRIM($H574),"/",","),";",",")," ",""),",",""))+1),"Genre di luar daftar",""))),IF($I574="","Nama Channel kosong",""),IF($J574="","Link Channel kosong",IF(ISERROR(SEARCH("youtu",$J574)),"Link Channel bukan youtube","")),IF($K574="","Link Video kosong",IF(ISERROR(SEARCH("youtu",$K574)),"Link Video bukan youtube","")),IF($L574="","Tgl Dibuat kosong",IF(NOT(ISNUMBER($L574)),"Tgl Dibuat bukan tanggal","")),IF(AND($M574&lt;&gt;"",NOT(ISNUMBER($M574))),"Tgl Publish bukan tanggal",""),IF(AND(ISNUMBER($L574),ISNUMBER($M574),$M574&lt;$L574),"Tgl Publish &lt; Tgl buat",""),IF(TRIM($N574)="","Status kosong",IF(ISERROR(MATCH(TRIM($N574),{"Draft","Menunggu Review","Revisi","Terjadwal","Upload","Publish","Published","Batal"},0)),"Status di luar daftar","")))),""))</f>
        <v/>
      </c>
      <c r="S574" s="17">
        <f>IF(AND($A574&lt;&gt;"",$C574&lt;&gt;""),IF(COUNTIFS($A$2:$A$1000,$A574,$C$2:$C$1000,$C574)&gt;1,"DUPLICAT",""),"")</f>
        <v/>
      </c>
    </row>
    <row r="575">
      <c r="A575" s="12" t="n"/>
      <c r="B575" s="12" t="n"/>
      <c r="C575" s="12" t="n"/>
      <c r="D575" s="13" t="n"/>
      <c r="E575" s="12" t="n"/>
      <c r="F575" s="14" t="n"/>
      <c r="G575" s="12" t="n"/>
      <c r="H575" s="12" t="n"/>
      <c r="I575" s="12" t="n"/>
      <c r="J575" s="14" t="n"/>
      <c r="K575" s="14" t="n"/>
      <c r="L575" s="15" t="n"/>
      <c r="M575" s="15" t="n"/>
      <c r="N575" s="12" t="n"/>
      <c r="O575" s="12" t="n"/>
      <c r="P575" s="16">
        <f>IF(AND(ISNUMBER($L575),ISNUMBER($M575)),MAX(0,$M575-$L575),"")</f>
        <v/>
      </c>
      <c r="Q575" s="16">
        <f>IF(ISNUMBER($D575),MAX(0,TODAY()-$D575),"")</f>
        <v/>
      </c>
      <c r="R575" s="14">
        <f>IF(COUNTA($A575:$O575)=0,"",IFERROR(TRIM(TEXTJOIN(" | ",TRUE,IF($A575="","PC kosong",""),IF($C575="","Worker ID kosong",""),IF($D575="","Update Date kosong",IF(NOT(ISNUMBER($D575)),"Update Date bukan tanggal","")),IF($E575="","Song ID YT kosong",""),IF($F575="","Judul kosong",""),IF(TRIM($G575)="","",IF(ISERROR(MATCH(TRIM($G575),{"TuneCore","DistroKid","TooLost","SoundOn","Ditto","Believe","CD Baby","Amuse","Symphonic Distribution","ONErpm","RouteNote","LANDR","Horus Music","Indie"},0)),"Aggregator di luar daftar","")),IF(TRIM($H575)="","Genre kosong",IF((LEN(SUBSTITUTE(SUBSTITUTE(SUBSTITUTE(TRIM($H575),"/",","),";",",")," ",""))-LEN(SUBSTITUTE(SUBSTITUTE(SUBSTITUTE(SUBSTITUTE(TRIM($H575),"/",","),";",","),"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575),"/",","),";",",")," ","")&amp;",")))&lt;&gt;(LEN(SUBSTITUTE(SUBSTITUTE(SUBSTITUTE(TRIM($H575),"/",","),";",",")," ",""))-LEN(SUBSTITUTE(SUBSTITUTE(SUBSTITUTE(SUBSTITUTE(TRIM($H575),"/",","),";",",")," ",""),",",""))+1),"Genre di luar daftar",""))),IF($I575="","Nama Channel kosong",""),IF($J575="","Link Channel kosong",IF(ISERROR(SEARCH("youtu",$J575)),"Link Channel bukan youtube","")),IF($K575="","Link Video kosong",IF(ISERROR(SEARCH("youtu",$K575)),"Link Video bukan youtube","")),IF($L575="","Tgl Dibuat kosong",IF(NOT(ISNUMBER($L575)),"Tgl Dibuat bukan tanggal","")),IF(AND($M575&lt;&gt;"",NOT(ISNUMBER($M575))),"Tgl Publish bukan tanggal",""),IF(AND(ISNUMBER($L575),ISNUMBER($M575),$M575&lt;$L575),"Tgl Publish &lt; Tgl buat",""),IF(TRIM($N575)="","Status kosong",IF(ISERROR(MATCH(TRIM($N575),{"Draft","Menunggu Review","Revisi","Terjadwal","Upload","Publish","Published","Batal"},0)),"Status di luar daftar","")))),""))</f>
        <v/>
      </c>
      <c r="S575" s="12">
        <f>IF(AND($A575&lt;&gt;"",$C575&lt;&gt;""),IF(COUNTIFS($A$2:$A$1000,$A575,$C$2:$C$1000,$C575)&gt;1,"DUPLICAT",""),"")</f>
        <v/>
      </c>
    </row>
    <row r="576">
      <c r="A576" s="17" t="n"/>
      <c r="B576" s="17" t="n"/>
      <c r="C576" s="17" t="n"/>
      <c r="D576" s="18" t="n"/>
      <c r="E576" s="17" t="n"/>
      <c r="F576" s="19" t="n"/>
      <c r="G576" s="17" t="n"/>
      <c r="H576" s="17" t="n"/>
      <c r="I576" s="17" t="n"/>
      <c r="J576" s="19" t="n"/>
      <c r="K576" s="19" t="n"/>
      <c r="L576" s="20" t="n"/>
      <c r="M576" s="20" t="n"/>
      <c r="N576" s="17" t="n"/>
      <c r="O576" s="17" t="n"/>
      <c r="P576" s="21">
        <f>IF(AND(ISNUMBER($L576),ISNUMBER($M576)),MAX(0,$M576-$L576),"")</f>
        <v/>
      </c>
      <c r="Q576" s="21">
        <f>IF(ISNUMBER($D576),MAX(0,TODAY()-$D576),"")</f>
        <v/>
      </c>
      <c r="R576" s="19">
        <f>IF(COUNTA($A576:$O576)=0,"",IFERROR(TRIM(TEXTJOIN(" | ",TRUE,IF($A576="","PC kosong",""),IF($C576="","Worker ID kosong",""),IF($D576="","Update Date kosong",IF(NOT(ISNUMBER($D576)),"Update Date bukan tanggal","")),IF($E576="","Song ID YT kosong",""),IF($F576="","Judul kosong",""),IF(TRIM($G576)="","",IF(ISERROR(MATCH(TRIM($G576),{"TuneCore","DistroKid","TooLost","SoundOn","Ditto","Believe","CD Baby","Amuse","Symphonic Distribution","ONErpm","RouteNote","LANDR","Horus Music","Indie"},0)),"Aggregator di luar daftar","")),IF(TRIM($H576)="","Genre kosong",IF((LEN(SUBSTITUTE(SUBSTITUTE(SUBSTITUTE(TRIM($H576),"/",","),";",",")," ",""))-LEN(SUBSTITUTE(SUBSTITUTE(SUBSTITUTE(SUBSTITUTE(TRIM($H576),"/",","),";",","),"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576),"/",","),";",",")," ","")&amp;",")))&lt;&gt;(LEN(SUBSTITUTE(SUBSTITUTE(SUBSTITUTE(TRIM($H576),"/",","),";",",")," ",""))-LEN(SUBSTITUTE(SUBSTITUTE(SUBSTITUTE(SUBSTITUTE(TRIM($H576),"/",","),";",",")," ",""),",",""))+1),"Genre di luar daftar",""))),IF($I576="","Nama Channel kosong",""),IF($J576="","Link Channel kosong",IF(ISERROR(SEARCH("youtu",$J576)),"Link Channel bukan youtube","")),IF($K576="","Link Video kosong",IF(ISERROR(SEARCH("youtu",$K576)),"Link Video bukan youtube","")),IF($L576="","Tgl Dibuat kosong",IF(NOT(ISNUMBER($L576)),"Tgl Dibuat bukan tanggal","")),IF(AND($M576&lt;&gt;"",NOT(ISNUMBER($M576))),"Tgl Publish bukan tanggal",""),IF(AND(ISNUMBER($L576),ISNUMBER($M576),$M576&lt;$L576),"Tgl Publish &lt; Tgl buat",""),IF(TRIM($N576)="","Status kosong",IF(ISERROR(MATCH(TRIM($N576),{"Draft","Menunggu Review","Revisi","Terjadwal","Upload","Publish","Published","Batal"},0)),"Status di luar daftar","")))),""))</f>
        <v/>
      </c>
      <c r="S576" s="17">
        <f>IF(AND($A576&lt;&gt;"",$C576&lt;&gt;""),IF(COUNTIFS($A$2:$A$1000,$A576,$C$2:$C$1000,$C576)&gt;1,"DUPLICAT",""),"")</f>
        <v/>
      </c>
    </row>
    <row r="577">
      <c r="A577" s="12" t="n"/>
      <c r="B577" s="12" t="n"/>
      <c r="C577" s="12" t="n"/>
      <c r="D577" s="13" t="n"/>
      <c r="E577" s="12" t="n"/>
      <c r="F577" s="14" t="n"/>
      <c r="G577" s="12" t="n"/>
      <c r="H577" s="12" t="n"/>
      <c r="I577" s="12" t="n"/>
      <c r="J577" s="14" t="n"/>
      <c r="K577" s="14" t="n"/>
      <c r="L577" s="15" t="n"/>
      <c r="M577" s="15" t="n"/>
      <c r="N577" s="12" t="n"/>
      <c r="O577" s="12" t="n"/>
      <c r="P577" s="16">
        <f>IF(AND(ISNUMBER($L577),ISNUMBER($M577)),MAX(0,$M577-$L577),"")</f>
        <v/>
      </c>
      <c r="Q577" s="16">
        <f>IF(ISNUMBER($D577),MAX(0,TODAY()-$D577),"")</f>
        <v/>
      </c>
      <c r="R577" s="14">
        <f>IF(COUNTA($A577:$O577)=0,"",IFERROR(TRIM(TEXTJOIN(" | ",TRUE,IF($A577="","PC kosong",""),IF($C577="","Worker ID kosong",""),IF($D577="","Update Date kosong",IF(NOT(ISNUMBER($D577)),"Update Date bukan tanggal","")),IF($E577="","Song ID YT kosong",""),IF($F577="","Judul kosong",""),IF(TRIM($G577)="","",IF(ISERROR(MATCH(TRIM($G577),{"TuneCore","DistroKid","TooLost","SoundOn","Ditto","Believe","CD Baby","Amuse","Symphonic Distribution","ONErpm","RouteNote","LANDR","Horus Music","Indie"},0)),"Aggregator di luar daftar","")),IF(TRIM($H577)="","Genre kosong",IF((LEN(SUBSTITUTE(SUBSTITUTE(SUBSTITUTE(TRIM($H577),"/",","),";",",")," ",""))-LEN(SUBSTITUTE(SUBSTITUTE(SUBSTITUTE(SUBSTITUTE(TRIM($H577),"/",","),";",","),"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577),"/",","),";",",")," ","")&amp;",")))&lt;&gt;(LEN(SUBSTITUTE(SUBSTITUTE(SUBSTITUTE(TRIM($H577),"/",","),";",",")," ",""))-LEN(SUBSTITUTE(SUBSTITUTE(SUBSTITUTE(SUBSTITUTE(TRIM($H577),"/",","),";",",")," ",""),",",""))+1),"Genre di luar daftar",""))),IF($I577="","Nama Channel kosong",""),IF($J577="","Link Channel kosong",IF(ISERROR(SEARCH("youtu",$J577)),"Link Channel bukan youtube","")),IF($K577="","Link Video kosong",IF(ISERROR(SEARCH("youtu",$K577)),"Link Video bukan youtube","")),IF($L577="","Tgl Dibuat kosong",IF(NOT(ISNUMBER($L577)),"Tgl Dibuat bukan tanggal","")),IF(AND($M577&lt;&gt;"",NOT(ISNUMBER($M577))),"Tgl Publish bukan tanggal",""),IF(AND(ISNUMBER($L577),ISNUMBER($M577),$M577&lt;$L577),"Tgl Publish &lt; Tgl buat",""),IF(TRIM($N577)="","Status kosong",IF(ISERROR(MATCH(TRIM($N577),{"Draft","Menunggu Review","Revisi","Terjadwal","Upload","Publish","Published","Batal"},0)),"Status di luar daftar","")))),""))</f>
        <v/>
      </c>
      <c r="S577" s="12">
        <f>IF(AND($A577&lt;&gt;"",$C577&lt;&gt;""),IF(COUNTIFS($A$2:$A$1000,$A577,$C$2:$C$1000,$C577)&gt;1,"DUPLICAT",""),"")</f>
        <v/>
      </c>
    </row>
    <row r="578">
      <c r="A578" s="17" t="n"/>
      <c r="B578" s="17" t="n"/>
      <c r="C578" s="17" t="n"/>
      <c r="D578" s="18" t="n"/>
      <c r="E578" s="17" t="n"/>
      <c r="F578" s="19" t="n"/>
      <c r="G578" s="17" t="n"/>
      <c r="H578" s="17" t="n"/>
      <c r="I578" s="17" t="n"/>
      <c r="J578" s="19" t="n"/>
      <c r="K578" s="19" t="n"/>
      <c r="L578" s="20" t="n"/>
      <c r="M578" s="20" t="n"/>
      <c r="N578" s="17" t="n"/>
      <c r="O578" s="17" t="n"/>
      <c r="P578" s="21">
        <f>IF(AND(ISNUMBER($L578),ISNUMBER($M578)),MAX(0,$M578-$L578),"")</f>
        <v/>
      </c>
      <c r="Q578" s="21">
        <f>IF(ISNUMBER($D578),MAX(0,TODAY()-$D578),"")</f>
        <v/>
      </c>
      <c r="R578" s="19">
        <f>IF(COUNTA($A578:$O578)=0,"",IFERROR(TRIM(TEXTJOIN(" | ",TRUE,IF($A578="","PC kosong",""),IF($C578="","Worker ID kosong",""),IF($D578="","Update Date kosong",IF(NOT(ISNUMBER($D578)),"Update Date bukan tanggal","")),IF($E578="","Song ID YT kosong",""),IF($F578="","Judul kosong",""),IF(TRIM($G578)="","",IF(ISERROR(MATCH(TRIM($G578),{"TuneCore","DistroKid","TooLost","SoundOn","Ditto","Believe","CD Baby","Amuse","Symphonic Distribution","ONErpm","RouteNote","LANDR","Horus Music","Indie"},0)),"Aggregator di luar daftar","")),IF(TRIM($H578)="","Genre kosong",IF((LEN(SUBSTITUTE(SUBSTITUTE(SUBSTITUTE(TRIM($H578),"/",","),";",",")," ",""))-LEN(SUBSTITUTE(SUBSTITUTE(SUBSTITUTE(SUBSTITUTE(TRIM($H578),"/",","),";",","),"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578),"/",","),";",",")," ","")&amp;",")))&lt;&gt;(LEN(SUBSTITUTE(SUBSTITUTE(SUBSTITUTE(TRIM($H578),"/",","),";",",")," ",""))-LEN(SUBSTITUTE(SUBSTITUTE(SUBSTITUTE(SUBSTITUTE(TRIM($H578),"/",","),";",",")," ",""),",",""))+1),"Genre di luar daftar",""))),IF($I578="","Nama Channel kosong",""),IF($J578="","Link Channel kosong",IF(ISERROR(SEARCH("youtu",$J578)),"Link Channel bukan youtube","")),IF($K578="","Link Video kosong",IF(ISERROR(SEARCH("youtu",$K578)),"Link Video bukan youtube","")),IF($L578="","Tgl Dibuat kosong",IF(NOT(ISNUMBER($L578)),"Tgl Dibuat bukan tanggal","")),IF(AND($M578&lt;&gt;"",NOT(ISNUMBER($M578))),"Tgl Publish bukan tanggal",""),IF(AND(ISNUMBER($L578),ISNUMBER($M578),$M578&lt;$L578),"Tgl Publish &lt; Tgl buat",""),IF(TRIM($N578)="","Status kosong",IF(ISERROR(MATCH(TRIM($N578),{"Draft","Menunggu Review","Revisi","Terjadwal","Upload","Publish","Published","Batal"},0)),"Status di luar daftar","")))),""))</f>
        <v/>
      </c>
      <c r="S578" s="17">
        <f>IF(AND($A578&lt;&gt;"",$C578&lt;&gt;""),IF(COUNTIFS($A$2:$A$1000,$A578,$C$2:$C$1000,$C578)&gt;1,"DUPLICAT",""),"")</f>
        <v/>
      </c>
    </row>
    <row r="579">
      <c r="A579" s="12" t="n"/>
      <c r="B579" s="12" t="n"/>
      <c r="C579" s="12" t="n"/>
      <c r="D579" s="13" t="n"/>
      <c r="E579" s="12" t="n"/>
      <c r="F579" s="14" t="n"/>
      <c r="G579" s="12" t="n"/>
      <c r="H579" s="12" t="n"/>
      <c r="I579" s="12" t="n"/>
      <c r="J579" s="14" t="n"/>
      <c r="K579" s="14" t="n"/>
      <c r="L579" s="15" t="n"/>
      <c r="M579" s="15" t="n"/>
      <c r="N579" s="12" t="n"/>
      <c r="O579" s="12" t="n"/>
      <c r="P579" s="16">
        <f>IF(AND(ISNUMBER($L579),ISNUMBER($M579)),MAX(0,$M579-$L579),"")</f>
        <v/>
      </c>
      <c r="Q579" s="16">
        <f>IF(ISNUMBER($D579),MAX(0,TODAY()-$D579),"")</f>
        <v/>
      </c>
      <c r="R579" s="14">
        <f>IF(COUNTA($A579:$O579)=0,"",IFERROR(TRIM(TEXTJOIN(" | ",TRUE,IF($A579="","PC kosong",""),IF($C579="","Worker ID kosong",""),IF($D579="","Update Date kosong",IF(NOT(ISNUMBER($D579)),"Update Date bukan tanggal","")),IF($E579="","Song ID YT kosong",""),IF($F579="","Judul kosong",""),IF(TRIM($G579)="","",IF(ISERROR(MATCH(TRIM($G579),{"TuneCore","DistroKid","TooLost","SoundOn","Ditto","Believe","CD Baby","Amuse","Symphonic Distribution","ONErpm","RouteNote","LANDR","Horus Music","Indie"},0)),"Aggregator di luar daftar","")),IF(TRIM($H579)="","Genre kosong",IF((LEN(SUBSTITUTE(SUBSTITUTE(SUBSTITUTE(TRIM($H579),"/",","),";",",")," ",""))-LEN(SUBSTITUTE(SUBSTITUTE(SUBSTITUTE(SUBSTITUTE(TRIM($H579),"/",","),";",","),"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579),"/",","),";",",")," ","")&amp;",")))&lt;&gt;(LEN(SUBSTITUTE(SUBSTITUTE(SUBSTITUTE(TRIM($H579),"/",","),";",",")," ",""))-LEN(SUBSTITUTE(SUBSTITUTE(SUBSTITUTE(SUBSTITUTE(TRIM($H579),"/",","),";",",")," ",""),",",""))+1),"Genre di luar daftar",""))),IF($I579="","Nama Channel kosong",""),IF($J579="","Link Channel kosong",IF(ISERROR(SEARCH("youtu",$J579)),"Link Channel bukan youtube","")),IF($K579="","Link Video kosong",IF(ISERROR(SEARCH("youtu",$K579)),"Link Video bukan youtube","")),IF($L579="","Tgl Dibuat kosong",IF(NOT(ISNUMBER($L579)),"Tgl Dibuat bukan tanggal","")),IF(AND($M579&lt;&gt;"",NOT(ISNUMBER($M579))),"Tgl Publish bukan tanggal",""),IF(AND(ISNUMBER($L579),ISNUMBER($M579),$M579&lt;$L579),"Tgl Publish &lt; Tgl buat",""),IF(TRIM($N579)="","Status kosong",IF(ISERROR(MATCH(TRIM($N579),{"Draft","Menunggu Review","Revisi","Terjadwal","Upload","Publish","Published","Batal"},0)),"Status di luar daftar","")))),""))</f>
        <v/>
      </c>
      <c r="S579" s="12">
        <f>IF(AND($A579&lt;&gt;"",$C579&lt;&gt;""),IF(COUNTIFS($A$2:$A$1000,$A579,$C$2:$C$1000,$C579)&gt;1,"DUPLICAT",""),"")</f>
        <v/>
      </c>
    </row>
    <row r="580">
      <c r="A580" s="17" t="n"/>
      <c r="B580" s="17" t="n"/>
      <c r="C580" s="17" t="n"/>
      <c r="D580" s="18" t="n"/>
      <c r="E580" s="17" t="n"/>
      <c r="F580" s="19" t="n"/>
      <c r="G580" s="17" t="n"/>
      <c r="H580" s="17" t="n"/>
      <c r="I580" s="17" t="n"/>
      <c r="J580" s="19" t="n"/>
      <c r="K580" s="19" t="n"/>
      <c r="L580" s="20" t="n"/>
      <c r="M580" s="20" t="n"/>
      <c r="N580" s="17" t="n"/>
      <c r="O580" s="17" t="n"/>
      <c r="P580" s="21">
        <f>IF(AND(ISNUMBER($L580),ISNUMBER($M580)),MAX(0,$M580-$L580),"")</f>
        <v/>
      </c>
      <c r="Q580" s="21">
        <f>IF(ISNUMBER($D580),MAX(0,TODAY()-$D580),"")</f>
        <v/>
      </c>
      <c r="R580" s="19">
        <f>IF(COUNTA($A580:$O580)=0,"",IFERROR(TRIM(TEXTJOIN(" | ",TRUE,IF($A580="","PC kosong",""),IF($C580="","Worker ID kosong",""),IF($D580="","Update Date kosong",IF(NOT(ISNUMBER($D580)),"Update Date bukan tanggal","")),IF($E580="","Song ID YT kosong",""),IF($F580="","Judul kosong",""),IF(TRIM($G580)="","",IF(ISERROR(MATCH(TRIM($G580),{"TuneCore","DistroKid","TooLost","SoundOn","Ditto","Believe","CD Baby","Amuse","Symphonic Distribution","ONErpm","RouteNote","LANDR","Horus Music","Indie"},0)),"Aggregator di luar daftar","")),IF(TRIM($H580)="","Genre kosong",IF((LEN(SUBSTITUTE(SUBSTITUTE(SUBSTITUTE(TRIM($H580),"/",","),";",",")," ",""))-LEN(SUBSTITUTE(SUBSTITUTE(SUBSTITUTE(SUBSTITUTE(TRIM($H580),"/",","),";",","),"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580),"/",","),";",",")," ","")&amp;",")))&lt;&gt;(LEN(SUBSTITUTE(SUBSTITUTE(SUBSTITUTE(TRIM($H580),"/",","),";",",")," ",""))-LEN(SUBSTITUTE(SUBSTITUTE(SUBSTITUTE(SUBSTITUTE(TRIM($H580),"/",","),";",",")," ",""),",",""))+1),"Genre di luar daftar",""))),IF($I580="","Nama Channel kosong",""),IF($J580="","Link Channel kosong",IF(ISERROR(SEARCH("youtu",$J580)),"Link Channel bukan youtube","")),IF($K580="","Link Video kosong",IF(ISERROR(SEARCH("youtu",$K580)),"Link Video bukan youtube","")),IF($L580="","Tgl Dibuat kosong",IF(NOT(ISNUMBER($L580)),"Tgl Dibuat bukan tanggal","")),IF(AND($M580&lt;&gt;"",NOT(ISNUMBER($M580))),"Tgl Publish bukan tanggal",""),IF(AND(ISNUMBER($L580),ISNUMBER($M580),$M580&lt;$L580),"Tgl Publish &lt; Tgl buat",""),IF(TRIM($N580)="","Status kosong",IF(ISERROR(MATCH(TRIM($N580),{"Draft","Menunggu Review","Revisi","Terjadwal","Upload","Publish","Published","Batal"},0)),"Status di luar daftar","")))),""))</f>
        <v/>
      </c>
      <c r="S580" s="17">
        <f>IF(AND($A580&lt;&gt;"",$C580&lt;&gt;""),IF(COUNTIFS($A$2:$A$1000,$A580,$C$2:$C$1000,$C580)&gt;1,"DUPLICAT",""),"")</f>
        <v/>
      </c>
    </row>
    <row r="581">
      <c r="A581" s="12" t="n"/>
      <c r="B581" s="12" t="n"/>
      <c r="C581" s="12" t="n"/>
      <c r="D581" s="13" t="n"/>
      <c r="E581" s="12" t="n"/>
      <c r="F581" s="14" t="n"/>
      <c r="G581" s="12" t="n"/>
      <c r="H581" s="12" t="n"/>
      <c r="I581" s="12" t="n"/>
      <c r="J581" s="14" t="n"/>
      <c r="K581" s="14" t="n"/>
      <c r="L581" s="15" t="n"/>
      <c r="M581" s="15" t="n"/>
      <c r="N581" s="12" t="n"/>
      <c r="O581" s="12" t="n"/>
      <c r="P581" s="16">
        <f>IF(AND(ISNUMBER($L581),ISNUMBER($M581)),MAX(0,$M581-$L581),"")</f>
        <v/>
      </c>
      <c r="Q581" s="16">
        <f>IF(ISNUMBER($D581),MAX(0,TODAY()-$D581),"")</f>
        <v/>
      </c>
      <c r="R581" s="14">
        <f>IF(COUNTA($A581:$O581)=0,"",IFERROR(TRIM(TEXTJOIN(" | ",TRUE,IF($A581="","PC kosong",""),IF($C581="","Worker ID kosong",""),IF($D581="","Update Date kosong",IF(NOT(ISNUMBER($D581)),"Update Date bukan tanggal","")),IF($E581="","Song ID YT kosong",""),IF($F581="","Judul kosong",""),IF(TRIM($G581)="","",IF(ISERROR(MATCH(TRIM($G581),{"TuneCore","DistroKid","TooLost","SoundOn","Ditto","Believe","CD Baby","Amuse","Symphonic Distribution","ONErpm","RouteNote","LANDR","Horus Music","Indie"},0)),"Aggregator di luar daftar","")),IF(TRIM($H581)="","Genre kosong",IF((LEN(SUBSTITUTE(SUBSTITUTE(SUBSTITUTE(TRIM($H581),"/",","),";",",")," ",""))-LEN(SUBSTITUTE(SUBSTITUTE(SUBSTITUTE(SUBSTITUTE(TRIM($H581),"/",","),";",","),"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581),"/",","),";",",")," ","")&amp;",")))&lt;&gt;(LEN(SUBSTITUTE(SUBSTITUTE(SUBSTITUTE(TRIM($H581),"/",","),";",",")," ",""))-LEN(SUBSTITUTE(SUBSTITUTE(SUBSTITUTE(SUBSTITUTE(TRIM($H581),"/",","),";",",")," ",""),",",""))+1),"Genre di luar daftar",""))),IF($I581="","Nama Channel kosong",""),IF($J581="","Link Channel kosong",IF(ISERROR(SEARCH("youtu",$J581)),"Link Channel bukan youtube","")),IF($K581="","Link Video kosong",IF(ISERROR(SEARCH("youtu",$K581)),"Link Video bukan youtube","")),IF($L581="","Tgl Dibuat kosong",IF(NOT(ISNUMBER($L581)),"Tgl Dibuat bukan tanggal","")),IF(AND($M581&lt;&gt;"",NOT(ISNUMBER($M581))),"Tgl Publish bukan tanggal",""),IF(AND(ISNUMBER($L581),ISNUMBER($M581),$M581&lt;$L581),"Tgl Publish &lt; Tgl buat",""),IF(TRIM($N581)="","Status kosong",IF(ISERROR(MATCH(TRIM($N581),{"Draft","Menunggu Review","Revisi","Terjadwal","Upload","Publish","Published","Batal"},0)),"Status di luar daftar","")))),""))</f>
        <v/>
      </c>
      <c r="S581" s="12">
        <f>IF(AND($A581&lt;&gt;"",$C581&lt;&gt;""),IF(COUNTIFS($A$2:$A$1000,$A581,$C$2:$C$1000,$C581)&gt;1,"DUPLICAT",""),"")</f>
        <v/>
      </c>
    </row>
    <row r="582">
      <c r="A582" s="17" t="n"/>
      <c r="B582" s="17" t="n"/>
      <c r="C582" s="17" t="n"/>
      <c r="D582" s="18" t="n"/>
      <c r="E582" s="17" t="n"/>
      <c r="F582" s="19" t="n"/>
      <c r="G582" s="17" t="n"/>
      <c r="H582" s="17" t="n"/>
      <c r="I582" s="17" t="n"/>
      <c r="J582" s="19" t="n"/>
      <c r="K582" s="19" t="n"/>
      <c r="L582" s="20" t="n"/>
      <c r="M582" s="20" t="n"/>
      <c r="N582" s="17" t="n"/>
      <c r="O582" s="17" t="n"/>
      <c r="P582" s="21">
        <f>IF(AND(ISNUMBER($L582),ISNUMBER($M582)),MAX(0,$M582-$L582),"")</f>
        <v/>
      </c>
      <c r="Q582" s="21">
        <f>IF(ISNUMBER($D582),MAX(0,TODAY()-$D582),"")</f>
        <v/>
      </c>
      <c r="R582" s="19">
        <f>IF(COUNTA($A582:$O582)=0,"",IFERROR(TRIM(TEXTJOIN(" | ",TRUE,IF($A582="","PC kosong",""),IF($C582="","Worker ID kosong",""),IF($D582="","Update Date kosong",IF(NOT(ISNUMBER($D582)),"Update Date bukan tanggal","")),IF($E582="","Song ID YT kosong",""),IF($F582="","Judul kosong",""),IF(TRIM($G582)="","",IF(ISERROR(MATCH(TRIM($G582),{"TuneCore","DistroKid","TooLost","SoundOn","Ditto","Believe","CD Baby","Amuse","Symphonic Distribution","ONErpm","RouteNote","LANDR","Horus Music","Indie"},0)),"Aggregator di luar daftar","")),IF(TRIM($H582)="","Genre kosong",IF((LEN(SUBSTITUTE(SUBSTITUTE(SUBSTITUTE(TRIM($H582),"/",","),";",",")," ",""))-LEN(SUBSTITUTE(SUBSTITUTE(SUBSTITUTE(SUBSTITUTE(TRIM($H582),"/",","),";",","),"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582),"/",","),";",",")," ","")&amp;",")))&lt;&gt;(LEN(SUBSTITUTE(SUBSTITUTE(SUBSTITUTE(TRIM($H582),"/",","),";",",")," ",""))-LEN(SUBSTITUTE(SUBSTITUTE(SUBSTITUTE(SUBSTITUTE(TRIM($H582),"/",","),";",",")," ",""),",",""))+1),"Genre di luar daftar",""))),IF($I582="","Nama Channel kosong",""),IF($J582="","Link Channel kosong",IF(ISERROR(SEARCH("youtu",$J582)),"Link Channel bukan youtube","")),IF($K582="","Link Video kosong",IF(ISERROR(SEARCH("youtu",$K582)),"Link Video bukan youtube","")),IF($L582="","Tgl Dibuat kosong",IF(NOT(ISNUMBER($L582)),"Tgl Dibuat bukan tanggal","")),IF(AND($M582&lt;&gt;"",NOT(ISNUMBER($M582))),"Tgl Publish bukan tanggal",""),IF(AND(ISNUMBER($L582),ISNUMBER($M582),$M582&lt;$L582),"Tgl Publish &lt; Tgl buat",""),IF(TRIM($N582)="","Status kosong",IF(ISERROR(MATCH(TRIM($N582),{"Draft","Menunggu Review","Revisi","Terjadwal","Upload","Publish","Published","Batal"},0)),"Status di luar daftar","")))),""))</f>
        <v/>
      </c>
      <c r="S582" s="17">
        <f>IF(AND($A582&lt;&gt;"",$C582&lt;&gt;""),IF(COUNTIFS($A$2:$A$1000,$A582,$C$2:$C$1000,$C582)&gt;1,"DUPLICAT",""),"")</f>
        <v/>
      </c>
    </row>
    <row r="583">
      <c r="A583" s="12" t="n"/>
      <c r="B583" s="12" t="n"/>
      <c r="C583" s="12" t="n"/>
      <c r="D583" s="13" t="n"/>
      <c r="E583" s="12" t="n"/>
      <c r="F583" s="14" t="n"/>
      <c r="G583" s="12" t="n"/>
      <c r="H583" s="12" t="n"/>
      <c r="I583" s="12" t="n"/>
      <c r="J583" s="14" t="n"/>
      <c r="K583" s="14" t="n"/>
      <c r="L583" s="15" t="n"/>
      <c r="M583" s="15" t="n"/>
      <c r="N583" s="12" t="n"/>
      <c r="O583" s="12" t="n"/>
      <c r="P583" s="16">
        <f>IF(AND(ISNUMBER($L583),ISNUMBER($M583)),MAX(0,$M583-$L583),"")</f>
        <v/>
      </c>
      <c r="Q583" s="16">
        <f>IF(ISNUMBER($D583),MAX(0,TODAY()-$D583),"")</f>
        <v/>
      </c>
      <c r="R583" s="14">
        <f>IF(COUNTA($A583:$O583)=0,"",IFERROR(TRIM(TEXTJOIN(" | ",TRUE,IF($A583="","PC kosong",""),IF($C583="","Worker ID kosong",""),IF($D583="","Update Date kosong",IF(NOT(ISNUMBER($D583)),"Update Date bukan tanggal","")),IF($E583="","Song ID YT kosong",""),IF($F583="","Judul kosong",""),IF(TRIM($G583)="","",IF(ISERROR(MATCH(TRIM($G583),{"TuneCore","DistroKid","TooLost","SoundOn","Ditto","Believe","CD Baby","Amuse","Symphonic Distribution","ONErpm","RouteNote","LANDR","Horus Music","Indie"},0)),"Aggregator di luar daftar","")),IF(TRIM($H583)="","Genre kosong",IF((LEN(SUBSTITUTE(SUBSTITUTE(SUBSTITUTE(TRIM($H583),"/",","),";",",")," ",""))-LEN(SUBSTITUTE(SUBSTITUTE(SUBSTITUTE(SUBSTITUTE(TRIM($H583),"/",","),";",","),"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583),"/",","),";",",")," ","")&amp;",")))&lt;&gt;(LEN(SUBSTITUTE(SUBSTITUTE(SUBSTITUTE(TRIM($H583),"/",","),";",",")," ",""))-LEN(SUBSTITUTE(SUBSTITUTE(SUBSTITUTE(SUBSTITUTE(TRIM($H583),"/",","),";",",")," ",""),",",""))+1),"Genre di luar daftar",""))),IF($I583="","Nama Channel kosong",""),IF($J583="","Link Channel kosong",IF(ISERROR(SEARCH("youtu",$J583)),"Link Channel bukan youtube","")),IF($K583="","Link Video kosong",IF(ISERROR(SEARCH("youtu",$K583)),"Link Video bukan youtube","")),IF($L583="","Tgl Dibuat kosong",IF(NOT(ISNUMBER($L583)),"Tgl Dibuat bukan tanggal","")),IF(AND($M583&lt;&gt;"",NOT(ISNUMBER($M583))),"Tgl Publish bukan tanggal",""),IF(AND(ISNUMBER($L583),ISNUMBER($M583),$M583&lt;$L583),"Tgl Publish &lt; Tgl buat",""),IF(TRIM($N583)="","Status kosong",IF(ISERROR(MATCH(TRIM($N583),{"Draft","Menunggu Review","Revisi","Terjadwal","Upload","Publish","Published","Batal"},0)),"Status di luar daftar","")))),""))</f>
        <v/>
      </c>
      <c r="S583" s="12">
        <f>IF(AND($A583&lt;&gt;"",$C583&lt;&gt;""),IF(COUNTIFS($A$2:$A$1000,$A583,$C$2:$C$1000,$C583)&gt;1,"DUPLICAT",""),"")</f>
        <v/>
      </c>
    </row>
    <row r="584">
      <c r="A584" s="17" t="n"/>
      <c r="B584" s="17" t="n"/>
      <c r="C584" s="17" t="n"/>
      <c r="D584" s="18" t="n"/>
      <c r="E584" s="17" t="n"/>
      <c r="F584" s="19" t="n"/>
      <c r="G584" s="17" t="n"/>
      <c r="H584" s="17" t="n"/>
      <c r="I584" s="17" t="n"/>
      <c r="J584" s="19" t="n"/>
      <c r="K584" s="19" t="n"/>
      <c r="L584" s="20" t="n"/>
      <c r="M584" s="20" t="n"/>
      <c r="N584" s="17" t="n"/>
      <c r="O584" s="17" t="n"/>
      <c r="P584" s="21">
        <f>IF(AND(ISNUMBER($L584),ISNUMBER($M584)),MAX(0,$M584-$L584),"")</f>
        <v/>
      </c>
      <c r="Q584" s="21">
        <f>IF(ISNUMBER($D584),MAX(0,TODAY()-$D584),"")</f>
        <v/>
      </c>
      <c r="R584" s="19">
        <f>IF(COUNTA($A584:$O584)=0,"",IFERROR(TRIM(TEXTJOIN(" | ",TRUE,IF($A584="","PC kosong",""),IF($C584="","Worker ID kosong",""),IF($D584="","Update Date kosong",IF(NOT(ISNUMBER($D584)),"Update Date bukan tanggal","")),IF($E584="","Song ID YT kosong",""),IF($F584="","Judul kosong",""),IF(TRIM($G584)="","",IF(ISERROR(MATCH(TRIM($G584),{"TuneCore","DistroKid","TooLost","SoundOn","Ditto","Believe","CD Baby","Amuse","Symphonic Distribution","ONErpm","RouteNote","LANDR","Horus Music","Indie"},0)),"Aggregator di luar daftar","")),IF(TRIM($H584)="","Genre kosong",IF((LEN(SUBSTITUTE(SUBSTITUTE(SUBSTITUTE(TRIM($H584),"/",","),";",",")," ",""))-LEN(SUBSTITUTE(SUBSTITUTE(SUBSTITUTE(SUBSTITUTE(TRIM($H584),"/",","),";",","),"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584),"/",","),";",",")," ","")&amp;",")))&lt;&gt;(LEN(SUBSTITUTE(SUBSTITUTE(SUBSTITUTE(TRIM($H584),"/",","),";",",")," ",""))-LEN(SUBSTITUTE(SUBSTITUTE(SUBSTITUTE(SUBSTITUTE(TRIM($H584),"/",","),";",",")," ",""),",",""))+1),"Genre di luar daftar",""))),IF($I584="","Nama Channel kosong",""),IF($J584="","Link Channel kosong",IF(ISERROR(SEARCH("youtu",$J584)),"Link Channel bukan youtube","")),IF($K584="","Link Video kosong",IF(ISERROR(SEARCH("youtu",$K584)),"Link Video bukan youtube","")),IF($L584="","Tgl Dibuat kosong",IF(NOT(ISNUMBER($L584)),"Tgl Dibuat bukan tanggal","")),IF(AND($M584&lt;&gt;"",NOT(ISNUMBER($M584))),"Tgl Publish bukan tanggal",""),IF(AND(ISNUMBER($L584),ISNUMBER($M584),$M584&lt;$L584),"Tgl Publish &lt; Tgl buat",""),IF(TRIM($N584)="","Status kosong",IF(ISERROR(MATCH(TRIM($N584),{"Draft","Menunggu Review","Revisi","Terjadwal","Upload","Publish","Published","Batal"},0)),"Status di luar daftar","")))),""))</f>
        <v/>
      </c>
      <c r="S584" s="17">
        <f>IF(AND($A584&lt;&gt;"",$C584&lt;&gt;""),IF(COUNTIFS($A$2:$A$1000,$A584,$C$2:$C$1000,$C584)&gt;1,"DUPLICAT",""),"")</f>
        <v/>
      </c>
    </row>
    <row r="585">
      <c r="A585" s="12" t="n"/>
      <c r="B585" s="12" t="n"/>
      <c r="C585" s="12" t="n"/>
      <c r="D585" s="13" t="n"/>
      <c r="E585" s="12" t="n"/>
      <c r="F585" s="14" t="n"/>
      <c r="G585" s="12" t="n"/>
      <c r="H585" s="12" t="n"/>
      <c r="I585" s="12" t="n"/>
      <c r="J585" s="14" t="n"/>
      <c r="K585" s="14" t="n"/>
      <c r="L585" s="15" t="n"/>
      <c r="M585" s="15" t="n"/>
      <c r="N585" s="12" t="n"/>
      <c r="O585" s="12" t="n"/>
      <c r="P585" s="16">
        <f>IF(AND(ISNUMBER($L585),ISNUMBER($M585)),MAX(0,$M585-$L585),"")</f>
        <v/>
      </c>
      <c r="Q585" s="16">
        <f>IF(ISNUMBER($D585),MAX(0,TODAY()-$D585),"")</f>
        <v/>
      </c>
      <c r="R585" s="14">
        <f>IF(COUNTA($A585:$O585)=0,"",IFERROR(TRIM(TEXTJOIN(" | ",TRUE,IF($A585="","PC kosong",""),IF($C585="","Worker ID kosong",""),IF($D585="","Update Date kosong",IF(NOT(ISNUMBER($D585)),"Update Date bukan tanggal","")),IF($E585="","Song ID YT kosong",""),IF($F585="","Judul kosong",""),IF(TRIM($G585)="","",IF(ISERROR(MATCH(TRIM($G585),{"TuneCore","DistroKid","TooLost","SoundOn","Ditto","Believe","CD Baby","Amuse","Symphonic Distribution","ONErpm","RouteNote","LANDR","Horus Music","Indie"},0)),"Aggregator di luar daftar","")),IF(TRIM($H585)="","Genre kosong",IF((LEN(SUBSTITUTE(SUBSTITUTE(SUBSTITUTE(TRIM($H585),"/",","),";",",")," ",""))-LEN(SUBSTITUTE(SUBSTITUTE(SUBSTITUTE(SUBSTITUTE(TRIM($H585),"/",","),";",","),"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585),"/",","),";",",")," ","")&amp;",")))&lt;&gt;(LEN(SUBSTITUTE(SUBSTITUTE(SUBSTITUTE(TRIM($H585),"/",","),";",",")," ",""))-LEN(SUBSTITUTE(SUBSTITUTE(SUBSTITUTE(SUBSTITUTE(TRIM($H585),"/",","),";",",")," ",""),",",""))+1),"Genre di luar daftar",""))),IF($I585="","Nama Channel kosong",""),IF($J585="","Link Channel kosong",IF(ISERROR(SEARCH("youtu",$J585)),"Link Channel bukan youtube","")),IF($K585="","Link Video kosong",IF(ISERROR(SEARCH("youtu",$K585)),"Link Video bukan youtube","")),IF($L585="","Tgl Dibuat kosong",IF(NOT(ISNUMBER($L585)),"Tgl Dibuat bukan tanggal","")),IF(AND($M585&lt;&gt;"",NOT(ISNUMBER($M585))),"Tgl Publish bukan tanggal",""),IF(AND(ISNUMBER($L585),ISNUMBER($M585),$M585&lt;$L585),"Tgl Publish &lt; Tgl buat",""),IF(TRIM($N585)="","Status kosong",IF(ISERROR(MATCH(TRIM($N585),{"Draft","Menunggu Review","Revisi","Terjadwal","Upload","Publish","Published","Batal"},0)),"Status di luar daftar","")))),""))</f>
        <v/>
      </c>
      <c r="S585" s="12">
        <f>IF(AND($A585&lt;&gt;"",$C585&lt;&gt;""),IF(COUNTIFS($A$2:$A$1000,$A585,$C$2:$C$1000,$C585)&gt;1,"DUPLICAT",""),"")</f>
        <v/>
      </c>
    </row>
    <row r="586">
      <c r="A586" s="17" t="n"/>
      <c r="B586" s="17" t="n"/>
      <c r="C586" s="17" t="n"/>
      <c r="D586" s="18" t="n"/>
      <c r="E586" s="17" t="n"/>
      <c r="F586" s="19" t="n"/>
      <c r="G586" s="17" t="n"/>
      <c r="H586" s="17" t="n"/>
      <c r="I586" s="17" t="n"/>
      <c r="J586" s="19" t="n"/>
      <c r="K586" s="19" t="n"/>
      <c r="L586" s="20" t="n"/>
      <c r="M586" s="20" t="n"/>
      <c r="N586" s="17" t="n"/>
      <c r="O586" s="17" t="n"/>
      <c r="P586" s="21">
        <f>IF(AND(ISNUMBER($L586),ISNUMBER($M586)),MAX(0,$M586-$L586),"")</f>
        <v/>
      </c>
      <c r="Q586" s="21">
        <f>IF(ISNUMBER($D586),MAX(0,TODAY()-$D586),"")</f>
        <v/>
      </c>
      <c r="R586" s="19">
        <f>IF(COUNTA($A586:$O586)=0,"",IFERROR(TRIM(TEXTJOIN(" | ",TRUE,IF($A586="","PC kosong",""),IF($C586="","Worker ID kosong",""),IF($D586="","Update Date kosong",IF(NOT(ISNUMBER($D586)),"Update Date bukan tanggal","")),IF($E586="","Song ID YT kosong",""),IF($F586="","Judul kosong",""),IF(TRIM($G586)="","",IF(ISERROR(MATCH(TRIM($G586),{"TuneCore","DistroKid","TooLost","SoundOn","Ditto","Believe","CD Baby","Amuse","Symphonic Distribution","ONErpm","RouteNote","LANDR","Horus Music","Indie"},0)),"Aggregator di luar daftar","")),IF(TRIM($H586)="","Genre kosong",IF((LEN(SUBSTITUTE(SUBSTITUTE(SUBSTITUTE(TRIM($H586),"/",","),";",",")," ",""))-LEN(SUBSTITUTE(SUBSTITUTE(SUBSTITUTE(SUBSTITUTE(TRIM($H586),"/",","),";",","),"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586),"/",","),";",",")," ","")&amp;",")))&lt;&gt;(LEN(SUBSTITUTE(SUBSTITUTE(SUBSTITUTE(TRIM($H586),"/",","),";",",")," ",""))-LEN(SUBSTITUTE(SUBSTITUTE(SUBSTITUTE(SUBSTITUTE(TRIM($H586),"/",","),";",",")," ",""),",",""))+1),"Genre di luar daftar",""))),IF($I586="","Nama Channel kosong",""),IF($J586="","Link Channel kosong",IF(ISERROR(SEARCH("youtu",$J586)),"Link Channel bukan youtube","")),IF($K586="","Link Video kosong",IF(ISERROR(SEARCH("youtu",$K586)),"Link Video bukan youtube","")),IF($L586="","Tgl Dibuat kosong",IF(NOT(ISNUMBER($L586)),"Tgl Dibuat bukan tanggal","")),IF(AND($M586&lt;&gt;"",NOT(ISNUMBER($M586))),"Tgl Publish bukan tanggal",""),IF(AND(ISNUMBER($L586),ISNUMBER($M586),$M586&lt;$L586),"Tgl Publish &lt; Tgl buat",""),IF(TRIM($N586)="","Status kosong",IF(ISERROR(MATCH(TRIM($N586),{"Draft","Menunggu Review","Revisi","Terjadwal","Upload","Publish","Published","Batal"},0)),"Status di luar daftar","")))),""))</f>
        <v/>
      </c>
      <c r="S586" s="17">
        <f>IF(AND($A586&lt;&gt;"",$C586&lt;&gt;""),IF(COUNTIFS($A$2:$A$1000,$A586,$C$2:$C$1000,$C586)&gt;1,"DUPLICAT",""),"")</f>
        <v/>
      </c>
    </row>
    <row r="587">
      <c r="A587" s="12" t="n"/>
      <c r="B587" s="12" t="n"/>
      <c r="C587" s="12" t="n"/>
      <c r="D587" s="13" t="n"/>
      <c r="E587" s="12" t="n"/>
      <c r="F587" s="14" t="n"/>
      <c r="G587" s="12" t="n"/>
      <c r="H587" s="12" t="n"/>
      <c r="I587" s="12" t="n"/>
      <c r="J587" s="14" t="n"/>
      <c r="K587" s="14" t="n"/>
      <c r="L587" s="15" t="n"/>
      <c r="M587" s="15" t="n"/>
      <c r="N587" s="12" t="n"/>
      <c r="O587" s="12" t="n"/>
      <c r="P587" s="16">
        <f>IF(AND(ISNUMBER($L587),ISNUMBER($M587)),MAX(0,$M587-$L587),"")</f>
        <v/>
      </c>
      <c r="Q587" s="16">
        <f>IF(ISNUMBER($D587),MAX(0,TODAY()-$D587),"")</f>
        <v/>
      </c>
      <c r="R587" s="14">
        <f>IF(COUNTA($A587:$O587)=0,"",IFERROR(TRIM(TEXTJOIN(" | ",TRUE,IF($A587="","PC kosong",""),IF($C587="","Worker ID kosong",""),IF($D587="","Update Date kosong",IF(NOT(ISNUMBER($D587)),"Update Date bukan tanggal","")),IF($E587="","Song ID YT kosong",""),IF($F587="","Judul kosong",""),IF(TRIM($G587)="","",IF(ISERROR(MATCH(TRIM($G587),{"TuneCore","DistroKid","TooLost","SoundOn","Ditto","Believe","CD Baby","Amuse","Symphonic Distribution","ONErpm","RouteNote","LANDR","Horus Music","Indie"},0)),"Aggregator di luar daftar","")),IF(TRIM($H587)="","Genre kosong",IF((LEN(SUBSTITUTE(SUBSTITUTE(SUBSTITUTE(TRIM($H587),"/",","),";",",")," ",""))-LEN(SUBSTITUTE(SUBSTITUTE(SUBSTITUTE(SUBSTITUTE(TRIM($H587),"/",","),";",","),"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587),"/",","),";",",")," ","")&amp;",")))&lt;&gt;(LEN(SUBSTITUTE(SUBSTITUTE(SUBSTITUTE(TRIM($H587),"/",","),";",",")," ",""))-LEN(SUBSTITUTE(SUBSTITUTE(SUBSTITUTE(SUBSTITUTE(TRIM($H587),"/",","),";",",")," ",""),",",""))+1),"Genre di luar daftar",""))),IF($I587="","Nama Channel kosong",""),IF($J587="","Link Channel kosong",IF(ISERROR(SEARCH("youtu",$J587)),"Link Channel bukan youtube","")),IF($K587="","Link Video kosong",IF(ISERROR(SEARCH("youtu",$K587)),"Link Video bukan youtube","")),IF($L587="","Tgl Dibuat kosong",IF(NOT(ISNUMBER($L587)),"Tgl Dibuat bukan tanggal","")),IF(AND($M587&lt;&gt;"",NOT(ISNUMBER($M587))),"Tgl Publish bukan tanggal",""),IF(AND(ISNUMBER($L587),ISNUMBER($M587),$M587&lt;$L587),"Tgl Publish &lt; Tgl buat",""),IF(TRIM($N587)="","Status kosong",IF(ISERROR(MATCH(TRIM($N587),{"Draft","Menunggu Review","Revisi","Terjadwal","Upload","Publish","Published","Batal"},0)),"Status di luar daftar","")))),""))</f>
        <v/>
      </c>
      <c r="S587" s="12">
        <f>IF(AND($A587&lt;&gt;"",$C587&lt;&gt;""),IF(COUNTIFS($A$2:$A$1000,$A587,$C$2:$C$1000,$C587)&gt;1,"DUPLICAT",""),"")</f>
        <v/>
      </c>
    </row>
    <row r="588">
      <c r="A588" s="17" t="n"/>
      <c r="B588" s="17" t="n"/>
      <c r="C588" s="17" t="n"/>
      <c r="D588" s="18" t="n"/>
      <c r="E588" s="17" t="n"/>
      <c r="F588" s="19" t="n"/>
      <c r="G588" s="17" t="n"/>
      <c r="H588" s="17" t="n"/>
      <c r="I588" s="17" t="n"/>
      <c r="J588" s="19" t="n"/>
      <c r="K588" s="19" t="n"/>
      <c r="L588" s="20" t="n"/>
      <c r="M588" s="20" t="n"/>
      <c r="N588" s="17" t="n"/>
      <c r="O588" s="17" t="n"/>
      <c r="P588" s="21">
        <f>IF(AND(ISNUMBER($L588),ISNUMBER($M588)),MAX(0,$M588-$L588),"")</f>
        <v/>
      </c>
      <c r="Q588" s="21">
        <f>IF(ISNUMBER($D588),MAX(0,TODAY()-$D588),"")</f>
        <v/>
      </c>
      <c r="R588" s="19">
        <f>IF(COUNTA($A588:$O588)=0,"",IFERROR(TRIM(TEXTJOIN(" | ",TRUE,IF($A588="","PC kosong",""),IF($C588="","Worker ID kosong",""),IF($D588="","Update Date kosong",IF(NOT(ISNUMBER($D588)),"Update Date bukan tanggal","")),IF($E588="","Song ID YT kosong",""),IF($F588="","Judul kosong",""),IF(TRIM($G588)="","",IF(ISERROR(MATCH(TRIM($G588),{"TuneCore","DistroKid","TooLost","SoundOn","Ditto","Believe","CD Baby","Amuse","Symphonic Distribution","ONErpm","RouteNote","LANDR","Horus Music","Indie"},0)),"Aggregator di luar daftar","")),IF(TRIM($H588)="","Genre kosong",IF((LEN(SUBSTITUTE(SUBSTITUTE(SUBSTITUTE(TRIM($H588),"/",","),";",",")," ",""))-LEN(SUBSTITUTE(SUBSTITUTE(SUBSTITUTE(SUBSTITUTE(TRIM($H588),"/",","),";",","),"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588),"/",","),";",",")," ","")&amp;",")))&lt;&gt;(LEN(SUBSTITUTE(SUBSTITUTE(SUBSTITUTE(TRIM($H588),"/",","),";",",")," ",""))-LEN(SUBSTITUTE(SUBSTITUTE(SUBSTITUTE(SUBSTITUTE(TRIM($H588),"/",","),";",",")," ",""),",",""))+1),"Genre di luar daftar",""))),IF($I588="","Nama Channel kosong",""),IF($J588="","Link Channel kosong",IF(ISERROR(SEARCH("youtu",$J588)),"Link Channel bukan youtube","")),IF($K588="","Link Video kosong",IF(ISERROR(SEARCH("youtu",$K588)),"Link Video bukan youtube","")),IF($L588="","Tgl Dibuat kosong",IF(NOT(ISNUMBER($L588)),"Tgl Dibuat bukan tanggal","")),IF(AND($M588&lt;&gt;"",NOT(ISNUMBER($M588))),"Tgl Publish bukan tanggal",""),IF(AND(ISNUMBER($L588),ISNUMBER($M588),$M588&lt;$L588),"Tgl Publish &lt; Tgl buat",""),IF(TRIM($N588)="","Status kosong",IF(ISERROR(MATCH(TRIM($N588),{"Draft","Menunggu Review","Revisi","Terjadwal","Upload","Publish","Published","Batal"},0)),"Status di luar daftar","")))),""))</f>
        <v/>
      </c>
      <c r="S588" s="17">
        <f>IF(AND($A588&lt;&gt;"",$C588&lt;&gt;""),IF(COUNTIFS($A$2:$A$1000,$A588,$C$2:$C$1000,$C588)&gt;1,"DUPLICAT",""),"")</f>
        <v/>
      </c>
    </row>
    <row r="589">
      <c r="A589" s="12" t="n"/>
      <c r="B589" s="12" t="n"/>
      <c r="C589" s="12" t="n"/>
      <c r="D589" s="13" t="n"/>
      <c r="E589" s="12" t="n"/>
      <c r="F589" s="14" t="n"/>
      <c r="G589" s="12" t="n"/>
      <c r="H589" s="12" t="n"/>
      <c r="I589" s="12" t="n"/>
      <c r="J589" s="14" t="n"/>
      <c r="K589" s="14" t="n"/>
      <c r="L589" s="15" t="n"/>
      <c r="M589" s="15" t="n"/>
      <c r="N589" s="12" t="n"/>
      <c r="O589" s="12" t="n"/>
      <c r="P589" s="16">
        <f>IF(AND(ISNUMBER($L589),ISNUMBER($M589)),MAX(0,$M589-$L589),"")</f>
        <v/>
      </c>
      <c r="Q589" s="16">
        <f>IF(ISNUMBER($D589),MAX(0,TODAY()-$D589),"")</f>
        <v/>
      </c>
      <c r="R589" s="14">
        <f>IF(COUNTA($A589:$O589)=0,"",IFERROR(TRIM(TEXTJOIN(" | ",TRUE,IF($A589="","PC kosong",""),IF($C589="","Worker ID kosong",""),IF($D589="","Update Date kosong",IF(NOT(ISNUMBER($D589)),"Update Date bukan tanggal","")),IF($E589="","Song ID YT kosong",""),IF($F589="","Judul kosong",""),IF(TRIM($G589)="","",IF(ISERROR(MATCH(TRIM($G589),{"TuneCore","DistroKid","TooLost","SoundOn","Ditto","Believe","CD Baby","Amuse","Symphonic Distribution","ONErpm","RouteNote","LANDR","Horus Music","Indie"},0)),"Aggregator di luar daftar","")),IF(TRIM($H589)="","Genre kosong",IF((LEN(SUBSTITUTE(SUBSTITUTE(SUBSTITUTE(TRIM($H589),"/",","),";",",")," ",""))-LEN(SUBSTITUTE(SUBSTITUTE(SUBSTITUTE(SUBSTITUTE(TRIM($H589),"/",","),";",","),"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589),"/",","),";",",")," ","")&amp;",")))&lt;&gt;(LEN(SUBSTITUTE(SUBSTITUTE(SUBSTITUTE(TRIM($H589),"/",","),";",",")," ",""))-LEN(SUBSTITUTE(SUBSTITUTE(SUBSTITUTE(SUBSTITUTE(TRIM($H589),"/",","),";",",")," ",""),",",""))+1),"Genre di luar daftar",""))),IF($I589="","Nama Channel kosong",""),IF($J589="","Link Channel kosong",IF(ISERROR(SEARCH("youtu",$J589)),"Link Channel bukan youtube","")),IF($K589="","Link Video kosong",IF(ISERROR(SEARCH("youtu",$K589)),"Link Video bukan youtube","")),IF($L589="","Tgl Dibuat kosong",IF(NOT(ISNUMBER($L589)),"Tgl Dibuat bukan tanggal","")),IF(AND($M589&lt;&gt;"",NOT(ISNUMBER($M589))),"Tgl Publish bukan tanggal",""),IF(AND(ISNUMBER($L589),ISNUMBER($M589),$M589&lt;$L589),"Tgl Publish &lt; Tgl buat",""),IF(TRIM($N589)="","Status kosong",IF(ISERROR(MATCH(TRIM($N589),{"Draft","Menunggu Review","Revisi","Terjadwal","Upload","Publish","Published","Batal"},0)),"Status di luar daftar","")))),""))</f>
        <v/>
      </c>
      <c r="S589" s="12">
        <f>IF(AND($A589&lt;&gt;"",$C589&lt;&gt;""),IF(COUNTIFS($A$2:$A$1000,$A589,$C$2:$C$1000,$C589)&gt;1,"DUPLICAT",""),"")</f>
        <v/>
      </c>
    </row>
    <row r="590">
      <c r="A590" s="17" t="n"/>
      <c r="B590" s="17" t="n"/>
      <c r="C590" s="17" t="n"/>
      <c r="D590" s="18" t="n"/>
      <c r="E590" s="17" t="n"/>
      <c r="F590" s="19" t="n"/>
      <c r="G590" s="17" t="n"/>
      <c r="H590" s="17" t="n"/>
      <c r="I590" s="17" t="n"/>
      <c r="J590" s="19" t="n"/>
      <c r="K590" s="19" t="n"/>
      <c r="L590" s="20" t="n"/>
      <c r="M590" s="20" t="n"/>
      <c r="N590" s="17" t="n"/>
      <c r="O590" s="17" t="n"/>
      <c r="P590" s="21">
        <f>IF(AND(ISNUMBER($L590),ISNUMBER($M590)),MAX(0,$M590-$L590),"")</f>
        <v/>
      </c>
      <c r="Q590" s="21">
        <f>IF(ISNUMBER($D590),MAX(0,TODAY()-$D590),"")</f>
        <v/>
      </c>
      <c r="R590" s="19">
        <f>IF(COUNTA($A590:$O590)=0,"",IFERROR(TRIM(TEXTJOIN(" | ",TRUE,IF($A590="","PC kosong",""),IF($C590="","Worker ID kosong",""),IF($D590="","Update Date kosong",IF(NOT(ISNUMBER($D590)),"Update Date bukan tanggal","")),IF($E590="","Song ID YT kosong",""),IF($F590="","Judul kosong",""),IF(TRIM($G590)="","",IF(ISERROR(MATCH(TRIM($G590),{"TuneCore","DistroKid","TooLost","SoundOn","Ditto","Believe","CD Baby","Amuse","Symphonic Distribution","ONErpm","RouteNote","LANDR","Horus Music","Indie"},0)),"Aggregator di luar daftar","")),IF(TRIM($H590)="","Genre kosong",IF((LEN(SUBSTITUTE(SUBSTITUTE(SUBSTITUTE(TRIM($H590),"/",","),";",",")," ",""))-LEN(SUBSTITUTE(SUBSTITUTE(SUBSTITUTE(SUBSTITUTE(TRIM($H590),"/",","),";",","),"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590),"/",","),";",",")," ","")&amp;",")))&lt;&gt;(LEN(SUBSTITUTE(SUBSTITUTE(SUBSTITUTE(TRIM($H590),"/",","),";",",")," ",""))-LEN(SUBSTITUTE(SUBSTITUTE(SUBSTITUTE(SUBSTITUTE(TRIM($H590),"/",","),";",",")," ",""),",",""))+1),"Genre di luar daftar",""))),IF($I590="","Nama Channel kosong",""),IF($J590="","Link Channel kosong",IF(ISERROR(SEARCH("youtu",$J590)),"Link Channel bukan youtube","")),IF($K590="","Link Video kosong",IF(ISERROR(SEARCH("youtu",$K590)),"Link Video bukan youtube","")),IF($L590="","Tgl Dibuat kosong",IF(NOT(ISNUMBER($L590)),"Tgl Dibuat bukan tanggal","")),IF(AND($M590&lt;&gt;"",NOT(ISNUMBER($M590))),"Tgl Publish bukan tanggal",""),IF(AND(ISNUMBER($L590),ISNUMBER($M590),$M590&lt;$L590),"Tgl Publish &lt; Tgl buat",""),IF(TRIM($N590)="","Status kosong",IF(ISERROR(MATCH(TRIM($N590),{"Draft","Menunggu Review","Revisi","Terjadwal","Upload","Publish","Published","Batal"},0)),"Status di luar daftar","")))),""))</f>
        <v/>
      </c>
      <c r="S590" s="17">
        <f>IF(AND($A590&lt;&gt;"",$C590&lt;&gt;""),IF(COUNTIFS($A$2:$A$1000,$A590,$C$2:$C$1000,$C590)&gt;1,"DUPLICAT",""),"")</f>
        <v/>
      </c>
    </row>
    <row r="591">
      <c r="A591" s="12" t="n"/>
      <c r="B591" s="12" t="n"/>
      <c r="C591" s="12" t="n"/>
      <c r="D591" s="13" t="n"/>
      <c r="E591" s="12" t="n"/>
      <c r="F591" s="14" t="n"/>
      <c r="G591" s="12" t="n"/>
      <c r="H591" s="12" t="n"/>
      <c r="I591" s="12" t="n"/>
      <c r="J591" s="14" t="n"/>
      <c r="K591" s="14" t="n"/>
      <c r="L591" s="15" t="n"/>
      <c r="M591" s="15" t="n"/>
      <c r="N591" s="12" t="n"/>
      <c r="O591" s="12" t="n"/>
      <c r="P591" s="16">
        <f>IF(AND(ISNUMBER($L591),ISNUMBER($M591)),MAX(0,$M591-$L591),"")</f>
        <v/>
      </c>
      <c r="Q591" s="16">
        <f>IF(ISNUMBER($D591),MAX(0,TODAY()-$D591),"")</f>
        <v/>
      </c>
      <c r="R591" s="14">
        <f>IF(COUNTA($A591:$O591)=0,"",IFERROR(TRIM(TEXTJOIN(" | ",TRUE,IF($A591="","PC kosong",""),IF($C591="","Worker ID kosong",""),IF($D591="","Update Date kosong",IF(NOT(ISNUMBER($D591)),"Update Date bukan tanggal","")),IF($E591="","Song ID YT kosong",""),IF($F591="","Judul kosong",""),IF(TRIM($G591)="","",IF(ISERROR(MATCH(TRIM($G591),{"TuneCore","DistroKid","TooLost","SoundOn","Ditto","Believe","CD Baby","Amuse","Symphonic Distribution","ONErpm","RouteNote","LANDR","Horus Music","Indie"},0)),"Aggregator di luar daftar","")),IF(TRIM($H591)="","Genre kosong",IF((LEN(SUBSTITUTE(SUBSTITUTE(SUBSTITUTE(TRIM($H591),"/",","),";",",")," ",""))-LEN(SUBSTITUTE(SUBSTITUTE(SUBSTITUTE(SUBSTITUTE(TRIM($H591),"/",","),";",","),"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591),"/",","),";",",")," ","")&amp;",")))&lt;&gt;(LEN(SUBSTITUTE(SUBSTITUTE(SUBSTITUTE(TRIM($H591),"/",","),";",",")," ",""))-LEN(SUBSTITUTE(SUBSTITUTE(SUBSTITUTE(SUBSTITUTE(TRIM($H591),"/",","),";",",")," ",""),",",""))+1),"Genre di luar daftar",""))),IF($I591="","Nama Channel kosong",""),IF($J591="","Link Channel kosong",IF(ISERROR(SEARCH("youtu",$J591)),"Link Channel bukan youtube","")),IF($K591="","Link Video kosong",IF(ISERROR(SEARCH("youtu",$K591)),"Link Video bukan youtube","")),IF($L591="","Tgl Dibuat kosong",IF(NOT(ISNUMBER($L591)),"Tgl Dibuat bukan tanggal","")),IF(AND($M591&lt;&gt;"",NOT(ISNUMBER($M591))),"Tgl Publish bukan tanggal",""),IF(AND(ISNUMBER($L591),ISNUMBER($M591),$M591&lt;$L591),"Tgl Publish &lt; Tgl buat",""),IF(TRIM($N591)="","Status kosong",IF(ISERROR(MATCH(TRIM($N591),{"Draft","Menunggu Review","Revisi","Terjadwal","Upload","Publish","Published","Batal"},0)),"Status di luar daftar","")))),""))</f>
        <v/>
      </c>
      <c r="S591" s="12">
        <f>IF(AND($A591&lt;&gt;"",$C591&lt;&gt;""),IF(COUNTIFS($A$2:$A$1000,$A591,$C$2:$C$1000,$C591)&gt;1,"DUPLICAT",""),"")</f>
        <v/>
      </c>
    </row>
    <row r="592">
      <c r="A592" s="17" t="n"/>
      <c r="B592" s="17" t="n"/>
      <c r="C592" s="17" t="n"/>
      <c r="D592" s="18" t="n"/>
      <c r="E592" s="17" t="n"/>
      <c r="F592" s="19" t="n"/>
      <c r="G592" s="17" t="n"/>
      <c r="H592" s="17" t="n"/>
      <c r="I592" s="17" t="n"/>
      <c r="J592" s="19" t="n"/>
      <c r="K592" s="19" t="n"/>
      <c r="L592" s="20" t="n"/>
      <c r="M592" s="20" t="n"/>
      <c r="N592" s="17" t="n"/>
      <c r="O592" s="17" t="n"/>
      <c r="P592" s="21">
        <f>IF(AND(ISNUMBER($L592),ISNUMBER($M592)),MAX(0,$M592-$L592),"")</f>
        <v/>
      </c>
      <c r="Q592" s="21">
        <f>IF(ISNUMBER($D592),MAX(0,TODAY()-$D592),"")</f>
        <v/>
      </c>
      <c r="R592" s="19">
        <f>IF(COUNTA($A592:$O592)=0,"",IFERROR(TRIM(TEXTJOIN(" | ",TRUE,IF($A592="","PC kosong",""),IF($C592="","Worker ID kosong",""),IF($D592="","Update Date kosong",IF(NOT(ISNUMBER($D592)),"Update Date bukan tanggal","")),IF($E592="","Song ID YT kosong",""),IF($F592="","Judul kosong",""),IF(TRIM($G592)="","",IF(ISERROR(MATCH(TRIM($G592),{"TuneCore","DistroKid","TooLost","SoundOn","Ditto","Believe","CD Baby","Amuse","Symphonic Distribution","ONErpm","RouteNote","LANDR","Horus Music","Indie"},0)),"Aggregator di luar daftar","")),IF(TRIM($H592)="","Genre kosong",IF((LEN(SUBSTITUTE(SUBSTITUTE(SUBSTITUTE(TRIM($H592),"/",","),";",",")," ",""))-LEN(SUBSTITUTE(SUBSTITUTE(SUBSTITUTE(SUBSTITUTE(TRIM($H592),"/",","),";",","),"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592),"/",","),";",",")," ","")&amp;",")))&lt;&gt;(LEN(SUBSTITUTE(SUBSTITUTE(SUBSTITUTE(TRIM($H592),"/",","),";",",")," ",""))-LEN(SUBSTITUTE(SUBSTITUTE(SUBSTITUTE(SUBSTITUTE(TRIM($H592),"/",","),";",",")," ",""),",",""))+1),"Genre di luar daftar",""))),IF($I592="","Nama Channel kosong",""),IF($J592="","Link Channel kosong",IF(ISERROR(SEARCH("youtu",$J592)),"Link Channel bukan youtube","")),IF($K592="","Link Video kosong",IF(ISERROR(SEARCH("youtu",$K592)),"Link Video bukan youtube","")),IF($L592="","Tgl Dibuat kosong",IF(NOT(ISNUMBER($L592)),"Tgl Dibuat bukan tanggal","")),IF(AND($M592&lt;&gt;"",NOT(ISNUMBER($M592))),"Tgl Publish bukan tanggal",""),IF(AND(ISNUMBER($L592),ISNUMBER($M592),$M592&lt;$L592),"Tgl Publish &lt; Tgl buat",""),IF(TRIM($N592)="","Status kosong",IF(ISERROR(MATCH(TRIM($N592),{"Draft","Menunggu Review","Revisi","Terjadwal","Upload","Publish","Published","Batal"},0)),"Status di luar daftar","")))),""))</f>
        <v/>
      </c>
      <c r="S592" s="17">
        <f>IF(AND($A592&lt;&gt;"",$C592&lt;&gt;""),IF(COUNTIFS($A$2:$A$1000,$A592,$C$2:$C$1000,$C592)&gt;1,"DUPLICAT",""),"")</f>
        <v/>
      </c>
    </row>
    <row r="593">
      <c r="A593" s="12" t="n"/>
      <c r="B593" s="12" t="n"/>
      <c r="C593" s="12" t="n"/>
      <c r="D593" s="13" t="n"/>
      <c r="E593" s="12" t="n"/>
      <c r="F593" s="14" t="n"/>
      <c r="G593" s="12" t="n"/>
      <c r="H593" s="12" t="n"/>
      <c r="I593" s="12" t="n"/>
      <c r="J593" s="14" t="n"/>
      <c r="K593" s="14" t="n"/>
      <c r="L593" s="15" t="n"/>
      <c r="M593" s="15" t="n"/>
      <c r="N593" s="12" t="n"/>
      <c r="O593" s="12" t="n"/>
      <c r="P593" s="16">
        <f>IF(AND(ISNUMBER($L593),ISNUMBER($M593)),MAX(0,$M593-$L593),"")</f>
        <v/>
      </c>
      <c r="Q593" s="16">
        <f>IF(ISNUMBER($D593),MAX(0,TODAY()-$D593),"")</f>
        <v/>
      </c>
      <c r="R593" s="14">
        <f>IF(COUNTA($A593:$O593)=0,"",IFERROR(TRIM(TEXTJOIN(" | ",TRUE,IF($A593="","PC kosong",""),IF($C593="","Worker ID kosong",""),IF($D593="","Update Date kosong",IF(NOT(ISNUMBER($D593)),"Update Date bukan tanggal","")),IF($E593="","Song ID YT kosong",""),IF($F593="","Judul kosong",""),IF(TRIM($G593)="","",IF(ISERROR(MATCH(TRIM($G593),{"TuneCore","DistroKid","TooLost","SoundOn","Ditto","Believe","CD Baby","Amuse","Symphonic Distribution","ONErpm","RouteNote","LANDR","Horus Music","Indie"},0)),"Aggregator di luar daftar","")),IF(TRIM($H593)="","Genre kosong",IF((LEN(SUBSTITUTE(SUBSTITUTE(SUBSTITUTE(TRIM($H593),"/",","),";",",")," ",""))-LEN(SUBSTITUTE(SUBSTITUTE(SUBSTITUTE(SUBSTITUTE(TRIM($H593),"/",","),";",","),"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593),"/",","),";",",")," ","")&amp;",")))&lt;&gt;(LEN(SUBSTITUTE(SUBSTITUTE(SUBSTITUTE(TRIM($H593),"/",","),";",",")," ",""))-LEN(SUBSTITUTE(SUBSTITUTE(SUBSTITUTE(SUBSTITUTE(TRIM($H593),"/",","),";",",")," ",""),",",""))+1),"Genre di luar daftar",""))),IF($I593="","Nama Channel kosong",""),IF($J593="","Link Channel kosong",IF(ISERROR(SEARCH("youtu",$J593)),"Link Channel bukan youtube","")),IF($K593="","Link Video kosong",IF(ISERROR(SEARCH("youtu",$K593)),"Link Video bukan youtube","")),IF($L593="","Tgl Dibuat kosong",IF(NOT(ISNUMBER($L593)),"Tgl Dibuat bukan tanggal","")),IF(AND($M593&lt;&gt;"",NOT(ISNUMBER($M593))),"Tgl Publish bukan tanggal",""),IF(AND(ISNUMBER($L593),ISNUMBER($M593),$M593&lt;$L593),"Tgl Publish &lt; Tgl buat",""),IF(TRIM($N593)="","Status kosong",IF(ISERROR(MATCH(TRIM($N593),{"Draft","Menunggu Review","Revisi","Terjadwal","Upload","Publish","Published","Batal"},0)),"Status di luar daftar","")))),""))</f>
        <v/>
      </c>
      <c r="S593" s="12">
        <f>IF(AND($A593&lt;&gt;"",$C593&lt;&gt;""),IF(COUNTIFS($A$2:$A$1000,$A593,$C$2:$C$1000,$C593)&gt;1,"DUPLICAT",""),"")</f>
        <v/>
      </c>
    </row>
    <row r="594">
      <c r="A594" s="17" t="n"/>
      <c r="B594" s="17" t="n"/>
      <c r="C594" s="17" t="n"/>
      <c r="D594" s="18" t="n"/>
      <c r="E594" s="17" t="n"/>
      <c r="F594" s="19" t="n"/>
      <c r="G594" s="17" t="n"/>
      <c r="H594" s="17" t="n"/>
      <c r="I594" s="17" t="n"/>
      <c r="J594" s="19" t="n"/>
      <c r="K594" s="19" t="n"/>
      <c r="L594" s="20" t="n"/>
      <c r="M594" s="20" t="n"/>
      <c r="N594" s="17" t="n"/>
      <c r="O594" s="17" t="n"/>
      <c r="P594" s="21">
        <f>IF(AND(ISNUMBER($L594),ISNUMBER($M594)),MAX(0,$M594-$L594),"")</f>
        <v/>
      </c>
      <c r="Q594" s="21">
        <f>IF(ISNUMBER($D594),MAX(0,TODAY()-$D594),"")</f>
        <v/>
      </c>
      <c r="R594" s="19">
        <f>IF(COUNTA($A594:$O594)=0,"",IFERROR(TRIM(TEXTJOIN(" | ",TRUE,IF($A594="","PC kosong",""),IF($C594="","Worker ID kosong",""),IF($D594="","Update Date kosong",IF(NOT(ISNUMBER($D594)),"Update Date bukan tanggal","")),IF($E594="","Song ID YT kosong",""),IF($F594="","Judul kosong",""),IF(TRIM($G594)="","",IF(ISERROR(MATCH(TRIM($G594),{"TuneCore","DistroKid","TooLost","SoundOn","Ditto","Believe","CD Baby","Amuse","Symphonic Distribution","ONErpm","RouteNote","LANDR","Horus Music","Indie"},0)),"Aggregator di luar daftar","")),IF(TRIM($H594)="","Genre kosong",IF((LEN(SUBSTITUTE(SUBSTITUTE(SUBSTITUTE(TRIM($H594),"/",","),";",",")," ",""))-LEN(SUBSTITUTE(SUBSTITUTE(SUBSTITUTE(SUBSTITUTE(TRIM($H594),"/",","),";",","),"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594),"/",","),";",",")," ","")&amp;",")))&lt;&gt;(LEN(SUBSTITUTE(SUBSTITUTE(SUBSTITUTE(TRIM($H594),"/",","),";",",")," ",""))-LEN(SUBSTITUTE(SUBSTITUTE(SUBSTITUTE(SUBSTITUTE(TRIM($H594),"/",","),";",",")," ",""),",",""))+1),"Genre di luar daftar",""))),IF($I594="","Nama Channel kosong",""),IF($J594="","Link Channel kosong",IF(ISERROR(SEARCH("youtu",$J594)),"Link Channel bukan youtube","")),IF($K594="","Link Video kosong",IF(ISERROR(SEARCH("youtu",$K594)),"Link Video bukan youtube","")),IF($L594="","Tgl Dibuat kosong",IF(NOT(ISNUMBER($L594)),"Tgl Dibuat bukan tanggal","")),IF(AND($M594&lt;&gt;"",NOT(ISNUMBER($M594))),"Tgl Publish bukan tanggal",""),IF(AND(ISNUMBER($L594),ISNUMBER($M594),$M594&lt;$L594),"Tgl Publish &lt; Tgl buat",""),IF(TRIM($N594)="","Status kosong",IF(ISERROR(MATCH(TRIM($N594),{"Draft","Menunggu Review","Revisi","Terjadwal","Upload","Publish","Published","Batal"},0)),"Status di luar daftar","")))),""))</f>
        <v/>
      </c>
      <c r="S594" s="17">
        <f>IF(AND($A594&lt;&gt;"",$C594&lt;&gt;""),IF(COUNTIFS($A$2:$A$1000,$A594,$C$2:$C$1000,$C594)&gt;1,"DUPLICAT",""),"")</f>
        <v/>
      </c>
    </row>
    <row r="595">
      <c r="A595" s="12" t="n"/>
      <c r="B595" s="12" t="n"/>
      <c r="C595" s="12" t="n"/>
      <c r="D595" s="13" t="n"/>
      <c r="E595" s="12" t="n"/>
      <c r="F595" s="14" t="n"/>
      <c r="G595" s="12" t="n"/>
      <c r="H595" s="12" t="n"/>
      <c r="I595" s="12" t="n"/>
      <c r="J595" s="14" t="n"/>
      <c r="K595" s="14" t="n"/>
      <c r="L595" s="15" t="n"/>
      <c r="M595" s="15" t="n"/>
      <c r="N595" s="12" t="n"/>
      <c r="O595" s="12" t="n"/>
      <c r="P595" s="16">
        <f>IF(AND(ISNUMBER($L595),ISNUMBER($M595)),MAX(0,$M595-$L595),"")</f>
        <v/>
      </c>
      <c r="Q595" s="16">
        <f>IF(ISNUMBER($D595),MAX(0,TODAY()-$D595),"")</f>
        <v/>
      </c>
      <c r="R595" s="14">
        <f>IF(COUNTA($A595:$O595)=0,"",IFERROR(TRIM(TEXTJOIN(" | ",TRUE,IF($A595="","PC kosong",""),IF($C595="","Worker ID kosong",""),IF($D595="","Update Date kosong",IF(NOT(ISNUMBER($D595)),"Update Date bukan tanggal","")),IF($E595="","Song ID YT kosong",""),IF($F595="","Judul kosong",""),IF(TRIM($G595)="","",IF(ISERROR(MATCH(TRIM($G595),{"TuneCore","DistroKid","TooLost","SoundOn","Ditto","Believe","CD Baby","Amuse","Symphonic Distribution","ONErpm","RouteNote","LANDR","Horus Music","Indie"},0)),"Aggregator di luar daftar","")),IF(TRIM($H595)="","Genre kosong",IF((LEN(SUBSTITUTE(SUBSTITUTE(SUBSTITUTE(TRIM($H595),"/",","),";",",")," ",""))-LEN(SUBSTITUTE(SUBSTITUTE(SUBSTITUTE(SUBSTITUTE(TRIM($H595),"/",","),";",","),"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595),"/",","),";",",")," ","")&amp;",")))&lt;&gt;(LEN(SUBSTITUTE(SUBSTITUTE(SUBSTITUTE(TRIM($H595),"/",","),";",",")," ",""))-LEN(SUBSTITUTE(SUBSTITUTE(SUBSTITUTE(SUBSTITUTE(TRIM($H595),"/",","),";",",")," ",""),",",""))+1),"Genre di luar daftar",""))),IF($I595="","Nama Channel kosong",""),IF($J595="","Link Channel kosong",IF(ISERROR(SEARCH("youtu",$J595)),"Link Channel bukan youtube","")),IF($K595="","Link Video kosong",IF(ISERROR(SEARCH("youtu",$K595)),"Link Video bukan youtube","")),IF($L595="","Tgl Dibuat kosong",IF(NOT(ISNUMBER($L595)),"Tgl Dibuat bukan tanggal","")),IF(AND($M595&lt;&gt;"",NOT(ISNUMBER($M595))),"Tgl Publish bukan tanggal",""),IF(AND(ISNUMBER($L595),ISNUMBER($M595),$M595&lt;$L595),"Tgl Publish &lt; Tgl buat",""),IF(TRIM($N595)="","Status kosong",IF(ISERROR(MATCH(TRIM($N595),{"Draft","Menunggu Review","Revisi","Terjadwal","Upload","Publish","Published","Batal"},0)),"Status di luar daftar","")))),""))</f>
        <v/>
      </c>
      <c r="S595" s="12">
        <f>IF(AND($A595&lt;&gt;"",$C595&lt;&gt;""),IF(COUNTIFS($A$2:$A$1000,$A595,$C$2:$C$1000,$C595)&gt;1,"DUPLICAT",""),"")</f>
        <v/>
      </c>
    </row>
    <row r="596">
      <c r="A596" s="17" t="n"/>
      <c r="B596" s="17" t="n"/>
      <c r="C596" s="17" t="n"/>
      <c r="D596" s="18" t="n"/>
      <c r="E596" s="17" t="n"/>
      <c r="F596" s="19" t="n"/>
      <c r="G596" s="17" t="n"/>
      <c r="H596" s="17" t="n"/>
      <c r="I596" s="17" t="n"/>
      <c r="J596" s="19" t="n"/>
      <c r="K596" s="19" t="n"/>
      <c r="L596" s="20" t="n"/>
      <c r="M596" s="20" t="n"/>
      <c r="N596" s="17" t="n"/>
      <c r="O596" s="17" t="n"/>
      <c r="P596" s="21">
        <f>IF(AND(ISNUMBER($L596),ISNUMBER($M596)),MAX(0,$M596-$L596),"")</f>
        <v/>
      </c>
      <c r="Q596" s="21">
        <f>IF(ISNUMBER($D596),MAX(0,TODAY()-$D596),"")</f>
        <v/>
      </c>
      <c r="R596" s="19">
        <f>IF(COUNTA($A596:$O596)=0,"",IFERROR(TRIM(TEXTJOIN(" | ",TRUE,IF($A596="","PC kosong",""),IF($C596="","Worker ID kosong",""),IF($D596="","Update Date kosong",IF(NOT(ISNUMBER($D596)),"Update Date bukan tanggal","")),IF($E596="","Song ID YT kosong",""),IF($F596="","Judul kosong",""),IF(TRIM($G596)="","",IF(ISERROR(MATCH(TRIM($G596),{"TuneCore","DistroKid","TooLost","SoundOn","Ditto","Believe","CD Baby","Amuse","Symphonic Distribution","ONErpm","RouteNote","LANDR","Horus Music","Indie"},0)),"Aggregator di luar daftar","")),IF(TRIM($H596)="","Genre kosong",IF((LEN(SUBSTITUTE(SUBSTITUTE(SUBSTITUTE(TRIM($H596),"/",","),";",",")," ",""))-LEN(SUBSTITUTE(SUBSTITUTE(SUBSTITUTE(SUBSTITUTE(TRIM($H596),"/",","),";",","),"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596),"/",","),";",",")," ","")&amp;",")))&lt;&gt;(LEN(SUBSTITUTE(SUBSTITUTE(SUBSTITUTE(TRIM($H596),"/",","),";",",")," ",""))-LEN(SUBSTITUTE(SUBSTITUTE(SUBSTITUTE(SUBSTITUTE(TRIM($H596),"/",","),";",",")," ",""),",",""))+1),"Genre di luar daftar",""))),IF($I596="","Nama Channel kosong",""),IF($J596="","Link Channel kosong",IF(ISERROR(SEARCH("youtu",$J596)),"Link Channel bukan youtube","")),IF($K596="","Link Video kosong",IF(ISERROR(SEARCH("youtu",$K596)),"Link Video bukan youtube","")),IF($L596="","Tgl Dibuat kosong",IF(NOT(ISNUMBER($L596)),"Tgl Dibuat bukan tanggal","")),IF(AND($M596&lt;&gt;"",NOT(ISNUMBER($M596))),"Tgl Publish bukan tanggal",""),IF(AND(ISNUMBER($L596),ISNUMBER($M596),$M596&lt;$L596),"Tgl Publish &lt; Tgl buat",""),IF(TRIM($N596)="","Status kosong",IF(ISERROR(MATCH(TRIM($N596),{"Draft","Menunggu Review","Revisi","Terjadwal","Upload","Publish","Published","Batal"},0)),"Status di luar daftar","")))),""))</f>
        <v/>
      </c>
      <c r="S596" s="17">
        <f>IF(AND($A596&lt;&gt;"",$C596&lt;&gt;""),IF(COUNTIFS($A$2:$A$1000,$A596,$C$2:$C$1000,$C596)&gt;1,"DUPLICAT",""),"")</f>
        <v/>
      </c>
    </row>
    <row r="597">
      <c r="A597" s="12" t="n"/>
      <c r="B597" s="12" t="n"/>
      <c r="C597" s="12" t="n"/>
      <c r="D597" s="13" t="n"/>
      <c r="E597" s="12" t="n"/>
      <c r="F597" s="14" t="n"/>
      <c r="G597" s="12" t="n"/>
      <c r="H597" s="12" t="n"/>
      <c r="I597" s="12" t="n"/>
      <c r="J597" s="14" t="n"/>
      <c r="K597" s="14" t="n"/>
      <c r="L597" s="15" t="n"/>
      <c r="M597" s="15" t="n"/>
      <c r="N597" s="12" t="n"/>
      <c r="O597" s="12" t="n"/>
      <c r="P597" s="16">
        <f>IF(AND(ISNUMBER($L597),ISNUMBER($M597)),MAX(0,$M597-$L597),"")</f>
        <v/>
      </c>
      <c r="Q597" s="16">
        <f>IF(ISNUMBER($D597),MAX(0,TODAY()-$D597),"")</f>
        <v/>
      </c>
      <c r="R597" s="14">
        <f>IF(COUNTA($A597:$O597)=0,"",IFERROR(TRIM(TEXTJOIN(" | ",TRUE,IF($A597="","PC kosong",""),IF($C597="","Worker ID kosong",""),IF($D597="","Update Date kosong",IF(NOT(ISNUMBER($D597)),"Update Date bukan tanggal","")),IF($E597="","Song ID YT kosong",""),IF($F597="","Judul kosong",""),IF(TRIM($G597)="","",IF(ISERROR(MATCH(TRIM($G597),{"TuneCore","DistroKid","TooLost","SoundOn","Ditto","Believe","CD Baby","Amuse","Symphonic Distribution","ONErpm","RouteNote","LANDR","Horus Music","Indie"},0)),"Aggregator di luar daftar","")),IF(TRIM($H597)="","Genre kosong",IF((LEN(SUBSTITUTE(SUBSTITUTE(SUBSTITUTE(TRIM($H597),"/",","),";",",")," ",""))-LEN(SUBSTITUTE(SUBSTITUTE(SUBSTITUTE(SUBSTITUTE(TRIM($H597),"/",","),";",","),"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597),"/",","),";",",")," ","")&amp;",")))&lt;&gt;(LEN(SUBSTITUTE(SUBSTITUTE(SUBSTITUTE(TRIM($H597),"/",","),";",",")," ",""))-LEN(SUBSTITUTE(SUBSTITUTE(SUBSTITUTE(SUBSTITUTE(TRIM($H597),"/",","),";",",")," ",""),",",""))+1),"Genre di luar daftar",""))),IF($I597="","Nama Channel kosong",""),IF($J597="","Link Channel kosong",IF(ISERROR(SEARCH("youtu",$J597)),"Link Channel bukan youtube","")),IF($K597="","Link Video kosong",IF(ISERROR(SEARCH("youtu",$K597)),"Link Video bukan youtube","")),IF($L597="","Tgl Dibuat kosong",IF(NOT(ISNUMBER($L597)),"Tgl Dibuat bukan tanggal","")),IF(AND($M597&lt;&gt;"",NOT(ISNUMBER($M597))),"Tgl Publish bukan tanggal",""),IF(AND(ISNUMBER($L597),ISNUMBER($M597),$M597&lt;$L597),"Tgl Publish &lt; Tgl buat",""),IF(TRIM($N597)="","Status kosong",IF(ISERROR(MATCH(TRIM($N597),{"Draft","Menunggu Review","Revisi","Terjadwal","Upload","Publish","Published","Batal"},0)),"Status di luar daftar","")))),""))</f>
        <v/>
      </c>
      <c r="S597" s="12">
        <f>IF(AND($A597&lt;&gt;"",$C597&lt;&gt;""),IF(COUNTIFS($A$2:$A$1000,$A597,$C$2:$C$1000,$C597)&gt;1,"DUPLICAT",""),"")</f>
        <v/>
      </c>
    </row>
    <row r="598">
      <c r="A598" s="17" t="n"/>
      <c r="B598" s="17" t="n"/>
      <c r="C598" s="17" t="n"/>
      <c r="D598" s="18" t="n"/>
      <c r="E598" s="17" t="n"/>
      <c r="F598" s="19" t="n"/>
      <c r="G598" s="17" t="n"/>
      <c r="H598" s="17" t="n"/>
      <c r="I598" s="17" t="n"/>
      <c r="J598" s="19" t="n"/>
      <c r="K598" s="19" t="n"/>
      <c r="L598" s="20" t="n"/>
      <c r="M598" s="20" t="n"/>
      <c r="N598" s="17" t="n"/>
      <c r="O598" s="17" t="n"/>
      <c r="P598" s="21">
        <f>IF(AND(ISNUMBER($L598),ISNUMBER($M598)),MAX(0,$M598-$L598),"")</f>
        <v/>
      </c>
      <c r="Q598" s="21">
        <f>IF(ISNUMBER($D598),MAX(0,TODAY()-$D598),"")</f>
        <v/>
      </c>
      <c r="R598" s="19">
        <f>IF(COUNTA($A598:$O598)=0,"",IFERROR(TRIM(TEXTJOIN(" | ",TRUE,IF($A598="","PC kosong",""),IF($C598="","Worker ID kosong",""),IF($D598="","Update Date kosong",IF(NOT(ISNUMBER($D598)),"Update Date bukan tanggal","")),IF($E598="","Song ID YT kosong",""),IF($F598="","Judul kosong",""),IF(TRIM($G598)="","",IF(ISERROR(MATCH(TRIM($G598),{"TuneCore","DistroKid","TooLost","SoundOn","Ditto","Believe","CD Baby","Amuse","Symphonic Distribution","ONErpm","RouteNote","LANDR","Horus Music","Indie"},0)),"Aggregator di luar daftar","")),IF(TRIM($H598)="","Genre kosong",IF((LEN(SUBSTITUTE(SUBSTITUTE(SUBSTITUTE(TRIM($H598),"/",","),";",",")," ",""))-LEN(SUBSTITUTE(SUBSTITUTE(SUBSTITUTE(SUBSTITUTE(TRIM($H598),"/",","),";",","),"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598),"/",","),";",",")," ","")&amp;",")))&lt;&gt;(LEN(SUBSTITUTE(SUBSTITUTE(SUBSTITUTE(TRIM($H598),"/",","),";",",")," ",""))-LEN(SUBSTITUTE(SUBSTITUTE(SUBSTITUTE(SUBSTITUTE(TRIM($H598),"/",","),";",",")," ",""),",",""))+1),"Genre di luar daftar",""))),IF($I598="","Nama Channel kosong",""),IF($J598="","Link Channel kosong",IF(ISERROR(SEARCH("youtu",$J598)),"Link Channel bukan youtube","")),IF($K598="","Link Video kosong",IF(ISERROR(SEARCH("youtu",$K598)),"Link Video bukan youtube","")),IF($L598="","Tgl Dibuat kosong",IF(NOT(ISNUMBER($L598)),"Tgl Dibuat bukan tanggal","")),IF(AND($M598&lt;&gt;"",NOT(ISNUMBER($M598))),"Tgl Publish bukan tanggal",""),IF(AND(ISNUMBER($L598),ISNUMBER($M598),$M598&lt;$L598),"Tgl Publish &lt; Tgl buat",""),IF(TRIM($N598)="","Status kosong",IF(ISERROR(MATCH(TRIM($N598),{"Draft","Menunggu Review","Revisi","Terjadwal","Upload","Publish","Published","Batal"},0)),"Status di luar daftar","")))),""))</f>
        <v/>
      </c>
      <c r="S598" s="17">
        <f>IF(AND($A598&lt;&gt;"",$C598&lt;&gt;""),IF(COUNTIFS($A$2:$A$1000,$A598,$C$2:$C$1000,$C598)&gt;1,"DUPLICAT",""),"")</f>
        <v/>
      </c>
    </row>
    <row r="599">
      <c r="A599" s="12" t="n"/>
      <c r="B599" s="12" t="n"/>
      <c r="C599" s="12" t="n"/>
      <c r="D599" s="13" t="n"/>
      <c r="E599" s="12" t="n"/>
      <c r="F599" s="14" t="n"/>
      <c r="G599" s="12" t="n"/>
      <c r="H599" s="12" t="n"/>
      <c r="I599" s="12" t="n"/>
      <c r="J599" s="14" t="n"/>
      <c r="K599" s="14" t="n"/>
      <c r="L599" s="15" t="n"/>
      <c r="M599" s="15" t="n"/>
      <c r="N599" s="12" t="n"/>
      <c r="O599" s="12" t="n"/>
      <c r="P599" s="16">
        <f>IF(AND(ISNUMBER($L599),ISNUMBER($M599)),MAX(0,$M599-$L599),"")</f>
        <v/>
      </c>
      <c r="Q599" s="16">
        <f>IF(ISNUMBER($D599),MAX(0,TODAY()-$D599),"")</f>
        <v/>
      </c>
      <c r="R599" s="14">
        <f>IF(COUNTA($A599:$O599)=0,"",IFERROR(TRIM(TEXTJOIN(" | ",TRUE,IF($A599="","PC kosong",""),IF($C599="","Worker ID kosong",""),IF($D599="","Update Date kosong",IF(NOT(ISNUMBER($D599)),"Update Date bukan tanggal","")),IF($E599="","Song ID YT kosong",""),IF($F599="","Judul kosong",""),IF(TRIM($G599)="","",IF(ISERROR(MATCH(TRIM($G599),{"TuneCore","DistroKid","TooLost","SoundOn","Ditto","Believe","CD Baby","Amuse","Symphonic Distribution","ONErpm","RouteNote","LANDR","Horus Music","Indie"},0)),"Aggregator di luar daftar","")),IF(TRIM($H599)="","Genre kosong",IF((LEN(SUBSTITUTE(SUBSTITUTE(SUBSTITUTE(TRIM($H599),"/",","),";",",")," ",""))-LEN(SUBSTITUTE(SUBSTITUTE(SUBSTITUTE(SUBSTITUTE(TRIM($H599),"/",","),";",","),"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599),"/",","),";",",")," ","")&amp;",")))&lt;&gt;(LEN(SUBSTITUTE(SUBSTITUTE(SUBSTITUTE(TRIM($H599),"/",","),";",",")," ",""))-LEN(SUBSTITUTE(SUBSTITUTE(SUBSTITUTE(SUBSTITUTE(TRIM($H599),"/",","),";",",")," ",""),",",""))+1),"Genre di luar daftar",""))),IF($I599="","Nama Channel kosong",""),IF($J599="","Link Channel kosong",IF(ISERROR(SEARCH("youtu",$J599)),"Link Channel bukan youtube","")),IF($K599="","Link Video kosong",IF(ISERROR(SEARCH("youtu",$K599)),"Link Video bukan youtube","")),IF($L599="","Tgl Dibuat kosong",IF(NOT(ISNUMBER($L599)),"Tgl Dibuat bukan tanggal","")),IF(AND($M599&lt;&gt;"",NOT(ISNUMBER($M599))),"Tgl Publish bukan tanggal",""),IF(AND(ISNUMBER($L599),ISNUMBER($M599),$M599&lt;$L599),"Tgl Publish &lt; Tgl buat",""),IF(TRIM($N599)="","Status kosong",IF(ISERROR(MATCH(TRIM($N599),{"Draft","Menunggu Review","Revisi","Terjadwal","Upload","Publish","Published","Batal"},0)),"Status di luar daftar","")))),""))</f>
        <v/>
      </c>
      <c r="S599" s="12">
        <f>IF(AND($A599&lt;&gt;"",$C599&lt;&gt;""),IF(COUNTIFS($A$2:$A$1000,$A599,$C$2:$C$1000,$C599)&gt;1,"DUPLICAT",""),"")</f>
        <v/>
      </c>
    </row>
    <row r="600">
      <c r="A600" s="17" t="n"/>
      <c r="B600" s="17" t="n"/>
      <c r="C600" s="17" t="n"/>
      <c r="D600" s="18" t="n"/>
      <c r="E600" s="17" t="n"/>
      <c r="F600" s="19" t="n"/>
      <c r="G600" s="17" t="n"/>
      <c r="H600" s="17" t="n"/>
      <c r="I600" s="17" t="n"/>
      <c r="J600" s="19" t="n"/>
      <c r="K600" s="19" t="n"/>
      <c r="L600" s="20" t="n"/>
      <c r="M600" s="20" t="n"/>
      <c r="N600" s="17" t="n"/>
      <c r="O600" s="17" t="n"/>
      <c r="P600" s="21">
        <f>IF(AND(ISNUMBER($L600),ISNUMBER($M600)),MAX(0,$M600-$L600),"")</f>
        <v/>
      </c>
      <c r="Q600" s="21">
        <f>IF(ISNUMBER($D600),MAX(0,TODAY()-$D600),"")</f>
        <v/>
      </c>
      <c r="R600" s="19">
        <f>IF(COUNTA($A600:$O600)=0,"",IFERROR(TRIM(TEXTJOIN(" | ",TRUE,IF($A600="","PC kosong",""),IF($C600="","Worker ID kosong",""),IF($D600="","Update Date kosong",IF(NOT(ISNUMBER($D600)),"Update Date bukan tanggal","")),IF($E600="","Song ID YT kosong",""),IF($F600="","Judul kosong",""),IF(TRIM($G600)="","",IF(ISERROR(MATCH(TRIM($G600),{"TuneCore","DistroKid","TooLost","SoundOn","Ditto","Believe","CD Baby","Amuse","Symphonic Distribution","ONErpm","RouteNote","LANDR","Horus Music","Indie"},0)),"Aggregator di luar daftar","")),IF(TRIM($H600)="","Genre kosong",IF((LEN(SUBSTITUTE(SUBSTITUTE(SUBSTITUTE(TRIM($H600),"/",","),";",",")," ",""))-LEN(SUBSTITUTE(SUBSTITUTE(SUBSTITUTE(SUBSTITUTE(TRIM($H600),"/",","),";",","),"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600),"/",","),";",",")," ","")&amp;",")))&lt;&gt;(LEN(SUBSTITUTE(SUBSTITUTE(SUBSTITUTE(TRIM($H600),"/",","),";",",")," ",""))-LEN(SUBSTITUTE(SUBSTITUTE(SUBSTITUTE(SUBSTITUTE(TRIM($H600),"/",","),";",",")," ",""),",",""))+1),"Genre di luar daftar",""))),IF($I600="","Nama Channel kosong",""),IF($J600="","Link Channel kosong",IF(ISERROR(SEARCH("youtu",$J600)),"Link Channel bukan youtube","")),IF($K600="","Link Video kosong",IF(ISERROR(SEARCH("youtu",$K600)),"Link Video bukan youtube","")),IF($L600="","Tgl Dibuat kosong",IF(NOT(ISNUMBER($L600)),"Tgl Dibuat bukan tanggal","")),IF(AND($M600&lt;&gt;"",NOT(ISNUMBER($M600))),"Tgl Publish bukan tanggal",""),IF(AND(ISNUMBER($L600),ISNUMBER($M600),$M600&lt;$L600),"Tgl Publish &lt; Tgl buat",""),IF(TRIM($N600)="","Status kosong",IF(ISERROR(MATCH(TRIM($N600),{"Draft","Menunggu Review","Revisi","Terjadwal","Upload","Publish","Published","Batal"},0)),"Status di luar daftar","")))),""))</f>
        <v/>
      </c>
      <c r="S600" s="17">
        <f>IF(AND($A600&lt;&gt;"",$C600&lt;&gt;""),IF(COUNTIFS($A$2:$A$1000,$A600,$C$2:$C$1000,$C600)&gt;1,"DUPLICAT",""),"")</f>
        <v/>
      </c>
    </row>
    <row r="601">
      <c r="A601" s="12" t="n"/>
      <c r="B601" s="12" t="n"/>
      <c r="C601" s="12" t="n"/>
      <c r="D601" s="13" t="n"/>
      <c r="E601" s="12" t="n"/>
      <c r="F601" s="14" t="n"/>
      <c r="G601" s="12" t="n"/>
      <c r="H601" s="12" t="n"/>
      <c r="I601" s="12" t="n"/>
      <c r="J601" s="14" t="n"/>
      <c r="K601" s="14" t="n"/>
      <c r="L601" s="15" t="n"/>
      <c r="M601" s="15" t="n"/>
      <c r="N601" s="12" t="n"/>
      <c r="O601" s="12" t="n"/>
      <c r="P601" s="16">
        <f>IF(AND(ISNUMBER($L601),ISNUMBER($M601)),MAX(0,$M601-$L601),"")</f>
        <v/>
      </c>
      <c r="Q601" s="16">
        <f>IF(ISNUMBER($D601),MAX(0,TODAY()-$D601),"")</f>
        <v/>
      </c>
      <c r="R601" s="14">
        <f>IF(COUNTA($A601:$O601)=0,"",IFERROR(TRIM(TEXTJOIN(" | ",TRUE,IF($A601="","PC kosong",""),IF($C601="","Worker ID kosong",""),IF($D601="","Update Date kosong",IF(NOT(ISNUMBER($D601)),"Update Date bukan tanggal","")),IF($E601="","Song ID YT kosong",""),IF($F601="","Judul kosong",""),IF(TRIM($G601)="","",IF(ISERROR(MATCH(TRIM($G601),{"TuneCore","DistroKid","TooLost","SoundOn","Ditto","Believe","CD Baby","Amuse","Symphonic Distribution","ONErpm","RouteNote","LANDR","Horus Music","Indie"},0)),"Aggregator di luar daftar","")),IF(TRIM($H601)="","Genre kosong",IF((LEN(SUBSTITUTE(SUBSTITUTE(SUBSTITUTE(TRIM($H601),"/",","),";",",")," ",""))-LEN(SUBSTITUTE(SUBSTITUTE(SUBSTITUTE(SUBSTITUTE(TRIM($H601),"/",","),";",","),"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601),"/",","),";",",")," ","")&amp;",")))&lt;&gt;(LEN(SUBSTITUTE(SUBSTITUTE(SUBSTITUTE(TRIM($H601),"/",","),";",",")," ",""))-LEN(SUBSTITUTE(SUBSTITUTE(SUBSTITUTE(SUBSTITUTE(TRIM($H601),"/",","),";",",")," ",""),",",""))+1),"Genre di luar daftar",""))),IF($I601="","Nama Channel kosong",""),IF($J601="","Link Channel kosong",IF(ISERROR(SEARCH("youtu",$J601)),"Link Channel bukan youtube","")),IF($K601="","Link Video kosong",IF(ISERROR(SEARCH("youtu",$K601)),"Link Video bukan youtube","")),IF($L601="","Tgl Dibuat kosong",IF(NOT(ISNUMBER($L601)),"Tgl Dibuat bukan tanggal","")),IF(AND($M601&lt;&gt;"",NOT(ISNUMBER($M601))),"Tgl Publish bukan tanggal",""),IF(AND(ISNUMBER($L601),ISNUMBER($M601),$M601&lt;$L601),"Tgl Publish &lt; Tgl buat",""),IF(TRIM($N601)="","Status kosong",IF(ISERROR(MATCH(TRIM($N601),{"Draft","Menunggu Review","Revisi","Terjadwal","Upload","Publish","Published","Batal"},0)),"Status di luar daftar","")))),""))</f>
        <v/>
      </c>
      <c r="S601" s="12">
        <f>IF(AND($A601&lt;&gt;"",$C601&lt;&gt;""),IF(COUNTIFS($A$2:$A$1000,$A601,$C$2:$C$1000,$C601)&gt;1,"DUPLICAT",""),"")</f>
        <v/>
      </c>
    </row>
    <row r="602">
      <c r="A602" s="17" t="n"/>
      <c r="B602" s="17" t="n"/>
      <c r="C602" s="17" t="n"/>
      <c r="D602" s="18" t="n"/>
      <c r="E602" s="17" t="n"/>
      <c r="F602" s="19" t="n"/>
      <c r="G602" s="17" t="n"/>
      <c r="H602" s="17" t="n"/>
      <c r="I602" s="17" t="n"/>
      <c r="J602" s="19" t="n"/>
      <c r="K602" s="19" t="n"/>
      <c r="L602" s="20" t="n"/>
      <c r="M602" s="20" t="n"/>
      <c r="N602" s="17" t="n"/>
      <c r="O602" s="17" t="n"/>
      <c r="P602" s="21">
        <f>IF(AND(ISNUMBER($L602),ISNUMBER($M602)),MAX(0,$M602-$L602),"")</f>
        <v/>
      </c>
      <c r="Q602" s="21">
        <f>IF(ISNUMBER($D602),MAX(0,TODAY()-$D602),"")</f>
        <v/>
      </c>
      <c r="R602" s="19">
        <f>IF(COUNTA($A602:$O602)=0,"",IFERROR(TRIM(TEXTJOIN(" | ",TRUE,IF($A602="","PC kosong",""),IF($C602="","Worker ID kosong",""),IF($D602="","Update Date kosong",IF(NOT(ISNUMBER($D602)),"Update Date bukan tanggal","")),IF($E602="","Song ID YT kosong",""),IF($F602="","Judul kosong",""),IF(TRIM($G602)="","",IF(ISERROR(MATCH(TRIM($G602),{"TuneCore","DistroKid","TooLost","SoundOn","Ditto","Believe","CD Baby","Amuse","Symphonic Distribution","ONErpm","RouteNote","LANDR","Horus Music","Indie"},0)),"Aggregator di luar daftar","")),IF(TRIM($H602)="","Genre kosong",IF((LEN(SUBSTITUTE(SUBSTITUTE(SUBSTITUTE(TRIM($H602),"/",","),";",",")," ",""))-LEN(SUBSTITUTE(SUBSTITUTE(SUBSTITUTE(SUBSTITUTE(TRIM($H602),"/",","),";",","),"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602),"/",","),";",",")," ","")&amp;",")))&lt;&gt;(LEN(SUBSTITUTE(SUBSTITUTE(SUBSTITUTE(TRIM($H602),"/",","),";",",")," ",""))-LEN(SUBSTITUTE(SUBSTITUTE(SUBSTITUTE(SUBSTITUTE(TRIM($H602),"/",","),";",",")," ",""),",",""))+1),"Genre di luar daftar",""))),IF($I602="","Nama Channel kosong",""),IF($J602="","Link Channel kosong",IF(ISERROR(SEARCH("youtu",$J602)),"Link Channel bukan youtube","")),IF($K602="","Link Video kosong",IF(ISERROR(SEARCH("youtu",$K602)),"Link Video bukan youtube","")),IF($L602="","Tgl Dibuat kosong",IF(NOT(ISNUMBER($L602)),"Tgl Dibuat bukan tanggal","")),IF(AND($M602&lt;&gt;"",NOT(ISNUMBER($M602))),"Tgl Publish bukan tanggal",""),IF(AND(ISNUMBER($L602),ISNUMBER($M602),$M602&lt;$L602),"Tgl Publish &lt; Tgl buat",""),IF(TRIM($N602)="","Status kosong",IF(ISERROR(MATCH(TRIM($N602),{"Draft","Menunggu Review","Revisi","Terjadwal","Upload","Publish","Published","Batal"},0)),"Status di luar daftar","")))),""))</f>
        <v/>
      </c>
      <c r="S602" s="17">
        <f>IF(AND($A602&lt;&gt;"",$C602&lt;&gt;""),IF(COUNTIFS($A$2:$A$1000,$A602,$C$2:$C$1000,$C602)&gt;1,"DUPLICAT",""),"")</f>
        <v/>
      </c>
    </row>
    <row r="603">
      <c r="A603" s="12" t="n"/>
      <c r="B603" s="12" t="n"/>
      <c r="C603" s="12" t="n"/>
      <c r="D603" s="13" t="n"/>
      <c r="E603" s="12" t="n"/>
      <c r="F603" s="14" t="n"/>
      <c r="G603" s="12" t="n"/>
      <c r="H603" s="12" t="n"/>
      <c r="I603" s="12" t="n"/>
      <c r="J603" s="14" t="n"/>
      <c r="K603" s="14" t="n"/>
      <c r="L603" s="15" t="n"/>
      <c r="M603" s="15" t="n"/>
      <c r="N603" s="12" t="n"/>
      <c r="O603" s="12" t="n"/>
      <c r="P603" s="16">
        <f>IF(AND(ISNUMBER($L603),ISNUMBER($M603)),MAX(0,$M603-$L603),"")</f>
        <v/>
      </c>
      <c r="Q603" s="16">
        <f>IF(ISNUMBER($D603),MAX(0,TODAY()-$D603),"")</f>
        <v/>
      </c>
      <c r="R603" s="14">
        <f>IF(COUNTA($A603:$O603)=0,"",IFERROR(TRIM(TEXTJOIN(" | ",TRUE,IF($A603="","PC kosong",""),IF($C603="","Worker ID kosong",""),IF($D603="","Update Date kosong",IF(NOT(ISNUMBER($D603)),"Update Date bukan tanggal","")),IF($E603="","Song ID YT kosong",""),IF($F603="","Judul kosong",""),IF(TRIM($G603)="","",IF(ISERROR(MATCH(TRIM($G603),{"TuneCore","DistroKid","TooLost","SoundOn","Ditto","Believe","CD Baby","Amuse","Symphonic Distribution","ONErpm","RouteNote","LANDR","Horus Music","Indie"},0)),"Aggregator di luar daftar","")),IF(TRIM($H603)="","Genre kosong",IF((LEN(SUBSTITUTE(SUBSTITUTE(SUBSTITUTE(TRIM($H603),"/",","),";",",")," ",""))-LEN(SUBSTITUTE(SUBSTITUTE(SUBSTITUTE(SUBSTITUTE(TRIM($H603),"/",","),";",","),"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603),"/",","),";",",")," ","")&amp;",")))&lt;&gt;(LEN(SUBSTITUTE(SUBSTITUTE(SUBSTITUTE(TRIM($H603),"/",","),";",",")," ",""))-LEN(SUBSTITUTE(SUBSTITUTE(SUBSTITUTE(SUBSTITUTE(TRIM($H603),"/",","),";",",")," ",""),",",""))+1),"Genre di luar daftar",""))),IF($I603="","Nama Channel kosong",""),IF($J603="","Link Channel kosong",IF(ISERROR(SEARCH("youtu",$J603)),"Link Channel bukan youtube","")),IF($K603="","Link Video kosong",IF(ISERROR(SEARCH("youtu",$K603)),"Link Video bukan youtube","")),IF($L603="","Tgl Dibuat kosong",IF(NOT(ISNUMBER($L603)),"Tgl Dibuat bukan tanggal","")),IF(AND($M603&lt;&gt;"",NOT(ISNUMBER($M603))),"Tgl Publish bukan tanggal",""),IF(AND(ISNUMBER($L603),ISNUMBER($M603),$M603&lt;$L603),"Tgl Publish &lt; Tgl buat",""),IF(TRIM($N603)="","Status kosong",IF(ISERROR(MATCH(TRIM($N603),{"Draft","Menunggu Review","Revisi","Terjadwal","Upload","Publish","Published","Batal"},0)),"Status di luar daftar","")))),""))</f>
        <v/>
      </c>
      <c r="S603" s="12">
        <f>IF(AND($A603&lt;&gt;"",$C603&lt;&gt;""),IF(COUNTIFS($A$2:$A$1000,$A603,$C$2:$C$1000,$C603)&gt;1,"DUPLICAT",""),"")</f>
        <v/>
      </c>
    </row>
    <row r="604">
      <c r="A604" s="17" t="n"/>
      <c r="B604" s="17" t="n"/>
      <c r="C604" s="17" t="n"/>
      <c r="D604" s="18" t="n"/>
      <c r="E604" s="17" t="n"/>
      <c r="F604" s="19" t="n"/>
      <c r="G604" s="17" t="n"/>
      <c r="H604" s="17" t="n"/>
      <c r="I604" s="17" t="n"/>
      <c r="J604" s="19" t="n"/>
      <c r="K604" s="19" t="n"/>
      <c r="L604" s="20" t="n"/>
      <c r="M604" s="20" t="n"/>
      <c r="N604" s="17" t="n"/>
      <c r="O604" s="17" t="n"/>
      <c r="P604" s="21">
        <f>IF(AND(ISNUMBER($L604),ISNUMBER($M604)),MAX(0,$M604-$L604),"")</f>
        <v/>
      </c>
      <c r="Q604" s="21">
        <f>IF(ISNUMBER($D604),MAX(0,TODAY()-$D604),"")</f>
        <v/>
      </c>
      <c r="R604" s="19">
        <f>IF(COUNTA($A604:$O604)=0,"",IFERROR(TRIM(TEXTJOIN(" | ",TRUE,IF($A604="","PC kosong",""),IF($C604="","Worker ID kosong",""),IF($D604="","Update Date kosong",IF(NOT(ISNUMBER($D604)),"Update Date bukan tanggal","")),IF($E604="","Song ID YT kosong",""),IF($F604="","Judul kosong",""),IF(TRIM($G604)="","",IF(ISERROR(MATCH(TRIM($G604),{"TuneCore","DistroKid","TooLost","SoundOn","Ditto","Believe","CD Baby","Amuse","Symphonic Distribution","ONErpm","RouteNote","LANDR","Horus Music","Indie"},0)),"Aggregator di luar daftar","")),IF(TRIM($H604)="","Genre kosong",IF((LEN(SUBSTITUTE(SUBSTITUTE(SUBSTITUTE(TRIM($H604),"/",","),";",",")," ",""))-LEN(SUBSTITUTE(SUBSTITUTE(SUBSTITUTE(SUBSTITUTE(TRIM($H604),"/",","),";",","),"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604),"/",","),";",",")," ","")&amp;",")))&lt;&gt;(LEN(SUBSTITUTE(SUBSTITUTE(SUBSTITUTE(TRIM($H604),"/",","),";",",")," ",""))-LEN(SUBSTITUTE(SUBSTITUTE(SUBSTITUTE(SUBSTITUTE(TRIM($H604),"/",","),";",",")," ",""),",",""))+1),"Genre di luar daftar",""))),IF($I604="","Nama Channel kosong",""),IF($J604="","Link Channel kosong",IF(ISERROR(SEARCH("youtu",$J604)),"Link Channel bukan youtube","")),IF($K604="","Link Video kosong",IF(ISERROR(SEARCH("youtu",$K604)),"Link Video bukan youtube","")),IF($L604="","Tgl Dibuat kosong",IF(NOT(ISNUMBER($L604)),"Tgl Dibuat bukan tanggal","")),IF(AND($M604&lt;&gt;"",NOT(ISNUMBER($M604))),"Tgl Publish bukan tanggal",""),IF(AND(ISNUMBER($L604),ISNUMBER($M604),$M604&lt;$L604),"Tgl Publish &lt; Tgl buat",""),IF(TRIM($N604)="","Status kosong",IF(ISERROR(MATCH(TRIM($N604),{"Draft","Menunggu Review","Revisi","Terjadwal","Upload","Publish","Published","Batal"},0)),"Status di luar daftar","")))),""))</f>
        <v/>
      </c>
      <c r="S604" s="17">
        <f>IF(AND($A604&lt;&gt;"",$C604&lt;&gt;""),IF(COUNTIFS($A$2:$A$1000,$A604,$C$2:$C$1000,$C604)&gt;1,"DUPLICAT",""),"")</f>
        <v/>
      </c>
    </row>
    <row r="605">
      <c r="A605" s="12" t="n"/>
      <c r="B605" s="12" t="n"/>
      <c r="C605" s="12" t="n"/>
      <c r="D605" s="13" t="n"/>
      <c r="E605" s="12" t="n"/>
      <c r="F605" s="14" t="n"/>
      <c r="G605" s="12" t="n"/>
      <c r="H605" s="12" t="n"/>
      <c r="I605" s="12" t="n"/>
      <c r="J605" s="14" t="n"/>
      <c r="K605" s="14" t="n"/>
      <c r="L605" s="15" t="n"/>
      <c r="M605" s="15" t="n"/>
      <c r="N605" s="12" t="n"/>
      <c r="O605" s="12" t="n"/>
      <c r="P605" s="16">
        <f>IF(AND(ISNUMBER($L605),ISNUMBER($M605)),MAX(0,$M605-$L605),"")</f>
        <v/>
      </c>
      <c r="Q605" s="16">
        <f>IF(ISNUMBER($D605),MAX(0,TODAY()-$D605),"")</f>
        <v/>
      </c>
      <c r="R605" s="14">
        <f>IF(COUNTA($A605:$O605)=0,"",IFERROR(TRIM(TEXTJOIN(" | ",TRUE,IF($A605="","PC kosong",""),IF($C605="","Worker ID kosong",""),IF($D605="","Update Date kosong",IF(NOT(ISNUMBER($D605)),"Update Date bukan tanggal","")),IF($E605="","Song ID YT kosong",""),IF($F605="","Judul kosong",""),IF(TRIM($G605)="","",IF(ISERROR(MATCH(TRIM($G605),{"TuneCore","DistroKid","TooLost","SoundOn","Ditto","Believe","CD Baby","Amuse","Symphonic Distribution","ONErpm","RouteNote","LANDR","Horus Music","Indie"},0)),"Aggregator di luar daftar","")),IF(TRIM($H605)="","Genre kosong",IF((LEN(SUBSTITUTE(SUBSTITUTE(SUBSTITUTE(TRIM($H605),"/",","),";",",")," ",""))-LEN(SUBSTITUTE(SUBSTITUTE(SUBSTITUTE(SUBSTITUTE(TRIM($H605),"/",","),";",","),"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605),"/",","),";",",")," ","")&amp;",")))&lt;&gt;(LEN(SUBSTITUTE(SUBSTITUTE(SUBSTITUTE(TRIM($H605),"/",","),";",",")," ",""))-LEN(SUBSTITUTE(SUBSTITUTE(SUBSTITUTE(SUBSTITUTE(TRIM($H605),"/",","),";",",")," ",""),",",""))+1),"Genre di luar daftar",""))),IF($I605="","Nama Channel kosong",""),IF($J605="","Link Channel kosong",IF(ISERROR(SEARCH("youtu",$J605)),"Link Channel bukan youtube","")),IF($K605="","Link Video kosong",IF(ISERROR(SEARCH("youtu",$K605)),"Link Video bukan youtube","")),IF($L605="","Tgl Dibuat kosong",IF(NOT(ISNUMBER($L605)),"Tgl Dibuat bukan tanggal","")),IF(AND($M605&lt;&gt;"",NOT(ISNUMBER($M605))),"Tgl Publish bukan tanggal",""),IF(AND(ISNUMBER($L605),ISNUMBER($M605),$M605&lt;$L605),"Tgl Publish &lt; Tgl buat",""),IF(TRIM($N605)="","Status kosong",IF(ISERROR(MATCH(TRIM($N605),{"Draft","Menunggu Review","Revisi","Terjadwal","Upload","Publish","Published","Batal"},0)),"Status di luar daftar","")))),""))</f>
        <v/>
      </c>
      <c r="S605" s="12">
        <f>IF(AND($A605&lt;&gt;"",$C605&lt;&gt;""),IF(COUNTIFS($A$2:$A$1000,$A605,$C$2:$C$1000,$C605)&gt;1,"DUPLICAT",""),"")</f>
        <v/>
      </c>
    </row>
    <row r="606">
      <c r="A606" s="17" t="n"/>
      <c r="B606" s="17" t="n"/>
      <c r="C606" s="17" t="n"/>
      <c r="D606" s="18" t="n"/>
      <c r="E606" s="17" t="n"/>
      <c r="F606" s="19" t="n"/>
      <c r="G606" s="17" t="n"/>
      <c r="H606" s="17" t="n"/>
      <c r="I606" s="17" t="n"/>
      <c r="J606" s="19" t="n"/>
      <c r="K606" s="19" t="n"/>
      <c r="L606" s="20" t="n"/>
      <c r="M606" s="20" t="n"/>
      <c r="N606" s="17" t="n"/>
      <c r="O606" s="17" t="n"/>
      <c r="P606" s="21">
        <f>IF(AND(ISNUMBER($L606),ISNUMBER($M606)),MAX(0,$M606-$L606),"")</f>
        <v/>
      </c>
      <c r="Q606" s="21">
        <f>IF(ISNUMBER($D606),MAX(0,TODAY()-$D606),"")</f>
        <v/>
      </c>
      <c r="R606" s="19">
        <f>IF(COUNTA($A606:$O606)=0,"",IFERROR(TRIM(TEXTJOIN(" | ",TRUE,IF($A606="","PC kosong",""),IF($C606="","Worker ID kosong",""),IF($D606="","Update Date kosong",IF(NOT(ISNUMBER($D606)),"Update Date bukan tanggal","")),IF($E606="","Song ID YT kosong",""),IF($F606="","Judul kosong",""),IF(TRIM($G606)="","",IF(ISERROR(MATCH(TRIM($G606),{"TuneCore","DistroKid","TooLost","SoundOn","Ditto","Believe","CD Baby","Amuse","Symphonic Distribution","ONErpm","RouteNote","LANDR","Horus Music","Indie"},0)),"Aggregator di luar daftar","")),IF(TRIM($H606)="","Genre kosong",IF((LEN(SUBSTITUTE(SUBSTITUTE(SUBSTITUTE(TRIM($H606),"/",","),";",",")," ",""))-LEN(SUBSTITUTE(SUBSTITUTE(SUBSTITUTE(SUBSTITUTE(TRIM($H606),"/",","),";",","),"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606),"/",","),";",",")," ","")&amp;",")))&lt;&gt;(LEN(SUBSTITUTE(SUBSTITUTE(SUBSTITUTE(TRIM($H606),"/",","),";",",")," ",""))-LEN(SUBSTITUTE(SUBSTITUTE(SUBSTITUTE(SUBSTITUTE(TRIM($H606),"/",","),";",",")," ",""),",",""))+1),"Genre di luar daftar",""))),IF($I606="","Nama Channel kosong",""),IF($J606="","Link Channel kosong",IF(ISERROR(SEARCH("youtu",$J606)),"Link Channel bukan youtube","")),IF($K606="","Link Video kosong",IF(ISERROR(SEARCH("youtu",$K606)),"Link Video bukan youtube","")),IF($L606="","Tgl Dibuat kosong",IF(NOT(ISNUMBER($L606)),"Tgl Dibuat bukan tanggal","")),IF(AND($M606&lt;&gt;"",NOT(ISNUMBER($M606))),"Tgl Publish bukan tanggal",""),IF(AND(ISNUMBER($L606),ISNUMBER($M606),$M606&lt;$L606),"Tgl Publish &lt; Tgl buat",""),IF(TRIM($N606)="","Status kosong",IF(ISERROR(MATCH(TRIM($N606),{"Draft","Menunggu Review","Revisi","Terjadwal","Upload","Publish","Published","Batal"},0)),"Status di luar daftar","")))),""))</f>
        <v/>
      </c>
      <c r="S606" s="17">
        <f>IF(AND($A606&lt;&gt;"",$C606&lt;&gt;""),IF(COUNTIFS($A$2:$A$1000,$A606,$C$2:$C$1000,$C606)&gt;1,"DUPLICAT",""),"")</f>
        <v/>
      </c>
    </row>
    <row r="607">
      <c r="A607" s="12" t="n"/>
      <c r="B607" s="12" t="n"/>
      <c r="C607" s="12" t="n"/>
      <c r="D607" s="13" t="n"/>
      <c r="E607" s="12" t="n"/>
      <c r="F607" s="14" t="n"/>
      <c r="G607" s="12" t="n"/>
      <c r="H607" s="12" t="n"/>
      <c r="I607" s="12" t="n"/>
      <c r="J607" s="14" t="n"/>
      <c r="K607" s="14" t="n"/>
      <c r="L607" s="15" t="n"/>
      <c r="M607" s="15" t="n"/>
      <c r="N607" s="12" t="n"/>
      <c r="O607" s="12" t="n"/>
      <c r="P607" s="16">
        <f>IF(AND(ISNUMBER($L607),ISNUMBER($M607)),MAX(0,$M607-$L607),"")</f>
        <v/>
      </c>
      <c r="Q607" s="16">
        <f>IF(ISNUMBER($D607),MAX(0,TODAY()-$D607),"")</f>
        <v/>
      </c>
      <c r="R607" s="14">
        <f>IF(COUNTA($A607:$O607)=0,"",IFERROR(TRIM(TEXTJOIN(" | ",TRUE,IF($A607="","PC kosong",""),IF($C607="","Worker ID kosong",""),IF($D607="","Update Date kosong",IF(NOT(ISNUMBER($D607)),"Update Date bukan tanggal","")),IF($E607="","Song ID YT kosong",""),IF($F607="","Judul kosong",""),IF(TRIM($G607)="","",IF(ISERROR(MATCH(TRIM($G607),{"TuneCore","DistroKid","TooLost","SoundOn","Ditto","Believe","CD Baby","Amuse","Symphonic Distribution","ONErpm","RouteNote","LANDR","Horus Music","Indie"},0)),"Aggregator di luar daftar","")),IF(TRIM($H607)="","Genre kosong",IF((LEN(SUBSTITUTE(SUBSTITUTE(SUBSTITUTE(TRIM($H607),"/",","),";",",")," ",""))-LEN(SUBSTITUTE(SUBSTITUTE(SUBSTITUTE(SUBSTITUTE(TRIM($H607),"/",","),";",","),"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607),"/",","),";",",")," ","")&amp;",")))&lt;&gt;(LEN(SUBSTITUTE(SUBSTITUTE(SUBSTITUTE(TRIM($H607),"/",","),";",",")," ",""))-LEN(SUBSTITUTE(SUBSTITUTE(SUBSTITUTE(SUBSTITUTE(TRIM($H607),"/",","),";",",")," ",""),",",""))+1),"Genre di luar daftar",""))),IF($I607="","Nama Channel kosong",""),IF($J607="","Link Channel kosong",IF(ISERROR(SEARCH("youtu",$J607)),"Link Channel bukan youtube","")),IF($K607="","Link Video kosong",IF(ISERROR(SEARCH("youtu",$K607)),"Link Video bukan youtube","")),IF($L607="","Tgl Dibuat kosong",IF(NOT(ISNUMBER($L607)),"Tgl Dibuat bukan tanggal","")),IF(AND($M607&lt;&gt;"",NOT(ISNUMBER($M607))),"Tgl Publish bukan tanggal",""),IF(AND(ISNUMBER($L607),ISNUMBER($M607),$M607&lt;$L607),"Tgl Publish &lt; Tgl buat",""),IF(TRIM($N607)="","Status kosong",IF(ISERROR(MATCH(TRIM($N607),{"Draft","Menunggu Review","Revisi","Terjadwal","Upload","Publish","Published","Batal"},0)),"Status di luar daftar","")))),""))</f>
        <v/>
      </c>
      <c r="S607" s="12">
        <f>IF(AND($A607&lt;&gt;"",$C607&lt;&gt;""),IF(COUNTIFS($A$2:$A$1000,$A607,$C$2:$C$1000,$C607)&gt;1,"DUPLICAT",""),"")</f>
        <v/>
      </c>
    </row>
    <row r="608">
      <c r="A608" s="17" t="n"/>
      <c r="B608" s="17" t="n"/>
      <c r="C608" s="17" t="n"/>
      <c r="D608" s="18" t="n"/>
      <c r="E608" s="17" t="n"/>
      <c r="F608" s="19" t="n"/>
      <c r="G608" s="17" t="n"/>
      <c r="H608" s="17" t="n"/>
      <c r="I608" s="17" t="n"/>
      <c r="J608" s="19" t="n"/>
      <c r="K608" s="19" t="n"/>
      <c r="L608" s="20" t="n"/>
      <c r="M608" s="20" t="n"/>
      <c r="N608" s="17" t="n"/>
      <c r="O608" s="17" t="n"/>
      <c r="P608" s="21">
        <f>IF(AND(ISNUMBER($L608),ISNUMBER($M608)),MAX(0,$M608-$L608),"")</f>
        <v/>
      </c>
      <c r="Q608" s="21">
        <f>IF(ISNUMBER($D608),MAX(0,TODAY()-$D608),"")</f>
        <v/>
      </c>
      <c r="R608" s="19">
        <f>IF(COUNTA($A608:$O608)=0,"",IFERROR(TRIM(TEXTJOIN(" | ",TRUE,IF($A608="","PC kosong",""),IF($C608="","Worker ID kosong",""),IF($D608="","Update Date kosong",IF(NOT(ISNUMBER($D608)),"Update Date bukan tanggal","")),IF($E608="","Song ID YT kosong",""),IF($F608="","Judul kosong",""),IF(TRIM($G608)="","",IF(ISERROR(MATCH(TRIM($G608),{"TuneCore","DistroKid","TooLost","SoundOn","Ditto","Believe","CD Baby","Amuse","Symphonic Distribution","ONErpm","RouteNote","LANDR","Horus Music","Indie"},0)),"Aggregator di luar daftar","")),IF(TRIM($H608)="","Genre kosong",IF((LEN(SUBSTITUTE(SUBSTITUTE(SUBSTITUTE(TRIM($H608),"/",","),";",",")," ",""))-LEN(SUBSTITUTE(SUBSTITUTE(SUBSTITUTE(SUBSTITUTE(TRIM($H608),"/",","),";",","),"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608),"/",","),";",",")," ","")&amp;",")))&lt;&gt;(LEN(SUBSTITUTE(SUBSTITUTE(SUBSTITUTE(TRIM($H608),"/",","),";",",")," ",""))-LEN(SUBSTITUTE(SUBSTITUTE(SUBSTITUTE(SUBSTITUTE(TRIM($H608),"/",","),";",",")," ",""),",",""))+1),"Genre di luar daftar",""))),IF($I608="","Nama Channel kosong",""),IF($J608="","Link Channel kosong",IF(ISERROR(SEARCH("youtu",$J608)),"Link Channel bukan youtube","")),IF($K608="","Link Video kosong",IF(ISERROR(SEARCH("youtu",$K608)),"Link Video bukan youtube","")),IF($L608="","Tgl Dibuat kosong",IF(NOT(ISNUMBER($L608)),"Tgl Dibuat bukan tanggal","")),IF(AND($M608&lt;&gt;"",NOT(ISNUMBER($M608))),"Tgl Publish bukan tanggal",""),IF(AND(ISNUMBER($L608),ISNUMBER($M608),$M608&lt;$L608),"Tgl Publish &lt; Tgl buat",""),IF(TRIM($N608)="","Status kosong",IF(ISERROR(MATCH(TRIM($N608),{"Draft","Menunggu Review","Revisi","Terjadwal","Upload","Publish","Published","Batal"},0)),"Status di luar daftar","")))),""))</f>
        <v/>
      </c>
      <c r="S608" s="17">
        <f>IF(AND($A608&lt;&gt;"",$C608&lt;&gt;""),IF(COUNTIFS($A$2:$A$1000,$A608,$C$2:$C$1000,$C608)&gt;1,"DUPLICAT",""),"")</f>
        <v/>
      </c>
    </row>
    <row r="609">
      <c r="A609" s="12" t="n"/>
      <c r="B609" s="12" t="n"/>
      <c r="C609" s="12" t="n"/>
      <c r="D609" s="13" t="n"/>
      <c r="E609" s="12" t="n"/>
      <c r="F609" s="14" t="n"/>
      <c r="G609" s="12" t="n"/>
      <c r="H609" s="12" t="n"/>
      <c r="I609" s="12" t="n"/>
      <c r="J609" s="14" t="n"/>
      <c r="K609" s="14" t="n"/>
      <c r="L609" s="15" t="n"/>
      <c r="M609" s="15" t="n"/>
      <c r="N609" s="12" t="n"/>
      <c r="O609" s="12" t="n"/>
      <c r="P609" s="16">
        <f>IF(AND(ISNUMBER($L609),ISNUMBER($M609)),MAX(0,$M609-$L609),"")</f>
        <v/>
      </c>
      <c r="Q609" s="16">
        <f>IF(ISNUMBER($D609),MAX(0,TODAY()-$D609),"")</f>
        <v/>
      </c>
      <c r="R609" s="14">
        <f>IF(COUNTA($A609:$O609)=0,"",IFERROR(TRIM(TEXTJOIN(" | ",TRUE,IF($A609="","PC kosong",""),IF($C609="","Worker ID kosong",""),IF($D609="","Update Date kosong",IF(NOT(ISNUMBER($D609)),"Update Date bukan tanggal","")),IF($E609="","Song ID YT kosong",""),IF($F609="","Judul kosong",""),IF(TRIM($G609)="","",IF(ISERROR(MATCH(TRIM($G609),{"TuneCore","DistroKid","TooLost","SoundOn","Ditto","Believe","CD Baby","Amuse","Symphonic Distribution","ONErpm","RouteNote","LANDR","Horus Music","Indie"},0)),"Aggregator di luar daftar","")),IF(TRIM($H609)="","Genre kosong",IF((LEN(SUBSTITUTE(SUBSTITUTE(SUBSTITUTE(TRIM($H609),"/",","),";",",")," ",""))-LEN(SUBSTITUTE(SUBSTITUTE(SUBSTITUTE(SUBSTITUTE(TRIM($H609),"/",","),";",","),"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609),"/",","),";",",")," ","")&amp;",")))&lt;&gt;(LEN(SUBSTITUTE(SUBSTITUTE(SUBSTITUTE(TRIM($H609),"/",","),";",",")," ",""))-LEN(SUBSTITUTE(SUBSTITUTE(SUBSTITUTE(SUBSTITUTE(TRIM($H609),"/",","),";",",")," ",""),",",""))+1),"Genre di luar daftar",""))),IF($I609="","Nama Channel kosong",""),IF($J609="","Link Channel kosong",IF(ISERROR(SEARCH("youtu",$J609)),"Link Channel bukan youtube","")),IF($K609="","Link Video kosong",IF(ISERROR(SEARCH("youtu",$K609)),"Link Video bukan youtube","")),IF($L609="","Tgl Dibuat kosong",IF(NOT(ISNUMBER($L609)),"Tgl Dibuat bukan tanggal","")),IF(AND($M609&lt;&gt;"",NOT(ISNUMBER($M609))),"Tgl Publish bukan tanggal",""),IF(AND(ISNUMBER($L609),ISNUMBER($M609),$M609&lt;$L609),"Tgl Publish &lt; Tgl buat",""),IF(TRIM($N609)="","Status kosong",IF(ISERROR(MATCH(TRIM($N609),{"Draft","Menunggu Review","Revisi","Terjadwal","Upload","Publish","Published","Batal"},0)),"Status di luar daftar","")))),""))</f>
        <v/>
      </c>
      <c r="S609" s="12">
        <f>IF(AND($A609&lt;&gt;"",$C609&lt;&gt;""),IF(COUNTIFS($A$2:$A$1000,$A609,$C$2:$C$1000,$C609)&gt;1,"DUPLICAT",""),"")</f>
        <v/>
      </c>
    </row>
    <row r="610">
      <c r="A610" s="17" t="n"/>
      <c r="B610" s="17" t="n"/>
      <c r="C610" s="17" t="n"/>
      <c r="D610" s="18" t="n"/>
      <c r="E610" s="17" t="n"/>
      <c r="F610" s="19" t="n"/>
      <c r="G610" s="17" t="n"/>
      <c r="H610" s="17" t="n"/>
      <c r="I610" s="17" t="n"/>
      <c r="J610" s="19" t="n"/>
      <c r="K610" s="19" t="n"/>
      <c r="L610" s="20" t="n"/>
      <c r="M610" s="20" t="n"/>
      <c r="N610" s="17" t="n"/>
      <c r="O610" s="17" t="n"/>
      <c r="P610" s="21">
        <f>IF(AND(ISNUMBER($L610),ISNUMBER($M610)),MAX(0,$M610-$L610),"")</f>
        <v/>
      </c>
      <c r="Q610" s="21">
        <f>IF(ISNUMBER($D610),MAX(0,TODAY()-$D610),"")</f>
        <v/>
      </c>
      <c r="R610" s="19">
        <f>IF(COUNTA($A610:$O610)=0,"",IFERROR(TRIM(TEXTJOIN(" | ",TRUE,IF($A610="","PC kosong",""),IF($C610="","Worker ID kosong",""),IF($D610="","Update Date kosong",IF(NOT(ISNUMBER($D610)),"Update Date bukan tanggal","")),IF($E610="","Song ID YT kosong",""),IF($F610="","Judul kosong",""),IF(TRIM($G610)="","",IF(ISERROR(MATCH(TRIM($G610),{"TuneCore","DistroKid","TooLost","SoundOn","Ditto","Believe","CD Baby","Amuse","Symphonic Distribution","ONErpm","RouteNote","LANDR","Horus Music","Indie"},0)),"Aggregator di luar daftar","")),IF(TRIM($H610)="","Genre kosong",IF((LEN(SUBSTITUTE(SUBSTITUTE(SUBSTITUTE(TRIM($H610),"/",","),";",",")," ",""))-LEN(SUBSTITUTE(SUBSTITUTE(SUBSTITUTE(SUBSTITUTE(TRIM($H610),"/",","),";",","),"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610),"/",","),";",",")," ","")&amp;",")))&lt;&gt;(LEN(SUBSTITUTE(SUBSTITUTE(SUBSTITUTE(TRIM($H610),"/",","),";",",")," ",""))-LEN(SUBSTITUTE(SUBSTITUTE(SUBSTITUTE(SUBSTITUTE(TRIM($H610),"/",","),";",",")," ",""),",",""))+1),"Genre di luar daftar",""))),IF($I610="","Nama Channel kosong",""),IF($J610="","Link Channel kosong",IF(ISERROR(SEARCH("youtu",$J610)),"Link Channel bukan youtube","")),IF($K610="","Link Video kosong",IF(ISERROR(SEARCH("youtu",$K610)),"Link Video bukan youtube","")),IF($L610="","Tgl Dibuat kosong",IF(NOT(ISNUMBER($L610)),"Tgl Dibuat bukan tanggal","")),IF(AND($M610&lt;&gt;"",NOT(ISNUMBER($M610))),"Tgl Publish bukan tanggal",""),IF(AND(ISNUMBER($L610),ISNUMBER($M610),$M610&lt;$L610),"Tgl Publish &lt; Tgl buat",""),IF(TRIM($N610)="","Status kosong",IF(ISERROR(MATCH(TRIM($N610),{"Draft","Menunggu Review","Revisi","Terjadwal","Upload","Publish","Published","Batal"},0)),"Status di luar daftar","")))),""))</f>
        <v/>
      </c>
      <c r="S610" s="17">
        <f>IF(AND($A610&lt;&gt;"",$C610&lt;&gt;""),IF(COUNTIFS($A$2:$A$1000,$A610,$C$2:$C$1000,$C610)&gt;1,"DUPLICAT",""),"")</f>
        <v/>
      </c>
    </row>
    <row r="611">
      <c r="A611" s="12" t="n"/>
      <c r="B611" s="12" t="n"/>
      <c r="C611" s="12" t="n"/>
      <c r="D611" s="13" t="n"/>
      <c r="E611" s="12" t="n"/>
      <c r="F611" s="14" t="n"/>
      <c r="G611" s="12" t="n"/>
      <c r="H611" s="12" t="n"/>
      <c r="I611" s="12" t="n"/>
      <c r="J611" s="14" t="n"/>
      <c r="K611" s="14" t="n"/>
      <c r="L611" s="15" t="n"/>
      <c r="M611" s="15" t="n"/>
      <c r="N611" s="12" t="n"/>
      <c r="O611" s="12" t="n"/>
      <c r="P611" s="16">
        <f>IF(AND(ISNUMBER($L611),ISNUMBER($M611)),MAX(0,$M611-$L611),"")</f>
        <v/>
      </c>
      <c r="Q611" s="16">
        <f>IF(ISNUMBER($D611),MAX(0,TODAY()-$D611),"")</f>
        <v/>
      </c>
      <c r="R611" s="14">
        <f>IF(COUNTA($A611:$O611)=0,"",IFERROR(TRIM(TEXTJOIN(" | ",TRUE,IF($A611="","PC kosong",""),IF($C611="","Worker ID kosong",""),IF($D611="","Update Date kosong",IF(NOT(ISNUMBER($D611)),"Update Date bukan tanggal","")),IF($E611="","Song ID YT kosong",""),IF($F611="","Judul kosong",""),IF(TRIM($G611)="","",IF(ISERROR(MATCH(TRIM($G611),{"TuneCore","DistroKid","TooLost","SoundOn","Ditto","Believe","CD Baby","Amuse","Symphonic Distribution","ONErpm","RouteNote","LANDR","Horus Music","Indie"},0)),"Aggregator di luar daftar","")),IF(TRIM($H611)="","Genre kosong",IF((LEN(SUBSTITUTE(SUBSTITUTE(SUBSTITUTE(TRIM($H611),"/",","),";",",")," ",""))-LEN(SUBSTITUTE(SUBSTITUTE(SUBSTITUTE(SUBSTITUTE(TRIM($H611),"/",","),";",","),"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611),"/",","),";",",")," ","")&amp;",")))&lt;&gt;(LEN(SUBSTITUTE(SUBSTITUTE(SUBSTITUTE(TRIM($H611),"/",","),";",",")," ",""))-LEN(SUBSTITUTE(SUBSTITUTE(SUBSTITUTE(SUBSTITUTE(TRIM($H611),"/",","),";",",")," ",""),",",""))+1),"Genre di luar daftar",""))),IF($I611="","Nama Channel kosong",""),IF($J611="","Link Channel kosong",IF(ISERROR(SEARCH("youtu",$J611)),"Link Channel bukan youtube","")),IF($K611="","Link Video kosong",IF(ISERROR(SEARCH("youtu",$K611)),"Link Video bukan youtube","")),IF($L611="","Tgl Dibuat kosong",IF(NOT(ISNUMBER($L611)),"Tgl Dibuat bukan tanggal","")),IF(AND($M611&lt;&gt;"",NOT(ISNUMBER($M611))),"Tgl Publish bukan tanggal",""),IF(AND(ISNUMBER($L611),ISNUMBER($M611),$M611&lt;$L611),"Tgl Publish &lt; Tgl buat",""),IF(TRIM($N611)="","Status kosong",IF(ISERROR(MATCH(TRIM($N611),{"Draft","Menunggu Review","Revisi","Terjadwal","Upload","Publish","Published","Batal"},0)),"Status di luar daftar","")))),""))</f>
        <v/>
      </c>
      <c r="S611" s="12">
        <f>IF(AND($A611&lt;&gt;"",$C611&lt;&gt;""),IF(COUNTIFS($A$2:$A$1000,$A611,$C$2:$C$1000,$C611)&gt;1,"DUPLICAT",""),"")</f>
        <v/>
      </c>
    </row>
    <row r="612">
      <c r="A612" s="17" t="n"/>
      <c r="B612" s="17" t="n"/>
      <c r="C612" s="17" t="n"/>
      <c r="D612" s="18" t="n"/>
      <c r="E612" s="17" t="n"/>
      <c r="F612" s="19" t="n"/>
      <c r="G612" s="17" t="n"/>
      <c r="H612" s="17" t="n"/>
      <c r="I612" s="17" t="n"/>
      <c r="J612" s="19" t="n"/>
      <c r="K612" s="19" t="n"/>
      <c r="L612" s="20" t="n"/>
      <c r="M612" s="20" t="n"/>
      <c r="N612" s="17" t="n"/>
      <c r="O612" s="17" t="n"/>
      <c r="P612" s="21">
        <f>IF(AND(ISNUMBER($L612),ISNUMBER($M612)),MAX(0,$M612-$L612),"")</f>
        <v/>
      </c>
      <c r="Q612" s="21">
        <f>IF(ISNUMBER($D612),MAX(0,TODAY()-$D612),"")</f>
        <v/>
      </c>
      <c r="R612" s="19">
        <f>IF(COUNTA($A612:$O612)=0,"",IFERROR(TRIM(TEXTJOIN(" | ",TRUE,IF($A612="","PC kosong",""),IF($C612="","Worker ID kosong",""),IF($D612="","Update Date kosong",IF(NOT(ISNUMBER($D612)),"Update Date bukan tanggal","")),IF($E612="","Song ID YT kosong",""),IF($F612="","Judul kosong",""),IF(TRIM($G612)="","",IF(ISERROR(MATCH(TRIM($G612),{"TuneCore","DistroKid","TooLost","SoundOn","Ditto","Believe","CD Baby","Amuse","Symphonic Distribution","ONErpm","RouteNote","LANDR","Horus Music","Indie"},0)),"Aggregator di luar daftar","")),IF(TRIM($H612)="","Genre kosong",IF((LEN(SUBSTITUTE(SUBSTITUTE(SUBSTITUTE(TRIM($H612),"/",","),";",",")," ",""))-LEN(SUBSTITUTE(SUBSTITUTE(SUBSTITUTE(SUBSTITUTE(TRIM($H612),"/",","),";",","),"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612),"/",","),";",",")," ","")&amp;",")))&lt;&gt;(LEN(SUBSTITUTE(SUBSTITUTE(SUBSTITUTE(TRIM($H612),"/",","),";",",")," ",""))-LEN(SUBSTITUTE(SUBSTITUTE(SUBSTITUTE(SUBSTITUTE(TRIM($H612),"/",","),";",",")," ",""),",",""))+1),"Genre di luar daftar",""))),IF($I612="","Nama Channel kosong",""),IF($J612="","Link Channel kosong",IF(ISERROR(SEARCH("youtu",$J612)),"Link Channel bukan youtube","")),IF($K612="","Link Video kosong",IF(ISERROR(SEARCH("youtu",$K612)),"Link Video bukan youtube","")),IF($L612="","Tgl Dibuat kosong",IF(NOT(ISNUMBER($L612)),"Tgl Dibuat bukan tanggal","")),IF(AND($M612&lt;&gt;"",NOT(ISNUMBER($M612))),"Tgl Publish bukan tanggal",""),IF(AND(ISNUMBER($L612),ISNUMBER($M612),$M612&lt;$L612),"Tgl Publish &lt; Tgl buat",""),IF(TRIM($N612)="","Status kosong",IF(ISERROR(MATCH(TRIM($N612),{"Draft","Menunggu Review","Revisi","Terjadwal","Upload","Publish","Published","Batal"},0)),"Status di luar daftar","")))),""))</f>
        <v/>
      </c>
      <c r="S612" s="17">
        <f>IF(AND($A612&lt;&gt;"",$C612&lt;&gt;""),IF(COUNTIFS($A$2:$A$1000,$A612,$C$2:$C$1000,$C612)&gt;1,"DUPLICAT",""),"")</f>
        <v/>
      </c>
    </row>
    <row r="613">
      <c r="A613" s="12" t="n"/>
      <c r="B613" s="12" t="n"/>
      <c r="C613" s="12" t="n"/>
      <c r="D613" s="13" t="n"/>
      <c r="E613" s="12" t="n"/>
      <c r="F613" s="14" t="n"/>
      <c r="G613" s="12" t="n"/>
      <c r="H613" s="12" t="n"/>
      <c r="I613" s="12" t="n"/>
      <c r="J613" s="14" t="n"/>
      <c r="K613" s="14" t="n"/>
      <c r="L613" s="15" t="n"/>
      <c r="M613" s="15" t="n"/>
      <c r="N613" s="12" t="n"/>
      <c r="O613" s="12" t="n"/>
      <c r="P613" s="16">
        <f>IF(AND(ISNUMBER($L613),ISNUMBER($M613)),MAX(0,$M613-$L613),"")</f>
        <v/>
      </c>
      <c r="Q613" s="16">
        <f>IF(ISNUMBER($D613),MAX(0,TODAY()-$D613),"")</f>
        <v/>
      </c>
      <c r="R613" s="14">
        <f>IF(COUNTA($A613:$O613)=0,"",IFERROR(TRIM(TEXTJOIN(" | ",TRUE,IF($A613="","PC kosong",""),IF($C613="","Worker ID kosong",""),IF($D613="","Update Date kosong",IF(NOT(ISNUMBER($D613)),"Update Date bukan tanggal","")),IF($E613="","Song ID YT kosong",""),IF($F613="","Judul kosong",""),IF(TRIM($G613)="","",IF(ISERROR(MATCH(TRIM($G613),{"TuneCore","DistroKid","TooLost","SoundOn","Ditto","Believe","CD Baby","Amuse","Symphonic Distribution","ONErpm","RouteNote","LANDR","Horus Music","Indie"},0)),"Aggregator di luar daftar","")),IF(TRIM($H613)="","Genre kosong",IF((LEN(SUBSTITUTE(SUBSTITUTE(SUBSTITUTE(TRIM($H613),"/",","),";",",")," ",""))-LEN(SUBSTITUTE(SUBSTITUTE(SUBSTITUTE(SUBSTITUTE(TRIM($H613),"/",","),";",","),"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613),"/",","),";",",")," ","")&amp;",")))&lt;&gt;(LEN(SUBSTITUTE(SUBSTITUTE(SUBSTITUTE(TRIM($H613),"/",","),";",",")," ",""))-LEN(SUBSTITUTE(SUBSTITUTE(SUBSTITUTE(SUBSTITUTE(TRIM($H613),"/",","),";",",")," ",""),",",""))+1),"Genre di luar daftar",""))),IF($I613="","Nama Channel kosong",""),IF($J613="","Link Channel kosong",IF(ISERROR(SEARCH("youtu",$J613)),"Link Channel bukan youtube","")),IF($K613="","Link Video kosong",IF(ISERROR(SEARCH("youtu",$K613)),"Link Video bukan youtube","")),IF($L613="","Tgl Dibuat kosong",IF(NOT(ISNUMBER($L613)),"Tgl Dibuat bukan tanggal","")),IF(AND($M613&lt;&gt;"",NOT(ISNUMBER($M613))),"Tgl Publish bukan tanggal",""),IF(AND(ISNUMBER($L613),ISNUMBER($M613),$M613&lt;$L613),"Tgl Publish &lt; Tgl buat",""),IF(TRIM($N613)="","Status kosong",IF(ISERROR(MATCH(TRIM($N613),{"Draft","Menunggu Review","Revisi","Terjadwal","Upload","Publish","Published","Batal"},0)),"Status di luar daftar","")))),""))</f>
        <v/>
      </c>
      <c r="S613" s="12">
        <f>IF(AND($A613&lt;&gt;"",$C613&lt;&gt;""),IF(COUNTIFS($A$2:$A$1000,$A613,$C$2:$C$1000,$C613)&gt;1,"DUPLICAT",""),"")</f>
        <v/>
      </c>
    </row>
    <row r="614">
      <c r="A614" s="17" t="n"/>
      <c r="B614" s="17" t="n"/>
      <c r="C614" s="17" t="n"/>
      <c r="D614" s="18" t="n"/>
      <c r="E614" s="17" t="n"/>
      <c r="F614" s="19" t="n"/>
      <c r="G614" s="17" t="n"/>
      <c r="H614" s="17" t="n"/>
      <c r="I614" s="17" t="n"/>
      <c r="J614" s="19" t="n"/>
      <c r="K614" s="19" t="n"/>
      <c r="L614" s="20" t="n"/>
      <c r="M614" s="20" t="n"/>
      <c r="N614" s="17" t="n"/>
      <c r="O614" s="17" t="n"/>
      <c r="P614" s="21">
        <f>IF(AND(ISNUMBER($L614),ISNUMBER($M614)),MAX(0,$M614-$L614),"")</f>
        <v/>
      </c>
      <c r="Q614" s="21">
        <f>IF(ISNUMBER($D614),MAX(0,TODAY()-$D614),"")</f>
        <v/>
      </c>
      <c r="R614" s="19">
        <f>IF(COUNTA($A614:$O614)=0,"",IFERROR(TRIM(TEXTJOIN(" | ",TRUE,IF($A614="","PC kosong",""),IF($C614="","Worker ID kosong",""),IF($D614="","Update Date kosong",IF(NOT(ISNUMBER($D614)),"Update Date bukan tanggal","")),IF($E614="","Song ID YT kosong",""),IF($F614="","Judul kosong",""),IF(TRIM($G614)="","",IF(ISERROR(MATCH(TRIM($G614),{"TuneCore","DistroKid","TooLost","SoundOn","Ditto","Believe","CD Baby","Amuse","Symphonic Distribution","ONErpm","RouteNote","LANDR","Horus Music","Indie"},0)),"Aggregator di luar daftar","")),IF(TRIM($H614)="","Genre kosong",IF((LEN(SUBSTITUTE(SUBSTITUTE(SUBSTITUTE(TRIM($H614),"/",","),";",",")," ",""))-LEN(SUBSTITUTE(SUBSTITUTE(SUBSTITUTE(SUBSTITUTE(TRIM($H614),"/",","),";",","),"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614),"/",","),";",",")," ","")&amp;",")))&lt;&gt;(LEN(SUBSTITUTE(SUBSTITUTE(SUBSTITUTE(TRIM($H614),"/",","),";",",")," ",""))-LEN(SUBSTITUTE(SUBSTITUTE(SUBSTITUTE(SUBSTITUTE(TRIM($H614),"/",","),";",",")," ",""),",",""))+1),"Genre di luar daftar",""))),IF($I614="","Nama Channel kosong",""),IF($J614="","Link Channel kosong",IF(ISERROR(SEARCH("youtu",$J614)),"Link Channel bukan youtube","")),IF($K614="","Link Video kosong",IF(ISERROR(SEARCH("youtu",$K614)),"Link Video bukan youtube","")),IF($L614="","Tgl Dibuat kosong",IF(NOT(ISNUMBER($L614)),"Tgl Dibuat bukan tanggal","")),IF(AND($M614&lt;&gt;"",NOT(ISNUMBER($M614))),"Tgl Publish bukan tanggal",""),IF(AND(ISNUMBER($L614),ISNUMBER($M614),$M614&lt;$L614),"Tgl Publish &lt; Tgl buat",""),IF(TRIM($N614)="","Status kosong",IF(ISERROR(MATCH(TRIM($N614),{"Draft","Menunggu Review","Revisi","Terjadwal","Upload","Publish","Published","Batal"},0)),"Status di luar daftar","")))),""))</f>
        <v/>
      </c>
      <c r="S614" s="17">
        <f>IF(AND($A614&lt;&gt;"",$C614&lt;&gt;""),IF(COUNTIFS($A$2:$A$1000,$A614,$C$2:$C$1000,$C614)&gt;1,"DUPLICAT",""),"")</f>
        <v/>
      </c>
    </row>
    <row r="615">
      <c r="A615" s="12" t="n"/>
      <c r="B615" s="12" t="n"/>
      <c r="C615" s="12" t="n"/>
      <c r="D615" s="13" t="n"/>
      <c r="E615" s="12" t="n"/>
      <c r="F615" s="14" t="n"/>
      <c r="G615" s="12" t="n"/>
      <c r="H615" s="12" t="n"/>
      <c r="I615" s="12" t="n"/>
      <c r="J615" s="14" t="n"/>
      <c r="K615" s="14" t="n"/>
      <c r="L615" s="15" t="n"/>
      <c r="M615" s="15" t="n"/>
      <c r="N615" s="12" t="n"/>
      <c r="O615" s="12" t="n"/>
      <c r="P615" s="16">
        <f>IF(AND(ISNUMBER($L615),ISNUMBER($M615)),MAX(0,$M615-$L615),"")</f>
        <v/>
      </c>
      <c r="Q615" s="16">
        <f>IF(ISNUMBER($D615),MAX(0,TODAY()-$D615),"")</f>
        <v/>
      </c>
      <c r="R615" s="14">
        <f>IF(COUNTA($A615:$O615)=0,"",IFERROR(TRIM(TEXTJOIN(" | ",TRUE,IF($A615="","PC kosong",""),IF($C615="","Worker ID kosong",""),IF($D615="","Update Date kosong",IF(NOT(ISNUMBER($D615)),"Update Date bukan tanggal","")),IF($E615="","Song ID YT kosong",""),IF($F615="","Judul kosong",""),IF(TRIM($G615)="","",IF(ISERROR(MATCH(TRIM($G615),{"TuneCore","DistroKid","TooLost","SoundOn","Ditto","Believe","CD Baby","Amuse","Symphonic Distribution","ONErpm","RouteNote","LANDR","Horus Music","Indie"},0)),"Aggregator di luar daftar","")),IF(TRIM($H615)="","Genre kosong",IF((LEN(SUBSTITUTE(SUBSTITUTE(SUBSTITUTE(TRIM($H615),"/",","),";",",")," ",""))-LEN(SUBSTITUTE(SUBSTITUTE(SUBSTITUTE(SUBSTITUTE(TRIM($H615),"/",","),";",","),"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615),"/",","),";",",")," ","")&amp;",")))&lt;&gt;(LEN(SUBSTITUTE(SUBSTITUTE(SUBSTITUTE(TRIM($H615),"/",","),";",",")," ",""))-LEN(SUBSTITUTE(SUBSTITUTE(SUBSTITUTE(SUBSTITUTE(TRIM($H615),"/",","),";",",")," ",""),",",""))+1),"Genre di luar daftar",""))),IF($I615="","Nama Channel kosong",""),IF($J615="","Link Channel kosong",IF(ISERROR(SEARCH("youtu",$J615)),"Link Channel bukan youtube","")),IF($K615="","Link Video kosong",IF(ISERROR(SEARCH("youtu",$K615)),"Link Video bukan youtube","")),IF($L615="","Tgl Dibuat kosong",IF(NOT(ISNUMBER($L615)),"Tgl Dibuat bukan tanggal","")),IF(AND($M615&lt;&gt;"",NOT(ISNUMBER($M615))),"Tgl Publish bukan tanggal",""),IF(AND(ISNUMBER($L615),ISNUMBER($M615),$M615&lt;$L615),"Tgl Publish &lt; Tgl buat",""),IF(TRIM($N615)="","Status kosong",IF(ISERROR(MATCH(TRIM($N615),{"Draft","Menunggu Review","Revisi","Terjadwal","Upload","Publish","Published","Batal"},0)),"Status di luar daftar","")))),""))</f>
        <v/>
      </c>
      <c r="S615" s="12">
        <f>IF(AND($A615&lt;&gt;"",$C615&lt;&gt;""),IF(COUNTIFS($A$2:$A$1000,$A615,$C$2:$C$1000,$C615)&gt;1,"DUPLICAT",""),"")</f>
        <v/>
      </c>
    </row>
    <row r="616">
      <c r="A616" s="17" t="n"/>
      <c r="B616" s="17" t="n"/>
      <c r="C616" s="17" t="n"/>
      <c r="D616" s="18" t="n"/>
      <c r="E616" s="17" t="n"/>
      <c r="F616" s="19" t="n"/>
      <c r="G616" s="17" t="n"/>
      <c r="H616" s="17" t="n"/>
      <c r="I616" s="17" t="n"/>
      <c r="J616" s="19" t="n"/>
      <c r="K616" s="19" t="n"/>
      <c r="L616" s="20" t="n"/>
      <c r="M616" s="20" t="n"/>
      <c r="N616" s="17" t="n"/>
      <c r="O616" s="17" t="n"/>
      <c r="P616" s="21">
        <f>IF(AND(ISNUMBER($L616),ISNUMBER($M616)),MAX(0,$M616-$L616),"")</f>
        <v/>
      </c>
      <c r="Q616" s="21">
        <f>IF(ISNUMBER($D616),MAX(0,TODAY()-$D616),"")</f>
        <v/>
      </c>
      <c r="R616" s="19">
        <f>IF(COUNTA($A616:$O616)=0,"",IFERROR(TRIM(TEXTJOIN(" | ",TRUE,IF($A616="","PC kosong",""),IF($C616="","Worker ID kosong",""),IF($D616="","Update Date kosong",IF(NOT(ISNUMBER($D616)),"Update Date bukan tanggal","")),IF($E616="","Song ID YT kosong",""),IF($F616="","Judul kosong",""),IF(TRIM($G616)="","",IF(ISERROR(MATCH(TRIM($G616),{"TuneCore","DistroKid","TooLost","SoundOn","Ditto","Believe","CD Baby","Amuse","Symphonic Distribution","ONErpm","RouteNote","LANDR","Horus Music","Indie"},0)),"Aggregator di luar daftar","")),IF(TRIM($H616)="","Genre kosong",IF((LEN(SUBSTITUTE(SUBSTITUTE(SUBSTITUTE(TRIM($H616),"/",","),";",",")," ",""))-LEN(SUBSTITUTE(SUBSTITUTE(SUBSTITUTE(SUBSTITUTE(TRIM($H616),"/",","),";",","),"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616),"/",","),";",",")," ","")&amp;",")))&lt;&gt;(LEN(SUBSTITUTE(SUBSTITUTE(SUBSTITUTE(TRIM($H616),"/",","),";",",")," ",""))-LEN(SUBSTITUTE(SUBSTITUTE(SUBSTITUTE(SUBSTITUTE(TRIM($H616),"/",","),";",",")," ",""),",",""))+1),"Genre di luar daftar",""))),IF($I616="","Nama Channel kosong",""),IF($J616="","Link Channel kosong",IF(ISERROR(SEARCH("youtu",$J616)),"Link Channel bukan youtube","")),IF($K616="","Link Video kosong",IF(ISERROR(SEARCH("youtu",$K616)),"Link Video bukan youtube","")),IF($L616="","Tgl Dibuat kosong",IF(NOT(ISNUMBER($L616)),"Tgl Dibuat bukan tanggal","")),IF(AND($M616&lt;&gt;"",NOT(ISNUMBER($M616))),"Tgl Publish bukan tanggal",""),IF(AND(ISNUMBER($L616),ISNUMBER($M616),$M616&lt;$L616),"Tgl Publish &lt; Tgl buat",""),IF(TRIM($N616)="","Status kosong",IF(ISERROR(MATCH(TRIM($N616),{"Draft","Menunggu Review","Revisi","Terjadwal","Upload","Publish","Published","Batal"},0)),"Status di luar daftar","")))),""))</f>
        <v/>
      </c>
      <c r="S616" s="17">
        <f>IF(AND($A616&lt;&gt;"",$C616&lt;&gt;""),IF(COUNTIFS($A$2:$A$1000,$A616,$C$2:$C$1000,$C616)&gt;1,"DUPLICAT",""),"")</f>
        <v/>
      </c>
    </row>
    <row r="617">
      <c r="A617" s="12" t="n"/>
      <c r="B617" s="12" t="n"/>
      <c r="C617" s="12" t="n"/>
      <c r="D617" s="13" t="n"/>
      <c r="E617" s="12" t="n"/>
      <c r="F617" s="14" t="n"/>
      <c r="G617" s="12" t="n"/>
      <c r="H617" s="12" t="n"/>
      <c r="I617" s="12" t="n"/>
      <c r="J617" s="14" t="n"/>
      <c r="K617" s="14" t="n"/>
      <c r="L617" s="15" t="n"/>
      <c r="M617" s="15" t="n"/>
      <c r="N617" s="12" t="n"/>
      <c r="O617" s="12" t="n"/>
      <c r="P617" s="16">
        <f>IF(AND(ISNUMBER($L617),ISNUMBER($M617)),MAX(0,$M617-$L617),"")</f>
        <v/>
      </c>
      <c r="Q617" s="16">
        <f>IF(ISNUMBER($D617),MAX(0,TODAY()-$D617),"")</f>
        <v/>
      </c>
      <c r="R617" s="14">
        <f>IF(COUNTA($A617:$O617)=0,"",IFERROR(TRIM(TEXTJOIN(" | ",TRUE,IF($A617="","PC kosong",""),IF($C617="","Worker ID kosong",""),IF($D617="","Update Date kosong",IF(NOT(ISNUMBER($D617)),"Update Date bukan tanggal","")),IF($E617="","Song ID YT kosong",""),IF($F617="","Judul kosong",""),IF(TRIM($G617)="","",IF(ISERROR(MATCH(TRIM($G617),{"TuneCore","DistroKid","TooLost","SoundOn","Ditto","Believe","CD Baby","Amuse","Symphonic Distribution","ONErpm","RouteNote","LANDR","Horus Music","Indie"},0)),"Aggregator di luar daftar","")),IF(TRIM($H617)="","Genre kosong",IF((LEN(SUBSTITUTE(SUBSTITUTE(SUBSTITUTE(TRIM($H617),"/",","),";",",")," ",""))-LEN(SUBSTITUTE(SUBSTITUTE(SUBSTITUTE(SUBSTITUTE(TRIM($H617),"/",","),";",","),"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617),"/",","),";",",")," ","")&amp;",")))&lt;&gt;(LEN(SUBSTITUTE(SUBSTITUTE(SUBSTITUTE(TRIM($H617),"/",","),";",",")," ",""))-LEN(SUBSTITUTE(SUBSTITUTE(SUBSTITUTE(SUBSTITUTE(TRIM($H617),"/",","),";",",")," ",""),",",""))+1),"Genre di luar daftar",""))),IF($I617="","Nama Channel kosong",""),IF($J617="","Link Channel kosong",IF(ISERROR(SEARCH("youtu",$J617)),"Link Channel bukan youtube","")),IF($K617="","Link Video kosong",IF(ISERROR(SEARCH("youtu",$K617)),"Link Video bukan youtube","")),IF($L617="","Tgl Dibuat kosong",IF(NOT(ISNUMBER($L617)),"Tgl Dibuat bukan tanggal","")),IF(AND($M617&lt;&gt;"",NOT(ISNUMBER($M617))),"Tgl Publish bukan tanggal",""),IF(AND(ISNUMBER($L617),ISNUMBER($M617),$M617&lt;$L617),"Tgl Publish &lt; Tgl buat",""),IF(TRIM($N617)="","Status kosong",IF(ISERROR(MATCH(TRIM($N617),{"Draft","Menunggu Review","Revisi","Terjadwal","Upload","Publish","Published","Batal"},0)),"Status di luar daftar","")))),""))</f>
        <v/>
      </c>
      <c r="S617" s="12">
        <f>IF(AND($A617&lt;&gt;"",$C617&lt;&gt;""),IF(COUNTIFS($A$2:$A$1000,$A617,$C$2:$C$1000,$C617)&gt;1,"DUPLICAT",""),"")</f>
        <v/>
      </c>
    </row>
    <row r="618">
      <c r="A618" s="17" t="n"/>
      <c r="B618" s="17" t="n"/>
      <c r="C618" s="17" t="n"/>
      <c r="D618" s="18" t="n"/>
      <c r="E618" s="17" t="n"/>
      <c r="F618" s="19" t="n"/>
      <c r="G618" s="17" t="n"/>
      <c r="H618" s="17" t="n"/>
      <c r="I618" s="17" t="n"/>
      <c r="J618" s="19" t="n"/>
      <c r="K618" s="19" t="n"/>
      <c r="L618" s="20" t="n"/>
      <c r="M618" s="20" t="n"/>
      <c r="N618" s="17" t="n"/>
      <c r="O618" s="17" t="n"/>
      <c r="P618" s="21">
        <f>IF(AND(ISNUMBER($L618),ISNUMBER($M618)),MAX(0,$M618-$L618),"")</f>
        <v/>
      </c>
      <c r="Q618" s="21">
        <f>IF(ISNUMBER($D618),MAX(0,TODAY()-$D618),"")</f>
        <v/>
      </c>
      <c r="R618" s="19">
        <f>IF(COUNTA($A618:$O618)=0,"",IFERROR(TRIM(TEXTJOIN(" | ",TRUE,IF($A618="","PC kosong",""),IF($C618="","Worker ID kosong",""),IF($D618="","Update Date kosong",IF(NOT(ISNUMBER($D618)),"Update Date bukan tanggal","")),IF($E618="","Song ID YT kosong",""),IF($F618="","Judul kosong",""),IF(TRIM($G618)="","",IF(ISERROR(MATCH(TRIM($G618),{"TuneCore","DistroKid","TooLost","SoundOn","Ditto","Believe","CD Baby","Amuse","Symphonic Distribution","ONErpm","RouteNote","LANDR","Horus Music","Indie"},0)),"Aggregator di luar daftar","")),IF(TRIM($H618)="","Genre kosong",IF((LEN(SUBSTITUTE(SUBSTITUTE(SUBSTITUTE(TRIM($H618),"/",","),";",",")," ",""))-LEN(SUBSTITUTE(SUBSTITUTE(SUBSTITUTE(SUBSTITUTE(TRIM($H618),"/",","),";",","),"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618),"/",","),";",",")," ","")&amp;",")))&lt;&gt;(LEN(SUBSTITUTE(SUBSTITUTE(SUBSTITUTE(TRIM($H618),"/",","),";",",")," ",""))-LEN(SUBSTITUTE(SUBSTITUTE(SUBSTITUTE(SUBSTITUTE(TRIM($H618),"/",","),";",",")," ",""),",",""))+1),"Genre di luar daftar",""))),IF($I618="","Nama Channel kosong",""),IF($J618="","Link Channel kosong",IF(ISERROR(SEARCH("youtu",$J618)),"Link Channel bukan youtube","")),IF($K618="","Link Video kosong",IF(ISERROR(SEARCH("youtu",$K618)),"Link Video bukan youtube","")),IF($L618="","Tgl Dibuat kosong",IF(NOT(ISNUMBER($L618)),"Tgl Dibuat bukan tanggal","")),IF(AND($M618&lt;&gt;"",NOT(ISNUMBER($M618))),"Tgl Publish bukan tanggal",""),IF(AND(ISNUMBER($L618),ISNUMBER($M618),$M618&lt;$L618),"Tgl Publish &lt; Tgl buat",""),IF(TRIM($N618)="","Status kosong",IF(ISERROR(MATCH(TRIM($N618),{"Draft","Menunggu Review","Revisi","Terjadwal","Upload","Publish","Published","Batal"},0)),"Status di luar daftar","")))),""))</f>
        <v/>
      </c>
      <c r="S618" s="17">
        <f>IF(AND($A618&lt;&gt;"",$C618&lt;&gt;""),IF(COUNTIFS($A$2:$A$1000,$A618,$C$2:$C$1000,$C618)&gt;1,"DUPLICAT",""),"")</f>
        <v/>
      </c>
    </row>
    <row r="619">
      <c r="A619" s="12" t="n"/>
      <c r="B619" s="12" t="n"/>
      <c r="C619" s="12" t="n"/>
      <c r="D619" s="13" t="n"/>
      <c r="E619" s="12" t="n"/>
      <c r="F619" s="14" t="n"/>
      <c r="G619" s="12" t="n"/>
      <c r="H619" s="12" t="n"/>
      <c r="I619" s="12" t="n"/>
      <c r="J619" s="14" t="n"/>
      <c r="K619" s="14" t="n"/>
      <c r="L619" s="15" t="n"/>
      <c r="M619" s="15" t="n"/>
      <c r="N619" s="12" t="n"/>
      <c r="O619" s="12" t="n"/>
      <c r="P619" s="16">
        <f>IF(AND(ISNUMBER($L619),ISNUMBER($M619)),MAX(0,$M619-$L619),"")</f>
        <v/>
      </c>
      <c r="Q619" s="16">
        <f>IF(ISNUMBER($D619),MAX(0,TODAY()-$D619),"")</f>
        <v/>
      </c>
      <c r="R619" s="14">
        <f>IF(COUNTA($A619:$O619)=0,"",IFERROR(TRIM(TEXTJOIN(" | ",TRUE,IF($A619="","PC kosong",""),IF($C619="","Worker ID kosong",""),IF($D619="","Update Date kosong",IF(NOT(ISNUMBER($D619)),"Update Date bukan tanggal","")),IF($E619="","Song ID YT kosong",""),IF($F619="","Judul kosong",""),IF(TRIM($G619)="","",IF(ISERROR(MATCH(TRIM($G619),{"TuneCore","DistroKid","TooLost","SoundOn","Ditto","Believe","CD Baby","Amuse","Symphonic Distribution","ONErpm","RouteNote","LANDR","Horus Music","Indie"},0)),"Aggregator di luar daftar","")),IF(TRIM($H619)="","Genre kosong",IF((LEN(SUBSTITUTE(SUBSTITUTE(SUBSTITUTE(TRIM($H619),"/",","),";",",")," ",""))-LEN(SUBSTITUTE(SUBSTITUTE(SUBSTITUTE(SUBSTITUTE(TRIM($H619),"/",","),";",","),"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619),"/",","),";",",")," ","")&amp;",")))&lt;&gt;(LEN(SUBSTITUTE(SUBSTITUTE(SUBSTITUTE(TRIM($H619),"/",","),";",",")," ",""))-LEN(SUBSTITUTE(SUBSTITUTE(SUBSTITUTE(SUBSTITUTE(TRIM($H619),"/",","),";",",")," ",""),",",""))+1),"Genre di luar daftar",""))),IF($I619="","Nama Channel kosong",""),IF($J619="","Link Channel kosong",IF(ISERROR(SEARCH("youtu",$J619)),"Link Channel bukan youtube","")),IF($K619="","Link Video kosong",IF(ISERROR(SEARCH("youtu",$K619)),"Link Video bukan youtube","")),IF($L619="","Tgl Dibuat kosong",IF(NOT(ISNUMBER($L619)),"Tgl Dibuat bukan tanggal","")),IF(AND($M619&lt;&gt;"",NOT(ISNUMBER($M619))),"Tgl Publish bukan tanggal",""),IF(AND(ISNUMBER($L619),ISNUMBER($M619),$M619&lt;$L619),"Tgl Publish &lt; Tgl buat",""),IF(TRIM($N619)="","Status kosong",IF(ISERROR(MATCH(TRIM($N619),{"Draft","Menunggu Review","Revisi","Terjadwal","Upload","Publish","Published","Batal"},0)),"Status di luar daftar","")))),""))</f>
        <v/>
      </c>
      <c r="S619" s="12">
        <f>IF(AND($A619&lt;&gt;"",$C619&lt;&gt;""),IF(COUNTIFS($A$2:$A$1000,$A619,$C$2:$C$1000,$C619)&gt;1,"DUPLICAT",""),"")</f>
        <v/>
      </c>
    </row>
    <row r="620">
      <c r="A620" s="17" t="n"/>
      <c r="B620" s="17" t="n"/>
      <c r="C620" s="17" t="n"/>
      <c r="D620" s="18" t="n"/>
      <c r="E620" s="17" t="n"/>
      <c r="F620" s="19" t="n"/>
      <c r="G620" s="17" t="n"/>
      <c r="H620" s="17" t="n"/>
      <c r="I620" s="17" t="n"/>
      <c r="J620" s="19" t="n"/>
      <c r="K620" s="19" t="n"/>
      <c r="L620" s="20" t="n"/>
      <c r="M620" s="20" t="n"/>
      <c r="N620" s="17" t="n"/>
      <c r="O620" s="17" t="n"/>
      <c r="P620" s="21">
        <f>IF(AND(ISNUMBER($L620),ISNUMBER($M620)),MAX(0,$M620-$L620),"")</f>
        <v/>
      </c>
      <c r="Q620" s="21">
        <f>IF(ISNUMBER($D620),MAX(0,TODAY()-$D620),"")</f>
        <v/>
      </c>
      <c r="R620" s="19">
        <f>IF(COUNTA($A620:$O620)=0,"",IFERROR(TRIM(TEXTJOIN(" | ",TRUE,IF($A620="","PC kosong",""),IF($C620="","Worker ID kosong",""),IF($D620="","Update Date kosong",IF(NOT(ISNUMBER($D620)),"Update Date bukan tanggal","")),IF($E620="","Song ID YT kosong",""),IF($F620="","Judul kosong",""),IF(TRIM($G620)="","",IF(ISERROR(MATCH(TRIM($G620),{"TuneCore","DistroKid","TooLost","SoundOn","Ditto","Believe","CD Baby","Amuse","Symphonic Distribution","ONErpm","RouteNote","LANDR","Horus Music","Indie"},0)),"Aggregator di luar daftar","")),IF(TRIM($H620)="","Genre kosong",IF((LEN(SUBSTITUTE(SUBSTITUTE(SUBSTITUTE(TRIM($H620),"/",","),";",",")," ",""))-LEN(SUBSTITUTE(SUBSTITUTE(SUBSTITUTE(SUBSTITUTE(TRIM($H620),"/",","),";",","),"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620),"/",","),";",",")," ","")&amp;",")))&lt;&gt;(LEN(SUBSTITUTE(SUBSTITUTE(SUBSTITUTE(TRIM($H620),"/",","),";",",")," ",""))-LEN(SUBSTITUTE(SUBSTITUTE(SUBSTITUTE(SUBSTITUTE(TRIM($H620),"/",","),";",",")," ",""),",",""))+1),"Genre di luar daftar",""))),IF($I620="","Nama Channel kosong",""),IF($J620="","Link Channel kosong",IF(ISERROR(SEARCH("youtu",$J620)),"Link Channel bukan youtube","")),IF($K620="","Link Video kosong",IF(ISERROR(SEARCH("youtu",$K620)),"Link Video bukan youtube","")),IF($L620="","Tgl Dibuat kosong",IF(NOT(ISNUMBER($L620)),"Tgl Dibuat bukan tanggal","")),IF(AND($M620&lt;&gt;"",NOT(ISNUMBER($M620))),"Tgl Publish bukan tanggal",""),IF(AND(ISNUMBER($L620),ISNUMBER($M620),$M620&lt;$L620),"Tgl Publish &lt; Tgl buat",""),IF(TRIM($N620)="","Status kosong",IF(ISERROR(MATCH(TRIM($N620),{"Draft","Menunggu Review","Revisi","Terjadwal","Upload","Publish","Published","Batal"},0)),"Status di luar daftar","")))),""))</f>
        <v/>
      </c>
      <c r="S620" s="17">
        <f>IF(AND($A620&lt;&gt;"",$C620&lt;&gt;""),IF(COUNTIFS($A$2:$A$1000,$A620,$C$2:$C$1000,$C620)&gt;1,"DUPLICAT",""),"")</f>
        <v/>
      </c>
    </row>
    <row r="621">
      <c r="A621" s="12" t="n"/>
      <c r="B621" s="12" t="n"/>
      <c r="C621" s="12" t="n"/>
      <c r="D621" s="13" t="n"/>
      <c r="E621" s="12" t="n"/>
      <c r="F621" s="14" t="n"/>
      <c r="G621" s="12" t="n"/>
      <c r="H621" s="12" t="n"/>
      <c r="I621" s="12" t="n"/>
      <c r="J621" s="14" t="n"/>
      <c r="K621" s="14" t="n"/>
      <c r="L621" s="15" t="n"/>
      <c r="M621" s="15" t="n"/>
      <c r="N621" s="12" t="n"/>
      <c r="O621" s="12" t="n"/>
      <c r="P621" s="16">
        <f>IF(AND(ISNUMBER($L621),ISNUMBER($M621)),MAX(0,$M621-$L621),"")</f>
        <v/>
      </c>
      <c r="Q621" s="16">
        <f>IF(ISNUMBER($D621),MAX(0,TODAY()-$D621),"")</f>
        <v/>
      </c>
      <c r="R621" s="14">
        <f>IF(COUNTA($A621:$O621)=0,"",IFERROR(TRIM(TEXTJOIN(" | ",TRUE,IF($A621="","PC kosong",""),IF($C621="","Worker ID kosong",""),IF($D621="","Update Date kosong",IF(NOT(ISNUMBER($D621)),"Update Date bukan tanggal","")),IF($E621="","Song ID YT kosong",""),IF($F621="","Judul kosong",""),IF(TRIM($G621)="","",IF(ISERROR(MATCH(TRIM($G621),{"TuneCore","DistroKid","TooLost","SoundOn","Ditto","Believe","CD Baby","Amuse","Symphonic Distribution","ONErpm","RouteNote","LANDR","Horus Music","Indie"},0)),"Aggregator di luar daftar","")),IF(TRIM($H621)="","Genre kosong",IF((LEN(SUBSTITUTE(SUBSTITUTE(SUBSTITUTE(TRIM($H621),"/",","),";",",")," ",""))-LEN(SUBSTITUTE(SUBSTITUTE(SUBSTITUTE(SUBSTITUTE(TRIM($H621),"/",","),";",","),"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621),"/",","),";",",")," ","")&amp;",")))&lt;&gt;(LEN(SUBSTITUTE(SUBSTITUTE(SUBSTITUTE(TRIM($H621),"/",","),";",",")," ",""))-LEN(SUBSTITUTE(SUBSTITUTE(SUBSTITUTE(SUBSTITUTE(TRIM($H621),"/",","),";",",")," ",""),",",""))+1),"Genre di luar daftar",""))),IF($I621="","Nama Channel kosong",""),IF($J621="","Link Channel kosong",IF(ISERROR(SEARCH("youtu",$J621)),"Link Channel bukan youtube","")),IF($K621="","Link Video kosong",IF(ISERROR(SEARCH("youtu",$K621)),"Link Video bukan youtube","")),IF($L621="","Tgl Dibuat kosong",IF(NOT(ISNUMBER($L621)),"Tgl Dibuat bukan tanggal","")),IF(AND($M621&lt;&gt;"",NOT(ISNUMBER($M621))),"Tgl Publish bukan tanggal",""),IF(AND(ISNUMBER($L621),ISNUMBER($M621),$M621&lt;$L621),"Tgl Publish &lt; Tgl buat",""),IF(TRIM($N621)="","Status kosong",IF(ISERROR(MATCH(TRIM($N621),{"Draft","Menunggu Review","Revisi","Terjadwal","Upload","Publish","Published","Batal"},0)),"Status di luar daftar","")))),""))</f>
        <v/>
      </c>
      <c r="S621" s="12">
        <f>IF(AND($A621&lt;&gt;"",$C621&lt;&gt;""),IF(COUNTIFS($A$2:$A$1000,$A621,$C$2:$C$1000,$C621)&gt;1,"DUPLICAT",""),"")</f>
        <v/>
      </c>
    </row>
    <row r="622">
      <c r="A622" s="17" t="n"/>
      <c r="B622" s="17" t="n"/>
      <c r="C622" s="17" t="n"/>
      <c r="D622" s="18" t="n"/>
      <c r="E622" s="17" t="n"/>
      <c r="F622" s="19" t="n"/>
      <c r="G622" s="17" t="n"/>
      <c r="H622" s="17" t="n"/>
      <c r="I622" s="17" t="n"/>
      <c r="J622" s="19" t="n"/>
      <c r="K622" s="19" t="n"/>
      <c r="L622" s="20" t="n"/>
      <c r="M622" s="20" t="n"/>
      <c r="N622" s="17" t="n"/>
      <c r="O622" s="17" t="n"/>
      <c r="P622" s="21">
        <f>IF(AND(ISNUMBER($L622),ISNUMBER($M622)),MAX(0,$M622-$L622),"")</f>
        <v/>
      </c>
      <c r="Q622" s="21">
        <f>IF(ISNUMBER($D622),MAX(0,TODAY()-$D622),"")</f>
        <v/>
      </c>
      <c r="R622" s="19">
        <f>IF(COUNTA($A622:$O622)=0,"",IFERROR(TRIM(TEXTJOIN(" | ",TRUE,IF($A622="","PC kosong",""),IF($C622="","Worker ID kosong",""),IF($D622="","Update Date kosong",IF(NOT(ISNUMBER($D622)),"Update Date bukan tanggal","")),IF($E622="","Song ID YT kosong",""),IF($F622="","Judul kosong",""),IF(TRIM($G622)="","",IF(ISERROR(MATCH(TRIM($G622),{"TuneCore","DistroKid","TooLost","SoundOn","Ditto","Believe","CD Baby","Amuse","Symphonic Distribution","ONErpm","RouteNote","LANDR","Horus Music","Indie"},0)),"Aggregator di luar daftar","")),IF(TRIM($H622)="","Genre kosong",IF((LEN(SUBSTITUTE(SUBSTITUTE(SUBSTITUTE(TRIM($H622),"/",","),";",",")," ",""))-LEN(SUBSTITUTE(SUBSTITUTE(SUBSTITUTE(SUBSTITUTE(TRIM($H622),"/",","),";",","),"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622),"/",","),";",",")," ","")&amp;",")))&lt;&gt;(LEN(SUBSTITUTE(SUBSTITUTE(SUBSTITUTE(TRIM($H622),"/",","),";",",")," ",""))-LEN(SUBSTITUTE(SUBSTITUTE(SUBSTITUTE(SUBSTITUTE(TRIM($H622),"/",","),";",",")," ",""),",",""))+1),"Genre di luar daftar",""))),IF($I622="","Nama Channel kosong",""),IF($J622="","Link Channel kosong",IF(ISERROR(SEARCH("youtu",$J622)),"Link Channel bukan youtube","")),IF($K622="","Link Video kosong",IF(ISERROR(SEARCH("youtu",$K622)),"Link Video bukan youtube","")),IF($L622="","Tgl Dibuat kosong",IF(NOT(ISNUMBER($L622)),"Tgl Dibuat bukan tanggal","")),IF(AND($M622&lt;&gt;"",NOT(ISNUMBER($M622))),"Tgl Publish bukan tanggal",""),IF(AND(ISNUMBER($L622),ISNUMBER($M622),$M622&lt;$L622),"Tgl Publish &lt; Tgl buat",""),IF(TRIM($N622)="","Status kosong",IF(ISERROR(MATCH(TRIM($N622),{"Draft","Menunggu Review","Revisi","Terjadwal","Upload","Publish","Published","Batal"},0)),"Status di luar daftar","")))),""))</f>
        <v/>
      </c>
      <c r="S622" s="17">
        <f>IF(AND($A622&lt;&gt;"",$C622&lt;&gt;""),IF(COUNTIFS($A$2:$A$1000,$A622,$C$2:$C$1000,$C622)&gt;1,"DUPLICAT",""),"")</f>
        <v/>
      </c>
    </row>
    <row r="623">
      <c r="A623" s="12" t="n"/>
      <c r="B623" s="12" t="n"/>
      <c r="C623" s="12" t="n"/>
      <c r="D623" s="13" t="n"/>
      <c r="E623" s="12" t="n"/>
      <c r="F623" s="14" t="n"/>
      <c r="G623" s="12" t="n"/>
      <c r="H623" s="12" t="n"/>
      <c r="I623" s="12" t="n"/>
      <c r="J623" s="14" t="n"/>
      <c r="K623" s="14" t="n"/>
      <c r="L623" s="15" t="n"/>
      <c r="M623" s="15" t="n"/>
      <c r="N623" s="12" t="n"/>
      <c r="O623" s="12" t="n"/>
      <c r="P623" s="16">
        <f>IF(AND(ISNUMBER($L623),ISNUMBER($M623)),MAX(0,$M623-$L623),"")</f>
        <v/>
      </c>
      <c r="Q623" s="16">
        <f>IF(ISNUMBER($D623),MAX(0,TODAY()-$D623),"")</f>
        <v/>
      </c>
      <c r="R623" s="14">
        <f>IF(COUNTA($A623:$O623)=0,"",IFERROR(TRIM(TEXTJOIN(" | ",TRUE,IF($A623="","PC kosong",""),IF($C623="","Worker ID kosong",""),IF($D623="","Update Date kosong",IF(NOT(ISNUMBER($D623)),"Update Date bukan tanggal","")),IF($E623="","Song ID YT kosong",""),IF($F623="","Judul kosong",""),IF(TRIM($G623)="","",IF(ISERROR(MATCH(TRIM($G623),{"TuneCore","DistroKid","TooLost","SoundOn","Ditto","Believe","CD Baby","Amuse","Symphonic Distribution","ONErpm","RouteNote","LANDR","Horus Music","Indie"},0)),"Aggregator di luar daftar","")),IF(TRIM($H623)="","Genre kosong",IF((LEN(SUBSTITUTE(SUBSTITUTE(SUBSTITUTE(TRIM($H623),"/",","),";",",")," ",""))-LEN(SUBSTITUTE(SUBSTITUTE(SUBSTITUTE(SUBSTITUTE(TRIM($H623),"/",","),";",","),"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623),"/",","),";",",")," ","")&amp;",")))&lt;&gt;(LEN(SUBSTITUTE(SUBSTITUTE(SUBSTITUTE(TRIM($H623),"/",","),";",",")," ",""))-LEN(SUBSTITUTE(SUBSTITUTE(SUBSTITUTE(SUBSTITUTE(TRIM($H623),"/",","),";",",")," ",""),",",""))+1),"Genre di luar daftar",""))),IF($I623="","Nama Channel kosong",""),IF($J623="","Link Channel kosong",IF(ISERROR(SEARCH("youtu",$J623)),"Link Channel bukan youtube","")),IF($K623="","Link Video kosong",IF(ISERROR(SEARCH("youtu",$K623)),"Link Video bukan youtube","")),IF($L623="","Tgl Dibuat kosong",IF(NOT(ISNUMBER($L623)),"Tgl Dibuat bukan tanggal","")),IF(AND($M623&lt;&gt;"",NOT(ISNUMBER($M623))),"Tgl Publish bukan tanggal",""),IF(AND(ISNUMBER($L623),ISNUMBER($M623),$M623&lt;$L623),"Tgl Publish &lt; Tgl buat",""),IF(TRIM($N623)="","Status kosong",IF(ISERROR(MATCH(TRIM($N623),{"Draft","Menunggu Review","Revisi","Terjadwal","Upload","Publish","Published","Batal"},0)),"Status di luar daftar","")))),""))</f>
        <v/>
      </c>
      <c r="S623" s="12">
        <f>IF(AND($A623&lt;&gt;"",$C623&lt;&gt;""),IF(COUNTIFS($A$2:$A$1000,$A623,$C$2:$C$1000,$C623)&gt;1,"DUPLICAT",""),"")</f>
        <v/>
      </c>
    </row>
    <row r="624">
      <c r="A624" s="17" t="n"/>
      <c r="B624" s="17" t="n"/>
      <c r="C624" s="17" t="n"/>
      <c r="D624" s="18" t="n"/>
      <c r="E624" s="17" t="n"/>
      <c r="F624" s="19" t="n"/>
      <c r="G624" s="17" t="n"/>
      <c r="H624" s="17" t="n"/>
      <c r="I624" s="17" t="n"/>
      <c r="J624" s="19" t="n"/>
      <c r="K624" s="19" t="n"/>
      <c r="L624" s="20" t="n"/>
      <c r="M624" s="20" t="n"/>
      <c r="N624" s="17" t="n"/>
      <c r="O624" s="17" t="n"/>
      <c r="P624" s="21">
        <f>IF(AND(ISNUMBER($L624),ISNUMBER($M624)),MAX(0,$M624-$L624),"")</f>
        <v/>
      </c>
      <c r="Q624" s="21">
        <f>IF(ISNUMBER($D624),MAX(0,TODAY()-$D624),"")</f>
        <v/>
      </c>
      <c r="R624" s="19">
        <f>IF(COUNTA($A624:$O624)=0,"",IFERROR(TRIM(TEXTJOIN(" | ",TRUE,IF($A624="","PC kosong",""),IF($C624="","Worker ID kosong",""),IF($D624="","Update Date kosong",IF(NOT(ISNUMBER($D624)),"Update Date bukan tanggal","")),IF($E624="","Song ID YT kosong",""),IF($F624="","Judul kosong",""),IF(TRIM($G624)="","",IF(ISERROR(MATCH(TRIM($G624),{"TuneCore","DistroKid","TooLost","SoundOn","Ditto","Believe","CD Baby","Amuse","Symphonic Distribution","ONErpm","RouteNote","LANDR","Horus Music","Indie"},0)),"Aggregator di luar daftar","")),IF(TRIM($H624)="","Genre kosong",IF((LEN(SUBSTITUTE(SUBSTITUTE(SUBSTITUTE(TRIM($H624),"/",","),";",",")," ",""))-LEN(SUBSTITUTE(SUBSTITUTE(SUBSTITUTE(SUBSTITUTE(TRIM($H624),"/",","),";",","),"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624),"/",","),";",",")," ","")&amp;",")))&lt;&gt;(LEN(SUBSTITUTE(SUBSTITUTE(SUBSTITUTE(TRIM($H624),"/",","),";",",")," ",""))-LEN(SUBSTITUTE(SUBSTITUTE(SUBSTITUTE(SUBSTITUTE(TRIM($H624),"/",","),";",",")," ",""),",",""))+1),"Genre di luar daftar",""))),IF($I624="","Nama Channel kosong",""),IF($J624="","Link Channel kosong",IF(ISERROR(SEARCH("youtu",$J624)),"Link Channel bukan youtube","")),IF($K624="","Link Video kosong",IF(ISERROR(SEARCH("youtu",$K624)),"Link Video bukan youtube","")),IF($L624="","Tgl Dibuat kosong",IF(NOT(ISNUMBER($L624)),"Tgl Dibuat bukan tanggal","")),IF(AND($M624&lt;&gt;"",NOT(ISNUMBER($M624))),"Tgl Publish bukan tanggal",""),IF(AND(ISNUMBER($L624),ISNUMBER($M624),$M624&lt;$L624),"Tgl Publish &lt; Tgl buat",""),IF(TRIM($N624)="","Status kosong",IF(ISERROR(MATCH(TRIM($N624),{"Draft","Menunggu Review","Revisi","Terjadwal","Upload","Publish","Published","Batal"},0)),"Status di luar daftar","")))),""))</f>
        <v/>
      </c>
      <c r="S624" s="17">
        <f>IF(AND($A624&lt;&gt;"",$C624&lt;&gt;""),IF(COUNTIFS($A$2:$A$1000,$A624,$C$2:$C$1000,$C624)&gt;1,"DUPLICAT",""),"")</f>
        <v/>
      </c>
    </row>
    <row r="625">
      <c r="A625" s="12" t="n"/>
      <c r="B625" s="12" t="n"/>
      <c r="C625" s="12" t="n"/>
      <c r="D625" s="13" t="n"/>
      <c r="E625" s="12" t="n"/>
      <c r="F625" s="14" t="n"/>
      <c r="G625" s="12" t="n"/>
      <c r="H625" s="12" t="n"/>
      <c r="I625" s="12" t="n"/>
      <c r="J625" s="14" t="n"/>
      <c r="K625" s="14" t="n"/>
      <c r="L625" s="15" t="n"/>
      <c r="M625" s="15" t="n"/>
      <c r="N625" s="12" t="n"/>
      <c r="O625" s="12" t="n"/>
      <c r="P625" s="16">
        <f>IF(AND(ISNUMBER($L625),ISNUMBER($M625)),MAX(0,$M625-$L625),"")</f>
        <v/>
      </c>
      <c r="Q625" s="16">
        <f>IF(ISNUMBER($D625),MAX(0,TODAY()-$D625),"")</f>
        <v/>
      </c>
      <c r="R625" s="14">
        <f>IF(COUNTA($A625:$O625)=0,"",IFERROR(TRIM(TEXTJOIN(" | ",TRUE,IF($A625="","PC kosong",""),IF($C625="","Worker ID kosong",""),IF($D625="","Update Date kosong",IF(NOT(ISNUMBER($D625)),"Update Date bukan tanggal","")),IF($E625="","Song ID YT kosong",""),IF($F625="","Judul kosong",""),IF(TRIM($G625)="","",IF(ISERROR(MATCH(TRIM($G625),{"TuneCore","DistroKid","TooLost","SoundOn","Ditto","Believe","CD Baby","Amuse","Symphonic Distribution","ONErpm","RouteNote","LANDR","Horus Music","Indie"},0)),"Aggregator di luar daftar","")),IF(TRIM($H625)="","Genre kosong",IF((LEN(SUBSTITUTE(SUBSTITUTE(SUBSTITUTE(TRIM($H625),"/",","),";",",")," ",""))-LEN(SUBSTITUTE(SUBSTITUTE(SUBSTITUTE(SUBSTITUTE(TRIM($H625),"/",","),";",","),"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625),"/",","),";",",")," ","")&amp;",")))&lt;&gt;(LEN(SUBSTITUTE(SUBSTITUTE(SUBSTITUTE(TRIM($H625),"/",","),";",",")," ",""))-LEN(SUBSTITUTE(SUBSTITUTE(SUBSTITUTE(SUBSTITUTE(TRIM($H625),"/",","),";",",")," ",""),",",""))+1),"Genre di luar daftar",""))),IF($I625="","Nama Channel kosong",""),IF($J625="","Link Channel kosong",IF(ISERROR(SEARCH("youtu",$J625)),"Link Channel bukan youtube","")),IF($K625="","Link Video kosong",IF(ISERROR(SEARCH("youtu",$K625)),"Link Video bukan youtube","")),IF($L625="","Tgl Dibuat kosong",IF(NOT(ISNUMBER($L625)),"Tgl Dibuat bukan tanggal","")),IF(AND($M625&lt;&gt;"",NOT(ISNUMBER($M625))),"Tgl Publish bukan tanggal",""),IF(AND(ISNUMBER($L625),ISNUMBER($M625),$M625&lt;$L625),"Tgl Publish &lt; Tgl buat",""),IF(TRIM($N625)="","Status kosong",IF(ISERROR(MATCH(TRIM($N625),{"Draft","Menunggu Review","Revisi","Terjadwal","Upload","Publish","Published","Batal"},0)),"Status di luar daftar","")))),""))</f>
        <v/>
      </c>
      <c r="S625" s="12">
        <f>IF(AND($A625&lt;&gt;"",$C625&lt;&gt;""),IF(COUNTIFS($A$2:$A$1000,$A625,$C$2:$C$1000,$C625)&gt;1,"DUPLICAT",""),"")</f>
        <v/>
      </c>
    </row>
    <row r="626">
      <c r="A626" s="17" t="n"/>
      <c r="B626" s="17" t="n"/>
      <c r="C626" s="17" t="n"/>
      <c r="D626" s="18" t="n"/>
      <c r="E626" s="17" t="n"/>
      <c r="F626" s="19" t="n"/>
      <c r="G626" s="17" t="n"/>
      <c r="H626" s="17" t="n"/>
      <c r="I626" s="17" t="n"/>
      <c r="J626" s="19" t="n"/>
      <c r="K626" s="19" t="n"/>
      <c r="L626" s="20" t="n"/>
      <c r="M626" s="20" t="n"/>
      <c r="N626" s="17" t="n"/>
      <c r="O626" s="17" t="n"/>
      <c r="P626" s="21">
        <f>IF(AND(ISNUMBER($L626),ISNUMBER($M626)),MAX(0,$M626-$L626),"")</f>
        <v/>
      </c>
      <c r="Q626" s="21">
        <f>IF(ISNUMBER($D626),MAX(0,TODAY()-$D626),"")</f>
        <v/>
      </c>
      <c r="R626" s="19">
        <f>IF(COUNTA($A626:$O626)=0,"",IFERROR(TRIM(TEXTJOIN(" | ",TRUE,IF($A626="","PC kosong",""),IF($C626="","Worker ID kosong",""),IF($D626="","Update Date kosong",IF(NOT(ISNUMBER($D626)),"Update Date bukan tanggal","")),IF($E626="","Song ID YT kosong",""),IF($F626="","Judul kosong",""),IF(TRIM($G626)="","",IF(ISERROR(MATCH(TRIM($G626),{"TuneCore","DistroKid","TooLost","SoundOn","Ditto","Believe","CD Baby","Amuse","Symphonic Distribution","ONErpm","RouteNote","LANDR","Horus Music","Indie"},0)),"Aggregator di luar daftar","")),IF(TRIM($H626)="","Genre kosong",IF((LEN(SUBSTITUTE(SUBSTITUTE(SUBSTITUTE(TRIM($H626),"/",","),";",",")," ",""))-LEN(SUBSTITUTE(SUBSTITUTE(SUBSTITUTE(SUBSTITUTE(TRIM($H626),"/",","),";",","),"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626),"/",","),";",",")," ","")&amp;",")))&lt;&gt;(LEN(SUBSTITUTE(SUBSTITUTE(SUBSTITUTE(TRIM($H626),"/",","),";",",")," ",""))-LEN(SUBSTITUTE(SUBSTITUTE(SUBSTITUTE(SUBSTITUTE(TRIM($H626),"/",","),";",",")," ",""),",",""))+1),"Genre di luar daftar",""))),IF($I626="","Nama Channel kosong",""),IF($J626="","Link Channel kosong",IF(ISERROR(SEARCH("youtu",$J626)),"Link Channel bukan youtube","")),IF($K626="","Link Video kosong",IF(ISERROR(SEARCH("youtu",$K626)),"Link Video bukan youtube","")),IF($L626="","Tgl Dibuat kosong",IF(NOT(ISNUMBER($L626)),"Tgl Dibuat bukan tanggal","")),IF(AND($M626&lt;&gt;"",NOT(ISNUMBER($M626))),"Tgl Publish bukan tanggal",""),IF(AND(ISNUMBER($L626),ISNUMBER($M626),$M626&lt;$L626),"Tgl Publish &lt; Tgl buat",""),IF(TRIM($N626)="","Status kosong",IF(ISERROR(MATCH(TRIM($N626),{"Draft","Menunggu Review","Revisi","Terjadwal","Upload","Publish","Published","Batal"},0)),"Status di luar daftar","")))),""))</f>
        <v/>
      </c>
      <c r="S626" s="17">
        <f>IF(AND($A626&lt;&gt;"",$C626&lt;&gt;""),IF(COUNTIFS($A$2:$A$1000,$A626,$C$2:$C$1000,$C626)&gt;1,"DUPLICAT",""),"")</f>
        <v/>
      </c>
    </row>
    <row r="627">
      <c r="A627" s="12" t="n"/>
      <c r="B627" s="12" t="n"/>
      <c r="C627" s="12" t="n"/>
      <c r="D627" s="13" t="n"/>
      <c r="E627" s="12" t="n"/>
      <c r="F627" s="14" t="n"/>
      <c r="G627" s="12" t="n"/>
      <c r="H627" s="12" t="n"/>
      <c r="I627" s="12" t="n"/>
      <c r="J627" s="14" t="n"/>
      <c r="K627" s="14" t="n"/>
      <c r="L627" s="15" t="n"/>
      <c r="M627" s="15" t="n"/>
      <c r="N627" s="12" t="n"/>
      <c r="O627" s="12" t="n"/>
      <c r="P627" s="16">
        <f>IF(AND(ISNUMBER($L627),ISNUMBER($M627)),MAX(0,$M627-$L627),"")</f>
        <v/>
      </c>
      <c r="Q627" s="16">
        <f>IF(ISNUMBER($D627),MAX(0,TODAY()-$D627),"")</f>
        <v/>
      </c>
      <c r="R627" s="14">
        <f>IF(COUNTA($A627:$O627)=0,"",IFERROR(TRIM(TEXTJOIN(" | ",TRUE,IF($A627="","PC kosong",""),IF($C627="","Worker ID kosong",""),IF($D627="","Update Date kosong",IF(NOT(ISNUMBER($D627)),"Update Date bukan tanggal","")),IF($E627="","Song ID YT kosong",""),IF($F627="","Judul kosong",""),IF(TRIM($G627)="","",IF(ISERROR(MATCH(TRIM($G627),{"TuneCore","DistroKid","TooLost","SoundOn","Ditto","Believe","CD Baby","Amuse","Symphonic Distribution","ONErpm","RouteNote","LANDR","Horus Music","Indie"},0)),"Aggregator di luar daftar","")),IF(TRIM($H627)="","Genre kosong",IF((LEN(SUBSTITUTE(SUBSTITUTE(SUBSTITUTE(TRIM($H627),"/",","),";",",")," ",""))-LEN(SUBSTITUTE(SUBSTITUTE(SUBSTITUTE(SUBSTITUTE(TRIM($H627),"/",","),";",","),"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627),"/",","),";",",")," ","")&amp;",")))&lt;&gt;(LEN(SUBSTITUTE(SUBSTITUTE(SUBSTITUTE(TRIM($H627),"/",","),";",",")," ",""))-LEN(SUBSTITUTE(SUBSTITUTE(SUBSTITUTE(SUBSTITUTE(TRIM($H627),"/",","),";",",")," ",""),",",""))+1),"Genre di luar daftar",""))),IF($I627="","Nama Channel kosong",""),IF($J627="","Link Channel kosong",IF(ISERROR(SEARCH("youtu",$J627)),"Link Channel bukan youtube","")),IF($K627="","Link Video kosong",IF(ISERROR(SEARCH("youtu",$K627)),"Link Video bukan youtube","")),IF($L627="","Tgl Dibuat kosong",IF(NOT(ISNUMBER($L627)),"Tgl Dibuat bukan tanggal","")),IF(AND($M627&lt;&gt;"",NOT(ISNUMBER($M627))),"Tgl Publish bukan tanggal",""),IF(AND(ISNUMBER($L627),ISNUMBER($M627),$M627&lt;$L627),"Tgl Publish &lt; Tgl buat",""),IF(TRIM($N627)="","Status kosong",IF(ISERROR(MATCH(TRIM($N627),{"Draft","Menunggu Review","Revisi","Terjadwal","Upload","Publish","Published","Batal"},0)),"Status di luar daftar","")))),""))</f>
        <v/>
      </c>
      <c r="S627" s="12">
        <f>IF(AND($A627&lt;&gt;"",$C627&lt;&gt;""),IF(COUNTIFS($A$2:$A$1000,$A627,$C$2:$C$1000,$C627)&gt;1,"DUPLICAT",""),"")</f>
        <v/>
      </c>
    </row>
    <row r="628">
      <c r="A628" s="17" t="n"/>
      <c r="B628" s="17" t="n"/>
      <c r="C628" s="17" t="n"/>
      <c r="D628" s="18" t="n"/>
      <c r="E628" s="17" t="n"/>
      <c r="F628" s="19" t="n"/>
      <c r="G628" s="17" t="n"/>
      <c r="H628" s="17" t="n"/>
      <c r="I628" s="17" t="n"/>
      <c r="J628" s="19" t="n"/>
      <c r="K628" s="19" t="n"/>
      <c r="L628" s="20" t="n"/>
      <c r="M628" s="20" t="n"/>
      <c r="N628" s="17" t="n"/>
      <c r="O628" s="17" t="n"/>
      <c r="P628" s="21">
        <f>IF(AND(ISNUMBER($L628),ISNUMBER($M628)),MAX(0,$M628-$L628),"")</f>
        <v/>
      </c>
      <c r="Q628" s="21">
        <f>IF(ISNUMBER($D628),MAX(0,TODAY()-$D628),"")</f>
        <v/>
      </c>
      <c r="R628" s="19">
        <f>IF(COUNTA($A628:$O628)=0,"",IFERROR(TRIM(TEXTJOIN(" | ",TRUE,IF($A628="","PC kosong",""),IF($C628="","Worker ID kosong",""),IF($D628="","Update Date kosong",IF(NOT(ISNUMBER($D628)),"Update Date bukan tanggal","")),IF($E628="","Song ID YT kosong",""),IF($F628="","Judul kosong",""),IF(TRIM($G628)="","",IF(ISERROR(MATCH(TRIM($G628),{"TuneCore","DistroKid","TooLost","SoundOn","Ditto","Believe","CD Baby","Amuse","Symphonic Distribution","ONErpm","RouteNote","LANDR","Horus Music","Indie"},0)),"Aggregator di luar daftar","")),IF(TRIM($H628)="","Genre kosong",IF((LEN(SUBSTITUTE(SUBSTITUTE(SUBSTITUTE(TRIM($H628),"/",","),";",",")," ",""))-LEN(SUBSTITUTE(SUBSTITUTE(SUBSTITUTE(SUBSTITUTE(TRIM($H628),"/",","),";",","),"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628),"/",","),";",",")," ","")&amp;",")))&lt;&gt;(LEN(SUBSTITUTE(SUBSTITUTE(SUBSTITUTE(TRIM($H628),"/",","),";",",")," ",""))-LEN(SUBSTITUTE(SUBSTITUTE(SUBSTITUTE(SUBSTITUTE(TRIM($H628),"/",","),";",",")," ",""),",",""))+1),"Genre di luar daftar",""))),IF($I628="","Nama Channel kosong",""),IF($J628="","Link Channel kosong",IF(ISERROR(SEARCH("youtu",$J628)),"Link Channel bukan youtube","")),IF($K628="","Link Video kosong",IF(ISERROR(SEARCH("youtu",$K628)),"Link Video bukan youtube","")),IF($L628="","Tgl Dibuat kosong",IF(NOT(ISNUMBER($L628)),"Tgl Dibuat bukan tanggal","")),IF(AND($M628&lt;&gt;"",NOT(ISNUMBER($M628))),"Tgl Publish bukan tanggal",""),IF(AND(ISNUMBER($L628),ISNUMBER($M628),$M628&lt;$L628),"Tgl Publish &lt; Tgl buat",""),IF(TRIM($N628)="","Status kosong",IF(ISERROR(MATCH(TRIM($N628),{"Draft","Menunggu Review","Revisi","Terjadwal","Upload","Publish","Published","Batal"},0)),"Status di luar daftar","")))),""))</f>
        <v/>
      </c>
      <c r="S628" s="17">
        <f>IF(AND($A628&lt;&gt;"",$C628&lt;&gt;""),IF(COUNTIFS($A$2:$A$1000,$A628,$C$2:$C$1000,$C628)&gt;1,"DUPLICAT",""),"")</f>
        <v/>
      </c>
    </row>
    <row r="629">
      <c r="A629" s="12" t="n"/>
      <c r="B629" s="12" t="n"/>
      <c r="C629" s="12" t="n"/>
      <c r="D629" s="13" t="n"/>
      <c r="E629" s="12" t="n"/>
      <c r="F629" s="14" t="n"/>
      <c r="G629" s="12" t="n"/>
      <c r="H629" s="12" t="n"/>
      <c r="I629" s="12" t="n"/>
      <c r="J629" s="14" t="n"/>
      <c r="K629" s="14" t="n"/>
      <c r="L629" s="15" t="n"/>
      <c r="M629" s="15" t="n"/>
      <c r="N629" s="12" t="n"/>
      <c r="O629" s="12" t="n"/>
      <c r="P629" s="16">
        <f>IF(AND(ISNUMBER($L629),ISNUMBER($M629)),MAX(0,$M629-$L629),"")</f>
        <v/>
      </c>
      <c r="Q629" s="16">
        <f>IF(ISNUMBER($D629),MAX(0,TODAY()-$D629),"")</f>
        <v/>
      </c>
      <c r="R629" s="14">
        <f>IF(COUNTA($A629:$O629)=0,"",IFERROR(TRIM(TEXTJOIN(" | ",TRUE,IF($A629="","PC kosong",""),IF($C629="","Worker ID kosong",""),IF($D629="","Update Date kosong",IF(NOT(ISNUMBER($D629)),"Update Date bukan tanggal","")),IF($E629="","Song ID YT kosong",""),IF($F629="","Judul kosong",""),IF(TRIM($G629)="","",IF(ISERROR(MATCH(TRIM($G629),{"TuneCore","DistroKid","TooLost","SoundOn","Ditto","Believe","CD Baby","Amuse","Symphonic Distribution","ONErpm","RouteNote","LANDR","Horus Music","Indie"},0)),"Aggregator di luar daftar","")),IF(TRIM($H629)="","Genre kosong",IF((LEN(SUBSTITUTE(SUBSTITUTE(SUBSTITUTE(TRIM($H629),"/",","),";",",")," ",""))-LEN(SUBSTITUTE(SUBSTITUTE(SUBSTITUTE(SUBSTITUTE(TRIM($H629),"/",","),";",","),"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629),"/",","),";",",")," ","")&amp;",")))&lt;&gt;(LEN(SUBSTITUTE(SUBSTITUTE(SUBSTITUTE(TRIM($H629),"/",","),";",",")," ",""))-LEN(SUBSTITUTE(SUBSTITUTE(SUBSTITUTE(SUBSTITUTE(TRIM($H629),"/",","),";",",")," ",""),",",""))+1),"Genre di luar daftar",""))),IF($I629="","Nama Channel kosong",""),IF($J629="","Link Channel kosong",IF(ISERROR(SEARCH("youtu",$J629)),"Link Channel bukan youtube","")),IF($K629="","Link Video kosong",IF(ISERROR(SEARCH("youtu",$K629)),"Link Video bukan youtube","")),IF($L629="","Tgl Dibuat kosong",IF(NOT(ISNUMBER($L629)),"Tgl Dibuat bukan tanggal","")),IF(AND($M629&lt;&gt;"",NOT(ISNUMBER($M629))),"Tgl Publish bukan tanggal",""),IF(AND(ISNUMBER($L629),ISNUMBER($M629),$M629&lt;$L629),"Tgl Publish &lt; Tgl buat",""),IF(TRIM($N629)="","Status kosong",IF(ISERROR(MATCH(TRIM($N629),{"Draft","Menunggu Review","Revisi","Terjadwal","Upload","Publish","Published","Batal"},0)),"Status di luar daftar","")))),""))</f>
        <v/>
      </c>
      <c r="S629" s="12">
        <f>IF(AND($A629&lt;&gt;"",$C629&lt;&gt;""),IF(COUNTIFS($A$2:$A$1000,$A629,$C$2:$C$1000,$C629)&gt;1,"DUPLICAT",""),"")</f>
        <v/>
      </c>
    </row>
    <row r="630">
      <c r="A630" s="17" t="n"/>
      <c r="B630" s="17" t="n"/>
      <c r="C630" s="17" t="n"/>
      <c r="D630" s="18" t="n"/>
      <c r="E630" s="17" t="n"/>
      <c r="F630" s="19" t="n"/>
      <c r="G630" s="17" t="n"/>
      <c r="H630" s="17" t="n"/>
      <c r="I630" s="17" t="n"/>
      <c r="J630" s="19" t="n"/>
      <c r="K630" s="19" t="n"/>
      <c r="L630" s="20" t="n"/>
      <c r="M630" s="20" t="n"/>
      <c r="N630" s="17" t="n"/>
      <c r="O630" s="17" t="n"/>
      <c r="P630" s="21">
        <f>IF(AND(ISNUMBER($L630),ISNUMBER($M630)),MAX(0,$M630-$L630),"")</f>
        <v/>
      </c>
      <c r="Q630" s="21">
        <f>IF(ISNUMBER($D630),MAX(0,TODAY()-$D630),"")</f>
        <v/>
      </c>
      <c r="R630" s="19">
        <f>IF(COUNTA($A630:$O630)=0,"",IFERROR(TRIM(TEXTJOIN(" | ",TRUE,IF($A630="","PC kosong",""),IF($C630="","Worker ID kosong",""),IF($D630="","Update Date kosong",IF(NOT(ISNUMBER($D630)),"Update Date bukan tanggal","")),IF($E630="","Song ID YT kosong",""),IF($F630="","Judul kosong",""),IF(TRIM($G630)="","",IF(ISERROR(MATCH(TRIM($G630),{"TuneCore","DistroKid","TooLost","SoundOn","Ditto","Believe","CD Baby","Amuse","Symphonic Distribution","ONErpm","RouteNote","LANDR","Horus Music","Indie"},0)),"Aggregator di luar daftar","")),IF(TRIM($H630)="","Genre kosong",IF((LEN(SUBSTITUTE(SUBSTITUTE(SUBSTITUTE(TRIM($H630),"/",","),";",",")," ",""))-LEN(SUBSTITUTE(SUBSTITUTE(SUBSTITUTE(SUBSTITUTE(TRIM($H630),"/",","),";",","),"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630),"/",","),";",",")," ","")&amp;",")))&lt;&gt;(LEN(SUBSTITUTE(SUBSTITUTE(SUBSTITUTE(TRIM($H630),"/",","),";",",")," ",""))-LEN(SUBSTITUTE(SUBSTITUTE(SUBSTITUTE(SUBSTITUTE(TRIM($H630),"/",","),";",",")," ",""),",",""))+1),"Genre di luar daftar",""))),IF($I630="","Nama Channel kosong",""),IF($J630="","Link Channel kosong",IF(ISERROR(SEARCH("youtu",$J630)),"Link Channel bukan youtube","")),IF($K630="","Link Video kosong",IF(ISERROR(SEARCH("youtu",$K630)),"Link Video bukan youtube","")),IF($L630="","Tgl Dibuat kosong",IF(NOT(ISNUMBER($L630)),"Tgl Dibuat bukan tanggal","")),IF(AND($M630&lt;&gt;"",NOT(ISNUMBER($M630))),"Tgl Publish bukan tanggal",""),IF(AND(ISNUMBER($L630),ISNUMBER($M630),$M630&lt;$L630),"Tgl Publish &lt; Tgl buat",""),IF(TRIM($N630)="","Status kosong",IF(ISERROR(MATCH(TRIM($N630),{"Draft","Menunggu Review","Revisi","Terjadwal","Upload","Publish","Published","Batal"},0)),"Status di luar daftar","")))),""))</f>
        <v/>
      </c>
      <c r="S630" s="17">
        <f>IF(AND($A630&lt;&gt;"",$C630&lt;&gt;""),IF(COUNTIFS($A$2:$A$1000,$A630,$C$2:$C$1000,$C630)&gt;1,"DUPLICAT",""),"")</f>
        <v/>
      </c>
    </row>
    <row r="631">
      <c r="A631" s="12" t="n"/>
      <c r="B631" s="12" t="n"/>
      <c r="C631" s="12" t="n"/>
      <c r="D631" s="13" t="n"/>
      <c r="E631" s="12" t="n"/>
      <c r="F631" s="14" t="n"/>
      <c r="G631" s="12" t="n"/>
      <c r="H631" s="12" t="n"/>
      <c r="I631" s="12" t="n"/>
      <c r="J631" s="14" t="n"/>
      <c r="K631" s="14" t="n"/>
      <c r="L631" s="15" t="n"/>
      <c r="M631" s="15" t="n"/>
      <c r="N631" s="12" t="n"/>
      <c r="O631" s="12" t="n"/>
      <c r="P631" s="16">
        <f>IF(AND(ISNUMBER($L631),ISNUMBER($M631)),MAX(0,$M631-$L631),"")</f>
        <v/>
      </c>
      <c r="Q631" s="16">
        <f>IF(ISNUMBER($D631),MAX(0,TODAY()-$D631),"")</f>
        <v/>
      </c>
      <c r="R631" s="14">
        <f>IF(COUNTA($A631:$O631)=0,"",IFERROR(TRIM(TEXTJOIN(" | ",TRUE,IF($A631="","PC kosong",""),IF($C631="","Worker ID kosong",""),IF($D631="","Update Date kosong",IF(NOT(ISNUMBER($D631)),"Update Date bukan tanggal","")),IF($E631="","Song ID YT kosong",""),IF($F631="","Judul kosong",""),IF(TRIM($G631)="","",IF(ISERROR(MATCH(TRIM($G631),{"TuneCore","DistroKid","TooLost","SoundOn","Ditto","Believe","CD Baby","Amuse","Symphonic Distribution","ONErpm","RouteNote","LANDR","Horus Music","Indie"},0)),"Aggregator di luar daftar","")),IF(TRIM($H631)="","Genre kosong",IF((LEN(SUBSTITUTE(SUBSTITUTE(SUBSTITUTE(TRIM($H631),"/",","),";",",")," ",""))-LEN(SUBSTITUTE(SUBSTITUTE(SUBSTITUTE(SUBSTITUTE(TRIM($H631),"/",","),";",","),"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631),"/",","),";",",")," ","")&amp;",")))&lt;&gt;(LEN(SUBSTITUTE(SUBSTITUTE(SUBSTITUTE(TRIM($H631),"/",","),";",",")," ",""))-LEN(SUBSTITUTE(SUBSTITUTE(SUBSTITUTE(SUBSTITUTE(TRIM($H631),"/",","),";",",")," ",""),",",""))+1),"Genre di luar daftar",""))),IF($I631="","Nama Channel kosong",""),IF($J631="","Link Channel kosong",IF(ISERROR(SEARCH("youtu",$J631)),"Link Channel bukan youtube","")),IF($K631="","Link Video kosong",IF(ISERROR(SEARCH("youtu",$K631)),"Link Video bukan youtube","")),IF($L631="","Tgl Dibuat kosong",IF(NOT(ISNUMBER($L631)),"Tgl Dibuat bukan tanggal","")),IF(AND($M631&lt;&gt;"",NOT(ISNUMBER($M631))),"Tgl Publish bukan tanggal",""),IF(AND(ISNUMBER($L631),ISNUMBER($M631),$M631&lt;$L631),"Tgl Publish &lt; Tgl buat",""),IF(TRIM($N631)="","Status kosong",IF(ISERROR(MATCH(TRIM($N631),{"Draft","Menunggu Review","Revisi","Terjadwal","Upload","Publish","Published","Batal"},0)),"Status di luar daftar","")))),""))</f>
        <v/>
      </c>
      <c r="S631" s="12">
        <f>IF(AND($A631&lt;&gt;"",$C631&lt;&gt;""),IF(COUNTIFS($A$2:$A$1000,$A631,$C$2:$C$1000,$C631)&gt;1,"DUPLICAT",""),"")</f>
        <v/>
      </c>
    </row>
    <row r="632">
      <c r="A632" s="17" t="n"/>
      <c r="B632" s="17" t="n"/>
      <c r="C632" s="17" t="n"/>
      <c r="D632" s="18" t="n"/>
      <c r="E632" s="17" t="n"/>
      <c r="F632" s="19" t="n"/>
      <c r="G632" s="17" t="n"/>
      <c r="H632" s="17" t="n"/>
      <c r="I632" s="17" t="n"/>
      <c r="J632" s="19" t="n"/>
      <c r="K632" s="19" t="n"/>
      <c r="L632" s="20" t="n"/>
      <c r="M632" s="20" t="n"/>
      <c r="N632" s="17" t="n"/>
      <c r="O632" s="17" t="n"/>
      <c r="P632" s="21">
        <f>IF(AND(ISNUMBER($L632),ISNUMBER($M632)),MAX(0,$M632-$L632),"")</f>
        <v/>
      </c>
      <c r="Q632" s="21">
        <f>IF(ISNUMBER($D632),MAX(0,TODAY()-$D632),"")</f>
        <v/>
      </c>
      <c r="R632" s="19">
        <f>IF(COUNTA($A632:$O632)=0,"",IFERROR(TRIM(TEXTJOIN(" | ",TRUE,IF($A632="","PC kosong",""),IF($C632="","Worker ID kosong",""),IF($D632="","Update Date kosong",IF(NOT(ISNUMBER($D632)),"Update Date bukan tanggal","")),IF($E632="","Song ID YT kosong",""),IF($F632="","Judul kosong",""),IF(TRIM($G632)="","",IF(ISERROR(MATCH(TRIM($G632),{"TuneCore","DistroKid","TooLost","SoundOn","Ditto","Believe","CD Baby","Amuse","Symphonic Distribution","ONErpm","RouteNote","LANDR","Horus Music","Indie"},0)),"Aggregator di luar daftar","")),IF(TRIM($H632)="","Genre kosong",IF((LEN(SUBSTITUTE(SUBSTITUTE(SUBSTITUTE(TRIM($H632),"/",","),";",",")," ",""))-LEN(SUBSTITUTE(SUBSTITUTE(SUBSTITUTE(SUBSTITUTE(TRIM($H632),"/",","),";",","),"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632),"/",","),";",",")," ","")&amp;",")))&lt;&gt;(LEN(SUBSTITUTE(SUBSTITUTE(SUBSTITUTE(TRIM($H632),"/",","),";",",")," ",""))-LEN(SUBSTITUTE(SUBSTITUTE(SUBSTITUTE(SUBSTITUTE(TRIM($H632),"/",","),";",",")," ",""),",",""))+1),"Genre di luar daftar",""))),IF($I632="","Nama Channel kosong",""),IF($J632="","Link Channel kosong",IF(ISERROR(SEARCH("youtu",$J632)),"Link Channel bukan youtube","")),IF($K632="","Link Video kosong",IF(ISERROR(SEARCH("youtu",$K632)),"Link Video bukan youtube","")),IF($L632="","Tgl Dibuat kosong",IF(NOT(ISNUMBER($L632)),"Tgl Dibuat bukan tanggal","")),IF(AND($M632&lt;&gt;"",NOT(ISNUMBER($M632))),"Tgl Publish bukan tanggal",""),IF(AND(ISNUMBER($L632),ISNUMBER($M632),$M632&lt;$L632),"Tgl Publish &lt; Tgl buat",""),IF(TRIM($N632)="","Status kosong",IF(ISERROR(MATCH(TRIM($N632),{"Draft","Menunggu Review","Revisi","Terjadwal","Upload","Publish","Published","Batal"},0)),"Status di luar daftar","")))),""))</f>
        <v/>
      </c>
      <c r="S632" s="17">
        <f>IF(AND($A632&lt;&gt;"",$C632&lt;&gt;""),IF(COUNTIFS($A$2:$A$1000,$A632,$C$2:$C$1000,$C632)&gt;1,"DUPLICAT",""),"")</f>
        <v/>
      </c>
    </row>
    <row r="633">
      <c r="A633" s="12" t="n"/>
      <c r="B633" s="12" t="n"/>
      <c r="C633" s="12" t="n"/>
      <c r="D633" s="13" t="n"/>
      <c r="E633" s="12" t="n"/>
      <c r="F633" s="14" t="n"/>
      <c r="G633" s="12" t="n"/>
      <c r="H633" s="12" t="n"/>
      <c r="I633" s="12" t="n"/>
      <c r="J633" s="14" t="n"/>
      <c r="K633" s="14" t="n"/>
      <c r="L633" s="15" t="n"/>
      <c r="M633" s="15" t="n"/>
      <c r="N633" s="12" t="n"/>
      <c r="O633" s="12" t="n"/>
      <c r="P633" s="16">
        <f>IF(AND(ISNUMBER($L633),ISNUMBER($M633)),MAX(0,$M633-$L633),"")</f>
        <v/>
      </c>
      <c r="Q633" s="16">
        <f>IF(ISNUMBER($D633),MAX(0,TODAY()-$D633),"")</f>
        <v/>
      </c>
      <c r="R633" s="14">
        <f>IF(COUNTA($A633:$O633)=0,"",IFERROR(TRIM(TEXTJOIN(" | ",TRUE,IF($A633="","PC kosong",""),IF($C633="","Worker ID kosong",""),IF($D633="","Update Date kosong",IF(NOT(ISNUMBER($D633)),"Update Date bukan tanggal","")),IF($E633="","Song ID YT kosong",""),IF($F633="","Judul kosong",""),IF(TRIM($G633)="","",IF(ISERROR(MATCH(TRIM($G633),{"TuneCore","DistroKid","TooLost","SoundOn","Ditto","Believe","CD Baby","Amuse","Symphonic Distribution","ONErpm","RouteNote","LANDR","Horus Music","Indie"},0)),"Aggregator di luar daftar","")),IF(TRIM($H633)="","Genre kosong",IF((LEN(SUBSTITUTE(SUBSTITUTE(SUBSTITUTE(TRIM($H633),"/",","),";",",")," ",""))-LEN(SUBSTITUTE(SUBSTITUTE(SUBSTITUTE(SUBSTITUTE(TRIM($H633),"/",","),";",","),"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633),"/",","),";",",")," ","")&amp;",")))&lt;&gt;(LEN(SUBSTITUTE(SUBSTITUTE(SUBSTITUTE(TRIM($H633),"/",","),";",",")," ",""))-LEN(SUBSTITUTE(SUBSTITUTE(SUBSTITUTE(SUBSTITUTE(TRIM($H633),"/",","),";",",")," ",""),",",""))+1),"Genre di luar daftar",""))),IF($I633="","Nama Channel kosong",""),IF($J633="","Link Channel kosong",IF(ISERROR(SEARCH("youtu",$J633)),"Link Channel bukan youtube","")),IF($K633="","Link Video kosong",IF(ISERROR(SEARCH("youtu",$K633)),"Link Video bukan youtube","")),IF($L633="","Tgl Dibuat kosong",IF(NOT(ISNUMBER($L633)),"Tgl Dibuat bukan tanggal","")),IF(AND($M633&lt;&gt;"",NOT(ISNUMBER($M633))),"Tgl Publish bukan tanggal",""),IF(AND(ISNUMBER($L633),ISNUMBER($M633),$M633&lt;$L633),"Tgl Publish &lt; Tgl buat",""),IF(TRIM($N633)="","Status kosong",IF(ISERROR(MATCH(TRIM($N633),{"Draft","Menunggu Review","Revisi","Terjadwal","Upload","Publish","Published","Batal"},0)),"Status di luar daftar","")))),""))</f>
        <v/>
      </c>
      <c r="S633" s="12">
        <f>IF(AND($A633&lt;&gt;"",$C633&lt;&gt;""),IF(COUNTIFS($A$2:$A$1000,$A633,$C$2:$C$1000,$C633)&gt;1,"DUPLICAT",""),"")</f>
        <v/>
      </c>
    </row>
    <row r="634">
      <c r="A634" s="17" t="n"/>
      <c r="B634" s="17" t="n"/>
      <c r="C634" s="17" t="n"/>
      <c r="D634" s="18" t="n"/>
      <c r="E634" s="17" t="n"/>
      <c r="F634" s="19" t="n"/>
      <c r="G634" s="17" t="n"/>
      <c r="H634" s="17" t="n"/>
      <c r="I634" s="17" t="n"/>
      <c r="J634" s="19" t="n"/>
      <c r="K634" s="19" t="n"/>
      <c r="L634" s="20" t="n"/>
      <c r="M634" s="20" t="n"/>
      <c r="N634" s="17" t="n"/>
      <c r="O634" s="17" t="n"/>
      <c r="P634" s="21">
        <f>IF(AND(ISNUMBER($L634),ISNUMBER($M634)),MAX(0,$M634-$L634),"")</f>
        <v/>
      </c>
      <c r="Q634" s="21">
        <f>IF(ISNUMBER($D634),MAX(0,TODAY()-$D634),"")</f>
        <v/>
      </c>
      <c r="R634" s="19">
        <f>IF(COUNTA($A634:$O634)=0,"",IFERROR(TRIM(TEXTJOIN(" | ",TRUE,IF($A634="","PC kosong",""),IF($C634="","Worker ID kosong",""),IF($D634="","Update Date kosong",IF(NOT(ISNUMBER($D634)),"Update Date bukan tanggal","")),IF($E634="","Song ID YT kosong",""),IF($F634="","Judul kosong",""),IF(TRIM($G634)="","",IF(ISERROR(MATCH(TRIM($G634),{"TuneCore","DistroKid","TooLost","SoundOn","Ditto","Believe","CD Baby","Amuse","Symphonic Distribution","ONErpm","RouteNote","LANDR","Horus Music","Indie"},0)),"Aggregator di luar daftar","")),IF(TRIM($H634)="","Genre kosong",IF((LEN(SUBSTITUTE(SUBSTITUTE(SUBSTITUTE(TRIM($H634),"/",","),";",",")," ",""))-LEN(SUBSTITUTE(SUBSTITUTE(SUBSTITUTE(SUBSTITUTE(TRIM($H634),"/",","),";",","),"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634),"/",","),";",",")," ","")&amp;",")))&lt;&gt;(LEN(SUBSTITUTE(SUBSTITUTE(SUBSTITUTE(TRIM($H634),"/",","),";",",")," ",""))-LEN(SUBSTITUTE(SUBSTITUTE(SUBSTITUTE(SUBSTITUTE(TRIM($H634),"/",","),";",",")," ",""),",",""))+1),"Genre di luar daftar",""))),IF($I634="","Nama Channel kosong",""),IF($J634="","Link Channel kosong",IF(ISERROR(SEARCH("youtu",$J634)),"Link Channel bukan youtube","")),IF($K634="","Link Video kosong",IF(ISERROR(SEARCH("youtu",$K634)),"Link Video bukan youtube","")),IF($L634="","Tgl Dibuat kosong",IF(NOT(ISNUMBER($L634)),"Tgl Dibuat bukan tanggal","")),IF(AND($M634&lt;&gt;"",NOT(ISNUMBER($M634))),"Tgl Publish bukan tanggal",""),IF(AND(ISNUMBER($L634),ISNUMBER($M634),$M634&lt;$L634),"Tgl Publish &lt; Tgl buat",""),IF(TRIM($N634)="","Status kosong",IF(ISERROR(MATCH(TRIM($N634),{"Draft","Menunggu Review","Revisi","Terjadwal","Upload","Publish","Published","Batal"},0)),"Status di luar daftar","")))),""))</f>
        <v/>
      </c>
      <c r="S634" s="17">
        <f>IF(AND($A634&lt;&gt;"",$C634&lt;&gt;""),IF(COUNTIFS($A$2:$A$1000,$A634,$C$2:$C$1000,$C634)&gt;1,"DUPLICAT",""),"")</f>
        <v/>
      </c>
    </row>
    <row r="635">
      <c r="A635" s="12" t="n"/>
      <c r="B635" s="12" t="n"/>
      <c r="C635" s="12" t="n"/>
      <c r="D635" s="13" t="n"/>
      <c r="E635" s="12" t="n"/>
      <c r="F635" s="14" t="n"/>
      <c r="G635" s="12" t="n"/>
      <c r="H635" s="12" t="n"/>
      <c r="I635" s="12" t="n"/>
      <c r="J635" s="14" t="n"/>
      <c r="K635" s="14" t="n"/>
      <c r="L635" s="15" t="n"/>
      <c r="M635" s="15" t="n"/>
      <c r="N635" s="12" t="n"/>
      <c r="O635" s="12" t="n"/>
      <c r="P635" s="16">
        <f>IF(AND(ISNUMBER($L635),ISNUMBER($M635)),MAX(0,$M635-$L635),"")</f>
        <v/>
      </c>
      <c r="Q635" s="16">
        <f>IF(ISNUMBER($D635),MAX(0,TODAY()-$D635),"")</f>
        <v/>
      </c>
      <c r="R635" s="14">
        <f>IF(COUNTA($A635:$O635)=0,"",IFERROR(TRIM(TEXTJOIN(" | ",TRUE,IF($A635="","PC kosong",""),IF($C635="","Worker ID kosong",""),IF($D635="","Update Date kosong",IF(NOT(ISNUMBER($D635)),"Update Date bukan tanggal","")),IF($E635="","Song ID YT kosong",""),IF($F635="","Judul kosong",""),IF(TRIM($G635)="","",IF(ISERROR(MATCH(TRIM($G635),{"TuneCore","DistroKid","TooLost","SoundOn","Ditto","Believe","CD Baby","Amuse","Symphonic Distribution","ONErpm","RouteNote","LANDR","Horus Music","Indie"},0)),"Aggregator di luar daftar","")),IF(TRIM($H635)="","Genre kosong",IF((LEN(SUBSTITUTE(SUBSTITUTE(SUBSTITUTE(TRIM($H635),"/",","),";",",")," ",""))-LEN(SUBSTITUTE(SUBSTITUTE(SUBSTITUTE(SUBSTITUTE(TRIM($H635),"/",","),";",","),"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635),"/",","),";",",")," ","")&amp;",")))&lt;&gt;(LEN(SUBSTITUTE(SUBSTITUTE(SUBSTITUTE(TRIM($H635),"/",","),";",",")," ",""))-LEN(SUBSTITUTE(SUBSTITUTE(SUBSTITUTE(SUBSTITUTE(TRIM($H635),"/",","),";",",")," ",""),",",""))+1),"Genre di luar daftar",""))),IF($I635="","Nama Channel kosong",""),IF($J635="","Link Channel kosong",IF(ISERROR(SEARCH("youtu",$J635)),"Link Channel bukan youtube","")),IF($K635="","Link Video kosong",IF(ISERROR(SEARCH("youtu",$K635)),"Link Video bukan youtube","")),IF($L635="","Tgl Dibuat kosong",IF(NOT(ISNUMBER($L635)),"Tgl Dibuat bukan tanggal","")),IF(AND($M635&lt;&gt;"",NOT(ISNUMBER($M635))),"Tgl Publish bukan tanggal",""),IF(AND(ISNUMBER($L635),ISNUMBER($M635),$M635&lt;$L635),"Tgl Publish &lt; Tgl buat",""),IF(TRIM($N635)="","Status kosong",IF(ISERROR(MATCH(TRIM($N635),{"Draft","Menunggu Review","Revisi","Terjadwal","Upload","Publish","Published","Batal"},0)),"Status di luar daftar","")))),""))</f>
        <v/>
      </c>
      <c r="S635" s="12">
        <f>IF(AND($A635&lt;&gt;"",$C635&lt;&gt;""),IF(COUNTIFS($A$2:$A$1000,$A635,$C$2:$C$1000,$C635)&gt;1,"DUPLICAT",""),"")</f>
        <v/>
      </c>
    </row>
    <row r="636">
      <c r="A636" s="17" t="n"/>
      <c r="B636" s="17" t="n"/>
      <c r="C636" s="17" t="n"/>
      <c r="D636" s="18" t="n"/>
      <c r="E636" s="17" t="n"/>
      <c r="F636" s="19" t="n"/>
      <c r="G636" s="17" t="n"/>
      <c r="H636" s="17" t="n"/>
      <c r="I636" s="17" t="n"/>
      <c r="J636" s="19" t="n"/>
      <c r="K636" s="19" t="n"/>
      <c r="L636" s="20" t="n"/>
      <c r="M636" s="20" t="n"/>
      <c r="N636" s="17" t="n"/>
      <c r="O636" s="17" t="n"/>
      <c r="P636" s="21">
        <f>IF(AND(ISNUMBER($L636),ISNUMBER($M636)),MAX(0,$M636-$L636),"")</f>
        <v/>
      </c>
      <c r="Q636" s="21">
        <f>IF(ISNUMBER($D636),MAX(0,TODAY()-$D636),"")</f>
        <v/>
      </c>
      <c r="R636" s="19">
        <f>IF(COUNTA($A636:$O636)=0,"",IFERROR(TRIM(TEXTJOIN(" | ",TRUE,IF($A636="","PC kosong",""),IF($C636="","Worker ID kosong",""),IF($D636="","Update Date kosong",IF(NOT(ISNUMBER($D636)),"Update Date bukan tanggal","")),IF($E636="","Song ID YT kosong",""),IF($F636="","Judul kosong",""),IF(TRIM($G636)="","",IF(ISERROR(MATCH(TRIM($G636),{"TuneCore","DistroKid","TooLost","SoundOn","Ditto","Believe","CD Baby","Amuse","Symphonic Distribution","ONErpm","RouteNote","LANDR","Horus Music","Indie"},0)),"Aggregator di luar daftar","")),IF(TRIM($H636)="","Genre kosong",IF((LEN(SUBSTITUTE(SUBSTITUTE(SUBSTITUTE(TRIM($H636),"/",","),";",",")," ",""))-LEN(SUBSTITUTE(SUBSTITUTE(SUBSTITUTE(SUBSTITUTE(TRIM($H636),"/",","),";",","),"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636),"/",","),";",",")," ","")&amp;",")))&lt;&gt;(LEN(SUBSTITUTE(SUBSTITUTE(SUBSTITUTE(TRIM($H636),"/",","),";",",")," ",""))-LEN(SUBSTITUTE(SUBSTITUTE(SUBSTITUTE(SUBSTITUTE(TRIM($H636),"/",","),";",",")," ",""),",",""))+1),"Genre di luar daftar",""))),IF($I636="","Nama Channel kosong",""),IF($J636="","Link Channel kosong",IF(ISERROR(SEARCH("youtu",$J636)),"Link Channel bukan youtube","")),IF($K636="","Link Video kosong",IF(ISERROR(SEARCH("youtu",$K636)),"Link Video bukan youtube","")),IF($L636="","Tgl Dibuat kosong",IF(NOT(ISNUMBER($L636)),"Tgl Dibuat bukan tanggal","")),IF(AND($M636&lt;&gt;"",NOT(ISNUMBER($M636))),"Tgl Publish bukan tanggal",""),IF(AND(ISNUMBER($L636),ISNUMBER($M636),$M636&lt;$L636),"Tgl Publish &lt; Tgl buat",""),IF(TRIM($N636)="","Status kosong",IF(ISERROR(MATCH(TRIM($N636),{"Draft","Menunggu Review","Revisi","Terjadwal","Upload","Publish","Published","Batal"},0)),"Status di luar daftar","")))),""))</f>
        <v/>
      </c>
      <c r="S636" s="17">
        <f>IF(AND($A636&lt;&gt;"",$C636&lt;&gt;""),IF(COUNTIFS($A$2:$A$1000,$A636,$C$2:$C$1000,$C636)&gt;1,"DUPLICAT",""),"")</f>
        <v/>
      </c>
    </row>
    <row r="637">
      <c r="A637" s="12" t="n"/>
      <c r="B637" s="12" t="n"/>
      <c r="C637" s="12" t="n"/>
      <c r="D637" s="13" t="n"/>
      <c r="E637" s="12" t="n"/>
      <c r="F637" s="14" t="n"/>
      <c r="G637" s="12" t="n"/>
      <c r="H637" s="12" t="n"/>
      <c r="I637" s="12" t="n"/>
      <c r="J637" s="14" t="n"/>
      <c r="K637" s="14" t="n"/>
      <c r="L637" s="15" t="n"/>
      <c r="M637" s="15" t="n"/>
      <c r="N637" s="12" t="n"/>
      <c r="O637" s="12" t="n"/>
      <c r="P637" s="16">
        <f>IF(AND(ISNUMBER($L637),ISNUMBER($M637)),MAX(0,$M637-$L637),"")</f>
        <v/>
      </c>
      <c r="Q637" s="16">
        <f>IF(ISNUMBER($D637),MAX(0,TODAY()-$D637),"")</f>
        <v/>
      </c>
      <c r="R637" s="14">
        <f>IF(COUNTA($A637:$O637)=0,"",IFERROR(TRIM(TEXTJOIN(" | ",TRUE,IF($A637="","PC kosong",""),IF($C637="","Worker ID kosong",""),IF($D637="","Update Date kosong",IF(NOT(ISNUMBER($D637)),"Update Date bukan tanggal","")),IF($E637="","Song ID YT kosong",""),IF($F637="","Judul kosong",""),IF(TRIM($G637)="","",IF(ISERROR(MATCH(TRIM($G637),{"TuneCore","DistroKid","TooLost","SoundOn","Ditto","Believe","CD Baby","Amuse","Symphonic Distribution","ONErpm","RouteNote","LANDR","Horus Music","Indie"},0)),"Aggregator di luar daftar","")),IF(TRIM($H637)="","Genre kosong",IF((LEN(SUBSTITUTE(SUBSTITUTE(SUBSTITUTE(TRIM($H637),"/",","),";",",")," ",""))-LEN(SUBSTITUTE(SUBSTITUTE(SUBSTITUTE(SUBSTITUTE(TRIM($H637),"/",","),";",","),"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637),"/",","),";",",")," ","")&amp;",")))&lt;&gt;(LEN(SUBSTITUTE(SUBSTITUTE(SUBSTITUTE(TRIM($H637),"/",","),";",",")," ",""))-LEN(SUBSTITUTE(SUBSTITUTE(SUBSTITUTE(SUBSTITUTE(TRIM($H637),"/",","),";",",")," ",""),",",""))+1),"Genre di luar daftar",""))),IF($I637="","Nama Channel kosong",""),IF($J637="","Link Channel kosong",IF(ISERROR(SEARCH("youtu",$J637)),"Link Channel bukan youtube","")),IF($K637="","Link Video kosong",IF(ISERROR(SEARCH("youtu",$K637)),"Link Video bukan youtube","")),IF($L637="","Tgl Dibuat kosong",IF(NOT(ISNUMBER($L637)),"Tgl Dibuat bukan tanggal","")),IF(AND($M637&lt;&gt;"",NOT(ISNUMBER($M637))),"Tgl Publish bukan tanggal",""),IF(AND(ISNUMBER($L637),ISNUMBER($M637),$M637&lt;$L637),"Tgl Publish &lt; Tgl buat",""),IF(TRIM($N637)="","Status kosong",IF(ISERROR(MATCH(TRIM($N637),{"Draft","Menunggu Review","Revisi","Terjadwal","Upload","Publish","Published","Batal"},0)),"Status di luar daftar","")))),""))</f>
        <v/>
      </c>
      <c r="S637" s="12">
        <f>IF(AND($A637&lt;&gt;"",$C637&lt;&gt;""),IF(COUNTIFS($A$2:$A$1000,$A637,$C$2:$C$1000,$C637)&gt;1,"DUPLICAT",""),"")</f>
        <v/>
      </c>
    </row>
    <row r="638">
      <c r="A638" s="17" t="n"/>
      <c r="B638" s="17" t="n"/>
      <c r="C638" s="17" t="n"/>
      <c r="D638" s="18" t="n"/>
      <c r="E638" s="17" t="n"/>
      <c r="F638" s="19" t="n"/>
      <c r="G638" s="17" t="n"/>
      <c r="H638" s="17" t="n"/>
      <c r="I638" s="17" t="n"/>
      <c r="J638" s="19" t="n"/>
      <c r="K638" s="19" t="n"/>
      <c r="L638" s="20" t="n"/>
      <c r="M638" s="20" t="n"/>
      <c r="N638" s="17" t="n"/>
      <c r="O638" s="17" t="n"/>
      <c r="P638" s="21">
        <f>IF(AND(ISNUMBER($L638),ISNUMBER($M638)),MAX(0,$M638-$L638),"")</f>
        <v/>
      </c>
      <c r="Q638" s="21">
        <f>IF(ISNUMBER($D638),MAX(0,TODAY()-$D638),"")</f>
        <v/>
      </c>
      <c r="R638" s="19">
        <f>IF(COUNTA($A638:$O638)=0,"",IFERROR(TRIM(TEXTJOIN(" | ",TRUE,IF($A638="","PC kosong",""),IF($C638="","Worker ID kosong",""),IF($D638="","Update Date kosong",IF(NOT(ISNUMBER($D638)),"Update Date bukan tanggal","")),IF($E638="","Song ID YT kosong",""),IF($F638="","Judul kosong",""),IF(TRIM($G638)="","",IF(ISERROR(MATCH(TRIM($G638),{"TuneCore","DistroKid","TooLost","SoundOn","Ditto","Believe","CD Baby","Amuse","Symphonic Distribution","ONErpm","RouteNote","LANDR","Horus Music","Indie"},0)),"Aggregator di luar daftar","")),IF(TRIM($H638)="","Genre kosong",IF((LEN(SUBSTITUTE(SUBSTITUTE(SUBSTITUTE(TRIM($H638),"/",","),";",",")," ",""))-LEN(SUBSTITUTE(SUBSTITUTE(SUBSTITUTE(SUBSTITUTE(TRIM($H638),"/",","),";",","),"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638),"/",","),";",",")," ","")&amp;",")))&lt;&gt;(LEN(SUBSTITUTE(SUBSTITUTE(SUBSTITUTE(TRIM($H638),"/",","),";",",")," ",""))-LEN(SUBSTITUTE(SUBSTITUTE(SUBSTITUTE(SUBSTITUTE(TRIM($H638),"/",","),";",",")," ",""),",",""))+1),"Genre di luar daftar",""))),IF($I638="","Nama Channel kosong",""),IF($J638="","Link Channel kosong",IF(ISERROR(SEARCH("youtu",$J638)),"Link Channel bukan youtube","")),IF($K638="","Link Video kosong",IF(ISERROR(SEARCH("youtu",$K638)),"Link Video bukan youtube","")),IF($L638="","Tgl Dibuat kosong",IF(NOT(ISNUMBER($L638)),"Tgl Dibuat bukan tanggal","")),IF(AND($M638&lt;&gt;"",NOT(ISNUMBER($M638))),"Tgl Publish bukan tanggal",""),IF(AND(ISNUMBER($L638),ISNUMBER($M638),$M638&lt;$L638),"Tgl Publish &lt; Tgl buat",""),IF(TRIM($N638)="","Status kosong",IF(ISERROR(MATCH(TRIM($N638),{"Draft","Menunggu Review","Revisi","Terjadwal","Upload","Publish","Published","Batal"},0)),"Status di luar daftar","")))),""))</f>
        <v/>
      </c>
      <c r="S638" s="17">
        <f>IF(AND($A638&lt;&gt;"",$C638&lt;&gt;""),IF(COUNTIFS($A$2:$A$1000,$A638,$C$2:$C$1000,$C638)&gt;1,"DUPLICAT",""),"")</f>
        <v/>
      </c>
    </row>
    <row r="639">
      <c r="A639" s="12" t="n"/>
      <c r="B639" s="12" t="n"/>
      <c r="C639" s="12" t="n"/>
      <c r="D639" s="13" t="n"/>
      <c r="E639" s="12" t="n"/>
      <c r="F639" s="14" t="n"/>
      <c r="G639" s="12" t="n"/>
      <c r="H639" s="12" t="n"/>
      <c r="I639" s="12" t="n"/>
      <c r="J639" s="14" t="n"/>
      <c r="K639" s="14" t="n"/>
      <c r="L639" s="15" t="n"/>
      <c r="M639" s="15" t="n"/>
      <c r="N639" s="12" t="n"/>
      <c r="O639" s="12" t="n"/>
      <c r="P639" s="16">
        <f>IF(AND(ISNUMBER($L639),ISNUMBER($M639)),MAX(0,$M639-$L639),"")</f>
        <v/>
      </c>
      <c r="Q639" s="16">
        <f>IF(ISNUMBER($D639),MAX(0,TODAY()-$D639),"")</f>
        <v/>
      </c>
      <c r="R639" s="14">
        <f>IF(COUNTA($A639:$O639)=0,"",IFERROR(TRIM(TEXTJOIN(" | ",TRUE,IF($A639="","PC kosong",""),IF($C639="","Worker ID kosong",""),IF($D639="","Update Date kosong",IF(NOT(ISNUMBER($D639)),"Update Date bukan tanggal","")),IF($E639="","Song ID YT kosong",""),IF($F639="","Judul kosong",""),IF(TRIM($G639)="","",IF(ISERROR(MATCH(TRIM($G639),{"TuneCore","DistroKid","TooLost","SoundOn","Ditto","Believe","CD Baby","Amuse","Symphonic Distribution","ONErpm","RouteNote","LANDR","Horus Music","Indie"},0)),"Aggregator di luar daftar","")),IF(TRIM($H639)="","Genre kosong",IF((LEN(SUBSTITUTE(SUBSTITUTE(SUBSTITUTE(TRIM($H639),"/",","),";",",")," ",""))-LEN(SUBSTITUTE(SUBSTITUTE(SUBSTITUTE(SUBSTITUTE(TRIM($H639),"/",","),";",","),"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639),"/",","),";",",")," ","")&amp;",")))&lt;&gt;(LEN(SUBSTITUTE(SUBSTITUTE(SUBSTITUTE(TRIM($H639),"/",","),";",",")," ",""))-LEN(SUBSTITUTE(SUBSTITUTE(SUBSTITUTE(SUBSTITUTE(TRIM($H639),"/",","),";",",")," ",""),",",""))+1),"Genre di luar daftar",""))),IF($I639="","Nama Channel kosong",""),IF($J639="","Link Channel kosong",IF(ISERROR(SEARCH("youtu",$J639)),"Link Channel bukan youtube","")),IF($K639="","Link Video kosong",IF(ISERROR(SEARCH("youtu",$K639)),"Link Video bukan youtube","")),IF($L639="","Tgl Dibuat kosong",IF(NOT(ISNUMBER($L639)),"Tgl Dibuat bukan tanggal","")),IF(AND($M639&lt;&gt;"",NOT(ISNUMBER($M639))),"Tgl Publish bukan tanggal",""),IF(AND(ISNUMBER($L639),ISNUMBER($M639),$M639&lt;$L639),"Tgl Publish &lt; Tgl buat",""),IF(TRIM($N639)="","Status kosong",IF(ISERROR(MATCH(TRIM($N639),{"Draft","Menunggu Review","Revisi","Terjadwal","Upload","Publish","Published","Batal"},0)),"Status di luar daftar","")))),""))</f>
        <v/>
      </c>
      <c r="S639" s="12">
        <f>IF(AND($A639&lt;&gt;"",$C639&lt;&gt;""),IF(COUNTIFS($A$2:$A$1000,$A639,$C$2:$C$1000,$C639)&gt;1,"DUPLICAT",""),"")</f>
        <v/>
      </c>
    </row>
    <row r="640">
      <c r="A640" s="17" t="n"/>
      <c r="B640" s="17" t="n"/>
      <c r="C640" s="17" t="n"/>
      <c r="D640" s="18" t="n"/>
      <c r="E640" s="17" t="n"/>
      <c r="F640" s="19" t="n"/>
      <c r="G640" s="17" t="n"/>
      <c r="H640" s="17" t="n"/>
      <c r="I640" s="17" t="n"/>
      <c r="J640" s="19" t="n"/>
      <c r="K640" s="19" t="n"/>
      <c r="L640" s="20" t="n"/>
      <c r="M640" s="20" t="n"/>
      <c r="N640" s="17" t="n"/>
      <c r="O640" s="17" t="n"/>
      <c r="P640" s="21">
        <f>IF(AND(ISNUMBER($L640),ISNUMBER($M640)),MAX(0,$M640-$L640),"")</f>
        <v/>
      </c>
      <c r="Q640" s="21">
        <f>IF(ISNUMBER($D640),MAX(0,TODAY()-$D640),"")</f>
        <v/>
      </c>
      <c r="R640" s="19">
        <f>IF(COUNTA($A640:$O640)=0,"",IFERROR(TRIM(TEXTJOIN(" | ",TRUE,IF($A640="","PC kosong",""),IF($C640="","Worker ID kosong",""),IF($D640="","Update Date kosong",IF(NOT(ISNUMBER($D640)),"Update Date bukan tanggal","")),IF($E640="","Song ID YT kosong",""),IF($F640="","Judul kosong",""),IF(TRIM($G640)="","",IF(ISERROR(MATCH(TRIM($G640),{"TuneCore","DistroKid","TooLost","SoundOn","Ditto","Believe","CD Baby","Amuse","Symphonic Distribution","ONErpm","RouteNote","LANDR","Horus Music","Indie"},0)),"Aggregator di luar daftar","")),IF(TRIM($H640)="","Genre kosong",IF((LEN(SUBSTITUTE(SUBSTITUTE(SUBSTITUTE(TRIM($H640),"/",","),";",",")," ",""))-LEN(SUBSTITUTE(SUBSTITUTE(SUBSTITUTE(SUBSTITUTE(TRIM($H640),"/",","),";",","),"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640),"/",","),";",",")," ","")&amp;",")))&lt;&gt;(LEN(SUBSTITUTE(SUBSTITUTE(SUBSTITUTE(TRIM($H640),"/",","),";",",")," ",""))-LEN(SUBSTITUTE(SUBSTITUTE(SUBSTITUTE(SUBSTITUTE(TRIM($H640),"/",","),";",",")," ",""),",",""))+1),"Genre di luar daftar",""))),IF($I640="","Nama Channel kosong",""),IF($J640="","Link Channel kosong",IF(ISERROR(SEARCH("youtu",$J640)),"Link Channel bukan youtube","")),IF($K640="","Link Video kosong",IF(ISERROR(SEARCH("youtu",$K640)),"Link Video bukan youtube","")),IF($L640="","Tgl Dibuat kosong",IF(NOT(ISNUMBER($L640)),"Tgl Dibuat bukan tanggal","")),IF(AND($M640&lt;&gt;"",NOT(ISNUMBER($M640))),"Tgl Publish bukan tanggal",""),IF(AND(ISNUMBER($L640),ISNUMBER($M640),$M640&lt;$L640),"Tgl Publish &lt; Tgl buat",""),IF(TRIM($N640)="","Status kosong",IF(ISERROR(MATCH(TRIM($N640),{"Draft","Menunggu Review","Revisi","Terjadwal","Upload","Publish","Published","Batal"},0)),"Status di luar daftar","")))),""))</f>
        <v/>
      </c>
      <c r="S640" s="17">
        <f>IF(AND($A640&lt;&gt;"",$C640&lt;&gt;""),IF(COUNTIFS($A$2:$A$1000,$A640,$C$2:$C$1000,$C640)&gt;1,"DUPLICAT",""),"")</f>
        <v/>
      </c>
    </row>
    <row r="641">
      <c r="A641" s="12" t="n"/>
      <c r="B641" s="12" t="n"/>
      <c r="C641" s="12" t="n"/>
      <c r="D641" s="13" t="n"/>
      <c r="E641" s="12" t="n"/>
      <c r="F641" s="14" t="n"/>
      <c r="G641" s="12" t="n"/>
      <c r="H641" s="12" t="n"/>
      <c r="I641" s="12" t="n"/>
      <c r="J641" s="14" t="n"/>
      <c r="K641" s="14" t="n"/>
      <c r="L641" s="15" t="n"/>
      <c r="M641" s="15" t="n"/>
      <c r="N641" s="12" t="n"/>
      <c r="O641" s="12" t="n"/>
      <c r="P641" s="16">
        <f>IF(AND(ISNUMBER($L641),ISNUMBER($M641)),MAX(0,$M641-$L641),"")</f>
        <v/>
      </c>
      <c r="Q641" s="16">
        <f>IF(ISNUMBER($D641),MAX(0,TODAY()-$D641),"")</f>
        <v/>
      </c>
      <c r="R641" s="14">
        <f>IF(COUNTA($A641:$O641)=0,"",IFERROR(TRIM(TEXTJOIN(" | ",TRUE,IF($A641="","PC kosong",""),IF($C641="","Worker ID kosong",""),IF($D641="","Update Date kosong",IF(NOT(ISNUMBER($D641)),"Update Date bukan tanggal","")),IF($E641="","Song ID YT kosong",""),IF($F641="","Judul kosong",""),IF(TRIM($G641)="","",IF(ISERROR(MATCH(TRIM($G641),{"TuneCore","DistroKid","TooLost","SoundOn","Ditto","Believe","CD Baby","Amuse","Symphonic Distribution","ONErpm","RouteNote","LANDR","Horus Music","Indie"},0)),"Aggregator di luar daftar","")),IF(TRIM($H641)="","Genre kosong",IF((LEN(SUBSTITUTE(SUBSTITUTE(SUBSTITUTE(TRIM($H641),"/",","),";",",")," ",""))-LEN(SUBSTITUTE(SUBSTITUTE(SUBSTITUTE(SUBSTITUTE(TRIM($H641),"/",","),";",","),"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641),"/",","),";",",")," ","")&amp;",")))&lt;&gt;(LEN(SUBSTITUTE(SUBSTITUTE(SUBSTITUTE(TRIM($H641),"/",","),";",",")," ",""))-LEN(SUBSTITUTE(SUBSTITUTE(SUBSTITUTE(SUBSTITUTE(TRIM($H641),"/",","),";",",")," ",""),",",""))+1),"Genre di luar daftar",""))),IF($I641="","Nama Channel kosong",""),IF($J641="","Link Channel kosong",IF(ISERROR(SEARCH("youtu",$J641)),"Link Channel bukan youtube","")),IF($K641="","Link Video kosong",IF(ISERROR(SEARCH("youtu",$K641)),"Link Video bukan youtube","")),IF($L641="","Tgl Dibuat kosong",IF(NOT(ISNUMBER($L641)),"Tgl Dibuat bukan tanggal","")),IF(AND($M641&lt;&gt;"",NOT(ISNUMBER($M641))),"Tgl Publish bukan tanggal",""),IF(AND(ISNUMBER($L641),ISNUMBER($M641),$M641&lt;$L641),"Tgl Publish &lt; Tgl buat",""),IF(TRIM($N641)="","Status kosong",IF(ISERROR(MATCH(TRIM($N641),{"Draft","Menunggu Review","Revisi","Terjadwal","Upload","Publish","Published","Batal"},0)),"Status di luar daftar","")))),""))</f>
        <v/>
      </c>
      <c r="S641" s="12">
        <f>IF(AND($A641&lt;&gt;"",$C641&lt;&gt;""),IF(COUNTIFS($A$2:$A$1000,$A641,$C$2:$C$1000,$C641)&gt;1,"DUPLICAT",""),"")</f>
        <v/>
      </c>
    </row>
    <row r="642">
      <c r="A642" s="17" t="n"/>
      <c r="B642" s="17" t="n"/>
      <c r="C642" s="17" t="n"/>
      <c r="D642" s="18" t="n"/>
      <c r="E642" s="17" t="n"/>
      <c r="F642" s="19" t="n"/>
      <c r="G642" s="17" t="n"/>
      <c r="H642" s="17" t="n"/>
      <c r="I642" s="17" t="n"/>
      <c r="J642" s="19" t="n"/>
      <c r="K642" s="19" t="n"/>
      <c r="L642" s="20" t="n"/>
      <c r="M642" s="20" t="n"/>
      <c r="N642" s="17" t="n"/>
      <c r="O642" s="17" t="n"/>
      <c r="P642" s="21">
        <f>IF(AND(ISNUMBER($L642),ISNUMBER($M642)),MAX(0,$M642-$L642),"")</f>
        <v/>
      </c>
      <c r="Q642" s="21">
        <f>IF(ISNUMBER($D642),MAX(0,TODAY()-$D642),"")</f>
        <v/>
      </c>
      <c r="R642" s="19">
        <f>IF(COUNTA($A642:$O642)=0,"",IFERROR(TRIM(TEXTJOIN(" | ",TRUE,IF($A642="","PC kosong",""),IF($C642="","Worker ID kosong",""),IF($D642="","Update Date kosong",IF(NOT(ISNUMBER($D642)),"Update Date bukan tanggal","")),IF($E642="","Song ID YT kosong",""),IF($F642="","Judul kosong",""),IF(TRIM($G642)="","",IF(ISERROR(MATCH(TRIM($G642),{"TuneCore","DistroKid","TooLost","SoundOn","Ditto","Believe","CD Baby","Amuse","Symphonic Distribution","ONErpm","RouteNote","LANDR","Horus Music","Indie"},0)),"Aggregator di luar daftar","")),IF(TRIM($H642)="","Genre kosong",IF((LEN(SUBSTITUTE(SUBSTITUTE(SUBSTITUTE(TRIM($H642),"/",","),";",",")," ",""))-LEN(SUBSTITUTE(SUBSTITUTE(SUBSTITUTE(SUBSTITUTE(TRIM($H642),"/",","),";",","),"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642),"/",","),";",",")," ","")&amp;",")))&lt;&gt;(LEN(SUBSTITUTE(SUBSTITUTE(SUBSTITUTE(TRIM($H642),"/",","),";",",")," ",""))-LEN(SUBSTITUTE(SUBSTITUTE(SUBSTITUTE(SUBSTITUTE(TRIM($H642),"/",","),";",",")," ",""),",",""))+1),"Genre di luar daftar",""))),IF($I642="","Nama Channel kosong",""),IF($J642="","Link Channel kosong",IF(ISERROR(SEARCH("youtu",$J642)),"Link Channel bukan youtube","")),IF($K642="","Link Video kosong",IF(ISERROR(SEARCH("youtu",$K642)),"Link Video bukan youtube","")),IF($L642="","Tgl Dibuat kosong",IF(NOT(ISNUMBER($L642)),"Tgl Dibuat bukan tanggal","")),IF(AND($M642&lt;&gt;"",NOT(ISNUMBER($M642))),"Tgl Publish bukan tanggal",""),IF(AND(ISNUMBER($L642),ISNUMBER($M642),$M642&lt;$L642),"Tgl Publish &lt; Tgl buat",""),IF(TRIM($N642)="","Status kosong",IF(ISERROR(MATCH(TRIM($N642),{"Draft","Menunggu Review","Revisi","Terjadwal","Upload","Publish","Published","Batal"},0)),"Status di luar daftar","")))),""))</f>
        <v/>
      </c>
      <c r="S642" s="17">
        <f>IF(AND($A642&lt;&gt;"",$C642&lt;&gt;""),IF(COUNTIFS($A$2:$A$1000,$A642,$C$2:$C$1000,$C642)&gt;1,"DUPLICAT",""),"")</f>
        <v/>
      </c>
    </row>
    <row r="643">
      <c r="A643" s="12" t="n"/>
      <c r="B643" s="12" t="n"/>
      <c r="C643" s="12" t="n"/>
      <c r="D643" s="13" t="n"/>
      <c r="E643" s="12" t="n"/>
      <c r="F643" s="14" t="n"/>
      <c r="G643" s="12" t="n"/>
      <c r="H643" s="12" t="n"/>
      <c r="I643" s="12" t="n"/>
      <c r="J643" s="14" t="n"/>
      <c r="K643" s="14" t="n"/>
      <c r="L643" s="15" t="n"/>
      <c r="M643" s="15" t="n"/>
      <c r="N643" s="12" t="n"/>
      <c r="O643" s="12" t="n"/>
      <c r="P643" s="16">
        <f>IF(AND(ISNUMBER($L643),ISNUMBER($M643)),MAX(0,$M643-$L643),"")</f>
        <v/>
      </c>
      <c r="Q643" s="16">
        <f>IF(ISNUMBER($D643),MAX(0,TODAY()-$D643),"")</f>
        <v/>
      </c>
      <c r="R643" s="14">
        <f>IF(COUNTA($A643:$O643)=0,"",IFERROR(TRIM(TEXTJOIN(" | ",TRUE,IF($A643="","PC kosong",""),IF($C643="","Worker ID kosong",""),IF($D643="","Update Date kosong",IF(NOT(ISNUMBER($D643)),"Update Date bukan tanggal","")),IF($E643="","Song ID YT kosong",""),IF($F643="","Judul kosong",""),IF(TRIM($G643)="","",IF(ISERROR(MATCH(TRIM($G643),{"TuneCore","DistroKid","TooLost","SoundOn","Ditto","Believe","CD Baby","Amuse","Symphonic Distribution","ONErpm","RouteNote","LANDR","Horus Music","Indie"},0)),"Aggregator di luar daftar","")),IF(TRIM($H643)="","Genre kosong",IF((LEN(SUBSTITUTE(SUBSTITUTE(SUBSTITUTE(TRIM($H643),"/",","),";",",")," ",""))-LEN(SUBSTITUTE(SUBSTITUTE(SUBSTITUTE(SUBSTITUTE(TRIM($H643),"/",","),";",","),"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643),"/",","),";",",")," ","")&amp;",")))&lt;&gt;(LEN(SUBSTITUTE(SUBSTITUTE(SUBSTITUTE(TRIM($H643),"/",","),";",",")," ",""))-LEN(SUBSTITUTE(SUBSTITUTE(SUBSTITUTE(SUBSTITUTE(TRIM($H643),"/",","),";",",")," ",""),",",""))+1),"Genre di luar daftar",""))),IF($I643="","Nama Channel kosong",""),IF($J643="","Link Channel kosong",IF(ISERROR(SEARCH("youtu",$J643)),"Link Channel bukan youtube","")),IF($K643="","Link Video kosong",IF(ISERROR(SEARCH("youtu",$K643)),"Link Video bukan youtube","")),IF($L643="","Tgl Dibuat kosong",IF(NOT(ISNUMBER($L643)),"Tgl Dibuat bukan tanggal","")),IF(AND($M643&lt;&gt;"",NOT(ISNUMBER($M643))),"Tgl Publish bukan tanggal",""),IF(AND(ISNUMBER($L643),ISNUMBER($M643),$M643&lt;$L643),"Tgl Publish &lt; Tgl buat",""),IF(TRIM($N643)="","Status kosong",IF(ISERROR(MATCH(TRIM($N643),{"Draft","Menunggu Review","Revisi","Terjadwal","Upload","Publish","Published","Batal"},0)),"Status di luar daftar","")))),""))</f>
        <v/>
      </c>
      <c r="S643" s="12">
        <f>IF(AND($A643&lt;&gt;"",$C643&lt;&gt;""),IF(COUNTIFS($A$2:$A$1000,$A643,$C$2:$C$1000,$C643)&gt;1,"DUPLICAT",""),"")</f>
        <v/>
      </c>
    </row>
    <row r="644">
      <c r="A644" s="17" t="n"/>
      <c r="B644" s="17" t="n"/>
      <c r="C644" s="17" t="n"/>
      <c r="D644" s="18" t="n"/>
      <c r="E644" s="17" t="n"/>
      <c r="F644" s="19" t="n"/>
      <c r="G644" s="17" t="n"/>
      <c r="H644" s="17" t="n"/>
      <c r="I644" s="17" t="n"/>
      <c r="J644" s="19" t="n"/>
      <c r="K644" s="19" t="n"/>
      <c r="L644" s="20" t="n"/>
      <c r="M644" s="20" t="n"/>
      <c r="N644" s="17" t="n"/>
      <c r="O644" s="17" t="n"/>
      <c r="P644" s="21">
        <f>IF(AND(ISNUMBER($L644),ISNUMBER($M644)),MAX(0,$M644-$L644),"")</f>
        <v/>
      </c>
      <c r="Q644" s="21">
        <f>IF(ISNUMBER($D644),MAX(0,TODAY()-$D644),"")</f>
        <v/>
      </c>
      <c r="R644" s="19">
        <f>IF(COUNTA($A644:$O644)=0,"",IFERROR(TRIM(TEXTJOIN(" | ",TRUE,IF($A644="","PC kosong",""),IF($C644="","Worker ID kosong",""),IF($D644="","Update Date kosong",IF(NOT(ISNUMBER($D644)),"Update Date bukan tanggal","")),IF($E644="","Song ID YT kosong",""),IF($F644="","Judul kosong",""),IF(TRIM($G644)="","",IF(ISERROR(MATCH(TRIM($G644),{"TuneCore","DistroKid","TooLost","SoundOn","Ditto","Believe","CD Baby","Amuse","Symphonic Distribution","ONErpm","RouteNote","LANDR","Horus Music","Indie"},0)),"Aggregator di luar daftar","")),IF(TRIM($H644)="","Genre kosong",IF((LEN(SUBSTITUTE(SUBSTITUTE(SUBSTITUTE(TRIM($H644),"/",","),";",",")," ",""))-LEN(SUBSTITUTE(SUBSTITUTE(SUBSTITUTE(SUBSTITUTE(TRIM($H644),"/",","),";",","),"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644),"/",","),";",",")," ","")&amp;",")))&lt;&gt;(LEN(SUBSTITUTE(SUBSTITUTE(SUBSTITUTE(TRIM($H644),"/",","),";",",")," ",""))-LEN(SUBSTITUTE(SUBSTITUTE(SUBSTITUTE(SUBSTITUTE(TRIM($H644),"/",","),";",",")," ",""),",",""))+1),"Genre di luar daftar",""))),IF($I644="","Nama Channel kosong",""),IF($J644="","Link Channel kosong",IF(ISERROR(SEARCH("youtu",$J644)),"Link Channel bukan youtube","")),IF($K644="","Link Video kosong",IF(ISERROR(SEARCH("youtu",$K644)),"Link Video bukan youtube","")),IF($L644="","Tgl Dibuat kosong",IF(NOT(ISNUMBER($L644)),"Tgl Dibuat bukan tanggal","")),IF(AND($M644&lt;&gt;"",NOT(ISNUMBER($M644))),"Tgl Publish bukan tanggal",""),IF(AND(ISNUMBER($L644),ISNUMBER($M644),$M644&lt;$L644),"Tgl Publish &lt; Tgl buat",""),IF(TRIM($N644)="","Status kosong",IF(ISERROR(MATCH(TRIM($N644),{"Draft","Menunggu Review","Revisi","Terjadwal","Upload","Publish","Published","Batal"},0)),"Status di luar daftar","")))),""))</f>
        <v/>
      </c>
      <c r="S644" s="17">
        <f>IF(AND($A644&lt;&gt;"",$C644&lt;&gt;""),IF(COUNTIFS($A$2:$A$1000,$A644,$C$2:$C$1000,$C644)&gt;1,"DUPLICAT",""),"")</f>
        <v/>
      </c>
    </row>
    <row r="645">
      <c r="A645" s="12" t="n"/>
      <c r="B645" s="12" t="n"/>
      <c r="C645" s="12" t="n"/>
      <c r="D645" s="13" t="n"/>
      <c r="E645" s="12" t="n"/>
      <c r="F645" s="14" t="n"/>
      <c r="G645" s="12" t="n"/>
      <c r="H645" s="12" t="n"/>
      <c r="I645" s="12" t="n"/>
      <c r="J645" s="14" t="n"/>
      <c r="K645" s="14" t="n"/>
      <c r="L645" s="15" t="n"/>
      <c r="M645" s="15" t="n"/>
      <c r="N645" s="12" t="n"/>
      <c r="O645" s="12" t="n"/>
      <c r="P645" s="16">
        <f>IF(AND(ISNUMBER($L645),ISNUMBER($M645)),MAX(0,$M645-$L645),"")</f>
        <v/>
      </c>
      <c r="Q645" s="16">
        <f>IF(ISNUMBER($D645),MAX(0,TODAY()-$D645),"")</f>
        <v/>
      </c>
      <c r="R645" s="14">
        <f>IF(COUNTA($A645:$O645)=0,"",IFERROR(TRIM(TEXTJOIN(" | ",TRUE,IF($A645="","PC kosong",""),IF($C645="","Worker ID kosong",""),IF($D645="","Update Date kosong",IF(NOT(ISNUMBER($D645)),"Update Date bukan tanggal","")),IF($E645="","Song ID YT kosong",""),IF($F645="","Judul kosong",""),IF(TRIM($G645)="","",IF(ISERROR(MATCH(TRIM($G645),{"TuneCore","DistroKid","TooLost","SoundOn","Ditto","Believe","CD Baby","Amuse","Symphonic Distribution","ONErpm","RouteNote","LANDR","Horus Music","Indie"},0)),"Aggregator di luar daftar","")),IF(TRIM($H645)="","Genre kosong",IF((LEN(SUBSTITUTE(SUBSTITUTE(SUBSTITUTE(TRIM($H645),"/",","),";",",")," ",""))-LEN(SUBSTITUTE(SUBSTITUTE(SUBSTITUTE(SUBSTITUTE(TRIM($H645),"/",","),";",","),"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645),"/",","),";",",")," ","")&amp;",")))&lt;&gt;(LEN(SUBSTITUTE(SUBSTITUTE(SUBSTITUTE(TRIM($H645),"/",","),";",",")," ",""))-LEN(SUBSTITUTE(SUBSTITUTE(SUBSTITUTE(SUBSTITUTE(TRIM($H645),"/",","),";",",")," ",""),",",""))+1),"Genre di luar daftar",""))),IF($I645="","Nama Channel kosong",""),IF($J645="","Link Channel kosong",IF(ISERROR(SEARCH("youtu",$J645)),"Link Channel bukan youtube","")),IF($K645="","Link Video kosong",IF(ISERROR(SEARCH("youtu",$K645)),"Link Video bukan youtube","")),IF($L645="","Tgl Dibuat kosong",IF(NOT(ISNUMBER($L645)),"Tgl Dibuat bukan tanggal","")),IF(AND($M645&lt;&gt;"",NOT(ISNUMBER($M645))),"Tgl Publish bukan tanggal",""),IF(AND(ISNUMBER($L645),ISNUMBER($M645),$M645&lt;$L645),"Tgl Publish &lt; Tgl buat",""),IF(TRIM($N645)="","Status kosong",IF(ISERROR(MATCH(TRIM($N645),{"Draft","Menunggu Review","Revisi","Terjadwal","Upload","Publish","Published","Batal"},0)),"Status di luar daftar","")))),""))</f>
        <v/>
      </c>
      <c r="S645" s="12">
        <f>IF(AND($A645&lt;&gt;"",$C645&lt;&gt;""),IF(COUNTIFS($A$2:$A$1000,$A645,$C$2:$C$1000,$C645)&gt;1,"DUPLICAT",""),"")</f>
        <v/>
      </c>
    </row>
    <row r="646">
      <c r="A646" s="17" t="n"/>
      <c r="B646" s="17" t="n"/>
      <c r="C646" s="17" t="n"/>
      <c r="D646" s="18" t="n"/>
      <c r="E646" s="17" t="n"/>
      <c r="F646" s="19" t="n"/>
      <c r="G646" s="17" t="n"/>
      <c r="H646" s="17" t="n"/>
      <c r="I646" s="17" t="n"/>
      <c r="J646" s="19" t="n"/>
      <c r="K646" s="19" t="n"/>
      <c r="L646" s="20" t="n"/>
      <c r="M646" s="20" t="n"/>
      <c r="N646" s="17" t="n"/>
      <c r="O646" s="17" t="n"/>
      <c r="P646" s="21">
        <f>IF(AND(ISNUMBER($L646),ISNUMBER($M646)),MAX(0,$M646-$L646),"")</f>
        <v/>
      </c>
      <c r="Q646" s="21">
        <f>IF(ISNUMBER($D646),MAX(0,TODAY()-$D646),"")</f>
        <v/>
      </c>
      <c r="R646" s="19">
        <f>IF(COUNTA($A646:$O646)=0,"",IFERROR(TRIM(TEXTJOIN(" | ",TRUE,IF($A646="","PC kosong",""),IF($C646="","Worker ID kosong",""),IF($D646="","Update Date kosong",IF(NOT(ISNUMBER($D646)),"Update Date bukan tanggal","")),IF($E646="","Song ID YT kosong",""),IF($F646="","Judul kosong",""),IF(TRIM($G646)="","",IF(ISERROR(MATCH(TRIM($G646),{"TuneCore","DistroKid","TooLost","SoundOn","Ditto","Believe","CD Baby","Amuse","Symphonic Distribution","ONErpm","RouteNote","LANDR","Horus Music","Indie"},0)),"Aggregator di luar daftar","")),IF(TRIM($H646)="","Genre kosong",IF((LEN(SUBSTITUTE(SUBSTITUTE(SUBSTITUTE(TRIM($H646),"/",","),";",",")," ",""))-LEN(SUBSTITUTE(SUBSTITUTE(SUBSTITUTE(SUBSTITUTE(TRIM($H646),"/",","),";",","),"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646),"/",","),";",",")," ","")&amp;",")))&lt;&gt;(LEN(SUBSTITUTE(SUBSTITUTE(SUBSTITUTE(TRIM($H646),"/",","),";",",")," ",""))-LEN(SUBSTITUTE(SUBSTITUTE(SUBSTITUTE(SUBSTITUTE(TRIM($H646),"/",","),";",",")," ",""),",",""))+1),"Genre di luar daftar",""))),IF($I646="","Nama Channel kosong",""),IF($J646="","Link Channel kosong",IF(ISERROR(SEARCH("youtu",$J646)),"Link Channel bukan youtube","")),IF($K646="","Link Video kosong",IF(ISERROR(SEARCH("youtu",$K646)),"Link Video bukan youtube","")),IF($L646="","Tgl Dibuat kosong",IF(NOT(ISNUMBER($L646)),"Tgl Dibuat bukan tanggal","")),IF(AND($M646&lt;&gt;"",NOT(ISNUMBER($M646))),"Tgl Publish bukan tanggal",""),IF(AND(ISNUMBER($L646),ISNUMBER($M646),$M646&lt;$L646),"Tgl Publish &lt; Tgl buat",""),IF(TRIM($N646)="","Status kosong",IF(ISERROR(MATCH(TRIM($N646),{"Draft","Menunggu Review","Revisi","Terjadwal","Upload","Publish","Published","Batal"},0)),"Status di luar daftar","")))),""))</f>
        <v/>
      </c>
      <c r="S646" s="17">
        <f>IF(AND($A646&lt;&gt;"",$C646&lt;&gt;""),IF(COUNTIFS($A$2:$A$1000,$A646,$C$2:$C$1000,$C646)&gt;1,"DUPLICAT",""),"")</f>
        <v/>
      </c>
    </row>
    <row r="647">
      <c r="A647" s="12" t="n"/>
      <c r="B647" s="12" t="n"/>
      <c r="C647" s="12" t="n"/>
      <c r="D647" s="13" t="n"/>
      <c r="E647" s="12" t="n"/>
      <c r="F647" s="14" t="n"/>
      <c r="G647" s="12" t="n"/>
      <c r="H647" s="12" t="n"/>
      <c r="I647" s="12" t="n"/>
      <c r="J647" s="14" t="n"/>
      <c r="K647" s="14" t="n"/>
      <c r="L647" s="15" t="n"/>
      <c r="M647" s="15" t="n"/>
      <c r="N647" s="12" t="n"/>
      <c r="O647" s="12" t="n"/>
      <c r="P647" s="16">
        <f>IF(AND(ISNUMBER($L647),ISNUMBER($M647)),MAX(0,$M647-$L647),"")</f>
        <v/>
      </c>
      <c r="Q647" s="16">
        <f>IF(ISNUMBER($D647),MAX(0,TODAY()-$D647),"")</f>
        <v/>
      </c>
      <c r="R647" s="14">
        <f>IF(COUNTA($A647:$O647)=0,"",IFERROR(TRIM(TEXTJOIN(" | ",TRUE,IF($A647="","PC kosong",""),IF($C647="","Worker ID kosong",""),IF($D647="","Update Date kosong",IF(NOT(ISNUMBER($D647)),"Update Date bukan tanggal","")),IF($E647="","Song ID YT kosong",""),IF($F647="","Judul kosong",""),IF(TRIM($G647)="","",IF(ISERROR(MATCH(TRIM($G647),{"TuneCore","DistroKid","TooLost","SoundOn","Ditto","Believe","CD Baby","Amuse","Symphonic Distribution","ONErpm","RouteNote","LANDR","Horus Music","Indie"},0)),"Aggregator di luar daftar","")),IF(TRIM($H647)="","Genre kosong",IF((LEN(SUBSTITUTE(SUBSTITUTE(SUBSTITUTE(TRIM($H647),"/",","),";",",")," ",""))-LEN(SUBSTITUTE(SUBSTITUTE(SUBSTITUTE(SUBSTITUTE(TRIM($H647),"/",","),";",","),"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647),"/",","),";",",")," ","")&amp;",")))&lt;&gt;(LEN(SUBSTITUTE(SUBSTITUTE(SUBSTITUTE(TRIM($H647),"/",","),";",",")," ",""))-LEN(SUBSTITUTE(SUBSTITUTE(SUBSTITUTE(SUBSTITUTE(TRIM($H647),"/",","),";",",")," ",""),",",""))+1),"Genre di luar daftar",""))),IF($I647="","Nama Channel kosong",""),IF($J647="","Link Channel kosong",IF(ISERROR(SEARCH("youtu",$J647)),"Link Channel bukan youtube","")),IF($K647="","Link Video kosong",IF(ISERROR(SEARCH("youtu",$K647)),"Link Video bukan youtube","")),IF($L647="","Tgl Dibuat kosong",IF(NOT(ISNUMBER($L647)),"Tgl Dibuat bukan tanggal","")),IF(AND($M647&lt;&gt;"",NOT(ISNUMBER($M647))),"Tgl Publish bukan tanggal",""),IF(AND(ISNUMBER($L647),ISNUMBER($M647),$M647&lt;$L647),"Tgl Publish &lt; Tgl buat",""),IF(TRIM($N647)="","Status kosong",IF(ISERROR(MATCH(TRIM($N647),{"Draft","Menunggu Review","Revisi","Terjadwal","Upload","Publish","Published","Batal"},0)),"Status di luar daftar","")))),""))</f>
        <v/>
      </c>
      <c r="S647" s="12">
        <f>IF(AND($A647&lt;&gt;"",$C647&lt;&gt;""),IF(COUNTIFS($A$2:$A$1000,$A647,$C$2:$C$1000,$C647)&gt;1,"DUPLICAT",""),"")</f>
        <v/>
      </c>
    </row>
    <row r="648">
      <c r="A648" s="17" t="n"/>
      <c r="B648" s="17" t="n"/>
      <c r="C648" s="17" t="n"/>
      <c r="D648" s="18" t="n"/>
      <c r="E648" s="17" t="n"/>
      <c r="F648" s="19" t="n"/>
      <c r="G648" s="17" t="n"/>
      <c r="H648" s="17" t="n"/>
      <c r="I648" s="17" t="n"/>
      <c r="J648" s="19" t="n"/>
      <c r="K648" s="19" t="n"/>
      <c r="L648" s="20" t="n"/>
      <c r="M648" s="20" t="n"/>
      <c r="N648" s="17" t="n"/>
      <c r="O648" s="17" t="n"/>
      <c r="P648" s="21">
        <f>IF(AND(ISNUMBER($L648),ISNUMBER($M648)),MAX(0,$M648-$L648),"")</f>
        <v/>
      </c>
      <c r="Q648" s="21">
        <f>IF(ISNUMBER($D648),MAX(0,TODAY()-$D648),"")</f>
        <v/>
      </c>
      <c r="R648" s="19">
        <f>IF(COUNTA($A648:$O648)=0,"",IFERROR(TRIM(TEXTJOIN(" | ",TRUE,IF($A648="","PC kosong",""),IF($C648="","Worker ID kosong",""),IF($D648="","Update Date kosong",IF(NOT(ISNUMBER($D648)),"Update Date bukan tanggal","")),IF($E648="","Song ID YT kosong",""),IF($F648="","Judul kosong",""),IF(TRIM($G648)="","",IF(ISERROR(MATCH(TRIM($G648),{"TuneCore","DistroKid","TooLost","SoundOn","Ditto","Believe","CD Baby","Amuse","Symphonic Distribution","ONErpm","RouteNote","LANDR","Horus Music","Indie"},0)),"Aggregator di luar daftar","")),IF(TRIM($H648)="","Genre kosong",IF((LEN(SUBSTITUTE(SUBSTITUTE(SUBSTITUTE(TRIM($H648),"/",","),";",",")," ",""))-LEN(SUBSTITUTE(SUBSTITUTE(SUBSTITUTE(SUBSTITUTE(TRIM($H648),"/",","),";",","),"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648),"/",","),";",",")," ","")&amp;",")))&lt;&gt;(LEN(SUBSTITUTE(SUBSTITUTE(SUBSTITUTE(TRIM($H648),"/",","),";",",")," ",""))-LEN(SUBSTITUTE(SUBSTITUTE(SUBSTITUTE(SUBSTITUTE(TRIM($H648),"/",","),";",",")," ",""),",",""))+1),"Genre di luar daftar",""))),IF($I648="","Nama Channel kosong",""),IF($J648="","Link Channel kosong",IF(ISERROR(SEARCH("youtu",$J648)),"Link Channel bukan youtube","")),IF($K648="","Link Video kosong",IF(ISERROR(SEARCH("youtu",$K648)),"Link Video bukan youtube","")),IF($L648="","Tgl Dibuat kosong",IF(NOT(ISNUMBER($L648)),"Tgl Dibuat bukan tanggal","")),IF(AND($M648&lt;&gt;"",NOT(ISNUMBER($M648))),"Tgl Publish bukan tanggal",""),IF(AND(ISNUMBER($L648),ISNUMBER($M648),$M648&lt;$L648),"Tgl Publish &lt; Tgl buat",""),IF(TRIM($N648)="","Status kosong",IF(ISERROR(MATCH(TRIM($N648),{"Draft","Menunggu Review","Revisi","Terjadwal","Upload","Publish","Published","Batal"},0)),"Status di luar daftar","")))),""))</f>
        <v/>
      </c>
      <c r="S648" s="17">
        <f>IF(AND($A648&lt;&gt;"",$C648&lt;&gt;""),IF(COUNTIFS($A$2:$A$1000,$A648,$C$2:$C$1000,$C648)&gt;1,"DUPLICAT",""),"")</f>
        <v/>
      </c>
    </row>
    <row r="649">
      <c r="A649" s="12" t="n"/>
      <c r="B649" s="12" t="n"/>
      <c r="C649" s="12" t="n"/>
      <c r="D649" s="13" t="n"/>
      <c r="E649" s="12" t="n"/>
      <c r="F649" s="14" t="n"/>
      <c r="G649" s="12" t="n"/>
      <c r="H649" s="12" t="n"/>
      <c r="I649" s="12" t="n"/>
      <c r="J649" s="14" t="n"/>
      <c r="K649" s="14" t="n"/>
      <c r="L649" s="15" t="n"/>
      <c r="M649" s="15" t="n"/>
      <c r="N649" s="12" t="n"/>
      <c r="O649" s="12" t="n"/>
      <c r="P649" s="16">
        <f>IF(AND(ISNUMBER($L649),ISNUMBER($M649)),MAX(0,$M649-$L649),"")</f>
        <v/>
      </c>
      <c r="Q649" s="16">
        <f>IF(ISNUMBER($D649),MAX(0,TODAY()-$D649),"")</f>
        <v/>
      </c>
      <c r="R649" s="14">
        <f>IF(COUNTA($A649:$O649)=0,"",IFERROR(TRIM(TEXTJOIN(" | ",TRUE,IF($A649="","PC kosong",""),IF($C649="","Worker ID kosong",""),IF($D649="","Update Date kosong",IF(NOT(ISNUMBER($D649)),"Update Date bukan tanggal","")),IF($E649="","Song ID YT kosong",""),IF($F649="","Judul kosong",""),IF(TRIM($G649)="","",IF(ISERROR(MATCH(TRIM($G649),{"TuneCore","DistroKid","TooLost","SoundOn","Ditto","Believe","CD Baby","Amuse","Symphonic Distribution","ONErpm","RouteNote","LANDR","Horus Music","Indie"},0)),"Aggregator di luar daftar","")),IF(TRIM($H649)="","Genre kosong",IF((LEN(SUBSTITUTE(SUBSTITUTE(SUBSTITUTE(TRIM($H649),"/",","),";",",")," ",""))-LEN(SUBSTITUTE(SUBSTITUTE(SUBSTITUTE(SUBSTITUTE(TRIM($H649),"/",","),";",","),"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649),"/",","),";",",")," ","")&amp;",")))&lt;&gt;(LEN(SUBSTITUTE(SUBSTITUTE(SUBSTITUTE(TRIM($H649),"/",","),";",",")," ",""))-LEN(SUBSTITUTE(SUBSTITUTE(SUBSTITUTE(SUBSTITUTE(TRIM($H649),"/",","),";",",")," ",""),",",""))+1),"Genre di luar daftar",""))),IF($I649="","Nama Channel kosong",""),IF($J649="","Link Channel kosong",IF(ISERROR(SEARCH("youtu",$J649)),"Link Channel bukan youtube","")),IF($K649="","Link Video kosong",IF(ISERROR(SEARCH("youtu",$K649)),"Link Video bukan youtube","")),IF($L649="","Tgl Dibuat kosong",IF(NOT(ISNUMBER($L649)),"Tgl Dibuat bukan tanggal","")),IF(AND($M649&lt;&gt;"",NOT(ISNUMBER($M649))),"Tgl Publish bukan tanggal",""),IF(AND(ISNUMBER($L649),ISNUMBER($M649),$M649&lt;$L649),"Tgl Publish &lt; Tgl buat",""),IF(TRIM($N649)="","Status kosong",IF(ISERROR(MATCH(TRIM($N649),{"Draft","Menunggu Review","Revisi","Terjadwal","Upload","Publish","Published","Batal"},0)),"Status di luar daftar","")))),""))</f>
        <v/>
      </c>
      <c r="S649" s="12">
        <f>IF(AND($A649&lt;&gt;"",$C649&lt;&gt;""),IF(COUNTIFS($A$2:$A$1000,$A649,$C$2:$C$1000,$C649)&gt;1,"DUPLICAT",""),"")</f>
        <v/>
      </c>
    </row>
    <row r="650">
      <c r="A650" s="17" t="n"/>
      <c r="B650" s="17" t="n"/>
      <c r="C650" s="17" t="n"/>
      <c r="D650" s="18" t="n"/>
      <c r="E650" s="17" t="n"/>
      <c r="F650" s="19" t="n"/>
      <c r="G650" s="17" t="n"/>
      <c r="H650" s="17" t="n"/>
      <c r="I650" s="17" t="n"/>
      <c r="J650" s="19" t="n"/>
      <c r="K650" s="19" t="n"/>
      <c r="L650" s="20" t="n"/>
      <c r="M650" s="20" t="n"/>
      <c r="N650" s="17" t="n"/>
      <c r="O650" s="17" t="n"/>
      <c r="P650" s="21">
        <f>IF(AND(ISNUMBER($L650),ISNUMBER($M650)),MAX(0,$M650-$L650),"")</f>
        <v/>
      </c>
      <c r="Q650" s="21">
        <f>IF(ISNUMBER($D650),MAX(0,TODAY()-$D650),"")</f>
        <v/>
      </c>
      <c r="R650" s="19">
        <f>IF(COUNTA($A650:$O650)=0,"",IFERROR(TRIM(TEXTJOIN(" | ",TRUE,IF($A650="","PC kosong",""),IF($C650="","Worker ID kosong",""),IF($D650="","Update Date kosong",IF(NOT(ISNUMBER($D650)),"Update Date bukan tanggal","")),IF($E650="","Song ID YT kosong",""),IF($F650="","Judul kosong",""),IF(TRIM($G650)="","",IF(ISERROR(MATCH(TRIM($G650),{"TuneCore","DistroKid","TooLost","SoundOn","Ditto","Believe","CD Baby","Amuse","Symphonic Distribution","ONErpm","RouteNote","LANDR","Horus Music","Indie"},0)),"Aggregator di luar daftar","")),IF(TRIM($H650)="","Genre kosong",IF((LEN(SUBSTITUTE(SUBSTITUTE(SUBSTITUTE(TRIM($H650),"/",","),";",",")," ",""))-LEN(SUBSTITUTE(SUBSTITUTE(SUBSTITUTE(SUBSTITUTE(TRIM($H650),"/",","),";",","),"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650),"/",","),";",",")," ","")&amp;",")))&lt;&gt;(LEN(SUBSTITUTE(SUBSTITUTE(SUBSTITUTE(TRIM($H650),"/",","),";",",")," ",""))-LEN(SUBSTITUTE(SUBSTITUTE(SUBSTITUTE(SUBSTITUTE(TRIM($H650),"/",","),";",",")," ",""),",",""))+1),"Genre di luar daftar",""))),IF($I650="","Nama Channel kosong",""),IF($J650="","Link Channel kosong",IF(ISERROR(SEARCH("youtu",$J650)),"Link Channel bukan youtube","")),IF($K650="","Link Video kosong",IF(ISERROR(SEARCH("youtu",$K650)),"Link Video bukan youtube","")),IF($L650="","Tgl Dibuat kosong",IF(NOT(ISNUMBER($L650)),"Tgl Dibuat bukan tanggal","")),IF(AND($M650&lt;&gt;"",NOT(ISNUMBER($M650))),"Tgl Publish bukan tanggal",""),IF(AND(ISNUMBER($L650),ISNUMBER($M650),$M650&lt;$L650),"Tgl Publish &lt; Tgl buat",""),IF(TRIM($N650)="","Status kosong",IF(ISERROR(MATCH(TRIM($N650),{"Draft","Menunggu Review","Revisi","Terjadwal","Upload","Publish","Published","Batal"},0)),"Status di luar daftar","")))),""))</f>
        <v/>
      </c>
      <c r="S650" s="17">
        <f>IF(AND($A650&lt;&gt;"",$C650&lt;&gt;""),IF(COUNTIFS($A$2:$A$1000,$A650,$C$2:$C$1000,$C650)&gt;1,"DUPLICAT",""),"")</f>
        <v/>
      </c>
    </row>
    <row r="651">
      <c r="A651" s="12" t="n"/>
      <c r="B651" s="12" t="n"/>
      <c r="C651" s="12" t="n"/>
      <c r="D651" s="13" t="n"/>
      <c r="E651" s="12" t="n"/>
      <c r="F651" s="14" t="n"/>
      <c r="G651" s="12" t="n"/>
      <c r="H651" s="12" t="n"/>
      <c r="I651" s="12" t="n"/>
      <c r="J651" s="14" t="n"/>
      <c r="K651" s="14" t="n"/>
      <c r="L651" s="15" t="n"/>
      <c r="M651" s="15" t="n"/>
      <c r="N651" s="12" t="n"/>
      <c r="O651" s="12" t="n"/>
      <c r="P651" s="16">
        <f>IF(AND(ISNUMBER($L651),ISNUMBER($M651)),MAX(0,$M651-$L651),"")</f>
        <v/>
      </c>
      <c r="Q651" s="16">
        <f>IF(ISNUMBER($D651),MAX(0,TODAY()-$D651),"")</f>
        <v/>
      </c>
      <c r="R651" s="14">
        <f>IF(COUNTA($A651:$O651)=0,"",IFERROR(TRIM(TEXTJOIN(" | ",TRUE,IF($A651="","PC kosong",""),IF($C651="","Worker ID kosong",""),IF($D651="","Update Date kosong",IF(NOT(ISNUMBER($D651)),"Update Date bukan tanggal","")),IF($E651="","Song ID YT kosong",""),IF($F651="","Judul kosong",""),IF(TRIM($G651)="","",IF(ISERROR(MATCH(TRIM($G651),{"TuneCore","DistroKid","TooLost","SoundOn","Ditto","Believe","CD Baby","Amuse","Symphonic Distribution","ONErpm","RouteNote","LANDR","Horus Music","Indie"},0)),"Aggregator di luar daftar","")),IF(TRIM($H651)="","Genre kosong",IF((LEN(SUBSTITUTE(SUBSTITUTE(SUBSTITUTE(TRIM($H651),"/",","),";",",")," ",""))-LEN(SUBSTITUTE(SUBSTITUTE(SUBSTITUTE(SUBSTITUTE(TRIM($H651),"/",","),";",","),"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651),"/",","),";",",")," ","")&amp;",")))&lt;&gt;(LEN(SUBSTITUTE(SUBSTITUTE(SUBSTITUTE(TRIM($H651),"/",","),";",",")," ",""))-LEN(SUBSTITUTE(SUBSTITUTE(SUBSTITUTE(SUBSTITUTE(TRIM($H651),"/",","),";",",")," ",""),",",""))+1),"Genre di luar daftar",""))),IF($I651="","Nama Channel kosong",""),IF($J651="","Link Channel kosong",IF(ISERROR(SEARCH("youtu",$J651)),"Link Channel bukan youtube","")),IF($K651="","Link Video kosong",IF(ISERROR(SEARCH("youtu",$K651)),"Link Video bukan youtube","")),IF($L651="","Tgl Dibuat kosong",IF(NOT(ISNUMBER($L651)),"Tgl Dibuat bukan tanggal","")),IF(AND($M651&lt;&gt;"",NOT(ISNUMBER($M651))),"Tgl Publish bukan tanggal",""),IF(AND(ISNUMBER($L651),ISNUMBER($M651),$M651&lt;$L651),"Tgl Publish &lt; Tgl buat",""),IF(TRIM($N651)="","Status kosong",IF(ISERROR(MATCH(TRIM($N651),{"Draft","Menunggu Review","Revisi","Terjadwal","Upload","Publish","Published","Batal"},0)),"Status di luar daftar","")))),""))</f>
        <v/>
      </c>
      <c r="S651" s="12">
        <f>IF(AND($A651&lt;&gt;"",$C651&lt;&gt;""),IF(COUNTIFS($A$2:$A$1000,$A651,$C$2:$C$1000,$C651)&gt;1,"DUPLICAT",""),"")</f>
        <v/>
      </c>
    </row>
    <row r="652">
      <c r="A652" s="17" t="n"/>
      <c r="B652" s="17" t="n"/>
      <c r="C652" s="17" t="n"/>
      <c r="D652" s="18" t="n"/>
      <c r="E652" s="17" t="n"/>
      <c r="F652" s="19" t="n"/>
      <c r="G652" s="17" t="n"/>
      <c r="H652" s="17" t="n"/>
      <c r="I652" s="17" t="n"/>
      <c r="J652" s="19" t="n"/>
      <c r="K652" s="19" t="n"/>
      <c r="L652" s="20" t="n"/>
      <c r="M652" s="20" t="n"/>
      <c r="N652" s="17" t="n"/>
      <c r="O652" s="17" t="n"/>
      <c r="P652" s="21">
        <f>IF(AND(ISNUMBER($L652),ISNUMBER($M652)),MAX(0,$M652-$L652),"")</f>
        <v/>
      </c>
      <c r="Q652" s="21">
        <f>IF(ISNUMBER($D652),MAX(0,TODAY()-$D652),"")</f>
        <v/>
      </c>
      <c r="R652" s="19">
        <f>IF(COUNTA($A652:$O652)=0,"",IFERROR(TRIM(TEXTJOIN(" | ",TRUE,IF($A652="","PC kosong",""),IF($C652="","Worker ID kosong",""),IF($D652="","Update Date kosong",IF(NOT(ISNUMBER($D652)),"Update Date bukan tanggal","")),IF($E652="","Song ID YT kosong",""),IF($F652="","Judul kosong",""),IF(TRIM($G652)="","",IF(ISERROR(MATCH(TRIM($G652),{"TuneCore","DistroKid","TooLost","SoundOn","Ditto","Believe","CD Baby","Amuse","Symphonic Distribution","ONErpm","RouteNote","LANDR","Horus Music","Indie"},0)),"Aggregator di luar daftar","")),IF(TRIM($H652)="","Genre kosong",IF((LEN(SUBSTITUTE(SUBSTITUTE(SUBSTITUTE(TRIM($H652),"/",","),";",",")," ",""))-LEN(SUBSTITUTE(SUBSTITUTE(SUBSTITUTE(SUBSTITUTE(TRIM($H652),"/",","),";",","),"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652),"/",","),";",",")," ","")&amp;",")))&lt;&gt;(LEN(SUBSTITUTE(SUBSTITUTE(SUBSTITUTE(TRIM($H652),"/",","),";",",")," ",""))-LEN(SUBSTITUTE(SUBSTITUTE(SUBSTITUTE(SUBSTITUTE(TRIM($H652),"/",","),";",",")," ",""),",",""))+1),"Genre di luar daftar",""))),IF($I652="","Nama Channel kosong",""),IF($J652="","Link Channel kosong",IF(ISERROR(SEARCH("youtu",$J652)),"Link Channel bukan youtube","")),IF($K652="","Link Video kosong",IF(ISERROR(SEARCH("youtu",$K652)),"Link Video bukan youtube","")),IF($L652="","Tgl Dibuat kosong",IF(NOT(ISNUMBER($L652)),"Tgl Dibuat bukan tanggal","")),IF(AND($M652&lt;&gt;"",NOT(ISNUMBER($M652))),"Tgl Publish bukan tanggal",""),IF(AND(ISNUMBER($L652),ISNUMBER($M652),$M652&lt;$L652),"Tgl Publish &lt; Tgl buat",""),IF(TRIM($N652)="","Status kosong",IF(ISERROR(MATCH(TRIM($N652),{"Draft","Menunggu Review","Revisi","Terjadwal","Upload","Publish","Published","Batal"},0)),"Status di luar daftar","")))),""))</f>
        <v/>
      </c>
      <c r="S652" s="17">
        <f>IF(AND($A652&lt;&gt;"",$C652&lt;&gt;""),IF(COUNTIFS($A$2:$A$1000,$A652,$C$2:$C$1000,$C652)&gt;1,"DUPLICAT",""),"")</f>
        <v/>
      </c>
    </row>
    <row r="653">
      <c r="A653" s="12" t="n"/>
      <c r="B653" s="12" t="n"/>
      <c r="C653" s="12" t="n"/>
      <c r="D653" s="13" t="n"/>
      <c r="E653" s="12" t="n"/>
      <c r="F653" s="14" t="n"/>
      <c r="G653" s="12" t="n"/>
      <c r="H653" s="12" t="n"/>
      <c r="I653" s="12" t="n"/>
      <c r="J653" s="14" t="n"/>
      <c r="K653" s="14" t="n"/>
      <c r="L653" s="15" t="n"/>
      <c r="M653" s="15" t="n"/>
      <c r="N653" s="12" t="n"/>
      <c r="O653" s="12" t="n"/>
      <c r="P653" s="16">
        <f>IF(AND(ISNUMBER($L653),ISNUMBER($M653)),MAX(0,$M653-$L653),"")</f>
        <v/>
      </c>
      <c r="Q653" s="16">
        <f>IF(ISNUMBER($D653),MAX(0,TODAY()-$D653),"")</f>
        <v/>
      </c>
      <c r="R653" s="14">
        <f>IF(COUNTA($A653:$O653)=0,"",IFERROR(TRIM(TEXTJOIN(" | ",TRUE,IF($A653="","PC kosong",""),IF($C653="","Worker ID kosong",""),IF($D653="","Update Date kosong",IF(NOT(ISNUMBER($D653)),"Update Date bukan tanggal","")),IF($E653="","Song ID YT kosong",""),IF($F653="","Judul kosong",""),IF(TRIM($G653)="","",IF(ISERROR(MATCH(TRIM($G653),{"TuneCore","DistroKid","TooLost","SoundOn","Ditto","Believe","CD Baby","Amuse","Symphonic Distribution","ONErpm","RouteNote","LANDR","Horus Music","Indie"},0)),"Aggregator di luar daftar","")),IF(TRIM($H653)="","Genre kosong",IF((LEN(SUBSTITUTE(SUBSTITUTE(SUBSTITUTE(TRIM($H653),"/",","),";",",")," ",""))-LEN(SUBSTITUTE(SUBSTITUTE(SUBSTITUTE(SUBSTITUTE(TRIM($H653),"/",","),";",","),"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653),"/",","),";",",")," ","")&amp;",")))&lt;&gt;(LEN(SUBSTITUTE(SUBSTITUTE(SUBSTITUTE(TRIM($H653),"/",","),";",",")," ",""))-LEN(SUBSTITUTE(SUBSTITUTE(SUBSTITUTE(SUBSTITUTE(TRIM($H653),"/",","),";",",")," ",""),",",""))+1),"Genre di luar daftar",""))),IF($I653="","Nama Channel kosong",""),IF($J653="","Link Channel kosong",IF(ISERROR(SEARCH("youtu",$J653)),"Link Channel bukan youtube","")),IF($K653="","Link Video kosong",IF(ISERROR(SEARCH("youtu",$K653)),"Link Video bukan youtube","")),IF($L653="","Tgl Dibuat kosong",IF(NOT(ISNUMBER($L653)),"Tgl Dibuat bukan tanggal","")),IF(AND($M653&lt;&gt;"",NOT(ISNUMBER($M653))),"Tgl Publish bukan tanggal",""),IF(AND(ISNUMBER($L653),ISNUMBER($M653),$M653&lt;$L653),"Tgl Publish &lt; Tgl buat",""),IF(TRIM($N653)="","Status kosong",IF(ISERROR(MATCH(TRIM($N653),{"Draft","Menunggu Review","Revisi","Terjadwal","Upload","Publish","Published","Batal"},0)),"Status di luar daftar","")))),""))</f>
        <v/>
      </c>
      <c r="S653" s="12">
        <f>IF(AND($A653&lt;&gt;"",$C653&lt;&gt;""),IF(COUNTIFS($A$2:$A$1000,$A653,$C$2:$C$1000,$C653)&gt;1,"DUPLICAT",""),"")</f>
        <v/>
      </c>
    </row>
    <row r="654">
      <c r="A654" s="17" t="n"/>
      <c r="B654" s="17" t="n"/>
      <c r="C654" s="17" t="n"/>
      <c r="D654" s="18" t="n"/>
      <c r="E654" s="17" t="n"/>
      <c r="F654" s="19" t="n"/>
      <c r="G654" s="17" t="n"/>
      <c r="H654" s="17" t="n"/>
      <c r="I654" s="17" t="n"/>
      <c r="J654" s="19" t="n"/>
      <c r="K654" s="19" t="n"/>
      <c r="L654" s="20" t="n"/>
      <c r="M654" s="20" t="n"/>
      <c r="N654" s="17" t="n"/>
      <c r="O654" s="17" t="n"/>
      <c r="P654" s="21">
        <f>IF(AND(ISNUMBER($L654),ISNUMBER($M654)),MAX(0,$M654-$L654),"")</f>
        <v/>
      </c>
      <c r="Q654" s="21">
        <f>IF(ISNUMBER($D654),MAX(0,TODAY()-$D654),"")</f>
        <v/>
      </c>
      <c r="R654" s="19">
        <f>IF(COUNTA($A654:$O654)=0,"",IFERROR(TRIM(TEXTJOIN(" | ",TRUE,IF($A654="","PC kosong",""),IF($C654="","Worker ID kosong",""),IF($D654="","Update Date kosong",IF(NOT(ISNUMBER($D654)),"Update Date bukan tanggal","")),IF($E654="","Song ID YT kosong",""),IF($F654="","Judul kosong",""),IF(TRIM($G654)="","",IF(ISERROR(MATCH(TRIM($G654),{"TuneCore","DistroKid","TooLost","SoundOn","Ditto","Believe","CD Baby","Amuse","Symphonic Distribution","ONErpm","RouteNote","LANDR","Horus Music","Indie"},0)),"Aggregator di luar daftar","")),IF(TRIM($H654)="","Genre kosong",IF((LEN(SUBSTITUTE(SUBSTITUTE(SUBSTITUTE(TRIM($H654),"/",","),";",",")," ",""))-LEN(SUBSTITUTE(SUBSTITUTE(SUBSTITUTE(SUBSTITUTE(TRIM($H654),"/",","),";",","),"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654),"/",","),";",",")," ","")&amp;",")))&lt;&gt;(LEN(SUBSTITUTE(SUBSTITUTE(SUBSTITUTE(TRIM($H654),"/",","),";",",")," ",""))-LEN(SUBSTITUTE(SUBSTITUTE(SUBSTITUTE(SUBSTITUTE(TRIM($H654),"/",","),";",",")," ",""),",",""))+1),"Genre di luar daftar",""))),IF($I654="","Nama Channel kosong",""),IF($J654="","Link Channel kosong",IF(ISERROR(SEARCH("youtu",$J654)),"Link Channel bukan youtube","")),IF($K654="","Link Video kosong",IF(ISERROR(SEARCH("youtu",$K654)),"Link Video bukan youtube","")),IF($L654="","Tgl Dibuat kosong",IF(NOT(ISNUMBER($L654)),"Tgl Dibuat bukan tanggal","")),IF(AND($M654&lt;&gt;"",NOT(ISNUMBER($M654))),"Tgl Publish bukan tanggal",""),IF(AND(ISNUMBER($L654),ISNUMBER($M654),$M654&lt;$L654),"Tgl Publish &lt; Tgl buat",""),IF(TRIM($N654)="","Status kosong",IF(ISERROR(MATCH(TRIM($N654),{"Draft","Menunggu Review","Revisi","Terjadwal","Upload","Publish","Published","Batal"},0)),"Status di luar daftar","")))),""))</f>
        <v/>
      </c>
      <c r="S654" s="17">
        <f>IF(AND($A654&lt;&gt;"",$C654&lt;&gt;""),IF(COUNTIFS($A$2:$A$1000,$A654,$C$2:$C$1000,$C654)&gt;1,"DUPLICAT",""),"")</f>
        <v/>
      </c>
    </row>
    <row r="655">
      <c r="A655" s="12" t="n"/>
      <c r="B655" s="12" t="n"/>
      <c r="C655" s="12" t="n"/>
      <c r="D655" s="13" t="n"/>
      <c r="E655" s="12" t="n"/>
      <c r="F655" s="14" t="n"/>
      <c r="G655" s="12" t="n"/>
      <c r="H655" s="12" t="n"/>
      <c r="I655" s="12" t="n"/>
      <c r="J655" s="14" t="n"/>
      <c r="K655" s="14" t="n"/>
      <c r="L655" s="15" t="n"/>
      <c r="M655" s="15" t="n"/>
      <c r="N655" s="12" t="n"/>
      <c r="O655" s="12" t="n"/>
      <c r="P655" s="16">
        <f>IF(AND(ISNUMBER($L655),ISNUMBER($M655)),MAX(0,$M655-$L655),"")</f>
        <v/>
      </c>
      <c r="Q655" s="16">
        <f>IF(ISNUMBER($D655),MAX(0,TODAY()-$D655),"")</f>
        <v/>
      </c>
      <c r="R655" s="14">
        <f>IF(COUNTA($A655:$O655)=0,"",IFERROR(TRIM(TEXTJOIN(" | ",TRUE,IF($A655="","PC kosong",""),IF($C655="","Worker ID kosong",""),IF($D655="","Update Date kosong",IF(NOT(ISNUMBER($D655)),"Update Date bukan tanggal","")),IF($E655="","Song ID YT kosong",""),IF($F655="","Judul kosong",""),IF(TRIM($G655)="","",IF(ISERROR(MATCH(TRIM($G655),{"TuneCore","DistroKid","TooLost","SoundOn","Ditto","Believe","CD Baby","Amuse","Symphonic Distribution","ONErpm","RouteNote","LANDR","Horus Music","Indie"},0)),"Aggregator di luar daftar","")),IF(TRIM($H655)="","Genre kosong",IF((LEN(SUBSTITUTE(SUBSTITUTE(SUBSTITUTE(TRIM($H655),"/",","),";",",")," ",""))-LEN(SUBSTITUTE(SUBSTITUTE(SUBSTITUTE(SUBSTITUTE(TRIM($H655),"/",","),";",","),"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655),"/",","),";",",")," ","")&amp;",")))&lt;&gt;(LEN(SUBSTITUTE(SUBSTITUTE(SUBSTITUTE(TRIM($H655),"/",","),";",",")," ",""))-LEN(SUBSTITUTE(SUBSTITUTE(SUBSTITUTE(SUBSTITUTE(TRIM($H655),"/",","),";",",")," ",""),",",""))+1),"Genre di luar daftar",""))),IF($I655="","Nama Channel kosong",""),IF($J655="","Link Channel kosong",IF(ISERROR(SEARCH("youtu",$J655)),"Link Channel bukan youtube","")),IF($K655="","Link Video kosong",IF(ISERROR(SEARCH("youtu",$K655)),"Link Video bukan youtube","")),IF($L655="","Tgl Dibuat kosong",IF(NOT(ISNUMBER($L655)),"Tgl Dibuat bukan tanggal","")),IF(AND($M655&lt;&gt;"",NOT(ISNUMBER($M655))),"Tgl Publish bukan tanggal",""),IF(AND(ISNUMBER($L655),ISNUMBER($M655),$M655&lt;$L655),"Tgl Publish &lt; Tgl buat",""),IF(TRIM($N655)="","Status kosong",IF(ISERROR(MATCH(TRIM($N655),{"Draft","Menunggu Review","Revisi","Terjadwal","Upload","Publish","Published","Batal"},0)),"Status di luar daftar","")))),""))</f>
        <v/>
      </c>
      <c r="S655" s="12">
        <f>IF(AND($A655&lt;&gt;"",$C655&lt;&gt;""),IF(COUNTIFS($A$2:$A$1000,$A655,$C$2:$C$1000,$C655)&gt;1,"DUPLICAT",""),"")</f>
        <v/>
      </c>
    </row>
    <row r="656">
      <c r="A656" s="17" t="n"/>
      <c r="B656" s="17" t="n"/>
      <c r="C656" s="17" t="n"/>
      <c r="D656" s="18" t="n"/>
      <c r="E656" s="17" t="n"/>
      <c r="F656" s="19" t="n"/>
      <c r="G656" s="17" t="n"/>
      <c r="H656" s="17" t="n"/>
      <c r="I656" s="17" t="n"/>
      <c r="J656" s="19" t="n"/>
      <c r="K656" s="19" t="n"/>
      <c r="L656" s="20" t="n"/>
      <c r="M656" s="20" t="n"/>
      <c r="N656" s="17" t="n"/>
      <c r="O656" s="17" t="n"/>
      <c r="P656" s="21">
        <f>IF(AND(ISNUMBER($L656),ISNUMBER($M656)),MAX(0,$M656-$L656),"")</f>
        <v/>
      </c>
      <c r="Q656" s="21">
        <f>IF(ISNUMBER($D656),MAX(0,TODAY()-$D656),"")</f>
        <v/>
      </c>
      <c r="R656" s="19">
        <f>IF(COUNTA($A656:$O656)=0,"",IFERROR(TRIM(TEXTJOIN(" | ",TRUE,IF($A656="","PC kosong",""),IF($C656="","Worker ID kosong",""),IF($D656="","Update Date kosong",IF(NOT(ISNUMBER($D656)),"Update Date bukan tanggal","")),IF($E656="","Song ID YT kosong",""),IF($F656="","Judul kosong",""),IF(TRIM($G656)="","",IF(ISERROR(MATCH(TRIM($G656),{"TuneCore","DistroKid","TooLost","SoundOn","Ditto","Believe","CD Baby","Amuse","Symphonic Distribution","ONErpm","RouteNote","LANDR","Horus Music","Indie"},0)),"Aggregator di luar daftar","")),IF(TRIM($H656)="","Genre kosong",IF((LEN(SUBSTITUTE(SUBSTITUTE(SUBSTITUTE(TRIM($H656),"/",","),";",",")," ",""))-LEN(SUBSTITUTE(SUBSTITUTE(SUBSTITUTE(SUBSTITUTE(TRIM($H656),"/",","),";",","),"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656),"/",","),";",",")," ","")&amp;",")))&lt;&gt;(LEN(SUBSTITUTE(SUBSTITUTE(SUBSTITUTE(TRIM($H656),"/",","),";",",")," ",""))-LEN(SUBSTITUTE(SUBSTITUTE(SUBSTITUTE(SUBSTITUTE(TRIM($H656),"/",","),";",",")," ",""),",",""))+1),"Genre di luar daftar",""))),IF($I656="","Nama Channel kosong",""),IF($J656="","Link Channel kosong",IF(ISERROR(SEARCH("youtu",$J656)),"Link Channel bukan youtube","")),IF($K656="","Link Video kosong",IF(ISERROR(SEARCH("youtu",$K656)),"Link Video bukan youtube","")),IF($L656="","Tgl Dibuat kosong",IF(NOT(ISNUMBER($L656)),"Tgl Dibuat bukan tanggal","")),IF(AND($M656&lt;&gt;"",NOT(ISNUMBER($M656))),"Tgl Publish bukan tanggal",""),IF(AND(ISNUMBER($L656),ISNUMBER($M656),$M656&lt;$L656),"Tgl Publish &lt; Tgl buat",""),IF(TRIM($N656)="","Status kosong",IF(ISERROR(MATCH(TRIM($N656),{"Draft","Menunggu Review","Revisi","Terjadwal","Upload","Publish","Published","Batal"},0)),"Status di luar daftar","")))),""))</f>
        <v/>
      </c>
      <c r="S656" s="17">
        <f>IF(AND($A656&lt;&gt;"",$C656&lt;&gt;""),IF(COUNTIFS($A$2:$A$1000,$A656,$C$2:$C$1000,$C656)&gt;1,"DUPLICAT",""),"")</f>
        <v/>
      </c>
    </row>
    <row r="657">
      <c r="A657" s="12" t="n"/>
      <c r="B657" s="12" t="n"/>
      <c r="C657" s="12" t="n"/>
      <c r="D657" s="13" t="n"/>
      <c r="E657" s="12" t="n"/>
      <c r="F657" s="14" t="n"/>
      <c r="G657" s="12" t="n"/>
      <c r="H657" s="12" t="n"/>
      <c r="I657" s="12" t="n"/>
      <c r="J657" s="14" t="n"/>
      <c r="K657" s="14" t="n"/>
      <c r="L657" s="15" t="n"/>
      <c r="M657" s="15" t="n"/>
      <c r="N657" s="12" t="n"/>
      <c r="O657" s="12" t="n"/>
      <c r="P657" s="16">
        <f>IF(AND(ISNUMBER($L657),ISNUMBER($M657)),MAX(0,$M657-$L657),"")</f>
        <v/>
      </c>
      <c r="Q657" s="16">
        <f>IF(ISNUMBER($D657),MAX(0,TODAY()-$D657),"")</f>
        <v/>
      </c>
      <c r="R657" s="14">
        <f>IF(COUNTA($A657:$O657)=0,"",IFERROR(TRIM(TEXTJOIN(" | ",TRUE,IF($A657="","PC kosong",""),IF($C657="","Worker ID kosong",""),IF($D657="","Update Date kosong",IF(NOT(ISNUMBER($D657)),"Update Date bukan tanggal","")),IF($E657="","Song ID YT kosong",""),IF($F657="","Judul kosong",""),IF(TRIM($G657)="","",IF(ISERROR(MATCH(TRIM($G657),{"TuneCore","DistroKid","TooLost","SoundOn","Ditto","Believe","CD Baby","Amuse","Symphonic Distribution","ONErpm","RouteNote","LANDR","Horus Music","Indie"},0)),"Aggregator di luar daftar","")),IF(TRIM($H657)="","Genre kosong",IF((LEN(SUBSTITUTE(SUBSTITUTE(SUBSTITUTE(TRIM($H657),"/",","),";",",")," ",""))-LEN(SUBSTITUTE(SUBSTITUTE(SUBSTITUTE(SUBSTITUTE(TRIM($H657),"/",","),";",","),"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657),"/",","),";",",")," ","")&amp;",")))&lt;&gt;(LEN(SUBSTITUTE(SUBSTITUTE(SUBSTITUTE(TRIM($H657),"/",","),";",",")," ",""))-LEN(SUBSTITUTE(SUBSTITUTE(SUBSTITUTE(SUBSTITUTE(TRIM($H657),"/",","),";",",")," ",""),",",""))+1),"Genre di luar daftar",""))),IF($I657="","Nama Channel kosong",""),IF($J657="","Link Channel kosong",IF(ISERROR(SEARCH("youtu",$J657)),"Link Channel bukan youtube","")),IF($K657="","Link Video kosong",IF(ISERROR(SEARCH("youtu",$K657)),"Link Video bukan youtube","")),IF($L657="","Tgl Dibuat kosong",IF(NOT(ISNUMBER($L657)),"Tgl Dibuat bukan tanggal","")),IF(AND($M657&lt;&gt;"",NOT(ISNUMBER($M657))),"Tgl Publish bukan tanggal",""),IF(AND(ISNUMBER($L657),ISNUMBER($M657),$M657&lt;$L657),"Tgl Publish &lt; Tgl buat",""),IF(TRIM($N657)="","Status kosong",IF(ISERROR(MATCH(TRIM($N657),{"Draft","Menunggu Review","Revisi","Terjadwal","Upload","Publish","Published","Batal"},0)),"Status di luar daftar","")))),""))</f>
        <v/>
      </c>
      <c r="S657" s="12">
        <f>IF(AND($A657&lt;&gt;"",$C657&lt;&gt;""),IF(COUNTIFS($A$2:$A$1000,$A657,$C$2:$C$1000,$C657)&gt;1,"DUPLICAT",""),"")</f>
        <v/>
      </c>
    </row>
    <row r="658">
      <c r="A658" s="17" t="n"/>
      <c r="B658" s="17" t="n"/>
      <c r="C658" s="17" t="n"/>
      <c r="D658" s="18" t="n"/>
      <c r="E658" s="17" t="n"/>
      <c r="F658" s="19" t="n"/>
      <c r="G658" s="17" t="n"/>
      <c r="H658" s="17" t="n"/>
      <c r="I658" s="17" t="n"/>
      <c r="J658" s="19" t="n"/>
      <c r="K658" s="19" t="n"/>
      <c r="L658" s="20" t="n"/>
      <c r="M658" s="20" t="n"/>
      <c r="N658" s="17" t="n"/>
      <c r="O658" s="17" t="n"/>
      <c r="P658" s="21">
        <f>IF(AND(ISNUMBER($L658),ISNUMBER($M658)),MAX(0,$M658-$L658),"")</f>
        <v/>
      </c>
      <c r="Q658" s="21">
        <f>IF(ISNUMBER($D658),MAX(0,TODAY()-$D658),"")</f>
        <v/>
      </c>
      <c r="R658" s="19">
        <f>IF(COUNTA($A658:$O658)=0,"",IFERROR(TRIM(TEXTJOIN(" | ",TRUE,IF($A658="","PC kosong",""),IF($C658="","Worker ID kosong",""),IF($D658="","Update Date kosong",IF(NOT(ISNUMBER($D658)),"Update Date bukan tanggal","")),IF($E658="","Song ID YT kosong",""),IF($F658="","Judul kosong",""),IF(TRIM($G658)="","",IF(ISERROR(MATCH(TRIM($G658),{"TuneCore","DistroKid","TooLost","SoundOn","Ditto","Believe","CD Baby","Amuse","Symphonic Distribution","ONErpm","RouteNote","LANDR","Horus Music","Indie"},0)),"Aggregator di luar daftar","")),IF(TRIM($H658)="","Genre kosong",IF((LEN(SUBSTITUTE(SUBSTITUTE(SUBSTITUTE(TRIM($H658),"/",","),";",",")," ",""))-LEN(SUBSTITUTE(SUBSTITUTE(SUBSTITUTE(SUBSTITUTE(TRIM($H658),"/",","),";",","),"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658),"/",","),";",",")," ","")&amp;",")))&lt;&gt;(LEN(SUBSTITUTE(SUBSTITUTE(SUBSTITUTE(TRIM($H658),"/",","),";",",")," ",""))-LEN(SUBSTITUTE(SUBSTITUTE(SUBSTITUTE(SUBSTITUTE(TRIM($H658),"/",","),";",",")," ",""),",",""))+1),"Genre di luar daftar",""))),IF($I658="","Nama Channel kosong",""),IF($J658="","Link Channel kosong",IF(ISERROR(SEARCH("youtu",$J658)),"Link Channel bukan youtube","")),IF($K658="","Link Video kosong",IF(ISERROR(SEARCH("youtu",$K658)),"Link Video bukan youtube","")),IF($L658="","Tgl Dibuat kosong",IF(NOT(ISNUMBER($L658)),"Tgl Dibuat bukan tanggal","")),IF(AND($M658&lt;&gt;"",NOT(ISNUMBER($M658))),"Tgl Publish bukan tanggal",""),IF(AND(ISNUMBER($L658),ISNUMBER($M658),$M658&lt;$L658),"Tgl Publish &lt; Tgl buat",""),IF(TRIM($N658)="","Status kosong",IF(ISERROR(MATCH(TRIM($N658),{"Draft","Menunggu Review","Revisi","Terjadwal","Upload","Publish","Published","Batal"},0)),"Status di luar daftar","")))),""))</f>
        <v/>
      </c>
      <c r="S658" s="17">
        <f>IF(AND($A658&lt;&gt;"",$C658&lt;&gt;""),IF(COUNTIFS($A$2:$A$1000,$A658,$C$2:$C$1000,$C658)&gt;1,"DUPLICAT",""),"")</f>
        <v/>
      </c>
    </row>
    <row r="659">
      <c r="A659" s="12" t="n"/>
      <c r="B659" s="12" t="n"/>
      <c r="C659" s="12" t="n"/>
      <c r="D659" s="13" t="n"/>
      <c r="E659" s="12" t="n"/>
      <c r="F659" s="14" t="n"/>
      <c r="G659" s="12" t="n"/>
      <c r="H659" s="12" t="n"/>
      <c r="I659" s="12" t="n"/>
      <c r="J659" s="14" t="n"/>
      <c r="K659" s="14" t="n"/>
      <c r="L659" s="15" t="n"/>
      <c r="M659" s="15" t="n"/>
      <c r="N659" s="12" t="n"/>
      <c r="O659" s="12" t="n"/>
      <c r="P659" s="16">
        <f>IF(AND(ISNUMBER($L659),ISNUMBER($M659)),MAX(0,$M659-$L659),"")</f>
        <v/>
      </c>
      <c r="Q659" s="16">
        <f>IF(ISNUMBER($D659),MAX(0,TODAY()-$D659),"")</f>
        <v/>
      </c>
      <c r="R659" s="14">
        <f>IF(COUNTA($A659:$O659)=0,"",IFERROR(TRIM(TEXTJOIN(" | ",TRUE,IF($A659="","PC kosong",""),IF($C659="","Worker ID kosong",""),IF($D659="","Update Date kosong",IF(NOT(ISNUMBER($D659)),"Update Date bukan tanggal","")),IF($E659="","Song ID YT kosong",""),IF($F659="","Judul kosong",""),IF(TRIM($G659)="","",IF(ISERROR(MATCH(TRIM($G659),{"TuneCore","DistroKid","TooLost","SoundOn","Ditto","Believe","CD Baby","Amuse","Symphonic Distribution","ONErpm","RouteNote","LANDR","Horus Music","Indie"},0)),"Aggregator di luar daftar","")),IF(TRIM($H659)="","Genre kosong",IF((LEN(SUBSTITUTE(SUBSTITUTE(SUBSTITUTE(TRIM($H659),"/",","),";",",")," ",""))-LEN(SUBSTITUTE(SUBSTITUTE(SUBSTITUTE(SUBSTITUTE(TRIM($H659),"/",","),";",","),"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659),"/",","),";",",")," ","")&amp;",")))&lt;&gt;(LEN(SUBSTITUTE(SUBSTITUTE(SUBSTITUTE(TRIM($H659),"/",","),";",",")," ",""))-LEN(SUBSTITUTE(SUBSTITUTE(SUBSTITUTE(SUBSTITUTE(TRIM($H659),"/",","),";",",")," ",""),",",""))+1),"Genre di luar daftar",""))),IF($I659="","Nama Channel kosong",""),IF($J659="","Link Channel kosong",IF(ISERROR(SEARCH("youtu",$J659)),"Link Channel bukan youtube","")),IF($K659="","Link Video kosong",IF(ISERROR(SEARCH("youtu",$K659)),"Link Video bukan youtube","")),IF($L659="","Tgl Dibuat kosong",IF(NOT(ISNUMBER($L659)),"Tgl Dibuat bukan tanggal","")),IF(AND($M659&lt;&gt;"",NOT(ISNUMBER($M659))),"Tgl Publish bukan tanggal",""),IF(AND(ISNUMBER($L659),ISNUMBER($M659),$M659&lt;$L659),"Tgl Publish &lt; Tgl buat",""),IF(TRIM($N659)="","Status kosong",IF(ISERROR(MATCH(TRIM($N659),{"Draft","Menunggu Review","Revisi","Terjadwal","Upload","Publish","Published","Batal"},0)),"Status di luar daftar","")))),""))</f>
        <v/>
      </c>
      <c r="S659" s="12">
        <f>IF(AND($A659&lt;&gt;"",$C659&lt;&gt;""),IF(COUNTIFS($A$2:$A$1000,$A659,$C$2:$C$1000,$C659)&gt;1,"DUPLICAT",""),"")</f>
        <v/>
      </c>
    </row>
    <row r="660">
      <c r="A660" s="17" t="n"/>
      <c r="B660" s="17" t="n"/>
      <c r="C660" s="17" t="n"/>
      <c r="D660" s="18" t="n"/>
      <c r="E660" s="17" t="n"/>
      <c r="F660" s="19" t="n"/>
      <c r="G660" s="17" t="n"/>
      <c r="H660" s="17" t="n"/>
      <c r="I660" s="17" t="n"/>
      <c r="J660" s="19" t="n"/>
      <c r="K660" s="19" t="n"/>
      <c r="L660" s="20" t="n"/>
      <c r="M660" s="20" t="n"/>
      <c r="N660" s="17" t="n"/>
      <c r="O660" s="17" t="n"/>
      <c r="P660" s="21">
        <f>IF(AND(ISNUMBER($L660),ISNUMBER($M660)),MAX(0,$M660-$L660),"")</f>
        <v/>
      </c>
      <c r="Q660" s="21">
        <f>IF(ISNUMBER($D660),MAX(0,TODAY()-$D660),"")</f>
        <v/>
      </c>
      <c r="R660" s="19">
        <f>IF(COUNTA($A660:$O660)=0,"",IFERROR(TRIM(TEXTJOIN(" | ",TRUE,IF($A660="","PC kosong",""),IF($C660="","Worker ID kosong",""),IF($D660="","Update Date kosong",IF(NOT(ISNUMBER($D660)),"Update Date bukan tanggal","")),IF($E660="","Song ID YT kosong",""),IF($F660="","Judul kosong",""),IF(TRIM($G660)="","",IF(ISERROR(MATCH(TRIM($G660),{"TuneCore","DistroKid","TooLost","SoundOn","Ditto","Believe","CD Baby","Amuse","Symphonic Distribution","ONErpm","RouteNote","LANDR","Horus Music","Indie"},0)),"Aggregator di luar daftar","")),IF(TRIM($H660)="","Genre kosong",IF((LEN(SUBSTITUTE(SUBSTITUTE(SUBSTITUTE(TRIM($H660),"/",","),";",",")," ",""))-LEN(SUBSTITUTE(SUBSTITUTE(SUBSTITUTE(SUBSTITUTE(TRIM($H660),"/",","),";",","),"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660),"/",","),";",",")," ","")&amp;",")))&lt;&gt;(LEN(SUBSTITUTE(SUBSTITUTE(SUBSTITUTE(TRIM($H660),"/",","),";",",")," ",""))-LEN(SUBSTITUTE(SUBSTITUTE(SUBSTITUTE(SUBSTITUTE(TRIM($H660),"/",","),";",",")," ",""),",",""))+1),"Genre di luar daftar",""))),IF($I660="","Nama Channel kosong",""),IF($J660="","Link Channel kosong",IF(ISERROR(SEARCH("youtu",$J660)),"Link Channel bukan youtube","")),IF($K660="","Link Video kosong",IF(ISERROR(SEARCH("youtu",$K660)),"Link Video bukan youtube","")),IF($L660="","Tgl Dibuat kosong",IF(NOT(ISNUMBER($L660)),"Tgl Dibuat bukan tanggal","")),IF(AND($M660&lt;&gt;"",NOT(ISNUMBER($M660))),"Tgl Publish bukan tanggal",""),IF(AND(ISNUMBER($L660),ISNUMBER($M660),$M660&lt;$L660),"Tgl Publish &lt; Tgl buat",""),IF(TRIM($N660)="","Status kosong",IF(ISERROR(MATCH(TRIM($N660),{"Draft","Menunggu Review","Revisi","Terjadwal","Upload","Publish","Published","Batal"},0)),"Status di luar daftar","")))),""))</f>
        <v/>
      </c>
      <c r="S660" s="17">
        <f>IF(AND($A660&lt;&gt;"",$C660&lt;&gt;""),IF(COUNTIFS($A$2:$A$1000,$A660,$C$2:$C$1000,$C660)&gt;1,"DUPLICAT",""),"")</f>
        <v/>
      </c>
    </row>
    <row r="661">
      <c r="A661" s="12" t="n"/>
      <c r="B661" s="12" t="n"/>
      <c r="C661" s="12" t="n"/>
      <c r="D661" s="13" t="n"/>
      <c r="E661" s="12" t="n"/>
      <c r="F661" s="14" t="n"/>
      <c r="G661" s="12" t="n"/>
      <c r="H661" s="12" t="n"/>
      <c r="I661" s="12" t="n"/>
      <c r="J661" s="14" t="n"/>
      <c r="K661" s="14" t="n"/>
      <c r="L661" s="15" t="n"/>
      <c r="M661" s="15" t="n"/>
      <c r="N661" s="12" t="n"/>
      <c r="O661" s="12" t="n"/>
      <c r="P661" s="16">
        <f>IF(AND(ISNUMBER($L661),ISNUMBER($M661)),MAX(0,$M661-$L661),"")</f>
        <v/>
      </c>
      <c r="Q661" s="16">
        <f>IF(ISNUMBER($D661),MAX(0,TODAY()-$D661),"")</f>
        <v/>
      </c>
      <c r="R661" s="14">
        <f>IF(COUNTA($A661:$O661)=0,"",IFERROR(TRIM(TEXTJOIN(" | ",TRUE,IF($A661="","PC kosong",""),IF($C661="","Worker ID kosong",""),IF($D661="","Update Date kosong",IF(NOT(ISNUMBER($D661)),"Update Date bukan tanggal","")),IF($E661="","Song ID YT kosong",""),IF($F661="","Judul kosong",""),IF(TRIM($G661)="","",IF(ISERROR(MATCH(TRIM($G661),{"TuneCore","DistroKid","TooLost","SoundOn","Ditto","Believe","CD Baby","Amuse","Symphonic Distribution","ONErpm","RouteNote","LANDR","Horus Music","Indie"},0)),"Aggregator di luar daftar","")),IF(TRIM($H661)="","Genre kosong",IF((LEN(SUBSTITUTE(SUBSTITUTE(SUBSTITUTE(TRIM($H661),"/",","),";",",")," ",""))-LEN(SUBSTITUTE(SUBSTITUTE(SUBSTITUTE(SUBSTITUTE(TRIM($H661),"/",","),";",","),"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661),"/",","),";",",")," ","")&amp;",")))&lt;&gt;(LEN(SUBSTITUTE(SUBSTITUTE(SUBSTITUTE(TRIM($H661),"/",","),";",",")," ",""))-LEN(SUBSTITUTE(SUBSTITUTE(SUBSTITUTE(SUBSTITUTE(TRIM($H661),"/",","),";",",")," ",""),",",""))+1),"Genre di luar daftar",""))),IF($I661="","Nama Channel kosong",""),IF($J661="","Link Channel kosong",IF(ISERROR(SEARCH("youtu",$J661)),"Link Channel bukan youtube","")),IF($K661="","Link Video kosong",IF(ISERROR(SEARCH("youtu",$K661)),"Link Video bukan youtube","")),IF($L661="","Tgl Dibuat kosong",IF(NOT(ISNUMBER($L661)),"Tgl Dibuat bukan tanggal","")),IF(AND($M661&lt;&gt;"",NOT(ISNUMBER($M661))),"Tgl Publish bukan tanggal",""),IF(AND(ISNUMBER($L661),ISNUMBER($M661),$M661&lt;$L661),"Tgl Publish &lt; Tgl buat",""),IF(TRIM($N661)="","Status kosong",IF(ISERROR(MATCH(TRIM($N661),{"Draft","Menunggu Review","Revisi","Terjadwal","Upload","Publish","Published","Batal"},0)),"Status di luar daftar","")))),""))</f>
        <v/>
      </c>
      <c r="S661" s="12">
        <f>IF(AND($A661&lt;&gt;"",$C661&lt;&gt;""),IF(COUNTIFS($A$2:$A$1000,$A661,$C$2:$C$1000,$C661)&gt;1,"DUPLICAT",""),"")</f>
        <v/>
      </c>
    </row>
    <row r="662">
      <c r="A662" s="17" t="n"/>
      <c r="B662" s="17" t="n"/>
      <c r="C662" s="17" t="n"/>
      <c r="D662" s="18" t="n"/>
      <c r="E662" s="17" t="n"/>
      <c r="F662" s="19" t="n"/>
      <c r="G662" s="17" t="n"/>
      <c r="H662" s="17" t="n"/>
      <c r="I662" s="17" t="n"/>
      <c r="J662" s="19" t="n"/>
      <c r="K662" s="19" t="n"/>
      <c r="L662" s="20" t="n"/>
      <c r="M662" s="20" t="n"/>
      <c r="N662" s="17" t="n"/>
      <c r="O662" s="17" t="n"/>
      <c r="P662" s="21">
        <f>IF(AND(ISNUMBER($L662),ISNUMBER($M662)),MAX(0,$M662-$L662),"")</f>
        <v/>
      </c>
      <c r="Q662" s="21">
        <f>IF(ISNUMBER($D662),MAX(0,TODAY()-$D662),"")</f>
        <v/>
      </c>
      <c r="R662" s="19">
        <f>IF(COUNTA($A662:$O662)=0,"",IFERROR(TRIM(TEXTJOIN(" | ",TRUE,IF($A662="","PC kosong",""),IF($C662="","Worker ID kosong",""),IF($D662="","Update Date kosong",IF(NOT(ISNUMBER($D662)),"Update Date bukan tanggal","")),IF($E662="","Song ID YT kosong",""),IF($F662="","Judul kosong",""),IF(TRIM($G662)="","",IF(ISERROR(MATCH(TRIM($G662),{"TuneCore","DistroKid","TooLost","SoundOn","Ditto","Believe","CD Baby","Amuse","Symphonic Distribution","ONErpm","RouteNote","LANDR","Horus Music","Indie"},0)),"Aggregator di luar daftar","")),IF(TRIM($H662)="","Genre kosong",IF((LEN(SUBSTITUTE(SUBSTITUTE(SUBSTITUTE(TRIM($H662),"/",","),";",",")," ",""))-LEN(SUBSTITUTE(SUBSTITUTE(SUBSTITUTE(SUBSTITUTE(TRIM($H662),"/",","),";",","),"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662),"/",","),";",",")," ","")&amp;",")))&lt;&gt;(LEN(SUBSTITUTE(SUBSTITUTE(SUBSTITUTE(TRIM($H662),"/",","),";",",")," ",""))-LEN(SUBSTITUTE(SUBSTITUTE(SUBSTITUTE(SUBSTITUTE(TRIM($H662),"/",","),";",",")," ",""),",",""))+1),"Genre di luar daftar",""))),IF($I662="","Nama Channel kosong",""),IF($J662="","Link Channel kosong",IF(ISERROR(SEARCH("youtu",$J662)),"Link Channel bukan youtube","")),IF($K662="","Link Video kosong",IF(ISERROR(SEARCH("youtu",$K662)),"Link Video bukan youtube","")),IF($L662="","Tgl Dibuat kosong",IF(NOT(ISNUMBER($L662)),"Tgl Dibuat bukan tanggal","")),IF(AND($M662&lt;&gt;"",NOT(ISNUMBER($M662))),"Tgl Publish bukan tanggal",""),IF(AND(ISNUMBER($L662),ISNUMBER($M662),$M662&lt;$L662),"Tgl Publish &lt; Tgl buat",""),IF(TRIM($N662)="","Status kosong",IF(ISERROR(MATCH(TRIM($N662),{"Draft","Menunggu Review","Revisi","Terjadwal","Upload","Publish","Published","Batal"},0)),"Status di luar daftar","")))),""))</f>
        <v/>
      </c>
      <c r="S662" s="17">
        <f>IF(AND($A662&lt;&gt;"",$C662&lt;&gt;""),IF(COUNTIFS($A$2:$A$1000,$A662,$C$2:$C$1000,$C662)&gt;1,"DUPLICAT",""),"")</f>
        <v/>
      </c>
    </row>
    <row r="663">
      <c r="A663" s="12" t="n"/>
      <c r="B663" s="12" t="n"/>
      <c r="C663" s="12" t="n"/>
      <c r="D663" s="13" t="n"/>
      <c r="E663" s="12" t="n"/>
      <c r="F663" s="14" t="n"/>
      <c r="G663" s="12" t="n"/>
      <c r="H663" s="12" t="n"/>
      <c r="I663" s="12" t="n"/>
      <c r="J663" s="14" t="n"/>
      <c r="K663" s="14" t="n"/>
      <c r="L663" s="15" t="n"/>
      <c r="M663" s="15" t="n"/>
      <c r="N663" s="12" t="n"/>
      <c r="O663" s="12" t="n"/>
      <c r="P663" s="16">
        <f>IF(AND(ISNUMBER($L663),ISNUMBER($M663)),MAX(0,$M663-$L663),"")</f>
        <v/>
      </c>
      <c r="Q663" s="16">
        <f>IF(ISNUMBER($D663),MAX(0,TODAY()-$D663),"")</f>
        <v/>
      </c>
      <c r="R663" s="14">
        <f>IF(COUNTA($A663:$O663)=0,"",IFERROR(TRIM(TEXTJOIN(" | ",TRUE,IF($A663="","PC kosong",""),IF($C663="","Worker ID kosong",""),IF($D663="","Update Date kosong",IF(NOT(ISNUMBER($D663)),"Update Date bukan tanggal","")),IF($E663="","Song ID YT kosong",""),IF($F663="","Judul kosong",""),IF(TRIM($G663)="","",IF(ISERROR(MATCH(TRIM($G663),{"TuneCore","DistroKid","TooLost","SoundOn","Ditto","Believe","CD Baby","Amuse","Symphonic Distribution","ONErpm","RouteNote","LANDR","Horus Music","Indie"},0)),"Aggregator di luar daftar","")),IF(TRIM($H663)="","Genre kosong",IF((LEN(SUBSTITUTE(SUBSTITUTE(SUBSTITUTE(TRIM($H663),"/",","),";",",")," ",""))-LEN(SUBSTITUTE(SUBSTITUTE(SUBSTITUTE(SUBSTITUTE(TRIM($H663),"/",","),";",","),"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663),"/",","),";",",")," ","")&amp;",")))&lt;&gt;(LEN(SUBSTITUTE(SUBSTITUTE(SUBSTITUTE(TRIM($H663),"/",","),";",",")," ",""))-LEN(SUBSTITUTE(SUBSTITUTE(SUBSTITUTE(SUBSTITUTE(TRIM($H663),"/",","),";",",")," ",""),",",""))+1),"Genre di luar daftar",""))),IF($I663="","Nama Channel kosong",""),IF($J663="","Link Channel kosong",IF(ISERROR(SEARCH("youtu",$J663)),"Link Channel bukan youtube","")),IF($K663="","Link Video kosong",IF(ISERROR(SEARCH("youtu",$K663)),"Link Video bukan youtube","")),IF($L663="","Tgl Dibuat kosong",IF(NOT(ISNUMBER($L663)),"Tgl Dibuat bukan tanggal","")),IF(AND($M663&lt;&gt;"",NOT(ISNUMBER($M663))),"Tgl Publish bukan tanggal",""),IF(AND(ISNUMBER($L663),ISNUMBER($M663),$M663&lt;$L663),"Tgl Publish &lt; Tgl buat",""),IF(TRIM($N663)="","Status kosong",IF(ISERROR(MATCH(TRIM($N663),{"Draft","Menunggu Review","Revisi","Terjadwal","Upload","Publish","Published","Batal"},0)),"Status di luar daftar","")))),""))</f>
        <v/>
      </c>
      <c r="S663" s="12">
        <f>IF(AND($A663&lt;&gt;"",$C663&lt;&gt;""),IF(COUNTIFS($A$2:$A$1000,$A663,$C$2:$C$1000,$C663)&gt;1,"DUPLICAT",""),"")</f>
        <v/>
      </c>
    </row>
    <row r="664">
      <c r="A664" s="17" t="n"/>
      <c r="B664" s="17" t="n"/>
      <c r="C664" s="17" t="n"/>
      <c r="D664" s="18" t="n"/>
      <c r="E664" s="17" t="n"/>
      <c r="F664" s="19" t="n"/>
      <c r="G664" s="17" t="n"/>
      <c r="H664" s="17" t="n"/>
      <c r="I664" s="17" t="n"/>
      <c r="J664" s="19" t="n"/>
      <c r="K664" s="19" t="n"/>
      <c r="L664" s="20" t="n"/>
      <c r="M664" s="20" t="n"/>
      <c r="N664" s="17" t="n"/>
      <c r="O664" s="17" t="n"/>
      <c r="P664" s="21">
        <f>IF(AND(ISNUMBER($L664),ISNUMBER($M664)),MAX(0,$M664-$L664),"")</f>
        <v/>
      </c>
      <c r="Q664" s="21">
        <f>IF(ISNUMBER($D664),MAX(0,TODAY()-$D664),"")</f>
        <v/>
      </c>
      <c r="R664" s="19">
        <f>IF(COUNTA($A664:$O664)=0,"",IFERROR(TRIM(TEXTJOIN(" | ",TRUE,IF($A664="","PC kosong",""),IF($C664="","Worker ID kosong",""),IF($D664="","Update Date kosong",IF(NOT(ISNUMBER($D664)),"Update Date bukan tanggal","")),IF($E664="","Song ID YT kosong",""),IF($F664="","Judul kosong",""),IF(TRIM($G664)="","",IF(ISERROR(MATCH(TRIM($G664),{"TuneCore","DistroKid","TooLost","SoundOn","Ditto","Believe","CD Baby","Amuse","Symphonic Distribution","ONErpm","RouteNote","LANDR","Horus Music","Indie"},0)),"Aggregator di luar daftar","")),IF(TRIM($H664)="","Genre kosong",IF((LEN(SUBSTITUTE(SUBSTITUTE(SUBSTITUTE(TRIM($H664),"/",","),";",",")," ",""))-LEN(SUBSTITUTE(SUBSTITUTE(SUBSTITUTE(SUBSTITUTE(TRIM($H664),"/",","),";",","),"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664),"/",","),";",",")," ","")&amp;",")))&lt;&gt;(LEN(SUBSTITUTE(SUBSTITUTE(SUBSTITUTE(TRIM($H664),"/",","),";",",")," ",""))-LEN(SUBSTITUTE(SUBSTITUTE(SUBSTITUTE(SUBSTITUTE(TRIM($H664),"/",","),";",",")," ",""),",",""))+1),"Genre di luar daftar",""))),IF($I664="","Nama Channel kosong",""),IF($J664="","Link Channel kosong",IF(ISERROR(SEARCH("youtu",$J664)),"Link Channel bukan youtube","")),IF($K664="","Link Video kosong",IF(ISERROR(SEARCH("youtu",$K664)),"Link Video bukan youtube","")),IF($L664="","Tgl Dibuat kosong",IF(NOT(ISNUMBER($L664)),"Tgl Dibuat bukan tanggal","")),IF(AND($M664&lt;&gt;"",NOT(ISNUMBER($M664))),"Tgl Publish bukan tanggal",""),IF(AND(ISNUMBER($L664),ISNUMBER($M664),$M664&lt;$L664),"Tgl Publish &lt; Tgl buat",""),IF(TRIM($N664)="","Status kosong",IF(ISERROR(MATCH(TRIM($N664),{"Draft","Menunggu Review","Revisi","Terjadwal","Upload","Publish","Published","Batal"},0)),"Status di luar daftar","")))),""))</f>
        <v/>
      </c>
      <c r="S664" s="17">
        <f>IF(AND($A664&lt;&gt;"",$C664&lt;&gt;""),IF(COUNTIFS($A$2:$A$1000,$A664,$C$2:$C$1000,$C664)&gt;1,"DUPLICAT",""),"")</f>
        <v/>
      </c>
    </row>
    <row r="665">
      <c r="A665" s="12" t="n"/>
      <c r="B665" s="12" t="n"/>
      <c r="C665" s="12" t="n"/>
      <c r="D665" s="13" t="n"/>
      <c r="E665" s="12" t="n"/>
      <c r="F665" s="14" t="n"/>
      <c r="G665" s="12" t="n"/>
      <c r="H665" s="12" t="n"/>
      <c r="I665" s="12" t="n"/>
      <c r="J665" s="14" t="n"/>
      <c r="K665" s="14" t="n"/>
      <c r="L665" s="15" t="n"/>
      <c r="M665" s="15" t="n"/>
      <c r="N665" s="12" t="n"/>
      <c r="O665" s="12" t="n"/>
      <c r="P665" s="16">
        <f>IF(AND(ISNUMBER($L665),ISNUMBER($M665)),MAX(0,$M665-$L665),"")</f>
        <v/>
      </c>
      <c r="Q665" s="16">
        <f>IF(ISNUMBER($D665),MAX(0,TODAY()-$D665),"")</f>
        <v/>
      </c>
      <c r="R665" s="14">
        <f>IF(COUNTA($A665:$O665)=0,"",IFERROR(TRIM(TEXTJOIN(" | ",TRUE,IF($A665="","PC kosong",""),IF($C665="","Worker ID kosong",""),IF($D665="","Update Date kosong",IF(NOT(ISNUMBER($D665)),"Update Date bukan tanggal","")),IF($E665="","Song ID YT kosong",""),IF($F665="","Judul kosong",""),IF(TRIM($G665)="","",IF(ISERROR(MATCH(TRIM($G665),{"TuneCore","DistroKid","TooLost","SoundOn","Ditto","Believe","CD Baby","Amuse","Symphonic Distribution","ONErpm","RouteNote","LANDR","Horus Music","Indie"},0)),"Aggregator di luar daftar","")),IF(TRIM($H665)="","Genre kosong",IF((LEN(SUBSTITUTE(SUBSTITUTE(SUBSTITUTE(TRIM($H665),"/",","),";",",")," ",""))-LEN(SUBSTITUTE(SUBSTITUTE(SUBSTITUTE(SUBSTITUTE(TRIM($H665),"/",","),";",","),"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665),"/",","),";",",")," ","")&amp;",")))&lt;&gt;(LEN(SUBSTITUTE(SUBSTITUTE(SUBSTITUTE(TRIM($H665),"/",","),";",",")," ",""))-LEN(SUBSTITUTE(SUBSTITUTE(SUBSTITUTE(SUBSTITUTE(TRIM($H665),"/",","),";",",")," ",""),",",""))+1),"Genre di luar daftar",""))),IF($I665="","Nama Channel kosong",""),IF($J665="","Link Channel kosong",IF(ISERROR(SEARCH("youtu",$J665)),"Link Channel bukan youtube","")),IF($K665="","Link Video kosong",IF(ISERROR(SEARCH("youtu",$K665)),"Link Video bukan youtube","")),IF($L665="","Tgl Dibuat kosong",IF(NOT(ISNUMBER($L665)),"Tgl Dibuat bukan tanggal","")),IF(AND($M665&lt;&gt;"",NOT(ISNUMBER($M665))),"Tgl Publish bukan tanggal",""),IF(AND(ISNUMBER($L665),ISNUMBER($M665),$M665&lt;$L665),"Tgl Publish &lt; Tgl buat",""),IF(TRIM($N665)="","Status kosong",IF(ISERROR(MATCH(TRIM($N665),{"Draft","Menunggu Review","Revisi","Terjadwal","Upload","Publish","Published","Batal"},0)),"Status di luar daftar","")))),""))</f>
        <v/>
      </c>
      <c r="S665" s="12">
        <f>IF(AND($A665&lt;&gt;"",$C665&lt;&gt;""),IF(COUNTIFS($A$2:$A$1000,$A665,$C$2:$C$1000,$C665)&gt;1,"DUPLICAT",""),"")</f>
        <v/>
      </c>
    </row>
    <row r="666">
      <c r="A666" s="17" t="n"/>
      <c r="B666" s="17" t="n"/>
      <c r="C666" s="17" t="n"/>
      <c r="D666" s="18" t="n"/>
      <c r="E666" s="17" t="n"/>
      <c r="F666" s="19" t="n"/>
      <c r="G666" s="17" t="n"/>
      <c r="H666" s="17" t="n"/>
      <c r="I666" s="17" t="n"/>
      <c r="J666" s="19" t="n"/>
      <c r="K666" s="19" t="n"/>
      <c r="L666" s="20" t="n"/>
      <c r="M666" s="20" t="n"/>
      <c r="N666" s="17" t="n"/>
      <c r="O666" s="17" t="n"/>
      <c r="P666" s="21">
        <f>IF(AND(ISNUMBER($L666),ISNUMBER($M666)),MAX(0,$M666-$L666),"")</f>
        <v/>
      </c>
      <c r="Q666" s="21">
        <f>IF(ISNUMBER($D666),MAX(0,TODAY()-$D666),"")</f>
        <v/>
      </c>
      <c r="R666" s="19">
        <f>IF(COUNTA($A666:$O666)=0,"",IFERROR(TRIM(TEXTJOIN(" | ",TRUE,IF($A666="","PC kosong",""),IF($C666="","Worker ID kosong",""),IF($D666="","Update Date kosong",IF(NOT(ISNUMBER($D666)),"Update Date bukan tanggal","")),IF($E666="","Song ID YT kosong",""),IF($F666="","Judul kosong",""),IF(TRIM($G666)="","",IF(ISERROR(MATCH(TRIM($G666),{"TuneCore","DistroKid","TooLost","SoundOn","Ditto","Believe","CD Baby","Amuse","Symphonic Distribution","ONErpm","RouteNote","LANDR","Horus Music","Indie"},0)),"Aggregator di luar daftar","")),IF(TRIM($H666)="","Genre kosong",IF((LEN(SUBSTITUTE(SUBSTITUTE(SUBSTITUTE(TRIM($H666),"/",","),";",",")," ",""))-LEN(SUBSTITUTE(SUBSTITUTE(SUBSTITUTE(SUBSTITUTE(TRIM($H666),"/",","),";",","),"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666),"/",","),";",",")," ","")&amp;",")))&lt;&gt;(LEN(SUBSTITUTE(SUBSTITUTE(SUBSTITUTE(TRIM($H666),"/",","),";",",")," ",""))-LEN(SUBSTITUTE(SUBSTITUTE(SUBSTITUTE(SUBSTITUTE(TRIM($H666),"/",","),";",",")," ",""),",",""))+1),"Genre di luar daftar",""))),IF($I666="","Nama Channel kosong",""),IF($J666="","Link Channel kosong",IF(ISERROR(SEARCH("youtu",$J666)),"Link Channel bukan youtube","")),IF($K666="","Link Video kosong",IF(ISERROR(SEARCH("youtu",$K666)),"Link Video bukan youtube","")),IF($L666="","Tgl Dibuat kosong",IF(NOT(ISNUMBER($L666)),"Tgl Dibuat bukan tanggal","")),IF(AND($M666&lt;&gt;"",NOT(ISNUMBER($M666))),"Tgl Publish bukan tanggal",""),IF(AND(ISNUMBER($L666),ISNUMBER($M666),$M666&lt;$L666),"Tgl Publish &lt; Tgl buat",""),IF(TRIM($N666)="","Status kosong",IF(ISERROR(MATCH(TRIM($N666),{"Draft","Menunggu Review","Revisi","Terjadwal","Upload","Publish","Published","Batal"},0)),"Status di luar daftar","")))),""))</f>
        <v/>
      </c>
      <c r="S666" s="17">
        <f>IF(AND($A666&lt;&gt;"",$C666&lt;&gt;""),IF(COUNTIFS($A$2:$A$1000,$A666,$C$2:$C$1000,$C666)&gt;1,"DUPLICAT",""),"")</f>
        <v/>
      </c>
    </row>
    <row r="667">
      <c r="A667" s="12" t="n"/>
      <c r="B667" s="12" t="n"/>
      <c r="C667" s="12" t="n"/>
      <c r="D667" s="13" t="n"/>
      <c r="E667" s="12" t="n"/>
      <c r="F667" s="14" t="n"/>
      <c r="G667" s="12" t="n"/>
      <c r="H667" s="12" t="n"/>
      <c r="I667" s="12" t="n"/>
      <c r="J667" s="14" t="n"/>
      <c r="K667" s="14" t="n"/>
      <c r="L667" s="15" t="n"/>
      <c r="M667" s="15" t="n"/>
      <c r="N667" s="12" t="n"/>
      <c r="O667" s="12" t="n"/>
      <c r="P667" s="16">
        <f>IF(AND(ISNUMBER($L667),ISNUMBER($M667)),MAX(0,$M667-$L667),"")</f>
        <v/>
      </c>
      <c r="Q667" s="16">
        <f>IF(ISNUMBER($D667),MAX(0,TODAY()-$D667),"")</f>
        <v/>
      </c>
      <c r="R667" s="14">
        <f>IF(COUNTA($A667:$O667)=0,"",IFERROR(TRIM(TEXTJOIN(" | ",TRUE,IF($A667="","PC kosong",""),IF($C667="","Worker ID kosong",""),IF($D667="","Update Date kosong",IF(NOT(ISNUMBER($D667)),"Update Date bukan tanggal","")),IF($E667="","Song ID YT kosong",""),IF($F667="","Judul kosong",""),IF(TRIM($G667)="","",IF(ISERROR(MATCH(TRIM($G667),{"TuneCore","DistroKid","TooLost","SoundOn","Ditto","Believe","CD Baby","Amuse","Symphonic Distribution","ONErpm","RouteNote","LANDR","Horus Music","Indie"},0)),"Aggregator di luar daftar","")),IF(TRIM($H667)="","Genre kosong",IF((LEN(SUBSTITUTE(SUBSTITUTE(SUBSTITUTE(TRIM($H667),"/",","),";",",")," ",""))-LEN(SUBSTITUTE(SUBSTITUTE(SUBSTITUTE(SUBSTITUTE(TRIM($H667),"/",","),";",","),"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667),"/",","),";",",")," ","")&amp;",")))&lt;&gt;(LEN(SUBSTITUTE(SUBSTITUTE(SUBSTITUTE(TRIM($H667),"/",","),";",",")," ",""))-LEN(SUBSTITUTE(SUBSTITUTE(SUBSTITUTE(SUBSTITUTE(TRIM($H667),"/",","),";",",")," ",""),",",""))+1),"Genre di luar daftar",""))),IF($I667="","Nama Channel kosong",""),IF($J667="","Link Channel kosong",IF(ISERROR(SEARCH("youtu",$J667)),"Link Channel bukan youtube","")),IF($K667="","Link Video kosong",IF(ISERROR(SEARCH("youtu",$K667)),"Link Video bukan youtube","")),IF($L667="","Tgl Dibuat kosong",IF(NOT(ISNUMBER($L667)),"Tgl Dibuat bukan tanggal","")),IF(AND($M667&lt;&gt;"",NOT(ISNUMBER($M667))),"Tgl Publish bukan tanggal",""),IF(AND(ISNUMBER($L667),ISNUMBER($M667),$M667&lt;$L667),"Tgl Publish &lt; Tgl buat",""),IF(TRIM($N667)="","Status kosong",IF(ISERROR(MATCH(TRIM($N667),{"Draft","Menunggu Review","Revisi","Terjadwal","Upload","Publish","Published","Batal"},0)),"Status di luar daftar","")))),""))</f>
        <v/>
      </c>
      <c r="S667" s="12">
        <f>IF(AND($A667&lt;&gt;"",$C667&lt;&gt;""),IF(COUNTIFS($A$2:$A$1000,$A667,$C$2:$C$1000,$C667)&gt;1,"DUPLICAT",""),"")</f>
        <v/>
      </c>
    </row>
    <row r="668">
      <c r="A668" s="17" t="n"/>
      <c r="B668" s="17" t="n"/>
      <c r="C668" s="17" t="n"/>
      <c r="D668" s="18" t="n"/>
      <c r="E668" s="17" t="n"/>
      <c r="F668" s="19" t="n"/>
      <c r="G668" s="17" t="n"/>
      <c r="H668" s="17" t="n"/>
      <c r="I668" s="17" t="n"/>
      <c r="J668" s="19" t="n"/>
      <c r="K668" s="19" t="n"/>
      <c r="L668" s="20" t="n"/>
      <c r="M668" s="20" t="n"/>
      <c r="N668" s="17" t="n"/>
      <c r="O668" s="17" t="n"/>
      <c r="P668" s="21">
        <f>IF(AND(ISNUMBER($L668),ISNUMBER($M668)),MAX(0,$M668-$L668),"")</f>
        <v/>
      </c>
      <c r="Q668" s="21">
        <f>IF(ISNUMBER($D668),MAX(0,TODAY()-$D668),"")</f>
        <v/>
      </c>
      <c r="R668" s="19">
        <f>IF(COUNTA($A668:$O668)=0,"",IFERROR(TRIM(TEXTJOIN(" | ",TRUE,IF($A668="","PC kosong",""),IF($C668="","Worker ID kosong",""),IF($D668="","Update Date kosong",IF(NOT(ISNUMBER($D668)),"Update Date bukan tanggal","")),IF($E668="","Song ID YT kosong",""),IF($F668="","Judul kosong",""),IF(TRIM($G668)="","",IF(ISERROR(MATCH(TRIM($G668),{"TuneCore","DistroKid","TooLost","SoundOn","Ditto","Believe","CD Baby","Amuse","Symphonic Distribution","ONErpm","RouteNote","LANDR","Horus Music","Indie"},0)),"Aggregator di luar daftar","")),IF(TRIM($H668)="","Genre kosong",IF((LEN(SUBSTITUTE(SUBSTITUTE(SUBSTITUTE(TRIM($H668),"/",","),";",",")," ",""))-LEN(SUBSTITUTE(SUBSTITUTE(SUBSTITUTE(SUBSTITUTE(TRIM($H668),"/",","),";",","),"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668),"/",","),";",",")," ","")&amp;",")))&lt;&gt;(LEN(SUBSTITUTE(SUBSTITUTE(SUBSTITUTE(TRIM($H668),"/",","),";",",")," ",""))-LEN(SUBSTITUTE(SUBSTITUTE(SUBSTITUTE(SUBSTITUTE(TRIM($H668),"/",","),";",",")," ",""),",",""))+1),"Genre di luar daftar",""))),IF($I668="","Nama Channel kosong",""),IF($J668="","Link Channel kosong",IF(ISERROR(SEARCH("youtu",$J668)),"Link Channel bukan youtube","")),IF($K668="","Link Video kosong",IF(ISERROR(SEARCH("youtu",$K668)),"Link Video bukan youtube","")),IF($L668="","Tgl Dibuat kosong",IF(NOT(ISNUMBER($L668)),"Tgl Dibuat bukan tanggal","")),IF(AND($M668&lt;&gt;"",NOT(ISNUMBER($M668))),"Tgl Publish bukan tanggal",""),IF(AND(ISNUMBER($L668),ISNUMBER($M668),$M668&lt;$L668),"Tgl Publish &lt; Tgl buat",""),IF(TRIM($N668)="","Status kosong",IF(ISERROR(MATCH(TRIM($N668),{"Draft","Menunggu Review","Revisi","Terjadwal","Upload","Publish","Published","Batal"},0)),"Status di luar daftar","")))),""))</f>
        <v/>
      </c>
      <c r="S668" s="17">
        <f>IF(AND($A668&lt;&gt;"",$C668&lt;&gt;""),IF(COUNTIFS($A$2:$A$1000,$A668,$C$2:$C$1000,$C668)&gt;1,"DUPLICAT",""),"")</f>
        <v/>
      </c>
    </row>
    <row r="669">
      <c r="A669" s="12" t="n"/>
      <c r="B669" s="12" t="n"/>
      <c r="C669" s="12" t="n"/>
      <c r="D669" s="13" t="n"/>
      <c r="E669" s="12" t="n"/>
      <c r="F669" s="14" t="n"/>
      <c r="G669" s="12" t="n"/>
      <c r="H669" s="12" t="n"/>
      <c r="I669" s="12" t="n"/>
      <c r="J669" s="14" t="n"/>
      <c r="K669" s="14" t="n"/>
      <c r="L669" s="15" t="n"/>
      <c r="M669" s="15" t="n"/>
      <c r="N669" s="12" t="n"/>
      <c r="O669" s="12" t="n"/>
      <c r="P669" s="16">
        <f>IF(AND(ISNUMBER($L669),ISNUMBER($M669)),MAX(0,$M669-$L669),"")</f>
        <v/>
      </c>
      <c r="Q669" s="16">
        <f>IF(ISNUMBER($D669),MAX(0,TODAY()-$D669),"")</f>
        <v/>
      </c>
      <c r="R669" s="14">
        <f>IF(COUNTA($A669:$O669)=0,"",IFERROR(TRIM(TEXTJOIN(" | ",TRUE,IF($A669="","PC kosong",""),IF($C669="","Worker ID kosong",""),IF($D669="","Update Date kosong",IF(NOT(ISNUMBER($D669)),"Update Date bukan tanggal","")),IF($E669="","Song ID YT kosong",""),IF($F669="","Judul kosong",""),IF(TRIM($G669)="","",IF(ISERROR(MATCH(TRIM($G669),{"TuneCore","DistroKid","TooLost","SoundOn","Ditto","Believe","CD Baby","Amuse","Symphonic Distribution","ONErpm","RouteNote","LANDR","Horus Music","Indie"},0)),"Aggregator di luar daftar","")),IF(TRIM($H669)="","Genre kosong",IF((LEN(SUBSTITUTE(SUBSTITUTE(SUBSTITUTE(TRIM($H669),"/",","),";",",")," ",""))-LEN(SUBSTITUTE(SUBSTITUTE(SUBSTITUTE(SUBSTITUTE(TRIM($H669),"/",","),";",","),"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669),"/",","),";",",")," ","")&amp;",")))&lt;&gt;(LEN(SUBSTITUTE(SUBSTITUTE(SUBSTITUTE(TRIM($H669),"/",","),";",",")," ",""))-LEN(SUBSTITUTE(SUBSTITUTE(SUBSTITUTE(SUBSTITUTE(TRIM($H669),"/",","),";",",")," ",""),",",""))+1),"Genre di luar daftar",""))),IF($I669="","Nama Channel kosong",""),IF($J669="","Link Channel kosong",IF(ISERROR(SEARCH("youtu",$J669)),"Link Channel bukan youtube","")),IF($K669="","Link Video kosong",IF(ISERROR(SEARCH("youtu",$K669)),"Link Video bukan youtube","")),IF($L669="","Tgl Dibuat kosong",IF(NOT(ISNUMBER($L669)),"Tgl Dibuat bukan tanggal","")),IF(AND($M669&lt;&gt;"",NOT(ISNUMBER($M669))),"Tgl Publish bukan tanggal",""),IF(AND(ISNUMBER($L669),ISNUMBER($M669),$M669&lt;$L669),"Tgl Publish &lt; Tgl buat",""),IF(TRIM($N669)="","Status kosong",IF(ISERROR(MATCH(TRIM($N669),{"Draft","Menunggu Review","Revisi","Terjadwal","Upload","Publish","Published","Batal"},0)),"Status di luar daftar","")))),""))</f>
        <v/>
      </c>
      <c r="S669" s="12">
        <f>IF(AND($A669&lt;&gt;"",$C669&lt;&gt;""),IF(COUNTIFS($A$2:$A$1000,$A669,$C$2:$C$1000,$C669)&gt;1,"DUPLICAT",""),"")</f>
        <v/>
      </c>
    </row>
    <row r="670">
      <c r="A670" s="17" t="n"/>
      <c r="B670" s="17" t="n"/>
      <c r="C670" s="17" t="n"/>
      <c r="D670" s="18" t="n"/>
      <c r="E670" s="17" t="n"/>
      <c r="F670" s="19" t="n"/>
      <c r="G670" s="17" t="n"/>
      <c r="H670" s="17" t="n"/>
      <c r="I670" s="17" t="n"/>
      <c r="J670" s="19" t="n"/>
      <c r="K670" s="19" t="n"/>
      <c r="L670" s="20" t="n"/>
      <c r="M670" s="20" t="n"/>
      <c r="N670" s="17" t="n"/>
      <c r="O670" s="17" t="n"/>
      <c r="P670" s="21">
        <f>IF(AND(ISNUMBER($L670),ISNUMBER($M670)),MAX(0,$M670-$L670),"")</f>
        <v/>
      </c>
      <c r="Q670" s="21">
        <f>IF(ISNUMBER($D670),MAX(0,TODAY()-$D670),"")</f>
        <v/>
      </c>
      <c r="R670" s="19">
        <f>IF(COUNTA($A670:$O670)=0,"",IFERROR(TRIM(TEXTJOIN(" | ",TRUE,IF($A670="","PC kosong",""),IF($C670="","Worker ID kosong",""),IF($D670="","Update Date kosong",IF(NOT(ISNUMBER($D670)),"Update Date bukan tanggal","")),IF($E670="","Song ID YT kosong",""),IF($F670="","Judul kosong",""),IF(TRIM($G670)="","",IF(ISERROR(MATCH(TRIM($G670),{"TuneCore","DistroKid","TooLost","SoundOn","Ditto","Believe","CD Baby","Amuse","Symphonic Distribution","ONErpm","RouteNote","LANDR","Horus Music","Indie"},0)),"Aggregator di luar daftar","")),IF(TRIM($H670)="","Genre kosong",IF((LEN(SUBSTITUTE(SUBSTITUTE(SUBSTITUTE(TRIM($H670),"/",","),";",",")," ",""))-LEN(SUBSTITUTE(SUBSTITUTE(SUBSTITUTE(SUBSTITUTE(TRIM($H670),"/",","),";",","),"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670),"/",","),";",",")," ","")&amp;",")))&lt;&gt;(LEN(SUBSTITUTE(SUBSTITUTE(SUBSTITUTE(TRIM($H670),"/",","),";",",")," ",""))-LEN(SUBSTITUTE(SUBSTITUTE(SUBSTITUTE(SUBSTITUTE(TRIM($H670),"/",","),";",",")," ",""),",",""))+1),"Genre di luar daftar",""))),IF($I670="","Nama Channel kosong",""),IF($J670="","Link Channel kosong",IF(ISERROR(SEARCH("youtu",$J670)),"Link Channel bukan youtube","")),IF($K670="","Link Video kosong",IF(ISERROR(SEARCH("youtu",$K670)),"Link Video bukan youtube","")),IF($L670="","Tgl Dibuat kosong",IF(NOT(ISNUMBER($L670)),"Tgl Dibuat bukan tanggal","")),IF(AND($M670&lt;&gt;"",NOT(ISNUMBER($M670))),"Tgl Publish bukan tanggal",""),IF(AND(ISNUMBER($L670),ISNUMBER($M670),$M670&lt;$L670),"Tgl Publish &lt; Tgl buat",""),IF(TRIM($N670)="","Status kosong",IF(ISERROR(MATCH(TRIM($N670),{"Draft","Menunggu Review","Revisi","Terjadwal","Upload","Publish","Published","Batal"},0)),"Status di luar daftar","")))),""))</f>
        <v/>
      </c>
      <c r="S670" s="17">
        <f>IF(AND($A670&lt;&gt;"",$C670&lt;&gt;""),IF(COUNTIFS($A$2:$A$1000,$A670,$C$2:$C$1000,$C670)&gt;1,"DUPLICAT",""),"")</f>
        <v/>
      </c>
    </row>
    <row r="671">
      <c r="A671" s="12" t="n"/>
      <c r="B671" s="12" t="n"/>
      <c r="C671" s="12" t="n"/>
      <c r="D671" s="13" t="n"/>
      <c r="E671" s="12" t="n"/>
      <c r="F671" s="14" t="n"/>
      <c r="G671" s="12" t="n"/>
      <c r="H671" s="12" t="n"/>
      <c r="I671" s="12" t="n"/>
      <c r="J671" s="14" t="n"/>
      <c r="K671" s="14" t="n"/>
      <c r="L671" s="15" t="n"/>
      <c r="M671" s="15" t="n"/>
      <c r="N671" s="12" t="n"/>
      <c r="O671" s="12" t="n"/>
      <c r="P671" s="16">
        <f>IF(AND(ISNUMBER($L671),ISNUMBER($M671)),MAX(0,$M671-$L671),"")</f>
        <v/>
      </c>
      <c r="Q671" s="16">
        <f>IF(ISNUMBER($D671),MAX(0,TODAY()-$D671),"")</f>
        <v/>
      </c>
      <c r="R671" s="14">
        <f>IF(COUNTA($A671:$O671)=0,"",IFERROR(TRIM(TEXTJOIN(" | ",TRUE,IF($A671="","PC kosong",""),IF($C671="","Worker ID kosong",""),IF($D671="","Update Date kosong",IF(NOT(ISNUMBER($D671)),"Update Date bukan tanggal","")),IF($E671="","Song ID YT kosong",""),IF($F671="","Judul kosong",""),IF(TRIM($G671)="","",IF(ISERROR(MATCH(TRIM($G671),{"TuneCore","DistroKid","TooLost","SoundOn","Ditto","Believe","CD Baby","Amuse","Symphonic Distribution","ONErpm","RouteNote","LANDR","Horus Music","Indie"},0)),"Aggregator di luar daftar","")),IF(TRIM($H671)="","Genre kosong",IF((LEN(SUBSTITUTE(SUBSTITUTE(SUBSTITUTE(TRIM($H671),"/",","),";",",")," ",""))-LEN(SUBSTITUTE(SUBSTITUTE(SUBSTITUTE(SUBSTITUTE(TRIM($H671),"/",","),";",","),"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671),"/",","),";",",")," ","")&amp;",")))&lt;&gt;(LEN(SUBSTITUTE(SUBSTITUTE(SUBSTITUTE(TRIM($H671),"/",","),";",",")," ",""))-LEN(SUBSTITUTE(SUBSTITUTE(SUBSTITUTE(SUBSTITUTE(TRIM($H671),"/",","),";",",")," ",""),",",""))+1),"Genre di luar daftar",""))),IF($I671="","Nama Channel kosong",""),IF($J671="","Link Channel kosong",IF(ISERROR(SEARCH("youtu",$J671)),"Link Channel bukan youtube","")),IF($K671="","Link Video kosong",IF(ISERROR(SEARCH("youtu",$K671)),"Link Video bukan youtube","")),IF($L671="","Tgl Dibuat kosong",IF(NOT(ISNUMBER($L671)),"Tgl Dibuat bukan tanggal","")),IF(AND($M671&lt;&gt;"",NOT(ISNUMBER($M671))),"Tgl Publish bukan tanggal",""),IF(AND(ISNUMBER($L671),ISNUMBER($M671),$M671&lt;$L671),"Tgl Publish &lt; Tgl buat",""),IF(TRIM($N671)="","Status kosong",IF(ISERROR(MATCH(TRIM($N671),{"Draft","Menunggu Review","Revisi","Terjadwal","Upload","Publish","Published","Batal"},0)),"Status di luar daftar","")))),""))</f>
        <v/>
      </c>
      <c r="S671" s="12">
        <f>IF(AND($A671&lt;&gt;"",$C671&lt;&gt;""),IF(COUNTIFS($A$2:$A$1000,$A671,$C$2:$C$1000,$C671)&gt;1,"DUPLICAT",""),"")</f>
        <v/>
      </c>
    </row>
    <row r="672">
      <c r="A672" s="17" t="n"/>
      <c r="B672" s="17" t="n"/>
      <c r="C672" s="17" t="n"/>
      <c r="D672" s="18" t="n"/>
      <c r="E672" s="17" t="n"/>
      <c r="F672" s="19" t="n"/>
      <c r="G672" s="17" t="n"/>
      <c r="H672" s="17" t="n"/>
      <c r="I672" s="17" t="n"/>
      <c r="J672" s="19" t="n"/>
      <c r="K672" s="19" t="n"/>
      <c r="L672" s="20" t="n"/>
      <c r="M672" s="20" t="n"/>
      <c r="N672" s="17" t="n"/>
      <c r="O672" s="17" t="n"/>
      <c r="P672" s="21">
        <f>IF(AND(ISNUMBER($L672),ISNUMBER($M672)),MAX(0,$M672-$L672),"")</f>
        <v/>
      </c>
      <c r="Q672" s="21">
        <f>IF(ISNUMBER($D672),MAX(0,TODAY()-$D672),"")</f>
        <v/>
      </c>
      <c r="R672" s="19">
        <f>IF(COUNTA($A672:$O672)=0,"",IFERROR(TRIM(TEXTJOIN(" | ",TRUE,IF($A672="","PC kosong",""),IF($C672="","Worker ID kosong",""),IF($D672="","Update Date kosong",IF(NOT(ISNUMBER($D672)),"Update Date bukan tanggal","")),IF($E672="","Song ID YT kosong",""),IF($F672="","Judul kosong",""),IF(TRIM($G672)="","",IF(ISERROR(MATCH(TRIM($G672),{"TuneCore","DistroKid","TooLost","SoundOn","Ditto","Believe","CD Baby","Amuse","Symphonic Distribution","ONErpm","RouteNote","LANDR","Horus Music","Indie"},0)),"Aggregator di luar daftar","")),IF(TRIM($H672)="","Genre kosong",IF((LEN(SUBSTITUTE(SUBSTITUTE(SUBSTITUTE(TRIM($H672),"/",","),";",",")," ",""))-LEN(SUBSTITUTE(SUBSTITUTE(SUBSTITUTE(SUBSTITUTE(TRIM($H672),"/",","),";",","),"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672),"/",","),";",",")," ","")&amp;",")))&lt;&gt;(LEN(SUBSTITUTE(SUBSTITUTE(SUBSTITUTE(TRIM($H672),"/",","),";",",")," ",""))-LEN(SUBSTITUTE(SUBSTITUTE(SUBSTITUTE(SUBSTITUTE(TRIM($H672),"/",","),";",",")," ",""),",",""))+1),"Genre di luar daftar",""))),IF($I672="","Nama Channel kosong",""),IF($J672="","Link Channel kosong",IF(ISERROR(SEARCH("youtu",$J672)),"Link Channel bukan youtube","")),IF($K672="","Link Video kosong",IF(ISERROR(SEARCH("youtu",$K672)),"Link Video bukan youtube","")),IF($L672="","Tgl Dibuat kosong",IF(NOT(ISNUMBER($L672)),"Tgl Dibuat bukan tanggal","")),IF(AND($M672&lt;&gt;"",NOT(ISNUMBER($M672))),"Tgl Publish bukan tanggal",""),IF(AND(ISNUMBER($L672),ISNUMBER($M672),$M672&lt;$L672),"Tgl Publish &lt; Tgl buat",""),IF(TRIM($N672)="","Status kosong",IF(ISERROR(MATCH(TRIM($N672),{"Draft","Menunggu Review","Revisi","Terjadwal","Upload","Publish","Published","Batal"},0)),"Status di luar daftar","")))),""))</f>
        <v/>
      </c>
      <c r="S672" s="17">
        <f>IF(AND($A672&lt;&gt;"",$C672&lt;&gt;""),IF(COUNTIFS($A$2:$A$1000,$A672,$C$2:$C$1000,$C672)&gt;1,"DUPLICAT",""),"")</f>
        <v/>
      </c>
    </row>
    <row r="673">
      <c r="A673" s="12" t="n"/>
      <c r="B673" s="12" t="n"/>
      <c r="C673" s="12" t="n"/>
      <c r="D673" s="13" t="n"/>
      <c r="E673" s="12" t="n"/>
      <c r="F673" s="14" t="n"/>
      <c r="G673" s="12" t="n"/>
      <c r="H673" s="12" t="n"/>
      <c r="I673" s="12" t="n"/>
      <c r="J673" s="14" t="n"/>
      <c r="K673" s="14" t="n"/>
      <c r="L673" s="15" t="n"/>
      <c r="M673" s="15" t="n"/>
      <c r="N673" s="12" t="n"/>
      <c r="O673" s="12" t="n"/>
      <c r="P673" s="16">
        <f>IF(AND(ISNUMBER($L673),ISNUMBER($M673)),MAX(0,$M673-$L673),"")</f>
        <v/>
      </c>
      <c r="Q673" s="16">
        <f>IF(ISNUMBER($D673),MAX(0,TODAY()-$D673),"")</f>
        <v/>
      </c>
      <c r="R673" s="14">
        <f>IF(COUNTA($A673:$O673)=0,"",IFERROR(TRIM(TEXTJOIN(" | ",TRUE,IF($A673="","PC kosong",""),IF($C673="","Worker ID kosong",""),IF($D673="","Update Date kosong",IF(NOT(ISNUMBER($D673)),"Update Date bukan tanggal","")),IF($E673="","Song ID YT kosong",""),IF($F673="","Judul kosong",""),IF(TRIM($G673)="","",IF(ISERROR(MATCH(TRIM($G673),{"TuneCore","DistroKid","TooLost","SoundOn","Ditto","Believe","CD Baby","Amuse","Symphonic Distribution","ONErpm","RouteNote","LANDR","Horus Music","Indie"},0)),"Aggregator di luar daftar","")),IF(TRIM($H673)="","Genre kosong",IF((LEN(SUBSTITUTE(SUBSTITUTE(SUBSTITUTE(TRIM($H673),"/",","),";",",")," ",""))-LEN(SUBSTITUTE(SUBSTITUTE(SUBSTITUTE(SUBSTITUTE(TRIM($H673),"/",","),";",","),"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673),"/",","),";",",")," ","")&amp;",")))&lt;&gt;(LEN(SUBSTITUTE(SUBSTITUTE(SUBSTITUTE(TRIM($H673),"/",","),";",",")," ",""))-LEN(SUBSTITUTE(SUBSTITUTE(SUBSTITUTE(SUBSTITUTE(TRIM($H673),"/",","),";",",")," ",""),",",""))+1),"Genre di luar daftar",""))),IF($I673="","Nama Channel kosong",""),IF($J673="","Link Channel kosong",IF(ISERROR(SEARCH("youtu",$J673)),"Link Channel bukan youtube","")),IF($K673="","Link Video kosong",IF(ISERROR(SEARCH("youtu",$K673)),"Link Video bukan youtube","")),IF($L673="","Tgl Dibuat kosong",IF(NOT(ISNUMBER($L673)),"Tgl Dibuat bukan tanggal","")),IF(AND($M673&lt;&gt;"",NOT(ISNUMBER($M673))),"Tgl Publish bukan tanggal",""),IF(AND(ISNUMBER($L673),ISNUMBER($M673),$M673&lt;$L673),"Tgl Publish &lt; Tgl buat",""),IF(TRIM($N673)="","Status kosong",IF(ISERROR(MATCH(TRIM($N673),{"Draft","Menunggu Review","Revisi","Terjadwal","Upload","Publish","Published","Batal"},0)),"Status di luar daftar","")))),""))</f>
        <v/>
      </c>
      <c r="S673" s="12">
        <f>IF(AND($A673&lt;&gt;"",$C673&lt;&gt;""),IF(COUNTIFS($A$2:$A$1000,$A673,$C$2:$C$1000,$C673)&gt;1,"DUPLICAT",""),"")</f>
        <v/>
      </c>
    </row>
    <row r="674">
      <c r="A674" s="17" t="n"/>
      <c r="B674" s="17" t="n"/>
      <c r="C674" s="17" t="n"/>
      <c r="D674" s="18" t="n"/>
      <c r="E674" s="17" t="n"/>
      <c r="F674" s="19" t="n"/>
      <c r="G674" s="17" t="n"/>
      <c r="H674" s="17" t="n"/>
      <c r="I674" s="17" t="n"/>
      <c r="J674" s="19" t="n"/>
      <c r="K674" s="19" t="n"/>
      <c r="L674" s="20" t="n"/>
      <c r="M674" s="20" t="n"/>
      <c r="N674" s="17" t="n"/>
      <c r="O674" s="17" t="n"/>
      <c r="P674" s="21">
        <f>IF(AND(ISNUMBER($L674),ISNUMBER($M674)),MAX(0,$M674-$L674),"")</f>
        <v/>
      </c>
      <c r="Q674" s="21">
        <f>IF(ISNUMBER($D674),MAX(0,TODAY()-$D674),"")</f>
        <v/>
      </c>
      <c r="R674" s="19">
        <f>IF(COUNTA($A674:$O674)=0,"",IFERROR(TRIM(TEXTJOIN(" | ",TRUE,IF($A674="","PC kosong",""),IF($C674="","Worker ID kosong",""),IF($D674="","Update Date kosong",IF(NOT(ISNUMBER($D674)),"Update Date bukan tanggal","")),IF($E674="","Song ID YT kosong",""),IF($F674="","Judul kosong",""),IF(TRIM($G674)="","",IF(ISERROR(MATCH(TRIM($G674),{"TuneCore","DistroKid","TooLost","SoundOn","Ditto","Believe","CD Baby","Amuse","Symphonic Distribution","ONErpm","RouteNote","LANDR","Horus Music","Indie"},0)),"Aggregator di luar daftar","")),IF(TRIM($H674)="","Genre kosong",IF((LEN(SUBSTITUTE(SUBSTITUTE(SUBSTITUTE(TRIM($H674),"/",","),";",",")," ",""))-LEN(SUBSTITUTE(SUBSTITUTE(SUBSTITUTE(SUBSTITUTE(TRIM($H674),"/",","),";",","),"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674),"/",","),";",",")," ","")&amp;",")))&lt;&gt;(LEN(SUBSTITUTE(SUBSTITUTE(SUBSTITUTE(TRIM($H674),"/",","),";",",")," ",""))-LEN(SUBSTITUTE(SUBSTITUTE(SUBSTITUTE(SUBSTITUTE(TRIM($H674),"/",","),";",",")," ",""),",",""))+1),"Genre di luar daftar",""))),IF($I674="","Nama Channel kosong",""),IF($J674="","Link Channel kosong",IF(ISERROR(SEARCH("youtu",$J674)),"Link Channel bukan youtube","")),IF($K674="","Link Video kosong",IF(ISERROR(SEARCH("youtu",$K674)),"Link Video bukan youtube","")),IF($L674="","Tgl Dibuat kosong",IF(NOT(ISNUMBER($L674)),"Tgl Dibuat bukan tanggal","")),IF(AND($M674&lt;&gt;"",NOT(ISNUMBER($M674))),"Tgl Publish bukan tanggal",""),IF(AND(ISNUMBER($L674),ISNUMBER($M674),$M674&lt;$L674),"Tgl Publish &lt; Tgl buat",""),IF(TRIM($N674)="","Status kosong",IF(ISERROR(MATCH(TRIM($N674),{"Draft","Menunggu Review","Revisi","Terjadwal","Upload","Publish","Published","Batal"},0)),"Status di luar daftar","")))),""))</f>
        <v/>
      </c>
      <c r="S674" s="17">
        <f>IF(AND($A674&lt;&gt;"",$C674&lt;&gt;""),IF(COUNTIFS($A$2:$A$1000,$A674,$C$2:$C$1000,$C674)&gt;1,"DUPLICAT",""),"")</f>
        <v/>
      </c>
    </row>
    <row r="675">
      <c r="A675" s="12" t="n"/>
      <c r="B675" s="12" t="n"/>
      <c r="C675" s="12" t="n"/>
      <c r="D675" s="13" t="n"/>
      <c r="E675" s="12" t="n"/>
      <c r="F675" s="14" t="n"/>
      <c r="G675" s="12" t="n"/>
      <c r="H675" s="12" t="n"/>
      <c r="I675" s="12" t="n"/>
      <c r="J675" s="14" t="n"/>
      <c r="K675" s="14" t="n"/>
      <c r="L675" s="15" t="n"/>
      <c r="M675" s="15" t="n"/>
      <c r="N675" s="12" t="n"/>
      <c r="O675" s="12" t="n"/>
      <c r="P675" s="16">
        <f>IF(AND(ISNUMBER($L675),ISNUMBER($M675)),MAX(0,$M675-$L675),"")</f>
        <v/>
      </c>
      <c r="Q675" s="16">
        <f>IF(ISNUMBER($D675),MAX(0,TODAY()-$D675),"")</f>
        <v/>
      </c>
      <c r="R675" s="14">
        <f>IF(COUNTA($A675:$O675)=0,"",IFERROR(TRIM(TEXTJOIN(" | ",TRUE,IF($A675="","PC kosong",""),IF($C675="","Worker ID kosong",""),IF($D675="","Update Date kosong",IF(NOT(ISNUMBER($D675)),"Update Date bukan tanggal","")),IF($E675="","Song ID YT kosong",""),IF($F675="","Judul kosong",""),IF(TRIM($G675)="","",IF(ISERROR(MATCH(TRIM($G675),{"TuneCore","DistroKid","TooLost","SoundOn","Ditto","Believe","CD Baby","Amuse","Symphonic Distribution","ONErpm","RouteNote","LANDR","Horus Music","Indie"},0)),"Aggregator di luar daftar","")),IF(TRIM($H675)="","Genre kosong",IF((LEN(SUBSTITUTE(SUBSTITUTE(SUBSTITUTE(TRIM($H675),"/",","),";",",")," ",""))-LEN(SUBSTITUTE(SUBSTITUTE(SUBSTITUTE(SUBSTITUTE(TRIM($H675),"/",","),";",","),"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675),"/",","),";",",")," ","")&amp;",")))&lt;&gt;(LEN(SUBSTITUTE(SUBSTITUTE(SUBSTITUTE(TRIM($H675),"/",","),";",",")," ",""))-LEN(SUBSTITUTE(SUBSTITUTE(SUBSTITUTE(SUBSTITUTE(TRIM($H675),"/",","),";",",")," ",""),",",""))+1),"Genre di luar daftar",""))),IF($I675="","Nama Channel kosong",""),IF($J675="","Link Channel kosong",IF(ISERROR(SEARCH("youtu",$J675)),"Link Channel bukan youtube","")),IF($K675="","Link Video kosong",IF(ISERROR(SEARCH("youtu",$K675)),"Link Video bukan youtube","")),IF($L675="","Tgl Dibuat kosong",IF(NOT(ISNUMBER($L675)),"Tgl Dibuat bukan tanggal","")),IF(AND($M675&lt;&gt;"",NOT(ISNUMBER($M675))),"Tgl Publish bukan tanggal",""),IF(AND(ISNUMBER($L675),ISNUMBER($M675),$M675&lt;$L675),"Tgl Publish &lt; Tgl buat",""),IF(TRIM($N675)="","Status kosong",IF(ISERROR(MATCH(TRIM($N675),{"Draft","Menunggu Review","Revisi","Terjadwal","Upload","Publish","Published","Batal"},0)),"Status di luar daftar","")))),""))</f>
        <v/>
      </c>
      <c r="S675" s="12">
        <f>IF(AND($A675&lt;&gt;"",$C675&lt;&gt;""),IF(COUNTIFS($A$2:$A$1000,$A675,$C$2:$C$1000,$C675)&gt;1,"DUPLICAT",""),"")</f>
        <v/>
      </c>
    </row>
    <row r="676">
      <c r="A676" s="17" t="n"/>
      <c r="B676" s="17" t="n"/>
      <c r="C676" s="17" t="n"/>
      <c r="D676" s="18" t="n"/>
      <c r="E676" s="17" t="n"/>
      <c r="F676" s="19" t="n"/>
      <c r="G676" s="17" t="n"/>
      <c r="H676" s="17" t="n"/>
      <c r="I676" s="17" t="n"/>
      <c r="J676" s="19" t="n"/>
      <c r="K676" s="19" t="n"/>
      <c r="L676" s="20" t="n"/>
      <c r="M676" s="20" t="n"/>
      <c r="N676" s="17" t="n"/>
      <c r="O676" s="17" t="n"/>
      <c r="P676" s="21">
        <f>IF(AND(ISNUMBER($L676),ISNUMBER($M676)),MAX(0,$M676-$L676),"")</f>
        <v/>
      </c>
      <c r="Q676" s="21">
        <f>IF(ISNUMBER($D676),MAX(0,TODAY()-$D676),"")</f>
        <v/>
      </c>
      <c r="R676" s="19">
        <f>IF(COUNTA($A676:$O676)=0,"",IFERROR(TRIM(TEXTJOIN(" | ",TRUE,IF($A676="","PC kosong",""),IF($C676="","Worker ID kosong",""),IF($D676="","Update Date kosong",IF(NOT(ISNUMBER($D676)),"Update Date bukan tanggal","")),IF($E676="","Song ID YT kosong",""),IF($F676="","Judul kosong",""),IF(TRIM($G676)="","",IF(ISERROR(MATCH(TRIM($G676),{"TuneCore","DistroKid","TooLost","SoundOn","Ditto","Believe","CD Baby","Amuse","Symphonic Distribution","ONErpm","RouteNote","LANDR","Horus Music","Indie"},0)),"Aggregator di luar daftar","")),IF(TRIM($H676)="","Genre kosong",IF((LEN(SUBSTITUTE(SUBSTITUTE(SUBSTITUTE(TRIM($H676),"/",","),";",",")," ",""))-LEN(SUBSTITUTE(SUBSTITUTE(SUBSTITUTE(SUBSTITUTE(TRIM($H676),"/",","),";",","),"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676),"/",","),";",",")," ","")&amp;",")))&lt;&gt;(LEN(SUBSTITUTE(SUBSTITUTE(SUBSTITUTE(TRIM($H676),"/",","),";",",")," ",""))-LEN(SUBSTITUTE(SUBSTITUTE(SUBSTITUTE(SUBSTITUTE(TRIM($H676),"/",","),";",",")," ",""),",",""))+1),"Genre di luar daftar",""))),IF($I676="","Nama Channel kosong",""),IF($J676="","Link Channel kosong",IF(ISERROR(SEARCH("youtu",$J676)),"Link Channel bukan youtube","")),IF($K676="","Link Video kosong",IF(ISERROR(SEARCH("youtu",$K676)),"Link Video bukan youtube","")),IF($L676="","Tgl Dibuat kosong",IF(NOT(ISNUMBER($L676)),"Tgl Dibuat bukan tanggal","")),IF(AND($M676&lt;&gt;"",NOT(ISNUMBER($M676))),"Tgl Publish bukan tanggal",""),IF(AND(ISNUMBER($L676),ISNUMBER($M676),$M676&lt;$L676),"Tgl Publish &lt; Tgl buat",""),IF(TRIM($N676)="","Status kosong",IF(ISERROR(MATCH(TRIM($N676),{"Draft","Menunggu Review","Revisi","Terjadwal","Upload","Publish","Published","Batal"},0)),"Status di luar daftar","")))),""))</f>
        <v/>
      </c>
      <c r="S676" s="17">
        <f>IF(AND($A676&lt;&gt;"",$C676&lt;&gt;""),IF(COUNTIFS($A$2:$A$1000,$A676,$C$2:$C$1000,$C676)&gt;1,"DUPLICAT",""),"")</f>
        <v/>
      </c>
    </row>
    <row r="677">
      <c r="A677" s="12" t="n"/>
      <c r="B677" s="12" t="n"/>
      <c r="C677" s="12" t="n"/>
      <c r="D677" s="13" t="n"/>
      <c r="E677" s="12" t="n"/>
      <c r="F677" s="14" t="n"/>
      <c r="G677" s="12" t="n"/>
      <c r="H677" s="12" t="n"/>
      <c r="I677" s="12" t="n"/>
      <c r="J677" s="14" t="n"/>
      <c r="K677" s="14" t="n"/>
      <c r="L677" s="15" t="n"/>
      <c r="M677" s="15" t="n"/>
      <c r="N677" s="12" t="n"/>
      <c r="O677" s="12" t="n"/>
      <c r="P677" s="16">
        <f>IF(AND(ISNUMBER($L677),ISNUMBER($M677)),MAX(0,$M677-$L677),"")</f>
        <v/>
      </c>
      <c r="Q677" s="16">
        <f>IF(ISNUMBER($D677),MAX(0,TODAY()-$D677),"")</f>
        <v/>
      </c>
      <c r="R677" s="14">
        <f>IF(COUNTA($A677:$O677)=0,"",IFERROR(TRIM(TEXTJOIN(" | ",TRUE,IF($A677="","PC kosong",""),IF($C677="","Worker ID kosong",""),IF($D677="","Update Date kosong",IF(NOT(ISNUMBER($D677)),"Update Date bukan tanggal","")),IF($E677="","Song ID YT kosong",""),IF($F677="","Judul kosong",""),IF(TRIM($G677)="","",IF(ISERROR(MATCH(TRIM($G677),{"TuneCore","DistroKid","TooLost","SoundOn","Ditto","Believe","CD Baby","Amuse","Symphonic Distribution","ONErpm","RouteNote","LANDR","Horus Music","Indie"},0)),"Aggregator di luar daftar","")),IF(TRIM($H677)="","Genre kosong",IF((LEN(SUBSTITUTE(SUBSTITUTE(SUBSTITUTE(TRIM($H677),"/",","),";",",")," ",""))-LEN(SUBSTITUTE(SUBSTITUTE(SUBSTITUTE(SUBSTITUTE(TRIM($H677),"/",","),";",","),"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677),"/",","),";",",")," ","")&amp;",")))&lt;&gt;(LEN(SUBSTITUTE(SUBSTITUTE(SUBSTITUTE(TRIM($H677),"/",","),";",",")," ",""))-LEN(SUBSTITUTE(SUBSTITUTE(SUBSTITUTE(SUBSTITUTE(TRIM($H677),"/",","),";",",")," ",""),",",""))+1),"Genre di luar daftar",""))),IF($I677="","Nama Channel kosong",""),IF($J677="","Link Channel kosong",IF(ISERROR(SEARCH("youtu",$J677)),"Link Channel bukan youtube","")),IF($K677="","Link Video kosong",IF(ISERROR(SEARCH("youtu",$K677)),"Link Video bukan youtube","")),IF($L677="","Tgl Dibuat kosong",IF(NOT(ISNUMBER($L677)),"Tgl Dibuat bukan tanggal","")),IF(AND($M677&lt;&gt;"",NOT(ISNUMBER($M677))),"Tgl Publish bukan tanggal",""),IF(AND(ISNUMBER($L677),ISNUMBER($M677),$M677&lt;$L677),"Tgl Publish &lt; Tgl buat",""),IF(TRIM($N677)="","Status kosong",IF(ISERROR(MATCH(TRIM($N677),{"Draft","Menunggu Review","Revisi","Terjadwal","Upload","Publish","Published","Batal"},0)),"Status di luar daftar","")))),""))</f>
        <v/>
      </c>
      <c r="S677" s="12">
        <f>IF(AND($A677&lt;&gt;"",$C677&lt;&gt;""),IF(COUNTIFS($A$2:$A$1000,$A677,$C$2:$C$1000,$C677)&gt;1,"DUPLICAT",""),"")</f>
        <v/>
      </c>
    </row>
    <row r="678">
      <c r="A678" s="17" t="n"/>
      <c r="B678" s="17" t="n"/>
      <c r="C678" s="17" t="n"/>
      <c r="D678" s="18" t="n"/>
      <c r="E678" s="17" t="n"/>
      <c r="F678" s="19" t="n"/>
      <c r="G678" s="17" t="n"/>
      <c r="H678" s="17" t="n"/>
      <c r="I678" s="17" t="n"/>
      <c r="J678" s="19" t="n"/>
      <c r="K678" s="19" t="n"/>
      <c r="L678" s="20" t="n"/>
      <c r="M678" s="20" t="n"/>
      <c r="N678" s="17" t="n"/>
      <c r="O678" s="17" t="n"/>
      <c r="P678" s="21">
        <f>IF(AND(ISNUMBER($L678),ISNUMBER($M678)),MAX(0,$M678-$L678),"")</f>
        <v/>
      </c>
      <c r="Q678" s="21">
        <f>IF(ISNUMBER($D678),MAX(0,TODAY()-$D678),"")</f>
        <v/>
      </c>
      <c r="R678" s="19">
        <f>IF(COUNTA($A678:$O678)=0,"",IFERROR(TRIM(TEXTJOIN(" | ",TRUE,IF($A678="","PC kosong",""),IF($C678="","Worker ID kosong",""),IF($D678="","Update Date kosong",IF(NOT(ISNUMBER($D678)),"Update Date bukan tanggal","")),IF($E678="","Song ID YT kosong",""),IF($F678="","Judul kosong",""),IF(TRIM($G678)="","",IF(ISERROR(MATCH(TRIM($G678),{"TuneCore","DistroKid","TooLost","SoundOn","Ditto","Believe","CD Baby","Amuse","Symphonic Distribution","ONErpm","RouteNote","LANDR","Horus Music","Indie"},0)),"Aggregator di luar daftar","")),IF(TRIM($H678)="","Genre kosong",IF((LEN(SUBSTITUTE(SUBSTITUTE(SUBSTITUTE(TRIM($H678),"/",","),";",",")," ",""))-LEN(SUBSTITUTE(SUBSTITUTE(SUBSTITUTE(SUBSTITUTE(TRIM($H678),"/",","),";",","),"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678),"/",","),";",",")," ","")&amp;",")))&lt;&gt;(LEN(SUBSTITUTE(SUBSTITUTE(SUBSTITUTE(TRIM($H678),"/",","),";",",")," ",""))-LEN(SUBSTITUTE(SUBSTITUTE(SUBSTITUTE(SUBSTITUTE(TRIM($H678),"/",","),";",",")," ",""),",",""))+1),"Genre di luar daftar",""))),IF($I678="","Nama Channel kosong",""),IF($J678="","Link Channel kosong",IF(ISERROR(SEARCH("youtu",$J678)),"Link Channel bukan youtube","")),IF($K678="","Link Video kosong",IF(ISERROR(SEARCH("youtu",$K678)),"Link Video bukan youtube","")),IF($L678="","Tgl Dibuat kosong",IF(NOT(ISNUMBER($L678)),"Tgl Dibuat bukan tanggal","")),IF(AND($M678&lt;&gt;"",NOT(ISNUMBER($M678))),"Tgl Publish bukan tanggal",""),IF(AND(ISNUMBER($L678),ISNUMBER($M678),$M678&lt;$L678),"Tgl Publish &lt; Tgl buat",""),IF(TRIM($N678)="","Status kosong",IF(ISERROR(MATCH(TRIM($N678),{"Draft","Menunggu Review","Revisi","Terjadwal","Upload","Publish","Published","Batal"},0)),"Status di luar daftar","")))),""))</f>
        <v/>
      </c>
      <c r="S678" s="17">
        <f>IF(AND($A678&lt;&gt;"",$C678&lt;&gt;""),IF(COUNTIFS($A$2:$A$1000,$A678,$C$2:$C$1000,$C678)&gt;1,"DUPLICAT",""),"")</f>
        <v/>
      </c>
    </row>
    <row r="679">
      <c r="A679" s="12" t="n"/>
      <c r="B679" s="12" t="n"/>
      <c r="C679" s="12" t="n"/>
      <c r="D679" s="13" t="n"/>
      <c r="E679" s="12" t="n"/>
      <c r="F679" s="14" t="n"/>
      <c r="G679" s="12" t="n"/>
      <c r="H679" s="12" t="n"/>
      <c r="I679" s="12" t="n"/>
      <c r="J679" s="14" t="n"/>
      <c r="K679" s="14" t="n"/>
      <c r="L679" s="15" t="n"/>
      <c r="M679" s="15" t="n"/>
      <c r="N679" s="12" t="n"/>
      <c r="O679" s="12" t="n"/>
      <c r="P679" s="16">
        <f>IF(AND(ISNUMBER($L679),ISNUMBER($M679)),MAX(0,$M679-$L679),"")</f>
        <v/>
      </c>
      <c r="Q679" s="16">
        <f>IF(ISNUMBER($D679),MAX(0,TODAY()-$D679),"")</f>
        <v/>
      </c>
      <c r="R679" s="14">
        <f>IF(COUNTA($A679:$O679)=0,"",IFERROR(TRIM(TEXTJOIN(" | ",TRUE,IF($A679="","PC kosong",""),IF($C679="","Worker ID kosong",""),IF($D679="","Update Date kosong",IF(NOT(ISNUMBER($D679)),"Update Date bukan tanggal","")),IF($E679="","Song ID YT kosong",""),IF($F679="","Judul kosong",""),IF(TRIM($G679)="","",IF(ISERROR(MATCH(TRIM($G679),{"TuneCore","DistroKid","TooLost","SoundOn","Ditto","Believe","CD Baby","Amuse","Symphonic Distribution","ONErpm","RouteNote","LANDR","Horus Music","Indie"},0)),"Aggregator di luar daftar","")),IF(TRIM($H679)="","Genre kosong",IF((LEN(SUBSTITUTE(SUBSTITUTE(SUBSTITUTE(TRIM($H679),"/",","),";",",")," ",""))-LEN(SUBSTITUTE(SUBSTITUTE(SUBSTITUTE(SUBSTITUTE(TRIM($H679),"/",","),";",","),"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679),"/",","),";",",")," ","")&amp;",")))&lt;&gt;(LEN(SUBSTITUTE(SUBSTITUTE(SUBSTITUTE(TRIM($H679),"/",","),";",",")," ",""))-LEN(SUBSTITUTE(SUBSTITUTE(SUBSTITUTE(SUBSTITUTE(TRIM($H679),"/",","),";",",")," ",""),",",""))+1),"Genre di luar daftar",""))),IF($I679="","Nama Channel kosong",""),IF($J679="","Link Channel kosong",IF(ISERROR(SEARCH("youtu",$J679)),"Link Channel bukan youtube","")),IF($K679="","Link Video kosong",IF(ISERROR(SEARCH("youtu",$K679)),"Link Video bukan youtube","")),IF($L679="","Tgl Dibuat kosong",IF(NOT(ISNUMBER($L679)),"Tgl Dibuat bukan tanggal","")),IF(AND($M679&lt;&gt;"",NOT(ISNUMBER($M679))),"Tgl Publish bukan tanggal",""),IF(AND(ISNUMBER($L679),ISNUMBER($M679),$M679&lt;$L679),"Tgl Publish &lt; Tgl buat",""),IF(TRIM($N679)="","Status kosong",IF(ISERROR(MATCH(TRIM($N679),{"Draft","Menunggu Review","Revisi","Terjadwal","Upload","Publish","Published","Batal"},0)),"Status di luar daftar","")))),""))</f>
        <v/>
      </c>
      <c r="S679" s="12">
        <f>IF(AND($A679&lt;&gt;"",$C679&lt;&gt;""),IF(COUNTIFS($A$2:$A$1000,$A679,$C$2:$C$1000,$C679)&gt;1,"DUPLICAT",""),"")</f>
        <v/>
      </c>
    </row>
    <row r="680">
      <c r="A680" s="17" t="n"/>
      <c r="B680" s="17" t="n"/>
      <c r="C680" s="17" t="n"/>
      <c r="D680" s="18" t="n"/>
      <c r="E680" s="17" t="n"/>
      <c r="F680" s="19" t="n"/>
      <c r="G680" s="17" t="n"/>
      <c r="H680" s="17" t="n"/>
      <c r="I680" s="17" t="n"/>
      <c r="J680" s="19" t="n"/>
      <c r="K680" s="19" t="n"/>
      <c r="L680" s="20" t="n"/>
      <c r="M680" s="20" t="n"/>
      <c r="N680" s="17" t="n"/>
      <c r="O680" s="17" t="n"/>
      <c r="P680" s="21">
        <f>IF(AND(ISNUMBER($L680),ISNUMBER($M680)),MAX(0,$M680-$L680),"")</f>
        <v/>
      </c>
      <c r="Q680" s="21">
        <f>IF(ISNUMBER($D680),MAX(0,TODAY()-$D680),"")</f>
        <v/>
      </c>
      <c r="R680" s="19">
        <f>IF(COUNTA($A680:$O680)=0,"",IFERROR(TRIM(TEXTJOIN(" | ",TRUE,IF($A680="","PC kosong",""),IF($C680="","Worker ID kosong",""),IF($D680="","Update Date kosong",IF(NOT(ISNUMBER($D680)),"Update Date bukan tanggal","")),IF($E680="","Song ID YT kosong",""),IF($F680="","Judul kosong",""),IF(TRIM($G680)="","",IF(ISERROR(MATCH(TRIM($G680),{"TuneCore","DistroKid","TooLost","SoundOn","Ditto","Believe","CD Baby","Amuse","Symphonic Distribution","ONErpm","RouteNote","LANDR","Horus Music","Indie"},0)),"Aggregator di luar daftar","")),IF(TRIM($H680)="","Genre kosong",IF((LEN(SUBSTITUTE(SUBSTITUTE(SUBSTITUTE(TRIM($H680),"/",","),";",",")," ",""))-LEN(SUBSTITUTE(SUBSTITUTE(SUBSTITUTE(SUBSTITUTE(TRIM($H680),"/",","),";",","),"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680),"/",","),";",",")," ","")&amp;",")))&lt;&gt;(LEN(SUBSTITUTE(SUBSTITUTE(SUBSTITUTE(TRIM($H680),"/",","),";",",")," ",""))-LEN(SUBSTITUTE(SUBSTITUTE(SUBSTITUTE(SUBSTITUTE(TRIM($H680),"/",","),";",",")," ",""),",",""))+1),"Genre di luar daftar",""))),IF($I680="","Nama Channel kosong",""),IF($J680="","Link Channel kosong",IF(ISERROR(SEARCH("youtu",$J680)),"Link Channel bukan youtube","")),IF($K680="","Link Video kosong",IF(ISERROR(SEARCH("youtu",$K680)),"Link Video bukan youtube","")),IF($L680="","Tgl Dibuat kosong",IF(NOT(ISNUMBER($L680)),"Tgl Dibuat bukan tanggal","")),IF(AND($M680&lt;&gt;"",NOT(ISNUMBER($M680))),"Tgl Publish bukan tanggal",""),IF(AND(ISNUMBER($L680),ISNUMBER($M680),$M680&lt;$L680),"Tgl Publish &lt; Tgl buat",""),IF(TRIM($N680)="","Status kosong",IF(ISERROR(MATCH(TRIM($N680),{"Draft","Menunggu Review","Revisi","Terjadwal","Upload","Publish","Published","Batal"},0)),"Status di luar daftar","")))),""))</f>
        <v/>
      </c>
      <c r="S680" s="17">
        <f>IF(AND($A680&lt;&gt;"",$C680&lt;&gt;""),IF(COUNTIFS($A$2:$A$1000,$A680,$C$2:$C$1000,$C680)&gt;1,"DUPLICAT",""),"")</f>
        <v/>
      </c>
    </row>
    <row r="681">
      <c r="A681" s="12" t="n"/>
      <c r="B681" s="12" t="n"/>
      <c r="C681" s="12" t="n"/>
      <c r="D681" s="13" t="n"/>
      <c r="E681" s="12" t="n"/>
      <c r="F681" s="14" t="n"/>
      <c r="G681" s="12" t="n"/>
      <c r="H681" s="12" t="n"/>
      <c r="I681" s="12" t="n"/>
      <c r="J681" s="14" t="n"/>
      <c r="K681" s="14" t="n"/>
      <c r="L681" s="15" t="n"/>
      <c r="M681" s="15" t="n"/>
      <c r="N681" s="12" t="n"/>
      <c r="O681" s="12" t="n"/>
      <c r="P681" s="16">
        <f>IF(AND(ISNUMBER($L681),ISNUMBER($M681)),MAX(0,$M681-$L681),"")</f>
        <v/>
      </c>
      <c r="Q681" s="16">
        <f>IF(ISNUMBER($D681),MAX(0,TODAY()-$D681),"")</f>
        <v/>
      </c>
      <c r="R681" s="14">
        <f>IF(COUNTA($A681:$O681)=0,"",IFERROR(TRIM(TEXTJOIN(" | ",TRUE,IF($A681="","PC kosong",""),IF($C681="","Worker ID kosong",""),IF($D681="","Update Date kosong",IF(NOT(ISNUMBER($D681)),"Update Date bukan tanggal","")),IF($E681="","Song ID YT kosong",""),IF($F681="","Judul kosong",""),IF(TRIM($G681)="","",IF(ISERROR(MATCH(TRIM($G681),{"TuneCore","DistroKid","TooLost","SoundOn","Ditto","Believe","CD Baby","Amuse","Symphonic Distribution","ONErpm","RouteNote","LANDR","Horus Music","Indie"},0)),"Aggregator di luar daftar","")),IF(TRIM($H681)="","Genre kosong",IF((LEN(SUBSTITUTE(SUBSTITUTE(SUBSTITUTE(TRIM($H681),"/",","),";",",")," ",""))-LEN(SUBSTITUTE(SUBSTITUTE(SUBSTITUTE(SUBSTITUTE(TRIM($H681),"/",","),";",","),"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681),"/",","),";",",")," ","")&amp;",")))&lt;&gt;(LEN(SUBSTITUTE(SUBSTITUTE(SUBSTITUTE(TRIM($H681),"/",","),";",",")," ",""))-LEN(SUBSTITUTE(SUBSTITUTE(SUBSTITUTE(SUBSTITUTE(TRIM($H681),"/",","),";",",")," ",""),",",""))+1),"Genre di luar daftar",""))),IF($I681="","Nama Channel kosong",""),IF($J681="","Link Channel kosong",IF(ISERROR(SEARCH("youtu",$J681)),"Link Channel bukan youtube","")),IF($K681="","Link Video kosong",IF(ISERROR(SEARCH("youtu",$K681)),"Link Video bukan youtube","")),IF($L681="","Tgl Dibuat kosong",IF(NOT(ISNUMBER($L681)),"Tgl Dibuat bukan tanggal","")),IF(AND($M681&lt;&gt;"",NOT(ISNUMBER($M681))),"Tgl Publish bukan tanggal",""),IF(AND(ISNUMBER($L681),ISNUMBER($M681),$M681&lt;$L681),"Tgl Publish &lt; Tgl buat",""),IF(TRIM($N681)="","Status kosong",IF(ISERROR(MATCH(TRIM($N681),{"Draft","Menunggu Review","Revisi","Terjadwal","Upload","Publish","Published","Batal"},0)),"Status di luar daftar","")))),""))</f>
        <v/>
      </c>
      <c r="S681" s="12">
        <f>IF(AND($A681&lt;&gt;"",$C681&lt;&gt;""),IF(COUNTIFS($A$2:$A$1000,$A681,$C$2:$C$1000,$C681)&gt;1,"DUPLICAT",""),"")</f>
        <v/>
      </c>
    </row>
    <row r="682">
      <c r="A682" s="17" t="n"/>
      <c r="B682" s="17" t="n"/>
      <c r="C682" s="17" t="n"/>
      <c r="D682" s="18" t="n"/>
      <c r="E682" s="17" t="n"/>
      <c r="F682" s="19" t="n"/>
      <c r="G682" s="17" t="n"/>
      <c r="H682" s="17" t="n"/>
      <c r="I682" s="17" t="n"/>
      <c r="J682" s="19" t="n"/>
      <c r="K682" s="19" t="n"/>
      <c r="L682" s="20" t="n"/>
      <c r="M682" s="20" t="n"/>
      <c r="N682" s="17" t="n"/>
      <c r="O682" s="17" t="n"/>
      <c r="P682" s="21">
        <f>IF(AND(ISNUMBER($L682),ISNUMBER($M682)),MAX(0,$M682-$L682),"")</f>
        <v/>
      </c>
      <c r="Q682" s="21">
        <f>IF(ISNUMBER($D682),MAX(0,TODAY()-$D682),"")</f>
        <v/>
      </c>
      <c r="R682" s="19">
        <f>IF(COUNTA($A682:$O682)=0,"",IFERROR(TRIM(TEXTJOIN(" | ",TRUE,IF($A682="","PC kosong",""),IF($C682="","Worker ID kosong",""),IF($D682="","Update Date kosong",IF(NOT(ISNUMBER($D682)),"Update Date bukan tanggal","")),IF($E682="","Song ID YT kosong",""),IF($F682="","Judul kosong",""),IF(TRIM($G682)="","",IF(ISERROR(MATCH(TRIM($G682),{"TuneCore","DistroKid","TooLost","SoundOn","Ditto","Believe","CD Baby","Amuse","Symphonic Distribution","ONErpm","RouteNote","LANDR","Horus Music","Indie"},0)),"Aggregator di luar daftar","")),IF(TRIM($H682)="","Genre kosong",IF((LEN(SUBSTITUTE(SUBSTITUTE(SUBSTITUTE(TRIM($H682),"/",","),";",",")," ",""))-LEN(SUBSTITUTE(SUBSTITUTE(SUBSTITUTE(SUBSTITUTE(TRIM($H682),"/",","),";",","),"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682),"/",","),";",",")," ","")&amp;",")))&lt;&gt;(LEN(SUBSTITUTE(SUBSTITUTE(SUBSTITUTE(TRIM($H682),"/",","),";",",")," ",""))-LEN(SUBSTITUTE(SUBSTITUTE(SUBSTITUTE(SUBSTITUTE(TRIM($H682),"/",","),";",",")," ",""),",",""))+1),"Genre di luar daftar",""))),IF($I682="","Nama Channel kosong",""),IF($J682="","Link Channel kosong",IF(ISERROR(SEARCH("youtu",$J682)),"Link Channel bukan youtube","")),IF($K682="","Link Video kosong",IF(ISERROR(SEARCH("youtu",$K682)),"Link Video bukan youtube","")),IF($L682="","Tgl Dibuat kosong",IF(NOT(ISNUMBER($L682)),"Tgl Dibuat bukan tanggal","")),IF(AND($M682&lt;&gt;"",NOT(ISNUMBER($M682))),"Tgl Publish bukan tanggal",""),IF(AND(ISNUMBER($L682),ISNUMBER($M682),$M682&lt;$L682),"Tgl Publish &lt; Tgl buat",""),IF(TRIM($N682)="","Status kosong",IF(ISERROR(MATCH(TRIM($N682),{"Draft","Menunggu Review","Revisi","Terjadwal","Upload","Publish","Published","Batal"},0)),"Status di luar daftar","")))),""))</f>
        <v/>
      </c>
      <c r="S682" s="17">
        <f>IF(AND($A682&lt;&gt;"",$C682&lt;&gt;""),IF(COUNTIFS($A$2:$A$1000,$A682,$C$2:$C$1000,$C682)&gt;1,"DUPLICAT",""),"")</f>
        <v/>
      </c>
    </row>
    <row r="683">
      <c r="A683" s="12" t="n"/>
      <c r="B683" s="12" t="n"/>
      <c r="C683" s="12" t="n"/>
      <c r="D683" s="13" t="n"/>
      <c r="E683" s="12" t="n"/>
      <c r="F683" s="14" t="n"/>
      <c r="G683" s="12" t="n"/>
      <c r="H683" s="12" t="n"/>
      <c r="I683" s="12" t="n"/>
      <c r="J683" s="14" t="n"/>
      <c r="K683" s="14" t="n"/>
      <c r="L683" s="15" t="n"/>
      <c r="M683" s="15" t="n"/>
      <c r="N683" s="12" t="n"/>
      <c r="O683" s="12" t="n"/>
      <c r="P683" s="16">
        <f>IF(AND(ISNUMBER($L683),ISNUMBER($M683)),MAX(0,$M683-$L683),"")</f>
        <v/>
      </c>
      <c r="Q683" s="16">
        <f>IF(ISNUMBER($D683),MAX(0,TODAY()-$D683),"")</f>
        <v/>
      </c>
      <c r="R683" s="14">
        <f>IF(COUNTA($A683:$O683)=0,"",IFERROR(TRIM(TEXTJOIN(" | ",TRUE,IF($A683="","PC kosong",""),IF($C683="","Worker ID kosong",""),IF($D683="","Update Date kosong",IF(NOT(ISNUMBER($D683)),"Update Date bukan tanggal","")),IF($E683="","Song ID YT kosong",""),IF($F683="","Judul kosong",""),IF(TRIM($G683)="","",IF(ISERROR(MATCH(TRIM($G683),{"TuneCore","DistroKid","TooLost","SoundOn","Ditto","Believe","CD Baby","Amuse","Symphonic Distribution","ONErpm","RouteNote","LANDR","Horus Music","Indie"},0)),"Aggregator di luar daftar","")),IF(TRIM($H683)="","Genre kosong",IF((LEN(SUBSTITUTE(SUBSTITUTE(SUBSTITUTE(TRIM($H683),"/",","),";",",")," ",""))-LEN(SUBSTITUTE(SUBSTITUTE(SUBSTITUTE(SUBSTITUTE(TRIM($H683),"/",","),";",","),"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683),"/",","),";",",")," ","")&amp;",")))&lt;&gt;(LEN(SUBSTITUTE(SUBSTITUTE(SUBSTITUTE(TRIM($H683),"/",","),";",",")," ",""))-LEN(SUBSTITUTE(SUBSTITUTE(SUBSTITUTE(SUBSTITUTE(TRIM($H683),"/",","),";",",")," ",""),",",""))+1),"Genre di luar daftar",""))),IF($I683="","Nama Channel kosong",""),IF($J683="","Link Channel kosong",IF(ISERROR(SEARCH("youtu",$J683)),"Link Channel bukan youtube","")),IF($K683="","Link Video kosong",IF(ISERROR(SEARCH("youtu",$K683)),"Link Video bukan youtube","")),IF($L683="","Tgl Dibuat kosong",IF(NOT(ISNUMBER($L683)),"Tgl Dibuat bukan tanggal","")),IF(AND($M683&lt;&gt;"",NOT(ISNUMBER($M683))),"Tgl Publish bukan tanggal",""),IF(AND(ISNUMBER($L683),ISNUMBER($M683),$M683&lt;$L683),"Tgl Publish &lt; Tgl buat",""),IF(TRIM($N683)="","Status kosong",IF(ISERROR(MATCH(TRIM($N683),{"Draft","Menunggu Review","Revisi","Terjadwal","Upload","Publish","Published","Batal"},0)),"Status di luar daftar","")))),""))</f>
        <v/>
      </c>
      <c r="S683" s="12">
        <f>IF(AND($A683&lt;&gt;"",$C683&lt;&gt;""),IF(COUNTIFS($A$2:$A$1000,$A683,$C$2:$C$1000,$C683)&gt;1,"DUPLICAT",""),"")</f>
        <v/>
      </c>
    </row>
    <row r="684">
      <c r="A684" s="17" t="n"/>
      <c r="B684" s="17" t="n"/>
      <c r="C684" s="17" t="n"/>
      <c r="D684" s="18" t="n"/>
      <c r="E684" s="17" t="n"/>
      <c r="F684" s="19" t="n"/>
      <c r="G684" s="17" t="n"/>
      <c r="H684" s="17" t="n"/>
      <c r="I684" s="17" t="n"/>
      <c r="J684" s="19" t="n"/>
      <c r="K684" s="19" t="n"/>
      <c r="L684" s="20" t="n"/>
      <c r="M684" s="20" t="n"/>
      <c r="N684" s="17" t="n"/>
      <c r="O684" s="17" t="n"/>
      <c r="P684" s="21">
        <f>IF(AND(ISNUMBER($L684),ISNUMBER($M684)),MAX(0,$M684-$L684),"")</f>
        <v/>
      </c>
      <c r="Q684" s="21">
        <f>IF(ISNUMBER($D684),MAX(0,TODAY()-$D684),"")</f>
        <v/>
      </c>
      <c r="R684" s="19">
        <f>IF(COUNTA($A684:$O684)=0,"",IFERROR(TRIM(TEXTJOIN(" | ",TRUE,IF($A684="","PC kosong",""),IF($C684="","Worker ID kosong",""),IF($D684="","Update Date kosong",IF(NOT(ISNUMBER($D684)),"Update Date bukan tanggal","")),IF($E684="","Song ID YT kosong",""),IF($F684="","Judul kosong",""),IF(TRIM($G684)="","",IF(ISERROR(MATCH(TRIM($G684),{"TuneCore","DistroKid","TooLost","SoundOn","Ditto","Believe","CD Baby","Amuse","Symphonic Distribution","ONErpm","RouteNote","LANDR","Horus Music","Indie"},0)),"Aggregator di luar daftar","")),IF(TRIM($H684)="","Genre kosong",IF((LEN(SUBSTITUTE(SUBSTITUTE(SUBSTITUTE(TRIM($H684),"/",","),";",",")," ",""))-LEN(SUBSTITUTE(SUBSTITUTE(SUBSTITUTE(SUBSTITUTE(TRIM($H684),"/",","),";",","),"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684),"/",","),";",",")," ","")&amp;",")))&lt;&gt;(LEN(SUBSTITUTE(SUBSTITUTE(SUBSTITUTE(TRIM($H684),"/",","),";",",")," ",""))-LEN(SUBSTITUTE(SUBSTITUTE(SUBSTITUTE(SUBSTITUTE(TRIM($H684),"/",","),";",",")," ",""),",",""))+1),"Genre di luar daftar",""))),IF($I684="","Nama Channel kosong",""),IF($J684="","Link Channel kosong",IF(ISERROR(SEARCH("youtu",$J684)),"Link Channel bukan youtube","")),IF($K684="","Link Video kosong",IF(ISERROR(SEARCH("youtu",$K684)),"Link Video bukan youtube","")),IF($L684="","Tgl Dibuat kosong",IF(NOT(ISNUMBER($L684)),"Tgl Dibuat bukan tanggal","")),IF(AND($M684&lt;&gt;"",NOT(ISNUMBER($M684))),"Tgl Publish bukan tanggal",""),IF(AND(ISNUMBER($L684),ISNUMBER($M684),$M684&lt;$L684),"Tgl Publish &lt; Tgl buat",""),IF(TRIM($N684)="","Status kosong",IF(ISERROR(MATCH(TRIM($N684),{"Draft","Menunggu Review","Revisi","Terjadwal","Upload","Publish","Published","Batal"},0)),"Status di luar daftar","")))),""))</f>
        <v/>
      </c>
      <c r="S684" s="17">
        <f>IF(AND($A684&lt;&gt;"",$C684&lt;&gt;""),IF(COUNTIFS($A$2:$A$1000,$A684,$C$2:$C$1000,$C684)&gt;1,"DUPLICAT",""),"")</f>
        <v/>
      </c>
    </row>
    <row r="685">
      <c r="A685" s="12" t="n"/>
      <c r="B685" s="12" t="n"/>
      <c r="C685" s="12" t="n"/>
      <c r="D685" s="13" t="n"/>
      <c r="E685" s="12" t="n"/>
      <c r="F685" s="14" t="n"/>
      <c r="G685" s="12" t="n"/>
      <c r="H685" s="12" t="n"/>
      <c r="I685" s="12" t="n"/>
      <c r="J685" s="14" t="n"/>
      <c r="K685" s="14" t="n"/>
      <c r="L685" s="15" t="n"/>
      <c r="M685" s="15" t="n"/>
      <c r="N685" s="12" t="n"/>
      <c r="O685" s="12" t="n"/>
      <c r="P685" s="16">
        <f>IF(AND(ISNUMBER($L685),ISNUMBER($M685)),MAX(0,$M685-$L685),"")</f>
        <v/>
      </c>
      <c r="Q685" s="16">
        <f>IF(ISNUMBER($D685),MAX(0,TODAY()-$D685),"")</f>
        <v/>
      </c>
      <c r="R685" s="14">
        <f>IF(COUNTA($A685:$O685)=0,"",IFERROR(TRIM(TEXTJOIN(" | ",TRUE,IF($A685="","PC kosong",""),IF($C685="","Worker ID kosong",""),IF($D685="","Update Date kosong",IF(NOT(ISNUMBER($D685)),"Update Date bukan tanggal","")),IF($E685="","Song ID YT kosong",""),IF($F685="","Judul kosong",""),IF(TRIM($G685)="","",IF(ISERROR(MATCH(TRIM($G685),{"TuneCore","DistroKid","TooLost","SoundOn","Ditto","Believe","CD Baby","Amuse","Symphonic Distribution","ONErpm","RouteNote","LANDR","Horus Music","Indie"},0)),"Aggregator di luar daftar","")),IF(TRIM($H685)="","Genre kosong",IF((LEN(SUBSTITUTE(SUBSTITUTE(SUBSTITUTE(TRIM($H685),"/",","),";",",")," ",""))-LEN(SUBSTITUTE(SUBSTITUTE(SUBSTITUTE(SUBSTITUTE(TRIM($H685),"/",","),";",","),"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685),"/",","),";",",")," ","")&amp;",")))&lt;&gt;(LEN(SUBSTITUTE(SUBSTITUTE(SUBSTITUTE(TRIM($H685),"/",","),";",",")," ",""))-LEN(SUBSTITUTE(SUBSTITUTE(SUBSTITUTE(SUBSTITUTE(TRIM($H685),"/",","),";",",")," ",""),",",""))+1),"Genre di luar daftar",""))),IF($I685="","Nama Channel kosong",""),IF($J685="","Link Channel kosong",IF(ISERROR(SEARCH("youtu",$J685)),"Link Channel bukan youtube","")),IF($K685="","Link Video kosong",IF(ISERROR(SEARCH("youtu",$K685)),"Link Video bukan youtube","")),IF($L685="","Tgl Dibuat kosong",IF(NOT(ISNUMBER($L685)),"Tgl Dibuat bukan tanggal","")),IF(AND($M685&lt;&gt;"",NOT(ISNUMBER($M685))),"Tgl Publish bukan tanggal",""),IF(AND(ISNUMBER($L685),ISNUMBER($M685),$M685&lt;$L685),"Tgl Publish &lt; Tgl buat",""),IF(TRIM($N685)="","Status kosong",IF(ISERROR(MATCH(TRIM($N685),{"Draft","Menunggu Review","Revisi","Terjadwal","Upload","Publish","Published","Batal"},0)),"Status di luar daftar","")))),""))</f>
        <v/>
      </c>
      <c r="S685" s="12">
        <f>IF(AND($A685&lt;&gt;"",$C685&lt;&gt;""),IF(COUNTIFS($A$2:$A$1000,$A685,$C$2:$C$1000,$C685)&gt;1,"DUPLICAT",""),"")</f>
        <v/>
      </c>
    </row>
    <row r="686">
      <c r="A686" s="17" t="n"/>
      <c r="B686" s="17" t="n"/>
      <c r="C686" s="17" t="n"/>
      <c r="D686" s="18" t="n"/>
      <c r="E686" s="17" t="n"/>
      <c r="F686" s="19" t="n"/>
      <c r="G686" s="17" t="n"/>
      <c r="H686" s="17" t="n"/>
      <c r="I686" s="17" t="n"/>
      <c r="J686" s="19" t="n"/>
      <c r="K686" s="19" t="n"/>
      <c r="L686" s="20" t="n"/>
      <c r="M686" s="20" t="n"/>
      <c r="N686" s="17" t="n"/>
      <c r="O686" s="17" t="n"/>
      <c r="P686" s="21">
        <f>IF(AND(ISNUMBER($L686),ISNUMBER($M686)),MAX(0,$M686-$L686),"")</f>
        <v/>
      </c>
      <c r="Q686" s="21">
        <f>IF(ISNUMBER($D686),MAX(0,TODAY()-$D686),"")</f>
        <v/>
      </c>
      <c r="R686" s="19">
        <f>IF(COUNTA($A686:$O686)=0,"",IFERROR(TRIM(TEXTJOIN(" | ",TRUE,IF($A686="","PC kosong",""),IF($C686="","Worker ID kosong",""),IF($D686="","Update Date kosong",IF(NOT(ISNUMBER($D686)),"Update Date bukan tanggal","")),IF($E686="","Song ID YT kosong",""),IF($F686="","Judul kosong",""),IF(TRIM($G686)="","",IF(ISERROR(MATCH(TRIM($G686),{"TuneCore","DistroKid","TooLost","SoundOn","Ditto","Believe","CD Baby","Amuse","Symphonic Distribution","ONErpm","RouteNote","LANDR","Horus Music","Indie"},0)),"Aggregator di luar daftar","")),IF(TRIM($H686)="","Genre kosong",IF((LEN(SUBSTITUTE(SUBSTITUTE(SUBSTITUTE(TRIM($H686),"/",","),";",",")," ",""))-LEN(SUBSTITUTE(SUBSTITUTE(SUBSTITUTE(SUBSTITUTE(TRIM($H686),"/",","),";",","),"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686),"/",","),";",",")," ","")&amp;",")))&lt;&gt;(LEN(SUBSTITUTE(SUBSTITUTE(SUBSTITUTE(TRIM($H686),"/",","),";",",")," ",""))-LEN(SUBSTITUTE(SUBSTITUTE(SUBSTITUTE(SUBSTITUTE(TRIM($H686),"/",","),";",",")," ",""),",",""))+1),"Genre di luar daftar",""))),IF($I686="","Nama Channel kosong",""),IF($J686="","Link Channel kosong",IF(ISERROR(SEARCH("youtu",$J686)),"Link Channel bukan youtube","")),IF($K686="","Link Video kosong",IF(ISERROR(SEARCH("youtu",$K686)),"Link Video bukan youtube","")),IF($L686="","Tgl Dibuat kosong",IF(NOT(ISNUMBER($L686)),"Tgl Dibuat bukan tanggal","")),IF(AND($M686&lt;&gt;"",NOT(ISNUMBER($M686))),"Tgl Publish bukan tanggal",""),IF(AND(ISNUMBER($L686),ISNUMBER($M686),$M686&lt;$L686),"Tgl Publish &lt; Tgl buat",""),IF(TRIM($N686)="","Status kosong",IF(ISERROR(MATCH(TRIM($N686),{"Draft","Menunggu Review","Revisi","Terjadwal","Upload","Publish","Published","Batal"},0)),"Status di luar daftar","")))),""))</f>
        <v/>
      </c>
      <c r="S686" s="17">
        <f>IF(AND($A686&lt;&gt;"",$C686&lt;&gt;""),IF(COUNTIFS($A$2:$A$1000,$A686,$C$2:$C$1000,$C686)&gt;1,"DUPLICAT",""),"")</f>
        <v/>
      </c>
    </row>
    <row r="687">
      <c r="A687" s="12" t="n"/>
      <c r="B687" s="12" t="n"/>
      <c r="C687" s="12" t="n"/>
      <c r="D687" s="13" t="n"/>
      <c r="E687" s="12" t="n"/>
      <c r="F687" s="14" t="n"/>
      <c r="G687" s="12" t="n"/>
      <c r="H687" s="12" t="n"/>
      <c r="I687" s="12" t="n"/>
      <c r="J687" s="14" t="n"/>
      <c r="K687" s="14" t="n"/>
      <c r="L687" s="15" t="n"/>
      <c r="M687" s="15" t="n"/>
      <c r="N687" s="12" t="n"/>
      <c r="O687" s="12" t="n"/>
      <c r="P687" s="16">
        <f>IF(AND(ISNUMBER($L687),ISNUMBER($M687)),MAX(0,$M687-$L687),"")</f>
        <v/>
      </c>
      <c r="Q687" s="16">
        <f>IF(ISNUMBER($D687),MAX(0,TODAY()-$D687),"")</f>
        <v/>
      </c>
      <c r="R687" s="14">
        <f>IF(COUNTA($A687:$O687)=0,"",IFERROR(TRIM(TEXTJOIN(" | ",TRUE,IF($A687="","PC kosong",""),IF($C687="","Worker ID kosong",""),IF($D687="","Update Date kosong",IF(NOT(ISNUMBER($D687)),"Update Date bukan tanggal","")),IF($E687="","Song ID YT kosong",""),IF($F687="","Judul kosong",""),IF(TRIM($G687)="","",IF(ISERROR(MATCH(TRIM($G687),{"TuneCore","DistroKid","TooLost","SoundOn","Ditto","Believe","CD Baby","Amuse","Symphonic Distribution","ONErpm","RouteNote","LANDR","Horus Music","Indie"},0)),"Aggregator di luar daftar","")),IF(TRIM($H687)="","Genre kosong",IF((LEN(SUBSTITUTE(SUBSTITUTE(SUBSTITUTE(TRIM($H687),"/",","),";",",")," ",""))-LEN(SUBSTITUTE(SUBSTITUTE(SUBSTITUTE(SUBSTITUTE(TRIM($H687),"/",","),";",","),"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687),"/",","),";",",")," ","")&amp;",")))&lt;&gt;(LEN(SUBSTITUTE(SUBSTITUTE(SUBSTITUTE(TRIM($H687),"/",","),";",",")," ",""))-LEN(SUBSTITUTE(SUBSTITUTE(SUBSTITUTE(SUBSTITUTE(TRIM($H687),"/",","),";",",")," ",""),",",""))+1),"Genre di luar daftar",""))),IF($I687="","Nama Channel kosong",""),IF($J687="","Link Channel kosong",IF(ISERROR(SEARCH("youtu",$J687)),"Link Channel bukan youtube","")),IF($K687="","Link Video kosong",IF(ISERROR(SEARCH("youtu",$K687)),"Link Video bukan youtube","")),IF($L687="","Tgl Dibuat kosong",IF(NOT(ISNUMBER($L687)),"Tgl Dibuat bukan tanggal","")),IF(AND($M687&lt;&gt;"",NOT(ISNUMBER($M687))),"Tgl Publish bukan tanggal",""),IF(AND(ISNUMBER($L687),ISNUMBER($M687),$M687&lt;$L687),"Tgl Publish &lt; Tgl buat",""),IF(TRIM($N687)="","Status kosong",IF(ISERROR(MATCH(TRIM($N687),{"Draft","Menunggu Review","Revisi","Terjadwal","Upload","Publish","Published","Batal"},0)),"Status di luar daftar","")))),""))</f>
        <v/>
      </c>
      <c r="S687" s="12">
        <f>IF(AND($A687&lt;&gt;"",$C687&lt;&gt;""),IF(COUNTIFS($A$2:$A$1000,$A687,$C$2:$C$1000,$C687)&gt;1,"DUPLICAT",""),"")</f>
        <v/>
      </c>
    </row>
    <row r="688">
      <c r="A688" s="17" t="n"/>
      <c r="B688" s="17" t="n"/>
      <c r="C688" s="17" t="n"/>
      <c r="D688" s="18" t="n"/>
      <c r="E688" s="17" t="n"/>
      <c r="F688" s="19" t="n"/>
      <c r="G688" s="17" t="n"/>
      <c r="H688" s="17" t="n"/>
      <c r="I688" s="17" t="n"/>
      <c r="J688" s="19" t="n"/>
      <c r="K688" s="19" t="n"/>
      <c r="L688" s="20" t="n"/>
      <c r="M688" s="20" t="n"/>
      <c r="N688" s="17" t="n"/>
      <c r="O688" s="17" t="n"/>
      <c r="P688" s="21">
        <f>IF(AND(ISNUMBER($L688),ISNUMBER($M688)),MAX(0,$M688-$L688),"")</f>
        <v/>
      </c>
      <c r="Q688" s="21">
        <f>IF(ISNUMBER($D688),MAX(0,TODAY()-$D688),"")</f>
        <v/>
      </c>
      <c r="R688" s="19">
        <f>IF(COUNTA($A688:$O688)=0,"",IFERROR(TRIM(TEXTJOIN(" | ",TRUE,IF($A688="","PC kosong",""),IF($C688="","Worker ID kosong",""),IF($D688="","Update Date kosong",IF(NOT(ISNUMBER($D688)),"Update Date bukan tanggal","")),IF($E688="","Song ID YT kosong",""),IF($F688="","Judul kosong",""),IF(TRIM($G688)="","",IF(ISERROR(MATCH(TRIM($G688),{"TuneCore","DistroKid","TooLost","SoundOn","Ditto","Believe","CD Baby","Amuse","Symphonic Distribution","ONErpm","RouteNote","LANDR","Horus Music","Indie"},0)),"Aggregator di luar daftar","")),IF(TRIM($H688)="","Genre kosong",IF((LEN(SUBSTITUTE(SUBSTITUTE(SUBSTITUTE(TRIM($H688),"/",","),";",",")," ",""))-LEN(SUBSTITUTE(SUBSTITUTE(SUBSTITUTE(SUBSTITUTE(TRIM($H688),"/",","),";",","),"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688),"/",","),";",",")," ","")&amp;",")))&lt;&gt;(LEN(SUBSTITUTE(SUBSTITUTE(SUBSTITUTE(TRIM($H688),"/",","),";",",")," ",""))-LEN(SUBSTITUTE(SUBSTITUTE(SUBSTITUTE(SUBSTITUTE(TRIM($H688),"/",","),";",",")," ",""),",",""))+1),"Genre di luar daftar",""))),IF($I688="","Nama Channel kosong",""),IF($J688="","Link Channel kosong",IF(ISERROR(SEARCH("youtu",$J688)),"Link Channel bukan youtube","")),IF($K688="","Link Video kosong",IF(ISERROR(SEARCH("youtu",$K688)),"Link Video bukan youtube","")),IF($L688="","Tgl Dibuat kosong",IF(NOT(ISNUMBER($L688)),"Tgl Dibuat bukan tanggal","")),IF(AND($M688&lt;&gt;"",NOT(ISNUMBER($M688))),"Tgl Publish bukan tanggal",""),IF(AND(ISNUMBER($L688),ISNUMBER($M688),$M688&lt;$L688),"Tgl Publish &lt; Tgl buat",""),IF(TRIM($N688)="","Status kosong",IF(ISERROR(MATCH(TRIM($N688),{"Draft","Menunggu Review","Revisi","Terjadwal","Upload","Publish","Published","Batal"},0)),"Status di luar daftar","")))),""))</f>
        <v/>
      </c>
      <c r="S688" s="17">
        <f>IF(AND($A688&lt;&gt;"",$C688&lt;&gt;""),IF(COUNTIFS($A$2:$A$1000,$A688,$C$2:$C$1000,$C688)&gt;1,"DUPLICAT",""),"")</f>
        <v/>
      </c>
    </row>
    <row r="689">
      <c r="A689" s="12" t="n"/>
      <c r="B689" s="12" t="n"/>
      <c r="C689" s="12" t="n"/>
      <c r="D689" s="13" t="n"/>
      <c r="E689" s="12" t="n"/>
      <c r="F689" s="14" t="n"/>
      <c r="G689" s="12" t="n"/>
      <c r="H689" s="12" t="n"/>
      <c r="I689" s="12" t="n"/>
      <c r="J689" s="14" t="n"/>
      <c r="K689" s="14" t="n"/>
      <c r="L689" s="15" t="n"/>
      <c r="M689" s="15" t="n"/>
      <c r="N689" s="12" t="n"/>
      <c r="O689" s="12" t="n"/>
      <c r="P689" s="16">
        <f>IF(AND(ISNUMBER($L689),ISNUMBER($M689)),MAX(0,$M689-$L689),"")</f>
        <v/>
      </c>
      <c r="Q689" s="16">
        <f>IF(ISNUMBER($D689),MAX(0,TODAY()-$D689),"")</f>
        <v/>
      </c>
      <c r="R689" s="14">
        <f>IF(COUNTA($A689:$O689)=0,"",IFERROR(TRIM(TEXTJOIN(" | ",TRUE,IF($A689="","PC kosong",""),IF($C689="","Worker ID kosong",""),IF($D689="","Update Date kosong",IF(NOT(ISNUMBER($D689)),"Update Date bukan tanggal","")),IF($E689="","Song ID YT kosong",""),IF($F689="","Judul kosong",""),IF(TRIM($G689)="","",IF(ISERROR(MATCH(TRIM($G689),{"TuneCore","DistroKid","TooLost","SoundOn","Ditto","Believe","CD Baby","Amuse","Symphonic Distribution","ONErpm","RouteNote","LANDR","Horus Music","Indie"},0)),"Aggregator di luar daftar","")),IF(TRIM($H689)="","Genre kosong",IF((LEN(SUBSTITUTE(SUBSTITUTE(SUBSTITUTE(TRIM($H689),"/",","),";",",")," ",""))-LEN(SUBSTITUTE(SUBSTITUTE(SUBSTITUTE(SUBSTITUTE(TRIM($H689),"/",","),";",","),"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689),"/",","),";",",")," ","")&amp;",")))&lt;&gt;(LEN(SUBSTITUTE(SUBSTITUTE(SUBSTITUTE(TRIM($H689),"/",","),";",",")," ",""))-LEN(SUBSTITUTE(SUBSTITUTE(SUBSTITUTE(SUBSTITUTE(TRIM($H689),"/",","),";",",")," ",""),",",""))+1),"Genre di luar daftar",""))),IF($I689="","Nama Channel kosong",""),IF($J689="","Link Channel kosong",IF(ISERROR(SEARCH("youtu",$J689)),"Link Channel bukan youtube","")),IF($K689="","Link Video kosong",IF(ISERROR(SEARCH("youtu",$K689)),"Link Video bukan youtube","")),IF($L689="","Tgl Dibuat kosong",IF(NOT(ISNUMBER($L689)),"Tgl Dibuat bukan tanggal","")),IF(AND($M689&lt;&gt;"",NOT(ISNUMBER($M689))),"Tgl Publish bukan tanggal",""),IF(AND(ISNUMBER($L689),ISNUMBER($M689),$M689&lt;$L689),"Tgl Publish &lt; Tgl buat",""),IF(TRIM($N689)="","Status kosong",IF(ISERROR(MATCH(TRIM($N689),{"Draft","Menunggu Review","Revisi","Terjadwal","Upload","Publish","Published","Batal"},0)),"Status di luar daftar","")))),""))</f>
        <v/>
      </c>
      <c r="S689" s="12">
        <f>IF(AND($A689&lt;&gt;"",$C689&lt;&gt;""),IF(COUNTIFS($A$2:$A$1000,$A689,$C$2:$C$1000,$C689)&gt;1,"DUPLICAT",""),"")</f>
        <v/>
      </c>
    </row>
    <row r="690">
      <c r="A690" s="17" t="n"/>
      <c r="B690" s="17" t="n"/>
      <c r="C690" s="17" t="n"/>
      <c r="D690" s="18" t="n"/>
      <c r="E690" s="17" t="n"/>
      <c r="F690" s="19" t="n"/>
      <c r="G690" s="17" t="n"/>
      <c r="H690" s="17" t="n"/>
      <c r="I690" s="17" t="n"/>
      <c r="J690" s="19" t="n"/>
      <c r="K690" s="19" t="n"/>
      <c r="L690" s="20" t="n"/>
      <c r="M690" s="20" t="n"/>
      <c r="N690" s="17" t="n"/>
      <c r="O690" s="17" t="n"/>
      <c r="P690" s="21">
        <f>IF(AND(ISNUMBER($L690),ISNUMBER($M690)),MAX(0,$M690-$L690),"")</f>
        <v/>
      </c>
      <c r="Q690" s="21">
        <f>IF(ISNUMBER($D690),MAX(0,TODAY()-$D690),"")</f>
        <v/>
      </c>
      <c r="R690" s="19">
        <f>IF(COUNTA($A690:$O690)=0,"",IFERROR(TRIM(TEXTJOIN(" | ",TRUE,IF($A690="","PC kosong",""),IF($C690="","Worker ID kosong",""),IF($D690="","Update Date kosong",IF(NOT(ISNUMBER($D690)),"Update Date bukan tanggal","")),IF($E690="","Song ID YT kosong",""),IF($F690="","Judul kosong",""),IF(TRIM($G690)="","",IF(ISERROR(MATCH(TRIM($G690),{"TuneCore","DistroKid","TooLost","SoundOn","Ditto","Believe","CD Baby","Amuse","Symphonic Distribution","ONErpm","RouteNote","LANDR","Horus Music","Indie"},0)),"Aggregator di luar daftar","")),IF(TRIM($H690)="","Genre kosong",IF((LEN(SUBSTITUTE(SUBSTITUTE(SUBSTITUTE(TRIM($H690),"/",","),";",",")," ",""))-LEN(SUBSTITUTE(SUBSTITUTE(SUBSTITUTE(SUBSTITUTE(TRIM($H690),"/",","),";",","),"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690),"/",","),";",",")," ","")&amp;",")))&lt;&gt;(LEN(SUBSTITUTE(SUBSTITUTE(SUBSTITUTE(TRIM($H690),"/",","),";",",")," ",""))-LEN(SUBSTITUTE(SUBSTITUTE(SUBSTITUTE(SUBSTITUTE(TRIM($H690),"/",","),";",",")," ",""),",",""))+1),"Genre di luar daftar",""))),IF($I690="","Nama Channel kosong",""),IF($J690="","Link Channel kosong",IF(ISERROR(SEARCH("youtu",$J690)),"Link Channel bukan youtube","")),IF($K690="","Link Video kosong",IF(ISERROR(SEARCH("youtu",$K690)),"Link Video bukan youtube","")),IF($L690="","Tgl Dibuat kosong",IF(NOT(ISNUMBER($L690)),"Tgl Dibuat bukan tanggal","")),IF(AND($M690&lt;&gt;"",NOT(ISNUMBER($M690))),"Tgl Publish bukan tanggal",""),IF(AND(ISNUMBER($L690),ISNUMBER($M690),$M690&lt;$L690),"Tgl Publish &lt; Tgl buat",""),IF(TRIM($N690)="","Status kosong",IF(ISERROR(MATCH(TRIM($N690),{"Draft","Menunggu Review","Revisi","Terjadwal","Upload","Publish","Published","Batal"},0)),"Status di luar daftar","")))),""))</f>
        <v/>
      </c>
      <c r="S690" s="17">
        <f>IF(AND($A690&lt;&gt;"",$C690&lt;&gt;""),IF(COUNTIFS($A$2:$A$1000,$A690,$C$2:$C$1000,$C690)&gt;1,"DUPLICAT",""),"")</f>
        <v/>
      </c>
    </row>
    <row r="691">
      <c r="A691" s="12" t="n"/>
      <c r="B691" s="12" t="n"/>
      <c r="C691" s="12" t="n"/>
      <c r="D691" s="13" t="n"/>
      <c r="E691" s="12" t="n"/>
      <c r="F691" s="14" t="n"/>
      <c r="G691" s="12" t="n"/>
      <c r="H691" s="12" t="n"/>
      <c r="I691" s="12" t="n"/>
      <c r="J691" s="14" t="n"/>
      <c r="K691" s="14" t="n"/>
      <c r="L691" s="15" t="n"/>
      <c r="M691" s="15" t="n"/>
      <c r="N691" s="12" t="n"/>
      <c r="O691" s="12" t="n"/>
      <c r="P691" s="16">
        <f>IF(AND(ISNUMBER($L691),ISNUMBER($M691)),MAX(0,$M691-$L691),"")</f>
        <v/>
      </c>
      <c r="Q691" s="16">
        <f>IF(ISNUMBER($D691),MAX(0,TODAY()-$D691),"")</f>
        <v/>
      </c>
      <c r="R691" s="14">
        <f>IF(COUNTA($A691:$O691)=0,"",IFERROR(TRIM(TEXTJOIN(" | ",TRUE,IF($A691="","PC kosong",""),IF($C691="","Worker ID kosong",""),IF($D691="","Update Date kosong",IF(NOT(ISNUMBER($D691)),"Update Date bukan tanggal","")),IF($E691="","Song ID YT kosong",""),IF($F691="","Judul kosong",""),IF(TRIM($G691)="","",IF(ISERROR(MATCH(TRIM($G691),{"TuneCore","DistroKid","TooLost","SoundOn","Ditto","Believe","CD Baby","Amuse","Symphonic Distribution","ONErpm","RouteNote","LANDR","Horus Music","Indie"},0)),"Aggregator di luar daftar","")),IF(TRIM($H691)="","Genre kosong",IF((LEN(SUBSTITUTE(SUBSTITUTE(SUBSTITUTE(TRIM($H691),"/",","),";",",")," ",""))-LEN(SUBSTITUTE(SUBSTITUTE(SUBSTITUTE(SUBSTITUTE(TRIM($H691),"/",","),";",","),"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691),"/",","),";",",")," ","")&amp;",")))&lt;&gt;(LEN(SUBSTITUTE(SUBSTITUTE(SUBSTITUTE(TRIM($H691),"/",","),";",",")," ",""))-LEN(SUBSTITUTE(SUBSTITUTE(SUBSTITUTE(SUBSTITUTE(TRIM($H691),"/",","),";",",")," ",""),",",""))+1),"Genre di luar daftar",""))),IF($I691="","Nama Channel kosong",""),IF($J691="","Link Channel kosong",IF(ISERROR(SEARCH("youtu",$J691)),"Link Channel bukan youtube","")),IF($K691="","Link Video kosong",IF(ISERROR(SEARCH("youtu",$K691)),"Link Video bukan youtube","")),IF($L691="","Tgl Dibuat kosong",IF(NOT(ISNUMBER($L691)),"Tgl Dibuat bukan tanggal","")),IF(AND($M691&lt;&gt;"",NOT(ISNUMBER($M691))),"Tgl Publish bukan tanggal",""),IF(AND(ISNUMBER($L691),ISNUMBER($M691),$M691&lt;$L691),"Tgl Publish &lt; Tgl buat",""),IF(TRIM($N691)="","Status kosong",IF(ISERROR(MATCH(TRIM($N691),{"Draft","Menunggu Review","Revisi","Terjadwal","Upload","Publish","Published","Batal"},0)),"Status di luar daftar","")))),""))</f>
        <v/>
      </c>
      <c r="S691" s="12">
        <f>IF(AND($A691&lt;&gt;"",$C691&lt;&gt;""),IF(COUNTIFS($A$2:$A$1000,$A691,$C$2:$C$1000,$C691)&gt;1,"DUPLICAT",""),"")</f>
        <v/>
      </c>
    </row>
    <row r="692">
      <c r="A692" s="17" t="n"/>
      <c r="B692" s="17" t="n"/>
      <c r="C692" s="17" t="n"/>
      <c r="D692" s="18" t="n"/>
      <c r="E692" s="17" t="n"/>
      <c r="F692" s="19" t="n"/>
      <c r="G692" s="17" t="n"/>
      <c r="H692" s="17" t="n"/>
      <c r="I692" s="17" t="n"/>
      <c r="J692" s="19" t="n"/>
      <c r="K692" s="19" t="n"/>
      <c r="L692" s="20" t="n"/>
      <c r="M692" s="20" t="n"/>
      <c r="N692" s="17" t="n"/>
      <c r="O692" s="17" t="n"/>
      <c r="P692" s="21">
        <f>IF(AND(ISNUMBER($L692),ISNUMBER($M692)),MAX(0,$M692-$L692),"")</f>
        <v/>
      </c>
      <c r="Q692" s="21">
        <f>IF(ISNUMBER($D692),MAX(0,TODAY()-$D692),"")</f>
        <v/>
      </c>
      <c r="R692" s="19">
        <f>IF(COUNTA($A692:$O692)=0,"",IFERROR(TRIM(TEXTJOIN(" | ",TRUE,IF($A692="","PC kosong",""),IF($C692="","Worker ID kosong",""),IF($D692="","Update Date kosong",IF(NOT(ISNUMBER($D692)),"Update Date bukan tanggal","")),IF($E692="","Song ID YT kosong",""),IF($F692="","Judul kosong",""),IF(TRIM($G692)="","",IF(ISERROR(MATCH(TRIM($G692),{"TuneCore","DistroKid","TooLost","SoundOn","Ditto","Believe","CD Baby","Amuse","Symphonic Distribution","ONErpm","RouteNote","LANDR","Horus Music","Indie"},0)),"Aggregator di luar daftar","")),IF(TRIM($H692)="","Genre kosong",IF((LEN(SUBSTITUTE(SUBSTITUTE(SUBSTITUTE(TRIM($H692),"/",","),";",",")," ",""))-LEN(SUBSTITUTE(SUBSTITUTE(SUBSTITUTE(SUBSTITUTE(TRIM($H692),"/",","),";",","),"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692),"/",","),";",",")," ","")&amp;",")))&lt;&gt;(LEN(SUBSTITUTE(SUBSTITUTE(SUBSTITUTE(TRIM($H692),"/",","),";",",")," ",""))-LEN(SUBSTITUTE(SUBSTITUTE(SUBSTITUTE(SUBSTITUTE(TRIM($H692),"/",","),";",",")," ",""),",",""))+1),"Genre di luar daftar",""))),IF($I692="","Nama Channel kosong",""),IF($J692="","Link Channel kosong",IF(ISERROR(SEARCH("youtu",$J692)),"Link Channel bukan youtube","")),IF($K692="","Link Video kosong",IF(ISERROR(SEARCH("youtu",$K692)),"Link Video bukan youtube","")),IF($L692="","Tgl Dibuat kosong",IF(NOT(ISNUMBER($L692)),"Tgl Dibuat bukan tanggal","")),IF(AND($M692&lt;&gt;"",NOT(ISNUMBER($M692))),"Tgl Publish bukan tanggal",""),IF(AND(ISNUMBER($L692),ISNUMBER($M692),$M692&lt;$L692),"Tgl Publish &lt; Tgl buat",""),IF(TRIM($N692)="","Status kosong",IF(ISERROR(MATCH(TRIM($N692),{"Draft","Menunggu Review","Revisi","Terjadwal","Upload","Publish","Published","Batal"},0)),"Status di luar daftar","")))),""))</f>
        <v/>
      </c>
      <c r="S692" s="17">
        <f>IF(AND($A692&lt;&gt;"",$C692&lt;&gt;""),IF(COUNTIFS($A$2:$A$1000,$A692,$C$2:$C$1000,$C692)&gt;1,"DUPLICAT",""),"")</f>
        <v/>
      </c>
    </row>
    <row r="693">
      <c r="A693" s="12" t="n"/>
      <c r="B693" s="12" t="n"/>
      <c r="C693" s="12" t="n"/>
      <c r="D693" s="13" t="n"/>
      <c r="E693" s="12" t="n"/>
      <c r="F693" s="14" t="n"/>
      <c r="G693" s="12" t="n"/>
      <c r="H693" s="12" t="n"/>
      <c r="I693" s="12" t="n"/>
      <c r="J693" s="14" t="n"/>
      <c r="K693" s="14" t="n"/>
      <c r="L693" s="15" t="n"/>
      <c r="M693" s="15" t="n"/>
      <c r="N693" s="12" t="n"/>
      <c r="O693" s="12" t="n"/>
      <c r="P693" s="16">
        <f>IF(AND(ISNUMBER($L693),ISNUMBER($M693)),MAX(0,$M693-$L693),"")</f>
        <v/>
      </c>
      <c r="Q693" s="16">
        <f>IF(ISNUMBER($D693),MAX(0,TODAY()-$D693),"")</f>
        <v/>
      </c>
      <c r="R693" s="14">
        <f>IF(COUNTA($A693:$O693)=0,"",IFERROR(TRIM(TEXTJOIN(" | ",TRUE,IF($A693="","PC kosong",""),IF($C693="","Worker ID kosong",""),IF($D693="","Update Date kosong",IF(NOT(ISNUMBER($D693)),"Update Date bukan tanggal","")),IF($E693="","Song ID YT kosong",""),IF($F693="","Judul kosong",""),IF(TRIM($G693)="","",IF(ISERROR(MATCH(TRIM($G693),{"TuneCore","DistroKid","TooLost","SoundOn","Ditto","Believe","CD Baby","Amuse","Symphonic Distribution","ONErpm","RouteNote","LANDR","Horus Music","Indie"},0)),"Aggregator di luar daftar","")),IF(TRIM($H693)="","Genre kosong",IF((LEN(SUBSTITUTE(SUBSTITUTE(SUBSTITUTE(TRIM($H693),"/",","),";",",")," ",""))-LEN(SUBSTITUTE(SUBSTITUTE(SUBSTITUTE(SUBSTITUTE(TRIM($H693),"/",","),";",","),"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693),"/",","),";",",")," ","")&amp;",")))&lt;&gt;(LEN(SUBSTITUTE(SUBSTITUTE(SUBSTITUTE(TRIM($H693),"/",","),";",",")," ",""))-LEN(SUBSTITUTE(SUBSTITUTE(SUBSTITUTE(SUBSTITUTE(TRIM($H693),"/",","),";",",")," ",""),",",""))+1),"Genre di luar daftar",""))),IF($I693="","Nama Channel kosong",""),IF($J693="","Link Channel kosong",IF(ISERROR(SEARCH("youtu",$J693)),"Link Channel bukan youtube","")),IF($K693="","Link Video kosong",IF(ISERROR(SEARCH("youtu",$K693)),"Link Video bukan youtube","")),IF($L693="","Tgl Dibuat kosong",IF(NOT(ISNUMBER($L693)),"Tgl Dibuat bukan tanggal","")),IF(AND($M693&lt;&gt;"",NOT(ISNUMBER($M693))),"Tgl Publish bukan tanggal",""),IF(AND(ISNUMBER($L693),ISNUMBER($M693),$M693&lt;$L693),"Tgl Publish &lt; Tgl buat",""),IF(TRIM($N693)="","Status kosong",IF(ISERROR(MATCH(TRIM($N693),{"Draft","Menunggu Review","Revisi","Terjadwal","Upload","Publish","Published","Batal"},0)),"Status di luar daftar","")))),""))</f>
        <v/>
      </c>
      <c r="S693" s="12">
        <f>IF(AND($A693&lt;&gt;"",$C693&lt;&gt;""),IF(COUNTIFS($A$2:$A$1000,$A693,$C$2:$C$1000,$C693)&gt;1,"DUPLICAT",""),"")</f>
        <v/>
      </c>
    </row>
    <row r="694">
      <c r="A694" s="17" t="n"/>
      <c r="B694" s="17" t="n"/>
      <c r="C694" s="17" t="n"/>
      <c r="D694" s="18" t="n"/>
      <c r="E694" s="17" t="n"/>
      <c r="F694" s="19" t="n"/>
      <c r="G694" s="17" t="n"/>
      <c r="H694" s="17" t="n"/>
      <c r="I694" s="17" t="n"/>
      <c r="J694" s="19" t="n"/>
      <c r="K694" s="19" t="n"/>
      <c r="L694" s="20" t="n"/>
      <c r="M694" s="20" t="n"/>
      <c r="N694" s="17" t="n"/>
      <c r="O694" s="17" t="n"/>
      <c r="P694" s="21">
        <f>IF(AND(ISNUMBER($L694),ISNUMBER($M694)),MAX(0,$M694-$L694),"")</f>
        <v/>
      </c>
      <c r="Q694" s="21">
        <f>IF(ISNUMBER($D694),MAX(0,TODAY()-$D694),"")</f>
        <v/>
      </c>
      <c r="R694" s="19">
        <f>IF(COUNTA($A694:$O694)=0,"",IFERROR(TRIM(TEXTJOIN(" | ",TRUE,IF($A694="","PC kosong",""),IF($C694="","Worker ID kosong",""),IF($D694="","Update Date kosong",IF(NOT(ISNUMBER($D694)),"Update Date bukan tanggal","")),IF($E694="","Song ID YT kosong",""),IF($F694="","Judul kosong",""),IF(TRIM($G694)="","",IF(ISERROR(MATCH(TRIM($G694),{"TuneCore","DistroKid","TooLost","SoundOn","Ditto","Believe","CD Baby","Amuse","Symphonic Distribution","ONErpm","RouteNote","LANDR","Horus Music","Indie"},0)),"Aggregator di luar daftar","")),IF(TRIM($H694)="","Genre kosong",IF((LEN(SUBSTITUTE(SUBSTITUTE(SUBSTITUTE(TRIM($H694),"/",","),";",",")," ",""))-LEN(SUBSTITUTE(SUBSTITUTE(SUBSTITUTE(SUBSTITUTE(TRIM($H694),"/",","),";",","),"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694),"/",","),";",",")," ","")&amp;",")))&lt;&gt;(LEN(SUBSTITUTE(SUBSTITUTE(SUBSTITUTE(TRIM($H694),"/",","),";",",")," ",""))-LEN(SUBSTITUTE(SUBSTITUTE(SUBSTITUTE(SUBSTITUTE(TRIM($H694),"/",","),";",",")," ",""),",",""))+1),"Genre di luar daftar",""))),IF($I694="","Nama Channel kosong",""),IF($J694="","Link Channel kosong",IF(ISERROR(SEARCH("youtu",$J694)),"Link Channel bukan youtube","")),IF($K694="","Link Video kosong",IF(ISERROR(SEARCH("youtu",$K694)),"Link Video bukan youtube","")),IF($L694="","Tgl Dibuat kosong",IF(NOT(ISNUMBER($L694)),"Tgl Dibuat bukan tanggal","")),IF(AND($M694&lt;&gt;"",NOT(ISNUMBER($M694))),"Tgl Publish bukan tanggal",""),IF(AND(ISNUMBER($L694),ISNUMBER($M694),$M694&lt;$L694),"Tgl Publish &lt; Tgl buat",""),IF(TRIM($N694)="","Status kosong",IF(ISERROR(MATCH(TRIM($N694),{"Draft","Menunggu Review","Revisi","Terjadwal","Upload","Publish","Published","Batal"},0)),"Status di luar daftar","")))),""))</f>
        <v/>
      </c>
      <c r="S694" s="17">
        <f>IF(AND($A694&lt;&gt;"",$C694&lt;&gt;""),IF(COUNTIFS($A$2:$A$1000,$A694,$C$2:$C$1000,$C694)&gt;1,"DUPLICAT",""),"")</f>
        <v/>
      </c>
    </row>
    <row r="695">
      <c r="A695" s="12" t="n"/>
      <c r="B695" s="12" t="n"/>
      <c r="C695" s="12" t="n"/>
      <c r="D695" s="13" t="n"/>
      <c r="E695" s="12" t="n"/>
      <c r="F695" s="14" t="n"/>
      <c r="G695" s="12" t="n"/>
      <c r="H695" s="12" t="n"/>
      <c r="I695" s="12" t="n"/>
      <c r="J695" s="14" t="n"/>
      <c r="K695" s="14" t="n"/>
      <c r="L695" s="15" t="n"/>
      <c r="M695" s="15" t="n"/>
      <c r="N695" s="12" t="n"/>
      <c r="O695" s="12" t="n"/>
      <c r="P695" s="16">
        <f>IF(AND(ISNUMBER($L695),ISNUMBER($M695)),MAX(0,$M695-$L695),"")</f>
        <v/>
      </c>
      <c r="Q695" s="16">
        <f>IF(ISNUMBER($D695),MAX(0,TODAY()-$D695),"")</f>
        <v/>
      </c>
      <c r="R695" s="14">
        <f>IF(COUNTA($A695:$O695)=0,"",IFERROR(TRIM(TEXTJOIN(" | ",TRUE,IF($A695="","PC kosong",""),IF($C695="","Worker ID kosong",""),IF($D695="","Update Date kosong",IF(NOT(ISNUMBER($D695)),"Update Date bukan tanggal","")),IF($E695="","Song ID YT kosong",""),IF($F695="","Judul kosong",""),IF(TRIM($G695)="","",IF(ISERROR(MATCH(TRIM($G695),{"TuneCore","DistroKid","TooLost","SoundOn","Ditto","Believe","CD Baby","Amuse","Symphonic Distribution","ONErpm","RouteNote","LANDR","Horus Music","Indie"},0)),"Aggregator di luar daftar","")),IF(TRIM($H695)="","Genre kosong",IF((LEN(SUBSTITUTE(SUBSTITUTE(SUBSTITUTE(TRIM($H695),"/",","),";",",")," ",""))-LEN(SUBSTITUTE(SUBSTITUTE(SUBSTITUTE(SUBSTITUTE(TRIM($H695),"/",","),";",","),"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695),"/",","),";",",")," ","")&amp;",")))&lt;&gt;(LEN(SUBSTITUTE(SUBSTITUTE(SUBSTITUTE(TRIM($H695),"/",","),";",",")," ",""))-LEN(SUBSTITUTE(SUBSTITUTE(SUBSTITUTE(SUBSTITUTE(TRIM($H695),"/",","),";",",")," ",""),",",""))+1),"Genre di luar daftar",""))),IF($I695="","Nama Channel kosong",""),IF($J695="","Link Channel kosong",IF(ISERROR(SEARCH("youtu",$J695)),"Link Channel bukan youtube","")),IF($K695="","Link Video kosong",IF(ISERROR(SEARCH("youtu",$K695)),"Link Video bukan youtube","")),IF($L695="","Tgl Dibuat kosong",IF(NOT(ISNUMBER($L695)),"Tgl Dibuat bukan tanggal","")),IF(AND($M695&lt;&gt;"",NOT(ISNUMBER($M695))),"Tgl Publish bukan tanggal",""),IF(AND(ISNUMBER($L695),ISNUMBER($M695),$M695&lt;$L695),"Tgl Publish &lt; Tgl buat",""),IF(TRIM($N695)="","Status kosong",IF(ISERROR(MATCH(TRIM($N695),{"Draft","Menunggu Review","Revisi","Terjadwal","Upload","Publish","Published","Batal"},0)),"Status di luar daftar","")))),""))</f>
        <v/>
      </c>
      <c r="S695" s="12">
        <f>IF(AND($A695&lt;&gt;"",$C695&lt;&gt;""),IF(COUNTIFS($A$2:$A$1000,$A695,$C$2:$C$1000,$C695)&gt;1,"DUPLICAT",""),"")</f>
        <v/>
      </c>
    </row>
    <row r="696">
      <c r="A696" s="17" t="n"/>
      <c r="B696" s="17" t="n"/>
      <c r="C696" s="17" t="n"/>
      <c r="D696" s="18" t="n"/>
      <c r="E696" s="17" t="n"/>
      <c r="F696" s="19" t="n"/>
      <c r="G696" s="17" t="n"/>
      <c r="H696" s="17" t="n"/>
      <c r="I696" s="17" t="n"/>
      <c r="J696" s="19" t="n"/>
      <c r="K696" s="19" t="n"/>
      <c r="L696" s="20" t="n"/>
      <c r="M696" s="20" t="n"/>
      <c r="N696" s="17" t="n"/>
      <c r="O696" s="17" t="n"/>
      <c r="P696" s="21">
        <f>IF(AND(ISNUMBER($L696),ISNUMBER($M696)),MAX(0,$M696-$L696),"")</f>
        <v/>
      </c>
      <c r="Q696" s="21">
        <f>IF(ISNUMBER($D696),MAX(0,TODAY()-$D696),"")</f>
        <v/>
      </c>
      <c r="R696" s="19">
        <f>IF(COUNTA($A696:$O696)=0,"",IFERROR(TRIM(TEXTJOIN(" | ",TRUE,IF($A696="","PC kosong",""),IF($C696="","Worker ID kosong",""),IF($D696="","Update Date kosong",IF(NOT(ISNUMBER($D696)),"Update Date bukan tanggal","")),IF($E696="","Song ID YT kosong",""),IF($F696="","Judul kosong",""),IF(TRIM($G696)="","",IF(ISERROR(MATCH(TRIM($G696),{"TuneCore","DistroKid","TooLost","SoundOn","Ditto","Believe","CD Baby","Amuse","Symphonic Distribution","ONErpm","RouteNote","LANDR","Horus Music","Indie"},0)),"Aggregator di luar daftar","")),IF(TRIM($H696)="","Genre kosong",IF((LEN(SUBSTITUTE(SUBSTITUTE(SUBSTITUTE(TRIM($H696),"/",","),";",",")," ",""))-LEN(SUBSTITUTE(SUBSTITUTE(SUBSTITUTE(SUBSTITUTE(TRIM($H696),"/",","),";",","),"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696),"/",","),";",",")," ","")&amp;",")))&lt;&gt;(LEN(SUBSTITUTE(SUBSTITUTE(SUBSTITUTE(TRIM($H696),"/",","),";",",")," ",""))-LEN(SUBSTITUTE(SUBSTITUTE(SUBSTITUTE(SUBSTITUTE(TRIM($H696),"/",","),";",",")," ",""),",",""))+1),"Genre di luar daftar",""))),IF($I696="","Nama Channel kosong",""),IF($J696="","Link Channel kosong",IF(ISERROR(SEARCH("youtu",$J696)),"Link Channel bukan youtube","")),IF($K696="","Link Video kosong",IF(ISERROR(SEARCH("youtu",$K696)),"Link Video bukan youtube","")),IF($L696="","Tgl Dibuat kosong",IF(NOT(ISNUMBER($L696)),"Tgl Dibuat bukan tanggal","")),IF(AND($M696&lt;&gt;"",NOT(ISNUMBER($M696))),"Tgl Publish bukan tanggal",""),IF(AND(ISNUMBER($L696),ISNUMBER($M696),$M696&lt;$L696),"Tgl Publish &lt; Tgl buat",""),IF(TRIM($N696)="","Status kosong",IF(ISERROR(MATCH(TRIM($N696),{"Draft","Menunggu Review","Revisi","Terjadwal","Upload","Publish","Published","Batal"},0)),"Status di luar daftar","")))),""))</f>
        <v/>
      </c>
      <c r="S696" s="17">
        <f>IF(AND($A696&lt;&gt;"",$C696&lt;&gt;""),IF(COUNTIFS($A$2:$A$1000,$A696,$C$2:$C$1000,$C696)&gt;1,"DUPLICAT",""),"")</f>
        <v/>
      </c>
    </row>
    <row r="697">
      <c r="A697" s="12" t="n"/>
      <c r="B697" s="12" t="n"/>
      <c r="C697" s="12" t="n"/>
      <c r="D697" s="13" t="n"/>
      <c r="E697" s="12" t="n"/>
      <c r="F697" s="14" t="n"/>
      <c r="G697" s="12" t="n"/>
      <c r="H697" s="12" t="n"/>
      <c r="I697" s="12" t="n"/>
      <c r="J697" s="14" t="n"/>
      <c r="K697" s="14" t="n"/>
      <c r="L697" s="15" t="n"/>
      <c r="M697" s="15" t="n"/>
      <c r="N697" s="12" t="n"/>
      <c r="O697" s="12" t="n"/>
      <c r="P697" s="16">
        <f>IF(AND(ISNUMBER($L697),ISNUMBER($M697)),MAX(0,$M697-$L697),"")</f>
        <v/>
      </c>
      <c r="Q697" s="16">
        <f>IF(ISNUMBER($D697),MAX(0,TODAY()-$D697),"")</f>
        <v/>
      </c>
      <c r="R697" s="14">
        <f>IF(COUNTA($A697:$O697)=0,"",IFERROR(TRIM(TEXTJOIN(" | ",TRUE,IF($A697="","PC kosong",""),IF($C697="","Worker ID kosong",""),IF($D697="","Update Date kosong",IF(NOT(ISNUMBER($D697)),"Update Date bukan tanggal","")),IF($E697="","Song ID YT kosong",""),IF($F697="","Judul kosong",""),IF(TRIM($G697)="","",IF(ISERROR(MATCH(TRIM($G697),{"TuneCore","DistroKid","TooLost","SoundOn","Ditto","Believe","CD Baby","Amuse","Symphonic Distribution","ONErpm","RouteNote","LANDR","Horus Music","Indie"},0)),"Aggregator di luar daftar","")),IF(TRIM($H697)="","Genre kosong",IF((LEN(SUBSTITUTE(SUBSTITUTE(SUBSTITUTE(TRIM($H697),"/",","),";",",")," ",""))-LEN(SUBSTITUTE(SUBSTITUTE(SUBSTITUTE(SUBSTITUTE(TRIM($H697),"/",","),";",","),"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697),"/",","),";",",")," ","")&amp;",")))&lt;&gt;(LEN(SUBSTITUTE(SUBSTITUTE(SUBSTITUTE(TRIM($H697),"/",","),";",",")," ",""))-LEN(SUBSTITUTE(SUBSTITUTE(SUBSTITUTE(SUBSTITUTE(TRIM($H697),"/",","),";",",")," ",""),",",""))+1),"Genre di luar daftar",""))),IF($I697="","Nama Channel kosong",""),IF($J697="","Link Channel kosong",IF(ISERROR(SEARCH("youtu",$J697)),"Link Channel bukan youtube","")),IF($K697="","Link Video kosong",IF(ISERROR(SEARCH("youtu",$K697)),"Link Video bukan youtube","")),IF($L697="","Tgl Dibuat kosong",IF(NOT(ISNUMBER($L697)),"Tgl Dibuat bukan tanggal","")),IF(AND($M697&lt;&gt;"",NOT(ISNUMBER($M697))),"Tgl Publish bukan tanggal",""),IF(AND(ISNUMBER($L697),ISNUMBER($M697),$M697&lt;$L697),"Tgl Publish &lt; Tgl buat",""),IF(TRIM($N697)="","Status kosong",IF(ISERROR(MATCH(TRIM($N697),{"Draft","Menunggu Review","Revisi","Terjadwal","Upload","Publish","Published","Batal"},0)),"Status di luar daftar","")))),""))</f>
        <v/>
      </c>
      <c r="S697" s="12">
        <f>IF(AND($A697&lt;&gt;"",$C697&lt;&gt;""),IF(COUNTIFS($A$2:$A$1000,$A697,$C$2:$C$1000,$C697)&gt;1,"DUPLICAT",""),"")</f>
        <v/>
      </c>
    </row>
    <row r="698">
      <c r="A698" s="17" t="n"/>
      <c r="B698" s="17" t="n"/>
      <c r="C698" s="17" t="n"/>
      <c r="D698" s="18" t="n"/>
      <c r="E698" s="17" t="n"/>
      <c r="F698" s="19" t="n"/>
      <c r="G698" s="17" t="n"/>
      <c r="H698" s="17" t="n"/>
      <c r="I698" s="17" t="n"/>
      <c r="J698" s="19" t="n"/>
      <c r="K698" s="19" t="n"/>
      <c r="L698" s="20" t="n"/>
      <c r="M698" s="20" t="n"/>
      <c r="N698" s="17" t="n"/>
      <c r="O698" s="17" t="n"/>
      <c r="P698" s="21">
        <f>IF(AND(ISNUMBER($L698),ISNUMBER($M698)),MAX(0,$M698-$L698),"")</f>
        <v/>
      </c>
      <c r="Q698" s="21">
        <f>IF(ISNUMBER($D698),MAX(0,TODAY()-$D698),"")</f>
        <v/>
      </c>
      <c r="R698" s="19">
        <f>IF(COUNTA($A698:$O698)=0,"",IFERROR(TRIM(TEXTJOIN(" | ",TRUE,IF($A698="","PC kosong",""),IF($C698="","Worker ID kosong",""),IF($D698="","Update Date kosong",IF(NOT(ISNUMBER($D698)),"Update Date bukan tanggal","")),IF($E698="","Song ID YT kosong",""),IF($F698="","Judul kosong",""),IF(TRIM($G698)="","",IF(ISERROR(MATCH(TRIM($G698),{"TuneCore","DistroKid","TooLost","SoundOn","Ditto","Believe","CD Baby","Amuse","Symphonic Distribution","ONErpm","RouteNote","LANDR","Horus Music","Indie"},0)),"Aggregator di luar daftar","")),IF(TRIM($H698)="","Genre kosong",IF((LEN(SUBSTITUTE(SUBSTITUTE(SUBSTITUTE(TRIM($H698),"/",","),";",",")," ",""))-LEN(SUBSTITUTE(SUBSTITUTE(SUBSTITUTE(SUBSTITUTE(TRIM($H698),"/",","),";",","),"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698),"/",","),";",",")," ","")&amp;",")))&lt;&gt;(LEN(SUBSTITUTE(SUBSTITUTE(SUBSTITUTE(TRIM($H698),"/",","),";",",")," ",""))-LEN(SUBSTITUTE(SUBSTITUTE(SUBSTITUTE(SUBSTITUTE(TRIM($H698),"/",","),";",",")," ",""),",",""))+1),"Genre di luar daftar",""))),IF($I698="","Nama Channel kosong",""),IF($J698="","Link Channel kosong",IF(ISERROR(SEARCH("youtu",$J698)),"Link Channel bukan youtube","")),IF($K698="","Link Video kosong",IF(ISERROR(SEARCH("youtu",$K698)),"Link Video bukan youtube","")),IF($L698="","Tgl Dibuat kosong",IF(NOT(ISNUMBER($L698)),"Tgl Dibuat bukan tanggal","")),IF(AND($M698&lt;&gt;"",NOT(ISNUMBER($M698))),"Tgl Publish bukan tanggal",""),IF(AND(ISNUMBER($L698),ISNUMBER($M698),$M698&lt;$L698),"Tgl Publish &lt; Tgl buat",""),IF(TRIM($N698)="","Status kosong",IF(ISERROR(MATCH(TRIM($N698),{"Draft","Menunggu Review","Revisi","Terjadwal","Upload","Publish","Published","Batal"},0)),"Status di luar daftar","")))),""))</f>
        <v/>
      </c>
      <c r="S698" s="17">
        <f>IF(AND($A698&lt;&gt;"",$C698&lt;&gt;""),IF(COUNTIFS($A$2:$A$1000,$A698,$C$2:$C$1000,$C698)&gt;1,"DUPLICAT",""),"")</f>
        <v/>
      </c>
    </row>
    <row r="699">
      <c r="A699" s="12" t="n"/>
      <c r="B699" s="12" t="n"/>
      <c r="C699" s="12" t="n"/>
      <c r="D699" s="13" t="n"/>
      <c r="E699" s="12" t="n"/>
      <c r="F699" s="14" t="n"/>
      <c r="G699" s="12" t="n"/>
      <c r="H699" s="12" t="n"/>
      <c r="I699" s="12" t="n"/>
      <c r="J699" s="14" t="n"/>
      <c r="K699" s="14" t="n"/>
      <c r="L699" s="15" t="n"/>
      <c r="M699" s="15" t="n"/>
      <c r="N699" s="12" t="n"/>
      <c r="O699" s="12" t="n"/>
      <c r="P699" s="16">
        <f>IF(AND(ISNUMBER($L699),ISNUMBER($M699)),MAX(0,$M699-$L699),"")</f>
        <v/>
      </c>
      <c r="Q699" s="16">
        <f>IF(ISNUMBER($D699),MAX(0,TODAY()-$D699),"")</f>
        <v/>
      </c>
      <c r="R699" s="14">
        <f>IF(COUNTA($A699:$O699)=0,"",IFERROR(TRIM(TEXTJOIN(" | ",TRUE,IF($A699="","PC kosong",""),IF($C699="","Worker ID kosong",""),IF($D699="","Update Date kosong",IF(NOT(ISNUMBER($D699)),"Update Date bukan tanggal","")),IF($E699="","Song ID YT kosong",""),IF($F699="","Judul kosong",""),IF(TRIM($G699)="","",IF(ISERROR(MATCH(TRIM($G699),{"TuneCore","DistroKid","TooLost","SoundOn","Ditto","Believe","CD Baby","Amuse","Symphonic Distribution","ONErpm","RouteNote","LANDR","Horus Music","Indie"},0)),"Aggregator di luar daftar","")),IF(TRIM($H699)="","Genre kosong",IF((LEN(SUBSTITUTE(SUBSTITUTE(SUBSTITUTE(TRIM($H699),"/",","),";",",")," ",""))-LEN(SUBSTITUTE(SUBSTITUTE(SUBSTITUTE(SUBSTITUTE(TRIM($H699),"/",","),";",","),"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699),"/",","),";",",")," ","")&amp;",")))&lt;&gt;(LEN(SUBSTITUTE(SUBSTITUTE(SUBSTITUTE(TRIM($H699),"/",","),";",",")," ",""))-LEN(SUBSTITUTE(SUBSTITUTE(SUBSTITUTE(SUBSTITUTE(TRIM($H699),"/",","),";",",")," ",""),",",""))+1),"Genre di luar daftar",""))),IF($I699="","Nama Channel kosong",""),IF($J699="","Link Channel kosong",IF(ISERROR(SEARCH("youtu",$J699)),"Link Channel bukan youtube","")),IF($K699="","Link Video kosong",IF(ISERROR(SEARCH("youtu",$K699)),"Link Video bukan youtube","")),IF($L699="","Tgl Dibuat kosong",IF(NOT(ISNUMBER($L699)),"Tgl Dibuat bukan tanggal","")),IF(AND($M699&lt;&gt;"",NOT(ISNUMBER($M699))),"Tgl Publish bukan tanggal",""),IF(AND(ISNUMBER($L699),ISNUMBER($M699),$M699&lt;$L699),"Tgl Publish &lt; Tgl buat",""),IF(TRIM($N699)="","Status kosong",IF(ISERROR(MATCH(TRIM($N699),{"Draft","Menunggu Review","Revisi","Terjadwal","Upload","Publish","Published","Batal"},0)),"Status di luar daftar","")))),""))</f>
        <v/>
      </c>
      <c r="S699" s="12">
        <f>IF(AND($A699&lt;&gt;"",$C699&lt;&gt;""),IF(COUNTIFS($A$2:$A$1000,$A699,$C$2:$C$1000,$C699)&gt;1,"DUPLICAT",""),"")</f>
        <v/>
      </c>
    </row>
    <row r="700">
      <c r="A700" s="17" t="n"/>
      <c r="B700" s="17" t="n"/>
      <c r="C700" s="17" t="n"/>
      <c r="D700" s="18" t="n"/>
      <c r="E700" s="17" t="n"/>
      <c r="F700" s="19" t="n"/>
      <c r="G700" s="17" t="n"/>
      <c r="H700" s="17" t="n"/>
      <c r="I700" s="17" t="n"/>
      <c r="J700" s="19" t="n"/>
      <c r="K700" s="19" t="n"/>
      <c r="L700" s="20" t="n"/>
      <c r="M700" s="20" t="n"/>
      <c r="N700" s="17" t="n"/>
      <c r="O700" s="17" t="n"/>
      <c r="P700" s="21">
        <f>IF(AND(ISNUMBER($L700),ISNUMBER($M700)),MAX(0,$M700-$L700),"")</f>
        <v/>
      </c>
      <c r="Q700" s="21">
        <f>IF(ISNUMBER($D700),MAX(0,TODAY()-$D700),"")</f>
        <v/>
      </c>
      <c r="R700" s="19">
        <f>IF(COUNTA($A700:$O700)=0,"",IFERROR(TRIM(TEXTJOIN(" | ",TRUE,IF($A700="","PC kosong",""),IF($C700="","Worker ID kosong",""),IF($D700="","Update Date kosong",IF(NOT(ISNUMBER($D700)),"Update Date bukan tanggal","")),IF($E700="","Song ID YT kosong",""),IF($F700="","Judul kosong",""),IF(TRIM($G700)="","",IF(ISERROR(MATCH(TRIM($G700),{"TuneCore","DistroKid","TooLost","SoundOn","Ditto","Believe","CD Baby","Amuse","Symphonic Distribution","ONErpm","RouteNote","LANDR","Horus Music","Indie"},0)),"Aggregator di luar daftar","")),IF(TRIM($H700)="","Genre kosong",IF((LEN(SUBSTITUTE(SUBSTITUTE(SUBSTITUTE(TRIM($H700),"/",","),";",",")," ",""))-LEN(SUBSTITUTE(SUBSTITUTE(SUBSTITUTE(SUBSTITUTE(TRIM($H700),"/",","),";",","),"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700),"/",","),";",",")," ","")&amp;",")))&lt;&gt;(LEN(SUBSTITUTE(SUBSTITUTE(SUBSTITUTE(TRIM($H700),"/",","),";",",")," ",""))-LEN(SUBSTITUTE(SUBSTITUTE(SUBSTITUTE(SUBSTITUTE(TRIM($H700),"/",","),";",",")," ",""),",",""))+1),"Genre di luar daftar",""))),IF($I700="","Nama Channel kosong",""),IF($J700="","Link Channel kosong",IF(ISERROR(SEARCH("youtu",$J700)),"Link Channel bukan youtube","")),IF($K700="","Link Video kosong",IF(ISERROR(SEARCH("youtu",$K700)),"Link Video bukan youtube","")),IF($L700="","Tgl Dibuat kosong",IF(NOT(ISNUMBER($L700)),"Tgl Dibuat bukan tanggal","")),IF(AND($M700&lt;&gt;"",NOT(ISNUMBER($M700))),"Tgl Publish bukan tanggal",""),IF(AND(ISNUMBER($L700),ISNUMBER($M700),$M700&lt;$L700),"Tgl Publish &lt; Tgl buat",""),IF(TRIM($N700)="","Status kosong",IF(ISERROR(MATCH(TRIM($N700),{"Draft","Menunggu Review","Revisi","Terjadwal","Upload","Publish","Published","Batal"},0)),"Status di luar daftar","")))),""))</f>
        <v/>
      </c>
      <c r="S700" s="17">
        <f>IF(AND($A700&lt;&gt;"",$C700&lt;&gt;""),IF(COUNTIFS($A$2:$A$1000,$A700,$C$2:$C$1000,$C700)&gt;1,"DUPLICAT",""),"")</f>
        <v/>
      </c>
    </row>
    <row r="701">
      <c r="A701" s="12" t="n"/>
      <c r="B701" s="12" t="n"/>
      <c r="C701" s="12" t="n"/>
      <c r="D701" s="13" t="n"/>
      <c r="E701" s="12" t="n"/>
      <c r="F701" s="14" t="n"/>
      <c r="G701" s="12" t="n"/>
      <c r="H701" s="12" t="n"/>
      <c r="I701" s="12" t="n"/>
      <c r="J701" s="14" t="n"/>
      <c r="K701" s="14" t="n"/>
      <c r="L701" s="15" t="n"/>
      <c r="M701" s="15" t="n"/>
      <c r="N701" s="12" t="n"/>
      <c r="O701" s="12" t="n"/>
      <c r="P701" s="16">
        <f>IF(AND(ISNUMBER($L701),ISNUMBER($M701)),MAX(0,$M701-$L701),"")</f>
        <v/>
      </c>
      <c r="Q701" s="16">
        <f>IF(ISNUMBER($D701),MAX(0,TODAY()-$D701),"")</f>
        <v/>
      </c>
      <c r="R701" s="14">
        <f>IF(COUNTA($A701:$O701)=0,"",IFERROR(TRIM(TEXTJOIN(" | ",TRUE,IF($A701="","PC kosong",""),IF($C701="","Worker ID kosong",""),IF($D701="","Update Date kosong",IF(NOT(ISNUMBER($D701)),"Update Date bukan tanggal","")),IF($E701="","Song ID YT kosong",""),IF($F701="","Judul kosong",""),IF(TRIM($G701)="","",IF(ISERROR(MATCH(TRIM($G701),{"TuneCore","DistroKid","TooLost","SoundOn","Ditto","Believe","CD Baby","Amuse","Symphonic Distribution","ONErpm","RouteNote","LANDR","Horus Music","Indie"},0)),"Aggregator di luar daftar","")),IF(TRIM($H701)="","Genre kosong",IF((LEN(SUBSTITUTE(SUBSTITUTE(SUBSTITUTE(TRIM($H701),"/",","),";",",")," ",""))-LEN(SUBSTITUTE(SUBSTITUTE(SUBSTITUTE(SUBSTITUTE(TRIM($H701),"/",","),";",","),"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701),"/",","),";",",")," ","")&amp;",")))&lt;&gt;(LEN(SUBSTITUTE(SUBSTITUTE(SUBSTITUTE(TRIM($H701),"/",","),";",",")," ",""))-LEN(SUBSTITUTE(SUBSTITUTE(SUBSTITUTE(SUBSTITUTE(TRIM($H701),"/",","),";",",")," ",""),",",""))+1),"Genre di luar daftar",""))),IF($I701="","Nama Channel kosong",""),IF($J701="","Link Channel kosong",IF(ISERROR(SEARCH("youtu",$J701)),"Link Channel bukan youtube","")),IF($K701="","Link Video kosong",IF(ISERROR(SEARCH("youtu",$K701)),"Link Video bukan youtube","")),IF($L701="","Tgl Dibuat kosong",IF(NOT(ISNUMBER($L701)),"Tgl Dibuat bukan tanggal","")),IF(AND($M701&lt;&gt;"",NOT(ISNUMBER($M701))),"Tgl Publish bukan tanggal",""),IF(AND(ISNUMBER($L701),ISNUMBER($M701),$M701&lt;$L701),"Tgl Publish &lt; Tgl buat",""),IF(TRIM($N701)="","Status kosong",IF(ISERROR(MATCH(TRIM($N701),{"Draft","Menunggu Review","Revisi","Terjadwal","Upload","Publish","Published","Batal"},0)),"Status di luar daftar","")))),""))</f>
        <v/>
      </c>
      <c r="S701" s="12">
        <f>IF(AND($A701&lt;&gt;"",$C701&lt;&gt;""),IF(COUNTIFS($A$2:$A$1000,$A701,$C$2:$C$1000,$C701)&gt;1,"DUPLICAT",""),"")</f>
        <v/>
      </c>
    </row>
    <row r="702">
      <c r="A702" s="17" t="n"/>
      <c r="B702" s="17" t="n"/>
      <c r="C702" s="17" t="n"/>
      <c r="D702" s="18" t="n"/>
      <c r="E702" s="17" t="n"/>
      <c r="F702" s="19" t="n"/>
      <c r="G702" s="17" t="n"/>
      <c r="H702" s="17" t="n"/>
      <c r="I702" s="17" t="n"/>
      <c r="J702" s="19" t="n"/>
      <c r="K702" s="19" t="n"/>
      <c r="L702" s="20" t="n"/>
      <c r="M702" s="20" t="n"/>
      <c r="N702" s="17" t="n"/>
      <c r="O702" s="17" t="n"/>
      <c r="P702" s="21">
        <f>IF(AND(ISNUMBER($L702),ISNUMBER($M702)),MAX(0,$M702-$L702),"")</f>
        <v/>
      </c>
      <c r="Q702" s="21">
        <f>IF(ISNUMBER($D702),MAX(0,TODAY()-$D702),"")</f>
        <v/>
      </c>
      <c r="R702" s="19">
        <f>IF(COUNTA($A702:$O702)=0,"",IFERROR(TRIM(TEXTJOIN(" | ",TRUE,IF($A702="","PC kosong",""),IF($C702="","Worker ID kosong",""),IF($D702="","Update Date kosong",IF(NOT(ISNUMBER($D702)),"Update Date bukan tanggal","")),IF($E702="","Song ID YT kosong",""),IF($F702="","Judul kosong",""),IF(TRIM($G702)="","",IF(ISERROR(MATCH(TRIM($G702),{"TuneCore","DistroKid","TooLost","SoundOn","Ditto","Believe","CD Baby","Amuse","Symphonic Distribution","ONErpm","RouteNote","LANDR","Horus Music","Indie"},0)),"Aggregator di luar daftar","")),IF(TRIM($H702)="","Genre kosong",IF((LEN(SUBSTITUTE(SUBSTITUTE(SUBSTITUTE(TRIM($H702),"/",","),";",",")," ",""))-LEN(SUBSTITUTE(SUBSTITUTE(SUBSTITUTE(SUBSTITUTE(TRIM($H702),"/",","),";",","),"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702),"/",","),";",",")," ","")&amp;",")))&lt;&gt;(LEN(SUBSTITUTE(SUBSTITUTE(SUBSTITUTE(TRIM($H702),"/",","),";",",")," ",""))-LEN(SUBSTITUTE(SUBSTITUTE(SUBSTITUTE(SUBSTITUTE(TRIM($H702),"/",","),";",",")," ",""),",",""))+1),"Genre di luar daftar",""))),IF($I702="","Nama Channel kosong",""),IF($J702="","Link Channel kosong",IF(ISERROR(SEARCH("youtu",$J702)),"Link Channel bukan youtube","")),IF($K702="","Link Video kosong",IF(ISERROR(SEARCH("youtu",$K702)),"Link Video bukan youtube","")),IF($L702="","Tgl Dibuat kosong",IF(NOT(ISNUMBER($L702)),"Tgl Dibuat bukan tanggal","")),IF(AND($M702&lt;&gt;"",NOT(ISNUMBER($M702))),"Tgl Publish bukan tanggal",""),IF(AND(ISNUMBER($L702),ISNUMBER($M702),$M702&lt;$L702),"Tgl Publish &lt; Tgl buat",""),IF(TRIM($N702)="","Status kosong",IF(ISERROR(MATCH(TRIM($N702),{"Draft","Menunggu Review","Revisi","Terjadwal","Upload","Publish","Published","Batal"},0)),"Status di luar daftar","")))),""))</f>
        <v/>
      </c>
      <c r="S702" s="17">
        <f>IF(AND($A702&lt;&gt;"",$C702&lt;&gt;""),IF(COUNTIFS($A$2:$A$1000,$A702,$C$2:$C$1000,$C702)&gt;1,"DUPLICAT",""),"")</f>
        <v/>
      </c>
    </row>
    <row r="703">
      <c r="A703" s="12" t="n"/>
      <c r="B703" s="12" t="n"/>
      <c r="C703" s="12" t="n"/>
      <c r="D703" s="13" t="n"/>
      <c r="E703" s="12" t="n"/>
      <c r="F703" s="14" t="n"/>
      <c r="G703" s="12" t="n"/>
      <c r="H703" s="12" t="n"/>
      <c r="I703" s="12" t="n"/>
      <c r="J703" s="14" t="n"/>
      <c r="K703" s="14" t="n"/>
      <c r="L703" s="15" t="n"/>
      <c r="M703" s="15" t="n"/>
      <c r="N703" s="12" t="n"/>
      <c r="O703" s="12" t="n"/>
      <c r="P703" s="16">
        <f>IF(AND(ISNUMBER($L703),ISNUMBER($M703)),MAX(0,$M703-$L703),"")</f>
        <v/>
      </c>
      <c r="Q703" s="16">
        <f>IF(ISNUMBER($D703),MAX(0,TODAY()-$D703),"")</f>
        <v/>
      </c>
      <c r="R703" s="14">
        <f>IF(COUNTA($A703:$O703)=0,"",IFERROR(TRIM(TEXTJOIN(" | ",TRUE,IF($A703="","PC kosong",""),IF($C703="","Worker ID kosong",""),IF($D703="","Update Date kosong",IF(NOT(ISNUMBER($D703)),"Update Date bukan tanggal","")),IF($E703="","Song ID YT kosong",""),IF($F703="","Judul kosong",""),IF(TRIM($G703)="","",IF(ISERROR(MATCH(TRIM($G703),{"TuneCore","DistroKid","TooLost","SoundOn","Ditto","Believe","CD Baby","Amuse","Symphonic Distribution","ONErpm","RouteNote","LANDR","Horus Music","Indie"},0)),"Aggregator di luar daftar","")),IF(TRIM($H703)="","Genre kosong",IF((LEN(SUBSTITUTE(SUBSTITUTE(SUBSTITUTE(TRIM($H703),"/",","),";",",")," ",""))-LEN(SUBSTITUTE(SUBSTITUTE(SUBSTITUTE(SUBSTITUTE(TRIM($H703),"/",","),";",","),"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703),"/",","),";",",")," ","")&amp;",")))&lt;&gt;(LEN(SUBSTITUTE(SUBSTITUTE(SUBSTITUTE(TRIM($H703),"/",","),";",",")," ",""))-LEN(SUBSTITUTE(SUBSTITUTE(SUBSTITUTE(SUBSTITUTE(TRIM($H703),"/",","),";",",")," ",""),",",""))+1),"Genre di luar daftar",""))),IF($I703="","Nama Channel kosong",""),IF($J703="","Link Channel kosong",IF(ISERROR(SEARCH("youtu",$J703)),"Link Channel bukan youtube","")),IF($K703="","Link Video kosong",IF(ISERROR(SEARCH("youtu",$K703)),"Link Video bukan youtube","")),IF($L703="","Tgl Dibuat kosong",IF(NOT(ISNUMBER($L703)),"Tgl Dibuat bukan tanggal","")),IF(AND($M703&lt;&gt;"",NOT(ISNUMBER($M703))),"Tgl Publish bukan tanggal",""),IF(AND(ISNUMBER($L703),ISNUMBER($M703),$M703&lt;$L703),"Tgl Publish &lt; Tgl buat",""),IF(TRIM($N703)="","Status kosong",IF(ISERROR(MATCH(TRIM($N703),{"Draft","Menunggu Review","Revisi","Terjadwal","Upload","Publish","Published","Batal"},0)),"Status di luar daftar","")))),""))</f>
        <v/>
      </c>
      <c r="S703" s="12">
        <f>IF(AND($A703&lt;&gt;"",$C703&lt;&gt;""),IF(COUNTIFS($A$2:$A$1000,$A703,$C$2:$C$1000,$C703)&gt;1,"DUPLICAT",""),"")</f>
        <v/>
      </c>
    </row>
    <row r="704">
      <c r="A704" s="17" t="n"/>
      <c r="B704" s="17" t="n"/>
      <c r="C704" s="17" t="n"/>
      <c r="D704" s="18" t="n"/>
      <c r="E704" s="17" t="n"/>
      <c r="F704" s="19" t="n"/>
      <c r="G704" s="17" t="n"/>
      <c r="H704" s="17" t="n"/>
      <c r="I704" s="17" t="n"/>
      <c r="J704" s="19" t="n"/>
      <c r="K704" s="19" t="n"/>
      <c r="L704" s="20" t="n"/>
      <c r="M704" s="20" t="n"/>
      <c r="N704" s="17" t="n"/>
      <c r="O704" s="17" t="n"/>
      <c r="P704" s="21">
        <f>IF(AND(ISNUMBER($L704),ISNUMBER($M704)),MAX(0,$M704-$L704),"")</f>
        <v/>
      </c>
      <c r="Q704" s="21">
        <f>IF(ISNUMBER($D704),MAX(0,TODAY()-$D704),"")</f>
        <v/>
      </c>
      <c r="R704" s="19">
        <f>IF(COUNTA($A704:$O704)=0,"",IFERROR(TRIM(TEXTJOIN(" | ",TRUE,IF($A704="","PC kosong",""),IF($C704="","Worker ID kosong",""),IF($D704="","Update Date kosong",IF(NOT(ISNUMBER($D704)),"Update Date bukan tanggal","")),IF($E704="","Song ID YT kosong",""),IF($F704="","Judul kosong",""),IF(TRIM($G704)="","",IF(ISERROR(MATCH(TRIM($G704),{"TuneCore","DistroKid","TooLost","SoundOn","Ditto","Believe","CD Baby","Amuse","Symphonic Distribution","ONErpm","RouteNote","LANDR","Horus Music","Indie"},0)),"Aggregator di luar daftar","")),IF(TRIM($H704)="","Genre kosong",IF((LEN(SUBSTITUTE(SUBSTITUTE(SUBSTITUTE(TRIM($H704),"/",","),";",",")," ",""))-LEN(SUBSTITUTE(SUBSTITUTE(SUBSTITUTE(SUBSTITUTE(TRIM($H704),"/",","),";",","),"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704),"/",","),";",",")," ","")&amp;",")))&lt;&gt;(LEN(SUBSTITUTE(SUBSTITUTE(SUBSTITUTE(TRIM($H704),"/",","),";",",")," ",""))-LEN(SUBSTITUTE(SUBSTITUTE(SUBSTITUTE(SUBSTITUTE(TRIM($H704),"/",","),";",",")," ",""),",",""))+1),"Genre di luar daftar",""))),IF($I704="","Nama Channel kosong",""),IF($J704="","Link Channel kosong",IF(ISERROR(SEARCH("youtu",$J704)),"Link Channel bukan youtube","")),IF($K704="","Link Video kosong",IF(ISERROR(SEARCH("youtu",$K704)),"Link Video bukan youtube","")),IF($L704="","Tgl Dibuat kosong",IF(NOT(ISNUMBER($L704)),"Tgl Dibuat bukan tanggal","")),IF(AND($M704&lt;&gt;"",NOT(ISNUMBER($M704))),"Tgl Publish bukan tanggal",""),IF(AND(ISNUMBER($L704),ISNUMBER($M704),$M704&lt;$L704),"Tgl Publish &lt; Tgl buat",""),IF(TRIM($N704)="","Status kosong",IF(ISERROR(MATCH(TRIM($N704),{"Draft","Menunggu Review","Revisi","Terjadwal","Upload","Publish","Published","Batal"},0)),"Status di luar daftar","")))),""))</f>
        <v/>
      </c>
      <c r="S704" s="17">
        <f>IF(AND($A704&lt;&gt;"",$C704&lt;&gt;""),IF(COUNTIFS($A$2:$A$1000,$A704,$C$2:$C$1000,$C704)&gt;1,"DUPLICAT",""),"")</f>
        <v/>
      </c>
    </row>
    <row r="705">
      <c r="A705" s="12" t="n"/>
      <c r="B705" s="12" t="n"/>
      <c r="C705" s="12" t="n"/>
      <c r="D705" s="13" t="n"/>
      <c r="E705" s="12" t="n"/>
      <c r="F705" s="14" t="n"/>
      <c r="G705" s="12" t="n"/>
      <c r="H705" s="12" t="n"/>
      <c r="I705" s="12" t="n"/>
      <c r="J705" s="14" t="n"/>
      <c r="K705" s="14" t="n"/>
      <c r="L705" s="15" t="n"/>
      <c r="M705" s="15" t="n"/>
      <c r="N705" s="12" t="n"/>
      <c r="O705" s="12" t="n"/>
      <c r="P705" s="16">
        <f>IF(AND(ISNUMBER($L705),ISNUMBER($M705)),MAX(0,$M705-$L705),"")</f>
        <v/>
      </c>
      <c r="Q705" s="16">
        <f>IF(ISNUMBER($D705),MAX(0,TODAY()-$D705),"")</f>
        <v/>
      </c>
      <c r="R705" s="14">
        <f>IF(COUNTA($A705:$O705)=0,"",IFERROR(TRIM(TEXTJOIN(" | ",TRUE,IF($A705="","PC kosong",""),IF($C705="","Worker ID kosong",""),IF($D705="","Update Date kosong",IF(NOT(ISNUMBER($D705)),"Update Date bukan tanggal","")),IF($E705="","Song ID YT kosong",""),IF($F705="","Judul kosong",""),IF(TRIM($G705)="","",IF(ISERROR(MATCH(TRIM($G705),{"TuneCore","DistroKid","TooLost","SoundOn","Ditto","Believe","CD Baby","Amuse","Symphonic Distribution","ONErpm","RouteNote","LANDR","Horus Music","Indie"},0)),"Aggregator di luar daftar","")),IF(TRIM($H705)="","Genre kosong",IF((LEN(SUBSTITUTE(SUBSTITUTE(SUBSTITUTE(TRIM($H705),"/",","),";",",")," ",""))-LEN(SUBSTITUTE(SUBSTITUTE(SUBSTITUTE(SUBSTITUTE(TRIM($H705),"/",","),";",","),"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705),"/",","),";",",")," ","")&amp;",")))&lt;&gt;(LEN(SUBSTITUTE(SUBSTITUTE(SUBSTITUTE(TRIM($H705),"/",","),";",",")," ",""))-LEN(SUBSTITUTE(SUBSTITUTE(SUBSTITUTE(SUBSTITUTE(TRIM($H705),"/",","),";",",")," ",""),",",""))+1),"Genre di luar daftar",""))),IF($I705="","Nama Channel kosong",""),IF($J705="","Link Channel kosong",IF(ISERROR(SEARCH("youtu",$J705)),"Link Channel bukan youtube","")),IF($K705="","Link Video kosong",IF(ISERROR(SEARCH("youtu",$K705)),"Link Video bukan youtube","")),IF($L705="","Tgl Dibuat kosong",IF(NOT(ISNUMBER($L705)),"Tgl Dibuat bukan tanggal","")),IF(AND($M705&lt;&gt;"",NOT(ISNUMBER($M705))),"Tgl Publish bukan tanggal",""),IF(AND(ISNUMBER($L705),ISNUMBER($M705),$M705&lt;$L705),"Tgl Publish &lt; Tgl buat",""),IF(TRIM($N705)="","Status kosong",IF(ISERROR(MATCH(TRIM($N705),{"Draft","Menunggu Review","Revisi","Terjadwal","Upload","Publish","Published","Batal"},0)),"Status di luar daftar","")))),""))</f>
        <v/>
      </c>
      <c r="S705" s="12">
        <f>IF(AND($A705&lt;&gt;"",$C705&lt;&gt;""),IF(COUNTIFS($A$2:$A$1000,$A705,$C$2:$C$1000,$C705)&gt;1,"DUPLICAT",""),"")</f>
        <v/>
      </c>
    </row>
    <row r="706">
      <c r="A706" s="17" t="n"/>
      <c r="B706" s="17" t="n"/>
      <c r="C706" s="17" t="n"/>
      <c r="D706" s="18" t="n"/>
      <c r="E706" s="17" t="n"/>
      <c r="F706" s="19" t="n"/>
      <c r="G706" s="17" t="n"/>
      <c r="H706" s="17" t="n"/>
      <c r="I706" s="17" t="n"/>
      <c r="J706" s="19" t="n"/>
      <c r="K706" s="19" t="n"/>
      <c r="L706" s="20" t="n"/>
      <c r="M706" s="20" t="n"/>
      <c r="N706" s="17" t="n"/>
      <c r="O706" s="17" t="n"/>
      <c r="P706" s="21">
        <f>IF(AND(ISNUMBER($L706),ISNUMBER($M706)),MAX(0,$M706-$L706),"")</f>
        <v/>
      </c>
      <c r="Q706" s="21">
        <f>IF(ISNUMBER($D706),MAX(0,TODAY()-$D706),"")</f>
        <v/>
      </c>
      <c r="R706" s="19">
        <f>IF(COUNTA($A706:$O706)=0,"",IFERROR(TRIM(TEXTJOIN(" | ",TRUE,IF($A706="","PC kosong",""),IF($C706="","Worker ID kosong",""),IF($D706="","Update Date kosong",IF(NOT(ISNUMBER($D706)),"Update Date bukan tanggal","")),IF($E706="","Song ID YT kosong",""),IF($F706="","Judul kosong",""),IF(TRIM($G706)="","",IF(ISERROR(MATCH(TRIM($G706),{"TuneCore","DistroKid","TooLost","SoundOn","Ditto","Believe","CD Baby","Amuse","Symphonic Distribution","ONErpm","RouteNote","LANDR","Horus Music","Indie"},0)),"Aggregator di luar daftar","")),IF(TRIM($H706)="","Genre kosong",IF((LEN(SUBSTITUTE(SUBSTITUTE(SUBSTITUTE(TRIM($H706),"/",","),";",",")," ",""))-LEN(SUBSTITUTE(SUBSTITUTE(SUBSTITUTE(SUBSTITUTE(TRIM($H706),"/",","),";",","),"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706),"/",","),";",",")," ","")&amp;",")))&lt;&gt;(LEN(SUBSTITUTE(SUBSTITUTE(SUBSTITUTE(TRIM($H706),"/",","),";",",")," ",""))-LEN(SUBSTITUTE(SUBSTITUTE(SUBSTITUTE(SUBSTITUTE(TRIM($H706),"/",","),";",",")," ",""),",",""))+1),"Genre di luar daftar",""))),IF($I706="","Nama Channel kosong",""),IF($J706="","Link Channel kosong",IF(ISERROR(SEARCH("youtu",$J706)),"Link Channel bukan youtube","")),IF($K706="","Link Video kosong",IF(ISERROR(SEARCH("youtu",$K706)),"Link Video bukan youtube","")),IF($L706="","Tgl Dibuat kosong",IF(NOT(ISNUMBER($L706)),"Tgl Dibuat bukan tanggal","")),IF(AND($M706&lt;&gt;"",NOT(ISNUMBER($M706))),"Tgl Publish bukan tanggal",""),IF(AND(ISNUMBER($L706),ISNUMBER($M706),$M706&lt;$L706),"Tgl Publish &lt; Tgl buat",""),IF(TRIM($N706)="","Status kosong",IF(ISERROR(MATCH(TRIM($N706),{"Draft","Menunggu Review","Revisi","Terjadwal","Upload","Publish","Published","Batal"},0)),"Status di luar daftar","")))),""))</f>
        <v/>
      </c>
      <c r="S706" s="17">
        <f>IF(AND($A706&lt;&gt;"",$C706&lt;&gt;""),IF(COUNTIFS($A$2:$A$1000,$A706,$C$2:$C$1000,$C706)&gt;1,"DUPLICAT",""),"")</f>
        <v/>
      </c>
    </row>
    <row r="707">
      <c r="A707" s="12" t="n"/>
      <c r="B707" s="12" t="n"/>
      <c r="C707" s="12" t="n"/>
      <c r="D707" s="13" t="n"/>
      <c r="E707" s="12" t="n"/>
      <c r="F707" s="14" t="n"/>
      <c r="G707" s="12" t="n"/>
      <c r="H707" s="12" t="n"/>
      <c r="I707" s="12" t="n"/>
      <c r="J707" s="14" t="n"/>
      <c r="K707" s="14" t="n"/>
      <c r="L707" s="15" t="n"/>
      <c r="M707" s="15" t="n"/>
      <c r="N707" s="12" t="n"/>
      <c r="O707" s="12" t="n"/>
      <c r="P707" s="16">
        <f>IF(AND(ISNUMBER($L707),ISNUMBER($M707)),MAX(0,$M707-$L707),"")</f>
        <v/>
      </c>
      <c r="Q707" s="16">
        <f>IF(ISNUMBER($D707),MAX(0,TODAY()-$D707),"")</f>
        <v/>
      </c>
      <c r="R707" s="14">
        <f>IF(COUNTA($A707:$O707)=0,"",IFERROR(TRIM(TEXTJOIN(" | ",TRUE,IF($A707="","PC kosong",""),IF($C707="","Worker ID kosong",""),IF($D707="","Update Date kosong",IF(NOT(ISNUMBER($D707)),"Update Date bukan tanggal","")),IF($E707="","Song ID YT kosong",""),IF($F707="","Judul kosong",""),IF(TRIM($G707)="","",IF(ISERROR(MATCH(TRIM($G707),{"TuneCore","DistroKid","TooLost","SoundOn","Ditto","Believe","CD Baby","Amuse","Symphonic Distribution","ONErpm","RouteNote","LANDR","Horus Music","Indie"},0)),"Aggregator di luar daftar","")),IF(TRIM($H707)="","Genre kosong",IF((LEN(SUBSTITUTE(SUBSTITUTE(SUBSTITUTE(TRIM($H707),"/",","),";",",")," ",""))-LEN(SUBSTITUTE(SUBSTITUTE(SUBSTITUTE(SUBSTITUTE(TRIM($H707),"/",","),";",","),"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707),"/",","),";",",")," ","")&amp;",")))&lt;&gt;(LEN(SUBSTITUTE(SUBSTITUTE(SUBSTITUTE(TRIM($H707),"/",","),";",",")," ",""))-LEN(SUBSTITUTE(SUBSTITUTE(SUBSTITUTE(SUBSTITUTE(TRIM($H707),"/",","),";",",")," ",""),",",""))+1),"Genre di luar daftar",""))),IF($I707="","Nama Channel kosong",""),IF($J707="","Link Channel kosong",IF(ISERROR(SEARCH("youtu",$J707)),"Link Channel bukan youtube","")),IF($K707="","Link Video kosong",IF(ISERROR(SEARCH("youtu",$K707)),"Link Video bukan youtube","")),IF($L707="","Tgl Dibuat kosong",IF(NOT(ISNUMBER($L707)),"Tgl Dibuat bukan tanggal","")),IF(AND($M707&lt;&gt;"",NOT(ISNUMBER($M707))),"Tgl Publish bukan tanggal",""),IF(AND(ISNUMBER($L707),ISNUMBER($M707),$M707&lt;$L707),"Tgl Publish &lt; Tgl buat",""),IF(TRIM($N707)="","Status kosong",IF(ISERROR(MATCH(TRIM($N707),{"Draft","Menunggu Review","Revisi","Terjadwal","Upload","Publish","Published","Batal"},0)),"Status di luar daftar","")))),""))</f>
        <v/>
      </c>
      <c r="S707" s="12">
        <f>IF(AND($A707&lt;&gt;"",$C707&lt;&gt;""),IF(COUNTIFS($A$2:$A$1000,$A707,$C$2:$C$1000,$C707)&gt;1,"DUPLICAT",""),"")</f>
        <v/>
      </c>
    </row>
    <row r="708">
      <c r="A708" s="17" t="n"/>
      <c r="B708" s="17" t="n"/>
      <c r="C708" s="17" t="n"/>
      <c r="D708" s="18" t="n"/>
      <c r="E708" s="17" t="n"/>
      <c r="F708" s="19" t="n"/>
      <c r="G708" s="17" t="n"/>
      <c r="H708" s="17" t="n"/>
      <c r="I708" s="17" t="n"/>
      <c r="J708" s="19" t="n"/>
      <c r="K708" s="19" t="n"/>
      <c r="L708" s="20" t="n"/>
      <c r="M708" s="20" t="n"/>
      <c r="N708" s="17" t="n"/>
      <c r="O708" s="17" t="n"/>
      <c r="P708" s="21">
        <f>IF(AND(ISNUMBER($L708),ISNUMBER($M708)),MAX(0,$M708-$L708),"")</f>
        <v/>
      </c>
      <c r="Q708" s="21">
        <f>IF(ISNUMBER($D708),MAX(0,TODAY()-$D708),"")</f>
        <v/>
      </c>
      <c r="R708" s="19">
        <f>IF(COUNTA($A708:$O708)=0,"",IFERROR(TRIM(TEXTJOIN(" | ",TRUE,IF($A708="","PC kosong",""),IF($C708="","Worker ID kosong",""),IF($D708="","Update Date kosong",IF(NOT(ISNUMBER($D708)),"Update Date bukan tanggal","")),IF($E708="","Song ID YT kosong",""),IF($F708="","Judul kosong",""),IF(TRIM($G708)="","",IF(ISERROR(MATCH(TRIM($G708),{"TuneCore","DistroKid","TooLost","SoundOn","Ditto","Believe","CD Baby","Amuse","Symphonic Distribution","ONErpm","RouteNote","LANDR","Horus Music","Indie"},0)),"Aggregator di luar daftar","")),IF(TRIM($H708)="","Genre kosong",IF((LEN(SUBSTITUTE(SUBSTITUTE(SUBSTITUTE(TRIM($H708),"/",","),";",",")," ",""))-LEN(SUBSTITUTE(SUBSTITUTE(SUBSTITUTE(SUBSTITUTE(TRIM($H708),"/",","),";",","),"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708),"/",","),";",",")," ","")&amp;",")))&lt;&gt;(LEN(SUBSTITUTE(SUBSTITUTE(SUBSTITUTE(TRIM($H708),"/",","),";",",")," ",""))-LEN(SUBSTITUTE(SUBSTITUTE(SUBSTITUTE(SUBSTITUTE(TRIM($H708),"/",","),";",",")," ",""),",",""))+1),"Genre di luar daftar",""))),IF($I708="","Nama Channel kosong",""),IF($J708="","Link Channel kosong",IF(ISERROR(SEARCH("youtu",$J708)),"Link Channel bukan youtube","")),IF($K708="","Link Video kosong",IF(ISERROR(SEARCH("youtu",$K708)),"Link Video bukan youtube","")),IF($L708="","Tgl Dibuat kosong",IF(NOT(ISNUMBER($L708)),"Tgl Dibuat bukan tanggal","")),IF(AND($M708&lt;&gt;"",NOT(ISNUMBER($M708))),"Tgl Publish bukan tanggal",""),IF(AND(ISNUMBER($L708),ISNUMBER($M708),$M708&lt;$L708),"Tgl Publish &lt; Tgl buat",""),IF(TRIM($N708)="","Status kosong",IF(ISERROR(MATCH(TRIM($N708),{"Draft","Menunggu Review","Revisi","Terjadwal","Upload","Publish","Published","Batal"},0)),"Status di luar daftar","")))),""))</f>
        <v/>
      </c>
      <c r="S708" s="17">
        <f>IF(AND($A708&lt;&gt;"",$C708&lt;&gt;""),IF(COUNTIFS($A$2:$A$1000,$A708,$C$2:$C$1000,$C708)&gt;1,"DUPLICAT",""),"")</f>
        <v/>
      </c>
    </row>
    <row r="709">
      <c r="A709" s="12" t="n"/>
      <c r="B709" s="12" t="n"/>
      <c r="C709" s="12" t="n"/>
      <c r="D709" s="13" t="n"/>
      <c r="E709" s="12" t="n"/>
      <c r="F709" s="14" t="n"/>
      <c r="G709" s="12" t="n"/>
      <c r="H709" s="12" t="n"/>
      <c r="I709" s="12" t="n"/>
      <c r="J709" s="14" t="n"/>
      <c r="K709" s="14" t="n"/>
      <c r="L709" s="15" t="n"/>
      <c r="M709" s="15" t="n"/>
      <c r="N709" s="12" t="n"/>
      <c r="O709" s="12" t="n"/>
      <c r="P709" s="16">
        <f>IF(AND(ISNUMBER($L709),ISNUMBER($M709)),MAX(0,$M709-$L709),"")</f>
        <v/>
      </c>
      <c r="Q709" s="16">
        <f>IF(ISNUMBER($D709),MAX(0,TODAY()-$D709),"")</f>
        <v/>
      </c>
      <c r="R709" s="14">
        <f>IF(COUNTA($A709:$O709)=0,"",IFERROR(TRIM(TEXTJOIN(" | ",TRUE,IF($A709="","PC kosong",""),IF($C709="","Worker ID kosong",""),IF($D709="","Update Date kosong",IF(NOT(ISNUMBER($D709)),"Update Date bukan tanggal","")),IF($E709="","Song ID YT kosong",""),IF($F709="","Judul kosong",""),IF(TRIM($G709)="","",IF(ISERROR(MATCH(TRIM($G709),{"TuneCore","DistroKid","TooLost","SoundOn","Ditto","Believe","CD Baby","Amuse","Symphonic Distribution","ONErpm","RouteNote","LANDR","Horus Music","Indie"},0)),"Aggregator di luar daftar","")),IF(TRIM($H709)="","Genre kosong",IF((LEN(SUBSTITUTE(SUBSTITUTE(SUBSTITUTE(TRIM($H709),"/",","),";",",")," ",""))-LEN(SUBSTITUTE(SUBSTITUTE(SUBSTITUTE(SUBSTITUTE(TRIM($H709),"/",","),";",","),"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709),"/",","),";",",")," ","")&amp;",")))&lt;&gt;(LEN(SUBSTITUTE(SUBSTITUTE(SUBSTITUTE(TRIM($H709),"/",","),";",",")," ",""))-LEN(SUBSTITUTE(SUBSTITUTE(SUBSTITUTE(SUBSTITUTE(TRIM($H709),"/",","),";",",")," ",""),",",""))+1),"Genre di luar daftar",""))),IF($I709="","Nama Channel kosong",""),IF($J709="","Link Channel kosong",IF(ISERROR(SEARCH("youtu",$J709)),"Link Channel bukan youtube","")),IF($K709="","Link Video kosong",IF(ISERROR(SEARCH("youtu",$K709)),"Link Video bukan youtube","")),IF($L709="","Tgl Dibuat kosong",IF(NOT(ISNUMBER($L709)),"Tgl Dibuat bukan tanggal","")),IF(AND($M709&lt;&gt;"",NOT(ISNUMBER($M709))),"Tgl Publish bukan tanggal",""),IF(AND(ISNUMBER($L709),ISNUMBER($M709),$M709&lt;$L709),"Tgl Publish &lt; Tgl buat",""),IF(TRIM($N709)="","Status kosong",IF(ISERROR(MATCH(TRIM($N709),{"Draft","Menunggu Review","Revisi","Terjadwal","Upload","Publish","Published","Batal"},0)),"Status di luar daftar","")))),""))</f>
        <v/>
      </c>
      <c r="S709" s="12">
        <f>IF(AND($A709&lt;&gt;"",$C709&lt;&gt;""),IF(COUNTIFS($A$2:$A$1000,$A709,$C$2:$C$1000,$C709)&gt;1,"DUPLICAT",""),"")</f>
        <v/>
      </c>
    </row>
    <row r="710">
      <c r="A710" s="17" t="n"/>
      <c r="B710" s="17" t="n"/>
      <c r="C710" s="17" t="n"/>
      <c r="D710" s="18" t="n"/>
      <c r="E710" s="17" t="n"/>
      <c r="F710" s="19" t="n"/>
      <c r="G710" s="17" t="n"/>
      <c r="H710" s="17" t="n"/>
      <c r="I710" s="17" t="n"/>
      <c r="J710" s="19" t="n"/>
      <c r="K710" s="19" t="n"/>
      <c r="L710" s="20" t="n"/>
      <c r="M710" s="20" t="n"/>
      <c r="N710" s="17" t="n"/>
      <c r="O710" s="17" t="n"/>
      <c r="P710" s="21">
        <f>IF(AND(ISNUMBER($L710),ISNUMBER($M710)),MAX(0,$M710-$L710),"")</f>
        <v/>
      </c>
      <c r="Q710" s="21">
        <f>IF(ISNUMBER($D710),MAX(0,TODAY()-$D710),"")</f>
        <v/>
      </c>
      <c r="R710" s="19">
        <f>IF(COUNTA($A710:$O710)=0,"",IFERROR(TRIM(TEXTJOIN(" | ",TRUE,IF($A710="","PC kosong",""),IF($C710="","Worker ID kosong",""),IF($D710="","Update Date kosong",IF(NOT(ISNUMBER($D710)),"Update Date bukan tanggal","")),IF($E710="","Song ID YT kosong",""),IF($F710="","Judul kosong",""),IF(TRIM($G710)="","",IF(ISERROR(MATCH(TRIM($G710),{"TuneCore","DistroKid","TooLost","SoundOn","Ditto","Believe","CD Baby","Amuse","Symphonic Distribution","ONErpm","RouteNote","LANDR","Horus Music","Indie"},0)),"Aggregator di luar daftar","")),IF(TRIM($H710)="","Genre kosong",IF((LEN(SUBSTITUTE(SUBSTITUTE(SUBSTITUTE(TRIM($H710),"/",","),";",",")," ",""))-LEN(SUBSTITUTE(SUBSTITUTE(SUBSTITUTE(SUBSTITUTE(TRIM($H710),"/",","),";",","),"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710),"/",","),";",",")," ","")&amp;",")))&lt;&gt;(LEN(SUBSTITUTE(SUBSTITUTE(SUBSTITUTE(TRIM($H710),"/",","),";",",")," ",""))-LEN(SUBSTITUTE(SUBSTITUTE(SUBSTITUTE(SUBSTITUTE(TRIM($H710),"/",","),";",",")," ",""),",",""))+1),"Genre di luar daftar",""))),IF($I710="","Nama Channel kosong",""),IF($J710="","Link Channel kosong",IF(ISERROR(SEARCH("youtu",$J710)),"Link Channel bukan youtube","")),IF($K710="","Link Video kosong",IF(ISERROR(SEARCH("youtu",$K710)),"Link Video bukan youtube","")),IF($L710="","Tgl Dibuat kosong",IF(NOT(ISNUMBER($L710)),"Tgl Dibuat bukan tanggal","")),IF(AND($M710&lt;&gt;"",NOT(ISNUMBER($M710))),"Tgl Publish bukan tanggal",""),IF(AND(ISNUMBER($L710),ISNUMBER($M710),$M710&lt;$L710),"Tgl Publish &lt; Tgl buat",""),IF(TRIM($N710)="","Status kosong",IF(ISERROR(MATCH(TRIM($N710),{"Draft","Menunggu Review","Revisi","Terjadwal","Upload","Publish","Published","Batal"},0)),"Status di luar daftar","")))),""))</f>
        <v/>
      </c>
      <c r="S710" s="17">
        <f>IF(AND($A710&lt;&gt;"",$C710&lt;&gt;""),IF(COUNTIFS($A$2:$A$1000,$A710,$C$2:$C$1000,$C710)&gt;1,"DUPLICAT",""),"")</f>
        <v/>
      </c>
    </row>
    <row r="711">
      <c r="A711" s="12" t="n"/>
      <c r="B711" s="12" t="n"/>
      <c r="C711" s="12" t="n"/>
      <c r="D711" s="13" t="n"/>
      <c r="E711" s="12" t="n"/>
      <c r="F711" s="14" t="n"/>
      <c r="G711" s="12" t="n"/>
      <c r="H711" s="12" t="n"/>
      <c r="I711" s="12" t="n"/>
      <c r="J711" s="14" t="n"/>
      <c r="K711" s="14" t="n"/>
      <c r="L711" s="15" t="n"/>
      <c r="M711" s="15" t="n"/>
      <c r="N711" s="12" t="n"/>
      <c r="O711" s="12" t="n"/>
      <c r="P711" s="16">
        <f>IF(AND(ISNUMBER($L711),ISNUMBER($M711)),MAX(0,$M711-$L711),"")</f>
        <v/>
      </c>
      <c r="Q711" s="16">
        <f>IF(ISNUMBER($D711),MAX(0,TODAY()-$D711),"")</f>
        <v/>
      </c>
      <c r="R711" s="14">
        <f>IF(COUNTA($A711:$O711)=0,"",IFERROR(TRIM(TEXTJOIN(" | ",TRUE,IF($A711="","PC kosong",""),IF($C711="","Worker ID kosong",""),IF($D711="","Update Date kosong",IF(NOT(ISNUMBER($D711)),"Update Date bukan tanggal","")),IF($E711="","Song ID YT kosong",""),IF($F711="","Judul kosong",""),IF(TRIM($G711)="","",IF(ISERROR(MATCH(TRIM($G711),{"TuneCore","DistroKid","TooLost","SoundOn","Ditto","Believe","CD Baby","Amuse","Symphonic Distribution","ONErpm","RouteNote","LANDR","Horus Music","Indie"},0)),"Aggregator di luar daftar","")),IF(TRIM($H711)="","Genre kosong",IF((LEN(SUBSTITUTE(SUBSTITUTE(SUBSTITUTE(TRIM($H711),"/",","),";",",")," ",""))-LEN(SUBSTITUTE(SUBSTITUTE(SUBSTITUTE(SUBSTITUTE(TRIM($H711),"/",","),";",","),"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711),"/",","),";",",")," ","")&amp;",")))&lt;&gt;(LEN(SUBSTITUTE(SUBSTITUTE(SUBSTITUTE(TRIM($H711),"/",","),";",",")," ",""))-LEN(SUBSTITUTE(SUBSTITUTE(SUBSTITUTE(SUBSTITUTE(TRIM($H711),"/",","),";",",")," ",""),",",""))+1),"Genre di luar daftar",""))),IF($I711="","Nama Channel kosong",""),IF($J711="","Link Channel kosong",IF(ISERROR(SEARCH("youtu",$J711)),"Link Channel bukan youtube","")),IF($K711="","Link Video kosong",IF(ISERROR(SEARCH("youtu",$K711)),"Link Video bukan youtube","")),IF($L711="","Tgl Dibuat kosong",IF(NOT(ISNUMBER($L711)),"Tgl Dibuat bukan tanggal","")),IF(AND($M711&lt;&gt;"",NOT(ISNUMBER($M711))),"Tgl Publish bukan tanggal",""),IF(AND(ISNUMBER($L711),ISNUMBER($M711),$M711&lt;$L711),"Tgl Publish &lt; Tgl buat",""),IF(TRIM($N711)="","Status kosong",IF(ISERROR(MATCH(TRIM($N711),{"Draft","Menunggu Review","Revisi","Terjadwal","Upload","Publish","Published","Batal"},0)),"Status di luar daftar","")))),""))</f>
        <v/>
      </c>
      <c r="S711" s="12">
        <f>IF(AND($A711&lt;&gt;"",$C711&lt;&gt;""),IF(COUNTIFS($A$2:$A$1000,$A711,$C$2:$C$1000,$C711)&gt;1,"DUPLICAT",""),"")</f>
        <v/>
      </c>
    </row>
    <row r="712">
      <c r="A712" s="17" t="n"/>
      <c r="B712" s="17" t="n"/>
      <c r="C712" s="17" t="n"/>
      <c r="D712" s="18" t="n"/>
      <c r="E712" s="17" t="n"/>
      <c r="F712" s="19" t="n"/>
      <c r="G712" s="17" t="n"/>
      <c r="H712" s="17" t="n"/>
      <c r="I712" s="17" t="n"/>
      <c r="J712" s="19" t="n"/>
      <c r="K712" s="19" t="n"/>
      <c r="L712" s="20" t="n"/>
      <c r="M712" s="20" t="n"/>
      <c r="N712" s="17" t="n"/>
      <c r="O712" s="17" t="n"/>
      <c r="P712" s="21">
        <f>IF(AND(ISNUMBER($L712),ISNUMBER($M712)),MAX(0,$M712-$L712),"")</f>
        <v/>
      </c>
      <c r="Q712" s="21">
        <f>IF(ISNUMBER($D712),MAX(0,TODAY()-$D712),"")</f>
        <v/>
      </c>
      <c r="R712" s="19">
        <f>IF(COUNTA($A712:$O712)=0,"",IFERROR(TRIM(TEXTJOIN(" | ",TRUE,IF($A712="","PC kosong",""),IF($C712="","Worker ID kosong",""),IF($D712="","Update Date kosong",IF(NOT(ISNUMBER($D712)),"Update Date bukan tanggal","")),IF($E712="","Song ID YT kosong",""),IF($F712="","Judul kosong",""),IF(TRIM($G712)="","",IF(ISERROR(MATCH(TRIM($G712),{"TuneCore","DistroKid","TooLost","SoundOn","Ditto","Believe","CD Baby","Amuse","Symphonic Distribution","ONErpm","RouteNote","LANDR","Horus Music","Indie"},0)),"Aggregator di luar daftar","")),IF(TRIM($H712)="","Genre kosong",IF((LEN(SUBSTITUTE(SUBSTITUTE(SUBSTITUTE(TRIM($H712),"/",","),";",",")," ",""))-LEN(SUBSTITUTE(SUBSTITUTE(SUBSTITUTE(SUBSTITUTE(TRIM($H712),"/",","),";",","),"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712),"/",","),";",",")," ","")&amp;",")))&lt;&gt;(LEN(SUBSTITUTE(SUBSTITUTE(SUBSTITUTE(TRIM($H712),"/",","),";",",")," ",""))-LEN(SUBSTITUTE(SUBSTITUTE(SUBSTITUTE(SUBSTITUTE(TRIM($H712),"/",","),";",",")," ",""),",",""))+1),"Genre di luar daftar",""))),IF($I712="","Nama Channel kosong",""),IF($J712="","Link Channel kosong",IF(ISERROR(SEARCH("youtu",$J712)),"Link Channel bukan youtube","")),IF($K712="","Link Video kosong",IF(ISERROR(SEARCH("youtu",$K712)),"Link Video bukan youtube","")),IF($L712="","Tgl Dibuat kosong",IF(NOT(ISNUMBER($L712)),"Tgl Dibuat bukan tanggal","")),IF(AND($M712&lt;&gt;"",NOT(ISNUMBER($M712))),"Tgl Publish bukan tanggal",""),IF(AND(ISNUMBER($L712),ISNUMBER($M712),$M712&lt;$L712),"Tgl Publish &lt; Tgl buat",""),IF(TRIM($N712)="","Status kosong",IF(ISERROR(MATCH(TRIM($N712),{"Draft","Menunggu Review","Revisi","Terjadwal","Upload","Publish","Published","Batal"},0)),"Status di luar daftar","")))),""))</f>
        <v/>
      </c>
      <c r="S712" s="17">
        <f>IF(AND($A712&lt;&gt;"",$C712&lt;&gt;""),IF(COUNTIFS($A$2:$A$1000,$A712,$C$2:$C$1000,$C712)&gt;1,"DUPLICAT",""),"")</f>
        <v/>
      </c>
    </row>
    <row r="713">
      <c r="A713" s="12" t="n"/>
      <c r="B713" s="12" t="n"/>
      <c r="C713" s="12" t="n"/>
      <c r="D713" s="13" t="n"/>
      <c r="E713" s="12" t="n"/>
      <c r="F713" s="14" t="n"/>
      <c r="G713" s="12" t="n"/>
      <c r="H713" s="12" t="n"/>
      <c r="I713" s="12" t="n"/>
      <c r="J713" s="14" t="n"/>
      <c r="K713" s="14" t="n"/>
      <c r="L713" s="15" t="n"/>
      <c r="M713" s="15" t="n"/>
      <c r="N713" s="12" t="n"/>
      <c r="O713" s="12" t="n"/>
      <c r="P713" s="16">
        <f>IF(AND(ISNUMBER($L713),ISNUMBER($M713)),MAX(0,$M713-$L713),"")</f>
        <v/>
      </c>
      <c r="Q713" s="16">
        <f>IF(ISNUMBER($D713),MAX(0,TODAY()-$D713),"")</f>
        <v/>
      </c>
      <c r="R713" s="14">
        <f>IF(COUNTA($A713:$O713)=0,"",IFERROR(TRIM(TEXTJOIN(" | ",TRUE,IF($A713="","PC kosong",""),IF($C713="","Worker ID kosong",""),IF($D713="","Update Date kosong",IF(NOT(ISNUMBER($D713)),"Update Date bukan tanggal","")),IF($E713="","Song ID YT kosong",""),IF($F713="","Judul kosong",""),IF(TRIM($G713)="","",IF(ISERROR(MATCH(TRIM($G713),{"TuneCore","DistroKid","TooLost","SoundOn","Ditto","Believe","CD Baby","Amuse","Symphonic Distribution","ONErpm","RouteNote","LANDR","Horus Music","Indie"},0)),"Aggregator di luar daftar","")),IF(TRIM($H713)="","Genre kosong",IF((LEN(SUBSTITUTE(SUBSTITUTE(SUBSTITUTE(TRIM($H713),"/",","),";",",")," ",""))-LEN(SUBSTITUTE(SUBSTITUTE(SUBSTITUTE(SUBSTITUTE(TRIM($H713),"/",","),";",","),"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713),"/",","),";",",")," ","")&amp;",")))&lt;&gt;(LEN(SUBSTITUTE(SUBSTITUTE(SUBSTITUTE(TRIM($H713),"/",","),";",",")," ",""))-LEN(SUBSTITUTE(SUBSTITUTE(SUBSTITUTE(SUBSTITUTE(TRIM($H713),"/",","),";",",")," ",""),",",""))+1),"Genre di luar daftar",""))),IF($I713="","Nama Channel kosong",""),IF($J713="","Link Channel kosong",IF(ISERROR(SEARCH("youtu",$J713)),"Link Channel bukan youtube","")),IF($K713="","Link Video kosong",IF(ISERROR(SEARCH("youtu",$K713)),"Link Video bukan youtube","")),IF($L713="","Tgl Dibuat kosong",IF(NOT(ISNUMBER($L713)),"Tgl Dibuat bukan tanggal","")),IF(AND($M713&lt;&gt;"",NOT(ISNUMBER($M713))),"Tgl Publish bukan tanggal",""),IF(AND(ISNUMBER($L713),ISNUMBER($M713),$M713&lt;$L713),"Tgl Publish &lt; Tgl buat",""),IF(TRIM($N713)="","Status kosong",IF(ISERROR(MATCH(TRIM($N713),{"Draft","Menunggu Review","Revisi","Terjadwal","Upload","Publish","Published","Batal"},0)),"Status di luar daftar","")))),""))</f>
        <v/>
      </c>
      <c r="S713" s="12">
        <f>IF(AND($A713&lt;&gt;"",$C713&lt;&gt;""),IF(COUNTIFS($A$2:$A$1000,$A713,$C$2:$C$1000,$C713)&gt;1,"DUPLICAT",""),"")</f>
        <v/>
      </c>
    </row>
    <row r="714">
      <c r="A714" s="17" t="n"/>
      <c r="B714" s="17" t="n"/>
      <c r="C714" s="17" t="n"/>
      <c r="D714" s="18" t="n"/>
      <c r="E714" s="17" t="n"/>
      <c r="F714" s="19" t="n"/>
      <c r="G714" s="17" t="n"/>
      <c r="H714" s="17" t="n"/>
      <c r="I714" s="17" t="n"/>
      <c r="J714" s="19" t="n"/>
      <c r="K714" s="19" t="n"/>
      <c r="L714" s="20" t="n"/>
      <c r="M714" s="20" t="n"/>
      <c r="N714" s="17" t="n"/>
      <c r="O714" s="17" t="n"/>
      <c r="P714" s="21">
        <f>IF(AND(ISNUMBER($L714),ISNUMBER($M714)),MAX(0,$M714-$L714),"")</f>
        <v/>
      </c>
      <c r="Q714" s="21">
        <f>IF(ISNUMBER($D714),MAX(0,TODAY()-$D714),"")</f>
        <v/>
      </c>
      <c r="R714" s="19">
        <f>IF(COUNTA($A714:$O714)=0,"",IFERROR(TRIM(TEXTJOIN(" | ",TRUE,IF($A714="","PC kosong",""),IF($C714="","Worker ID kosong",""),IF($D714="","Update Date kosong",IF(NOT(ISNUMBER($D714)),"Update Date bukan tanggal","")),IF($E714="","Song ID YT kosong",""),IF($F714="","Judul kosong",""),IF(TRIM($G714)="","",IF(ISERROR(MATCH(TRIM($G714),{"TuneCore","DistroKid","TooLost","SoundOn","Ditto","Believe","CD Baby","Amuse","Symphonic Distribution","ONErpm","RouteNote","LANDR","Horus Music","Indie"},0)),"Aggregator di luar daftar","")),IF(TRIM($H714)="","Genre kosong",IF((LEN(SUBSTITUTE(SUBSTITUTE(SUBSTITUTE(TRIM($H714),"/",","),";",",")," ",""))-LEN(SUBSTITUTE(SUBSTITUTE(SUBSTITUTE(SUBSTITUTE(TRIM($H714),"/",","),";",","),"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714),"/",","),";",",")," ","")&amp;",")))&lt;&gt;(LEN(SUBSTITUTE(SUBSTITUTE(SUBSTITUTE(TRIM($H714),"/",","),";",",")," ",""))-LEN(SUBSTITUTE(SUBSTITUTE(SUBSTITUTE(SUBSTITUTE(TRIM($H714),"/",","),";",",")," ",""),",",""))+1),"Genre di luar daftar",""))),IF($I714="","Nama Channel kosong",""),IF($J714="","Link Channel kosong",IF(ISERROR(SEARCH("youtu",$J714)),"Link Channel bukan youtube","")),IF($K714="","Link Video kosong",IF(ISERROR(SEARCH("youtu",$K714)),"Link Video bukan youtube","")),IF($L714="","Tgl Dibuat kosong",IF(NOT(ISNUMBER($L714)),"Tgl Dibuat bukan tanggal","")),IF(AND($M714&lt;&gt;"",NOT(ISNUMBER($M714))),"Tgl Publish bukan tanggal",""),IF(AND(ISNUMBER($L714),ISNUMBER($M714),$M714&lt;$L714),"Tgl Publish &lt; Tgl buat",""),IF(TRIM($N714)="","Status kosong",IF(ISERROR(MATCH(TRIM($N714),{"Draft","Menunggu Review","Revisi","Terjadwal","Upload","Publish","Published","Batal"},0)),"Status di luar daftar","")))),""))</f>
        <v/>
      </c>
      <c r="S714" s="17">
        <f>IF(AND($A714&lt;&gt;"",$C714&lt;&gt;""),IF(COUNTIFS($A$2:$A$1000,$A714,$C$2:$C$1000,$C714)&gt;1,"DUPLICAT",""),"")</f>
        <v/>
      </c>
    </row>
    <row r="715">
      <c r="A715" s="12" t="n"/>
      <c r="B715" s="12" t="n"/>
      <c r="C715" s="12" t="n"/>
      <c r="D715" s="13" t="n"/>
      <c r="E715" s="12" t="n"/>
      <c r="F715" s="14" t="n"/>
      <c r="G715" s="12" t="n"/>
      <c r="H715" s="12" t="n"/>
      <c r="I715" s="12" t="n"/>
      <c r="J715" s="14" t="n"/>
      <c r="K715" s="14" t="n"/>
      <c r="L715" s="15" t="n"/>
      <c r="M715" s="15" t="n"/>
      <c r="N715" s="12" t="n"/>
      <c r="O715" s="12" t="n"/>
      <c r="P715" s="16">
        <f>IF(AND(ISNUMBER($L715),ISNUMBER($M715)),MAX(0,$M715-$L715),"")</f>
        <v/>
      </c>
      <c r="Q715" s="16">
        <f>IF(ISNUMBER($D715),MAX(0,TODAY()-$D715),"")</f>
        <v/>
      </c>
      <c r="R715" s="14">
        <f>IF(COUNTA($A715:$O715)=0,"",IFERROR(TRIM(TEXTJOIN(" | ",TRUE,IF($A715="","PC kosong",""),IF($C715="","Worker ID kosong",""),IF($D715="","Update Date kosong",IF(NOT(ISNUMBER($D715)),"Update Date bukan tanggal","")),IF($E715="","Song ID YT kosong",""),IF($F715="","Judul kosong",""),IF(TRIM($G715)="","",IF(ISERROR(MATCH(TRIM($G715),{"TuneCore","DistroKid","TooLost","SoundOn","Ditto","Believe","CD Baby","Amuse","Symphonic Distribution","ONErpm","RouteNote","LANDR","Horus Music","Indie"},0)),"Aggregator di luar daftar","")),IF(TRIM($H715)="","Genre kosong",IF((LEN(SUBSTITUTE(SUBSTITUTE(SUBSTITUTE(TRIM($H715),"/",","),";",",")," ",""))-LEN(SUBSTITUTE(SUBSTITUTE(SUBSTITUTE(SUBSTITUTE(TRIM($H715),"/",","),";",","),"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715),"/",","),";",",")," ","")&amp;",")))&lt;&gt;(LEN(SUBSTITUTE(SUBSTITUTE(SUBSTITUTE(TRIM($H715),"/",","),";",",")," ",""))-LEN(SUBSTITUTE(SUBSTITUTE(SUBSTITUTE(SUBSTITUTE(TRIM($H715),"/",","),";",",")," ",""),",",""))+1),"Genre di luar daftar",""))),IF($I715="","Nama Channel kosong",""),IF($J715="","Link Channel kosong",IF(ISERROR(SEARCH("youtu",$J715)),"Link Channel bukan youtube","")),IF($K715="","Link Video kosong",IF(ISERROR(SEARCH("youtu",$K715)),"Link Video bukan youtube","")),IF($L715="","Tgl Dibuat kosong",IF(NOT(ISNUMBER($L715)),"Tgl Dibuat bukan tanggal","")),IF(AND($M715&lt;&gt;"",NOT(ISNUMBER($M715))),"Tgl Publish bukan tanggal",""),IF(AND(ISNUMBER($L715),ISNUMBER($M715),$M715&lt;$L715),"Tgl Publish &lt; Tgl buat",""),IF(TRIM($N715)="","Status kosong",IF(ISERROR(MATCH(TRIM($N715),{"Draft","Menunggu Review","Revisi","Terjadwal","Upload","Publish","Published","Batal"},0)),"Status di luar daftar","")))),""))</f>
        <v/>
      </c>
      <c r="S715" s="12">
        <f>IF(AND($A715&lt;&gt;"",$C715&lt;&gt;""),IF(COUNTIFS($A$2:$A$1000,$A715,$C$2:$C$1000,$C715)&gt;1,"DUPLICAT",""),"")</f>
        <v/>
      </c>
    </row>
    <row r="716">
      <c r="A716" s="17" t="n"/>
      <c r="B716" s="17" t="n"/>
      <c r="C716" s="17" t="n"/>
      <c r="D716" s="18" t="n"/>
      <c r="E716" s="17" t="n"/>
      <c r="F716" s="19" t="n"/>
      <c r="G716" s="17" t="n"/>
      <c r="H716" s="17" t="n"/>
      <c r="I716" s="17" t="n"/>
      <c r="J716" s="19" t="n"/>
      <c r="K716" s="19" t="n"/>
      <c r="L716" s="20" t="n"/>
      <c r="M716" s="20" t="n"/>
      <c r="N716" s="17" t="n"/>
      <c r="O716" s="17" t="n"/>
      <c r="P716" s="21">
        <f>IF(AND(ISNUMBER($L716),ISNUMBER($M716)),MAX(0,$M716-$L716),"")</f>
        <v/>
      </c>
      <c r="Q716" s="21">
        <f>IF(ISNUMBER($D716),MAX(0,TODAY()-$D716),"")</f>
        <v/>
      </c>
      <c r="R716" s="19">
        <f>IF(COUNTA($A716:$O716)=0,"",IFERROR(TRIM(TEXTJOIN(" | ",TRUE,IF($A716="","PC kosong",""),IF($C716="","Worker ID kosong",""),IF($D716="","Update Date kosong",IF(NOT(ISNUMBER($D716)),"Update Date bukan tanggal","")),IF($E716="","Song ID YT kosong",""),IF($F716="","Judul kosong",""),IF(TRIM($G716)="","",IF(ISERROR(MATCH(TRIM($G716),{"TuneCore","DistroKid","TooLost","SoundOn","Ditto","Believe","CD Baby","Amuse","Symphonic Distribution","ONErpm","RouteNote","LANDR","Horus Music","Indie"},0)),"Aggregator di luar daftar","")),IF(TRIM($H716)="","Genre kosong",IF((LEN(SUBSTITUTE(SUBSTITUTE(SUBSTITUTE(TRIM($H716),"/",","),";",",")," ",""))-LEN(SUBSTITUTE(SUBSTITUTE(SUBSTITUTE(SUBSTITUTE(TRIM($H716),"/",","),";",","),"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716),"/",","),";",",")," ","")&amp;",")))&lt;&gt;(LEN(SUBSTITUTE(SUBSTITUTE(SUBSTITUTE(TRIM($H716),"/",","),";",",")," ",""))-LEN(SUBSTITUTE(SUBSTITUTE(SUBSTITUTE(SUBSTITUTE(TRIM($H716),"/",","),";",",")," ",""),",",""))+1),"Genre di luar daftar",""))),IF($I716="","Nama Channel kosong",""),IF($J716="","Link Channel kosong",IF(ISERROR(SEARCH("youtu",$J716)),"Link Channel bukan youtube","")),IF($K716="","Link Video kosong",IF(ISERROR(SEARCH("youtu",$K716)),"Link Video bukan youtube","")),IF($L716="","Tgl Dibuat kosong",IF(NOT(ISNUMBER($L716)),"Tgl Dibuat bukan tanggal","")),IF(AND($M716&lt;&gt;"",NOT(ISNUMBER($M716))),"Tgl Publish bukan tanggal",""),IF(AND(ISNUMBER($L716),ISNUMBER($M716),$M716&lt;$L716),"Tgl Publish &lt; Tgl buat",""),IF(TRIM($N716)="","Status kosong",IF(ISERROR(MATCH(TRIM($N716),{"Draft","Menunggu Review","Revisi","Terjadwal","Upload","Publish","Published","Batal"},0)),"Status di luar daftar","")))),""))</f>
        <v/>
      </c>
      <c r="S716" s="17">
        <f>IF(AND($A716&lt;&gt;"",$C716&lt;&gt;""),IF(COUNTIFS($A$2:$A$1000,$A716,$C$2:$C$1000,$C716)&gt;1,"DUPLICAT",""),"")</f>
        <v/>
      </c>
    </row>
    <row r="717">
      <c r="A717" s="12" t="n"/>
      <c r="B717" s="12" t="n"/>
      <c r="C717" s="12" t="n"/>
      <c r="D717" s="13" t="n"/>
      <c r="E717" s="12" t="n"/>
      <c r="F717" s="14" t="n"/>
      <c r="G717" s="12" t="n"/>
      <c r="H717" s="12" t="n"/>
      <c r="I717" s="12" t="n"/>
      <c r="J717" s="14" t="n"/>
      <c r="K717" s="14" t="n"/>
      <c r="L717" s="15" t="n"/>
      <c r="M717" s="15" t="n"/>
      <c r="N717" s="12" t="n"/>
      <c r="O717" s="12" t="n"/>
      <c r="P717" s="16">
        <f>IF(AND(ISNUMBER($L717),ISNUMBER($M717)),MAX(0,$M717-$L717),"")</f>
        <v/>
      </c>
      <c r="Q717" s="16">
        <f>IF(ISNUMBER($D717),MAX(0,TODAY()-$D717),"")</f>
        <v/>
      </c>
      <c r="R717" s="14">
        <f>IF(COUNTA($A717:$O717)=0,"",IFERROR(TRIM(TEXTJOIN(" | ",TRUE,IF($A717="","PC kosong",""),IF($C717="","Worker ID kosong",""),IF($D717="","Update Date kosong",IF(NOT(ISNUMBER($D717)),"Update Date bukan tanggal","")),IF($E717="","Song ID YT kosong",""),IF($F717="","Judul kosong",""),IF(TRIM($G717)="","",IF(ISERROR(MATCH(TRIM($G717),{"TuneCore","DistroKid","TooLost","SoundOn","Ditto","Believe","CD Baby","Amuse","Symphonic Distribution","ONErpm","RouteNote","LANDR","Horus Music","Indie"},0)),"Aggregator di luar daftar","")),IF(TRIM($H717)="","Genre kosong",IF((LEN(SUBSTITUTE(SUBSTITUTE(SUBSTITUTE(TRIM($H717),"/",","),";",",")," ",""))-LEN(SUBSTITUTE(SUBSTITUTE(SUBSTITUTE(SUBSTITUTE(TRIM($H717),"/",","),";",","),"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717),"/",","),";",",")," ","")&amp;",")))&lt;&gt;(LEN(SUBSTITUTE(SUBSTITUTE(SUBSTITUTE(TRIM($H717),"/",","),";",",")," ",""))-LEN(SUBSTITUTE(SUBSTITUTE(SUBSTITUTE(SUBSTITUTE(TRIM($H717),"/",","),";",",")," ",""),",",""))+1),"Genre di luar daftar",""))),IF($I717="","Nama Channel kosong",""),IF($J717="","Link Channel kosong",IF(ISERROR(SEARCH("youtu",$J717)),"Link Channel bukan youtube","")),IF($K717="","Link Video kosong",IF(ISERROR(SEARCH("youtu",$K717)),"Link Video bukan youtube","")),IF($L717="","Tgl Dibuat kosong",IF(NOT(ISNUMBER($L717)),"Tgl Dibuat bukan tanggal","")),IF(AND($M717&lt;&gt;"",NOT(ISNUMBER($M717))),"Tgl Publish bukan tanggal",""),IF(AND(ISNUMBER($L717),ISNUMBER($M717),$M717&lt;$L717),"Tgl Publish &lt; Tgl buat",""),IF(TRIM($N717)="","Status kosong",IF(ISERROR(MATCH(TRIM($N717),{"Draft","Menunggu Review","Revisi","Terjadwal","Upload","Publish","Published","Batal"},0)),"Status di luar daftar","")))),""))</f>
        <v/>
      </c>
      <c r="S717" s="12">
        <f>IF(AND($A717&lt;&gt;"",$C717&lt;&gt;""),IF(COUNTIFS($A$2:$A$1000,$A717,$C$2:$C$1000,$C717)&gt;1,"DUPLICAT",""),"")</f>
        <v/>
      </c>
    </row>
    <row r="718">
      <c r="A718" s="17" t="n"/>
      <c r="B718" s="17" t="n"/>
      <c r="C718" s="17" t="n"/>
      <c r="D718" s="18" t="n"/>
      <c r="E718" s="17" t="n"/>
      <c r="F718" s="19" t="n"/>
      <c r="G718" s="17" t="n"/>
      <c r="H718" s="17" t="n"/>
      <c r="I718" s="17" t="n"/>
      <c r="J718" s="19" t="n"/>
      <c r="K718" s="19" t="n"/>
      <c r="L718" s="20" t="n"/>
      <c r="M718" s="20" t="n"/>
      <c r="N718" s="17" t="n"/>
      <c r="O718" s="17" t="n"/>
      <c r="P718" s="21">
        <f>IF(AND(ISNUMBER($L718),ISNUMBER($M718)),MAX(0,$M718-$L718),"")</f>
        <v/>
      </c>
      <c r="Q718" s="21">
        <f>IF(ISNUMBER($D718),MAX(0,TODAY()-$D718),"")</f>
        <v/>
      </c>
      <c r="R718" s="19">
        <f>IF(COUNTA($A718:$O718)=0,"",IFERROR(TRIM(TEXTJOIN(" | ",TRUE,IF($A718="","PC kosong",""),IF($C718="","Worker ID kosong",""),IF($D718="","Update Date kosong",IF(NOT(ISNUMBER($D718)),"Update Date bukan tanggal","")),IF($E718="","Song ID YT kosong",""),IF($F718="","Judul kosong",""),IF(TRIM($G718)="","",IF(ISERROR(MATCH(TRIM($G718),{"TuneCore","DistroKid","TooLost","SoundOn","Ditto","Believe","CD Baby","Amuse","Symphonic Distribution","ONErpm","RouteNote","LANDR","Horus Music","Indie"},0)),"Aggregator di luar daftar","")),IF(TRIM($H718)="","Genre kosong",IF((LEN(SUBSTITUTE(SUBSTITUTE(SUBSTITUTE(TRIM($H718),"/",","),";",",")," ",""))-LEN(SUBSTITUTE(SUBSTITUTE(SUBSTITUTE(SUBSTITUTE(TRIM($H718),"/",","),";",","),"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718),"/",","),";",",")," ","")&amp;",")))&lt;&gt;(LEN(SUBSTITUTE(SUBSTITUTE(SUBSTITUTE(TRIM($H718),"/",","),";",",")," ",""))-LEN(SUBSTITUTE(SUBSTITUTE(SUBSTITUTE(SUBSTITUTE(TRIM($H718),"/",","),";",",")," ",""),",",""))+1),"Genre di luar daftar",""))),IF($I718="","Nama Channel kosong",""),IF($J718="","Link Channel kosong",IF(ISERROR(SEARCH("youtu",$J718)),"Link Channel bukan youtube","")),IF($K718="","Link Video kosong",IF(ISERROR(SEARCH("youtu",$K718)),"Link Video bukan youtube","")),IF($L718="","Tgl Dibuat kosong",IF(NOT(ISNUMBER($L718)),"Tgl Dibuat bukan tanggal","")),IF(AND($M718&lt;&gt;"",NOT(ISNUMBER($M718))),"Tgl Publish bukan tanggal",""),IF(AND(ISNUMBER($L718),ISNUMBER($M718),$M718&lt;$L718),"Tgl Publish &lt; Tgl buat",""),IF(TRIM($N718)="","Status kosong",IF(ISERROR(MATCH(TRIM($N718),{"Draft","Menunggu Review","Revisi","Terjadwal","Upload","Publish","Published","Batal"},0)),"Status di luar daftar","")))),""))</f>
        <v/>
      </c>
      <c r="S718" s="17">
        <f>IF(AND($A718&lt;&gt;"",$C718&lt;&gt;""),IF(COUNTIFS($A$2:$A$1000,$A718,$C$2:$C$1000,$C718)&gt;1,"DUPLICAT",""),"")</f>
        <v/>
      </c>
    </row>
    <row r="719">
      <c r="A719" s="12" t="n"/>
      <c r="B719" s="12" t="n"/>
      <c r="C719" s="12" t="n"/>
      <c r="D719" s="13" t="n"/>
      <c r="E719" s="12" t="n"/>
      <c r="F719" s="14" t="n"/>
      <c r="G719" s="12" t="n"/>
      <c r="H719" s="12" t="n"/>
      <c r="I719" s="12" t="n"/>
      <c r="J719" s="14" t="n"/>
      <c r="K719" s="14" t="n"/>
      <c r="L719" s="15" t="n"/>
      <c r="M719" s="15" t="n"/>
      <c r="N719" s="12" t="n"/>
      <c r="O719" s="12" t="n"/>
      <c r="P719" s="16">
        <f>IF(AND(ISNUMBER($L719),ISNUMBER($M719)),MAX(0,$M719-$L719),"")</f>
        <v/>
      </c>
      <c r="Q719" s="16">
        <f>IF(ISNUMBER($D719),MAX(0,TODAY()-$D719),"")</f>
        <v/>
      </c>
      <c r="R719" s="14">
        <f>IF(COUNTA($A719:$O719)=0,"",IFERROR(TRIM(TEXTJOIN(" | ",TRUE,IF($A719="","PC kosong",""),IF($C719="","Worker ID kosong",""),IF($D719="","Update Date kosong",IF(NOT(ISNUMBER($D719)),"Update Date bukan tanggal","")),IF($E719="","Song ID YT kosong",""),IF($F719="","Judul kosong",""),IF(TRIM($G719)="","",IF(ISERROR(MATCH(TRIM($G719),{"TuneCore","DistroKid","TooLost","SoundOn","Ditto","Believe","CD Baby","Amuse","Symphonic Distribution","ONErpm","RouteNote","LANDR","Horus Music","Indie"},0)),"Aggregator di luar daftar","")),IF(TRIM($H719)="","Genre kosong",IF((LEN(SUBSTITUTE(SUBSTITUTE(SUBSTITUTE(TRIM($H719),"/",","),";",",")," ",""))-LEN(SUBSTITUTE(SUBSTITUTE(SUBSTITUTE(SUBSTITUTE(TRIM($H719),"/",","),";",","),"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719),"/",","),";",",")," ","")&amp;",")))&lt;&gt;(LEN(SUBSTITUTE(SUBSTITUTE(SUBSTITUTE(TRIM($H719),"/",","),";",",")," ",""))-LEN(SUBSTITUTE(SUBSTITUTE(SUBSTITUTE(SUBSTITUTE(TRIM($H719),"/",","),";",",")," ",""),",",""))+1),"Genre di luar daftar",""))),IF($I719="","Nama Channel kosong",""),IF($J719="","Link Channel kosong",IF(ISERROR(SEARCH("youtu",$J719)),"Link Channel bukan youtube","")),IF($K719="","Link Video kosong",IF(ISERROR(SEARCH("youtu",$K719)),"Link Video bukan youtube","")),IF($L719="","Tgl Dibuat kosong",IF(NOT(ISNUMBER($L719)),"Tgl Dibuat bukan tanggal","")),IF(AND($M719&lt;&gt;"",NOT(ISNUMBER($M719))),"Tgl Publish bukan tanggal",""),IF(AND(ISNUMBER($L719),ISNUMBER($M719),$M719&lt;$L719),"Tgl Publish &lt; Tgl buat",""),IF(TRIM($N719)="","Status kosong",IF(ISERROR(MATCH(TRIM($N719),{"Draft","Menunggu Review","Revisi","Terjadwal","Upload","Publish","Published","Batal"},0)),"Status di luar daftar","")))),""))</f>
        <v/>
      </c>
      <c r="S719" s="12">
        <f>IF(AND($A719&lt;&gt;"",$C719&lt;&gt;""),IF(COUNTIFS($A$2:$A$1000,$A719,$C$2:$C$1000,$C719)&gt;1,"DUPLICAT",""),"")</f>
        <v/>
      </c>
    </row>
    <row r="720">
      <c r="A720" s="17" t="n"/>
      <c r="B720" s="17" t="n"/>
      <c r="C720" s="17" t="n"/>
      <c r="D720" s="18" t="n"/>
      <c r="E720" s="17" t="n"/>
      <c r="F720" s="19" t="n"/>
      <c r="G720" s="17" t="n"/>
      <c r="H720" s="17" t="n"/>
      <c r="I720" s="17" t="n"/>
      <c r="J720" s="19" t="n"/>
      <c r="K720" s="19" t="n"/>
      <c r="L720" s="20" t="n"/>
      <c r="M720" s="20" t="n"/>
      <c r="N720" s="17" t="n"/>
      <c r="O720" s="17" t="n"/>
      <c r="P720" s="21">
        <f>IF(AND(ISNUMBER($L720),ISNUMBER($M720)),MAX(0,$M720-$L720),"")</f>
        <v/>
      </c>
      <c r="Q720" s="21">
        <f>IF(ISNUMBER($D720),MAX(0,TODAY()-$D720),"")</f>
        <v/>
      </c>
      <c r="R720" s="19">
        <f>IF(COUNTA($A720:$O720)=0,"",IFERROR(TRIM(TEXTJOIN(" | ",TRUE,IF($A720="","PC kosong",""),IF($C720="","Worker ID kosong",""),IF($D720="","Update Date kosong",IF(NOT(ISNUMBER($D720)),"Update Date bukan tanggal","")),IF($E720="","Song ID YT kosong",""),IF($F720="","Judul kosong",""),IF(TRIM($G720)="","",IF(ISERROR(MATCH(TRIM($G720),{"TuneCore","DistroKid","TooLost","SoundOn","Ditto","Believe","CD Baby","Amuse","Symphonic Distribution","ONErpm","RouteNote","LANDR","Horus Music","Indie"},0)),"Aggregator di luar daftar","")),IF(TRIM($H720)="","Genre kosong",IF((LEN(SUBSTITUTE(SUBSTITUTE(SUBSTITUTE(TRIM($H720),"/",","),";",",")," ",""))-LEN(SUBSTITUTE(SUBSTITUTE(SUBSTITUTE(SUBSTITUTE(TRIM($H720),"/",","),";",","),"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720),"/",","),";",",")," ","")&amp;",")))&lt;&gt;(LEN(SUBSTITUTE(SUBSTITUTE(SUBSTITUTE(TRIM($H720),"/",","),";",",")," ",""))-LEN(SUBSTITUTE(SUBSTITUTE(SUBSTITUTE(SUBSTITUTE(TRIM($H720),"/",","),";",",")," ",""),",",""))+1),"Genre di luar daftar",""))),IF($I720="","Nama Channel kosong",""),IF($J720="","Link Channel kosong",IF(ISERROR(SEARCH("youtu",$J720)),"Link Channel bukan youtube","")),IF($K720="","Link Video kosong",IF(ISERROR(SEARCH("youtu",$K720)),"Link Video bukan youtube","")),IF($L720="","Tgl Dibuat kosong",IF(NOT(ISNUMBER($L720)),"Tgl Dibuat bukan tanggal","")),IF(AND($M720&lt;&gt;"",NOT(ISNUMBER($M720))),"Tgl Publish bukan tanggal",""),IF(AND(ISNUMBER($L720),ISNUMBER($M720),$M720&lt;$L720),"Tgl Publish &lt; Tgl buat",""),IF(TRIM($N720)="","Status kosong",IF(ISERROR(MATCH(TRIM($N720),{"Draft","Menunggu Review","Revisi","Terjadwal","Upload","Publish","Published","Batal"},0)),"Status di luar daftar","")))),""))</f>
        <v/>
      </c>
      <c r="S720" s="17">
        <f>IF(AND($A720&lt;&gt;"",$C720&lt;&gt;""),IF(COUNTIFS($A$2:$A$1000,$A720,$C$2:$C$1000,$C720)&gt;1,"DUPLICAT",""),"")</f>
        <v/>
      </c>
    </row>
    <row r="721">
      <c r="A721" s="12" t="n"/>
      <c r="B721" s="12" t="n"/>
      <c r="C721" s="12" t="n"/>
      <c r="D721" s="13" t="n"/>
      <c r="E721" s="12" t="n"/>
      <c r="F721" s="14" t="n"/>
      <c r="G721" s="12" t="n"/>
      <c r="H721" s="12" t="n"/>
      <c r="I721" s="12" t="n"/>
      <c r="J721" s="14" t="n"/>
      <c r="K721" s="14" t="n"/>
      <c r="L721" s="15" t="n"/>
      <c r="M721" s="15" t="n"/>
      <c r="N721" s="12" t="n"/>
      <c r="O721" s="12" t="n"/>
      <c r="P721" s="16">
        <f>IF(AND(ISNUMBER($L721),ISNUMBER($M721)),MAX(0,$M721-$L721),"")</f>
        <v/>
      </c>
      <c r="Q721" s="16">
        <f>IF(ISNUMBER($D721),MAX(0,TODAY()-$D721),"")</f>
        <v/>
      </c>
      <c r="R721" s="14">
        <f>IF(COUNTA($A721:$O721)=0,"",IFERROR(TRIM(TEXTJOIN(" | ",TRUE,IF($A721="","PC kosong",""),IF($C721="","Worker ID kosong",""),IF($D721="","Update Date kosong",IF(NOT(ISNUMBER($D721)),"Update Date bukan tanggal","")),IF($E721="","Song ID YT kosong",""),IF($F721="","Judul kosong",""),IF(TRIM($G721)="","",IF(ISERROR(MATCH(TRIM($G721),{"TuneCore","DistroKid","TooLost","SoundOn","Ditto","Believe","CD Baby","Amuse","Symphonic Distribution","ONErpm","RouteNote","LANDR","Horus Music","Indie"},0)),"Aggregator di luar daftar","")),IF(TRIM($H721)="","Genre kosong",IF((LEN(SUBSTITUTE(SUBSTITUTE(SUBSTITUTE(TRIM($H721),"/",","),";",",")," ",""))-LEN(SUBSTITUTE(SUBSTITUTE(SUBSTITUTE(SUBSTITUTE(TRIM($H721),"/",","),";",","),"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721),"/",","),";",",")," ","")&amp;",")))&lt;&gt;(LEN(SUBSTITUTE(SUBSTITUTE(SUBSTITUTE(TRIM($H721),"/",","),";",",")," ",""))-LEN(SUBSTITUTE(SUBSTITUTE(SUBSTITUTE(SUBSTITUTE(TRIM($H721),"/",","),";",",")," ",""),",",""))+1),"Genre di luar daftar",""))),IF($I721="","Nama Channel kosong",""),IF($J721="","Link Channel kosong",IF(ISERROR(SEARCH("youtu",$J721)),"Link Channel bukan youtube","")),IF($K721="","Link Video kosong",IF(ISERROR(SEARCH("youtu",$K721)),"Link Video bukan youtube","")),IF($L721="","Tgl Dibuat kosong",IF(NOT(ISNUMBER($L721)),"Tgl Dibuat bukan tanggal","")),IF(AND($M721&lt;&gt;"",NOT(ISNUMBER($M721))),"Tgl Publish bukan tanggal",""),IF(AND(ISNUMBER($L721),ISNUMBER($M721),$M721&lt;$L721),"Tgl Publish &lt; Tgl buat",""),IF(TRIM($N721)="","Status kosong",IF(ISERROR(MATCH(TRIM($N721),{"Draft","Menunggu Review","Revisi","Terjadwal","Upload","Publish","Published","Batal"},0)),"Status di luar daftar","")))),""))</f>
        <v/>
      </c>
      <c r="S721" s="12">
        <f>IF(AND($A721&lt;&gt;"",$C721&lt;&gt;""),IF(COUNTIFS($A$2:$A$1000,$A721,$C$2:$C$1000,$C721)&gt;1,"DUPLICAT",""),"")</f>
        <v/>
      </c>
    </row>
    <row r="722">
      <c r="A722" s="17" t="n"/>
      <c r="B722" s="17" t="n"/>
      <c r="C722" s="17" t="n"/>
      <c r="D722" s="18" t="n"/>
      <c r="E722" s="17" t="n"/>
      <c r="F722" s="19" t="n"/>
      <c r="G722" s="17" t="n"/>
      <c r="H722" s="17" t="n"/>
      <c r="I722" s="17" t="n"/>
      <c r="J722" s="19" t="n"/>
      <c r="K722" s="19" t="n"/>
      <c r="L722" s="20" t="n"/>
      <c r="M722" s="20" t="n"/>
      <c r="N722" s="17" t="n"/>
      <c r="O722" s="17" t="n"/>
      <c r="P722" s="21">
        <f>IF(AND(ISNUMBER($L722),ISNUMBER($M722)),MAX(0,$M722-$L722),"")</f>
        <v/>
      </c>
      <c r="Q722" s="21">
        <f>IF(ISNUMBER($D722),MAX(0,TODAY()-$D722),"")</f>
        <v/>
      </c>
      <c r="R722" s="19">
        <f>IF(COUNTA($A722:$O722)=0,"",IFERROR(TRIM(TEXTJOIN(" | ",TRUE,IF($A722="","PC kosong",""),IF($C722="","Worker ID kosong",""),IF($D722="","Update Date kosong",IF(NOT(ISNUMBER($D722)),"Update Date bukan tanggal","")),IF($E722="","Song ID YT kosong",""),IF($F722="","Judul kosong",""),IF(TRIM($G722)="","",IF(ISERROR(MATCH(TRIM($G722),{"TuneCore","DistroKid","TooLost","SoundOn","Ditto","Believe","CD Baby","Amuse","Symphonic Distribution","ONErpm","RouteNote","LANDR","Horus Music","Indie"},0)),"Aggregator di luar daftar","")),IF(TRIM($H722)="","Genre kosong",IF((LEN(SUBSTITUTE(SUBSTITUTE(SUBSTITUTE(TRIM($H722),"/",","),";",",")," ",""))-LEN(SUBSTITUTE(SUBSTITUTE(SUBSTITUTE(SUBSTITUTE(TRIM($H722),"/",","),";",","),"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722),"/",","),";",",")," ","")&amp;",")))&lt;&gt;(LEN(SUBSTITUTE(SUBSTITUTE(SUBSTITUTE(TRIM($H722),"/",","),";",",")," ",""))-LEN(SUBSTITUTE(SUBSTITUTE(SUBSTITUTE(SUBSTITUTE(TRIM($H722),"/",","),";",",")," ",""),",",""))+1),"Genre di luar daftar",""))),IF($I722="","Nama Channel kosong",""),IF($J722="","Link Channel kosong",IF(ISERROR(SEARCH("youtu",$J722)),"Link Channel bukan youtube","")),IF($K722="","Link Video kosong",IF(ISERROR(SEARCH("youtu",$K722)),"Link Video bukan youtube","")),IF($L722="","Tgl Dibuat kosong",IF(NOT(ISNUMBER($L722)),"Tgl Dibuat bukan tanggal","")),IF(AND($M722&lt;&gt;"",NOT(ISNUMBER($M722))),"Tgl Publish bukan tanggal",""),IF(AND(ISNUMBER($L722),ISNUMBER($M722),$M722&lt;$L722),"Tgl Publish &lt; Tgl buat",""),IF(TRIM($N722)="","Status kosong",IF(ISERROR(MATCH(TRIM($N722),{"Draft","Menunggu Review","Revisi","Terjadwal","Upload","Publish","Published","Batal"},0)),"Status di luar daftar","")))),""))</f>
        <v/>
      </c>
      <c r="S722" s="17">
        <f>IF(AND($A722&lt;&gt;"",$C722&lt;&gt;""),IF(COUNTIFS($A$2:$A$1000,$A722,$C$2:$C$1000,$C722)&gt;1,"DUPLICAT",""),"")</f>
        <v/>
      </c>
    </row>
    <row r="723">
      <c r="A723" s="12" t="n"/>
      <c r="B723" s="12" t="n"/>
      <c r="C723" s="12" t="n"/>
      <c r="D723" s="13" t="n"/>
      <c r="E723" s="12" t="n"/>
      <c r="F723" s="14" t="n"/>
      <c r="G723" s="12" t="n"/>
      <c r="H723" s="12" t="n"/>
      <c r="I723" s="12" t="n"/>
      <c r="J723" s="14" t="n"/>
      <c r="K723" s="14" t="n"/>
      <c r="L723" s="15" t="n"/>
      <c r="M723" s="15" t="n"/>
      <c r="N723" s="12" t="n"/>
      <c r="O723" s="12" t="n"/>
      <c r="P723" s="16">
        <f>IF(AND(ISNUMBER($L723),ISNUMBER($M723)),MAX(0,$M723-$L723),"")</f>
        <v/>
      </c>
      <c r="Q723" s="16">
        <f>IF(ISNUMBER($D723),MAX(0,TODAY()-$D723),"")</f>
        <v/>
      </c>
      <c r="R723" s="14">
        <f>IF(COUNTA($A723:$O723)=0,"",IFERROR(TRIM(TEXTJOIN(" | ",TRUE,IF($A723="","PC kosong",""),IF($C723="","Worker ID kosong",""),IF($D723="","Update Date kosong",IF(NOT(ISNUMBER($D723)),"Update Date bukan tanggal","")),IF($E723="","Song ID YT kosong",""),IF($F723="","Judul kosong",""),IF(TRIM($G723)="","",IF(ISERROR(MATCH(TRIM($G723),{"TuneCore","DistroKid","TooLost","SoundOn","Ditto","Believe","CD Baby","Amuse","Symphonic Distribution","ONErpm","RouteNote","LANDR","Horus Music","Indie"},0)),"Aggregator di luar daftar","")),IF(TRIM($H723)="","Genre kosong",IF((LEN(SUBSTITUTE(SUBSTITUTE(SUBSTITUTE(TRIM($H723),"/",","),";",",")," ",""))-LEN(SUBSTITUTE(SUBSTITUTE(SUBSTITUTE(SUBSTITUTE(TRIM($H723),"/",","),";",","),"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723),"/",","),";",",")," ","")&amp;",")))&lt;&gt;(LEN(SUBSTITUTE(SUBSTITUTE(SUBSTITUTE(TRIM($H723),"/",","),";",",")," ",""))-LEN(SUBSTITUTE(SUBSTITUTE(SUBSTITUTE(SUBSTITUTE(TRIM($H723),"/",","),";",",")," ",""),",",""))+1),"Genre di luar daftar",""))),IF($I723="","Nama Channel kosong",""),IF($J723="","Link Channel kosong",IF(ISERROR(SEARCH("youtu",$J723)),"Link Channel bukan youtube","")),IF($K723="","Link Video kosong",IF(ISERROR(SEARCH("youtu",$K723)),"Link Video bukan youtube","")),IF($L723="","Tgl Dibuat kosong",IF(NOT(ISNUMBER($L723)),"Tgl Dibuat bukan tanggal","")),IF(AND($M723&lt;&gt;"",NOT(ISNUMBER($M723))),"Tgl Publish bukan tanggal",""),IF(AND(ISNUMBER($L723),ISNUMBER($M723),$M723&lt;$L723),"Tgl Publish &lt; Tgl buat",""),IF(TRIM($N723)="","Status kosong",IF(ISERROR(MATCH(TRIM($N723),{"Draft","Menunggu Review","Revisi","Terjadwal","Upload","Publish","Published","Batal"},0)),"Status di luar daftar","")))),""))</f>
        <v/>
      </c>
      <c r="S723" s="12">
        <f>IF(AND($A723&lt;&gt;"",$C723&lt;&gt;""),IF(COUNTIFS($A$2:$A$1000,$A723,$C$2:$C$1000,$C723)&gt;1,"DUPLICAT",""),"")</f>
        <v/>
      </c>
    </row>
    <row r="724">
      <c r="A724" s="17" t="n"/>
      <c r="B724" s="17" t="n"/>
      <c r="C724" s="17" t="n"/>
      <c r="D724" s="18" t="n"/>
      <c r="E724" s="17" t="n"/>
      <c r="F724" s="19" t="n"/>
      <c r="G724" s="17" t="n"/>
      <c r="H724" s="17" t="n"/>
      <c r="I724" s="17" t="n"/>
      <c r="J724" s="19" t="n"/>
      <c r="K724" s="19" t="n"/>
      <c r="L724" s="20" t="n"/>
      <c r="M724" s="20" t="n"/>
      <c r="N724" s="17" t="n"/>
      <c r="O724" s="17" t="n"/>
      <c r="P724" s="21">
        <f>IF(AND(ISNUMBER($L724),ISNUMBER($M724)),MAX(0,$M724-$L724),"")</f>
        <v/>
      </c>
      <c r="Q724" s="21">
        <f>IF(ISNUMBER($D724),MAX(0,TODAY()-$D724),"")</f>
        <v/>
      </c>
      <c r="R724" s="19">
        <f>IF(COUNTA($A724:$O724)=0,"",IFERROR(TRIM(TEXTJOIN(" | ",TRUE,IF($A724="","PC kosong",""),IF($C724="","Worker ID kosong",""),IF($D724="","Update Date kosong",IF(NOT(ISNUMBER($D724)),"Update Date bukan tanggal","")),IF($E724="","Song ID YT kosong",""),IF($F724="","Judul kosong",""),IF(TRIM($G724)="","",IF(ISERROR(MATCH(TRIM($G724),{"TuneCore","DistroKid","TooLost","SoundOn","Ditto","Believe","CD Baby","Amuse","Symphonic Distribution","ONErpm","RouteNote","LANDR","Horus Music","Indie"},0)),"Aggregator di luar daftar","")),IF(TRIM($H724)="","Genre kosong",IF((LEN(SUBSTITUTE(SUBSTITUTE(SUBSTITUTE(TRIM($H724),"/",","),";",",")," ",""))-LEN(SUBSTITUTE(SUBSTITUTE(SUBSTITUTE(SUBSTITUTE(TRIM($H724),"/",","),";",","),"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724),"/",","),";",",")," ","")&amp;",")))&lt;&gt;(LEN(SUBSTITUTE(SUBSTITUTE(SUBSTITUTE(TRIM($H724),"/",","),";",",")," ",""))-LEN(SUBSTITUTE(SUBSTITUTE(SUBSTITUTE(SUBSTITUTE(TRIM($H724),"/",","),";",",")," ",""),",",""))+1),"Genre di luar daftar",""))),IF($I724="","Nama Channel kosong",""),IF($J724="","Link Channel kosong",IF(ISERROR(SEARCH("youtu",$J724)),"Link Channel bukan youtube","")),IF($K724="","Link Video kosong",IF(ISERROR(SEARCH("youtu",$K724)),"Link Video bukan youtube","")),IF($L724="","Tgl Dibuat kosong",IF(NOT(ISNUMBER($L724)),"Tgl Dibuat bukan tanggal","")),IF(AND($M724&lt;&gt;"",NOT(ISNUMBER($M724))),"Tgl Publish bukan tanggal",""),IF(AND(ISNUMBER($L724),ISNUMBER($M724),$M724&lt;$L724),"Tgl Publish &lt; Tgl buat",""),IF(TRIM($N724)="","Status kosong",IF(ISERROR(MATCH(TRIM($N724),{"Draft","Menunggu Review","Revisi","Terjadwal","Upload","Publish","Published","Batal"},0)),"Status di luar daftar","")))),""))</f>
        <v/>
      </c>
      <c r="S724" s="17">
        <f>IF(AND($A724&lt;&gt;"",$C724&lt;&gt;""),IF(COUNTIFS($A$2:$A$1000,$A724,$C$2:$C$1000,$C724)&gt;1,"DUPLICAT",""),"")</f>
        <v/>
      </c>
    </row>
    <row r="725">
      <c r="A725" s="12" t="n"/>
      <c r="B725" s="12" t="n"/>
      <c r="C725" s="12" t="n"/>
      <c r="D725" s="13" t="n"/>
      <c r="E725" s="12" t="n"/>
      <c r="F725" s="14" t="n"/>
      <c r="G725" s="12" t="n"/>
      <c r="H725" s="12" t="n"/>
      <c r="I725" s="12" t="n"/>
      <c r="J725" s="14" t="n"/>
      <c r="K725" s="14" t="n"/>
      <c r="L725" s="15" t="n"/>
      <c r="M725" s="15" t="n"/>
      <c r="N725" s="12" t="n"/>
      <c r="O725" s="12" t="n"/>
      <c r="P725" s="16">
        <f>IF(AND(ISNUMBER($L725),ISNUMBER($M725)),MAX(0,$M725-$L725),"")</f>
        <v/>
      </c>
      <c r="Q725" s="16">
        <f>IF(ISNUMBER($D725),MAX(0,TODAY()-$D725),"")</f>
        <v/>
      </c>
      <c r="R725" s="14">
        <f>IF(COUNTA($A725:$O725)=0,"",IFERROR(TRIM(TEXTJOIN(" | ",TRUE,IF($A725="","PC kosong",""),IF($C725="","Worker ID kosong",""),IF($D725="","Update Date kosong",IF(NOT(ISNUMBER($D725)),"Update Date bukan tanggal","")),IF($E725="","Song ID YT kosong",""),IF($F725="","Judul kosong",""),IF(TRIM($G725)="","",IF(ISERROR(MATCH(TRIM($G725),{"TuneCore","DistroKid","TooLost","SoundOn","Ditto","Believe","CD Baby","Amuse","Symphonic Distribution","ONErpm","RouteNote","LANDR","Horus Music","Indie"},0)),"Aggregator di luar daftar","")),IF(TRIM($H725)="","Genre kosong",IF((LEN(SUBSTITUTE(SUBSTITUTE(SUBSTITUTE(TRIM($H725),"/",","),";",",")," ",""))-LEN(SUBSTITUTE(SUBSTITUTE(SUBSTITUTE(SUBSTITUTE(TRIM($H725),"/",","),";",","),"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725),"/",","),";",",")," ","")&amp;",")))&lt;&gt;(LEN(SUBSTITUTE(SUBSTITUTE(SUBSTITUTE(TRIM($H725),"/",","),";",",")," ",""))-LEN(SUBSTITUTE(SUBSTITUTE(SUBSTITUTE(SUBSTITUTE(TRIM($H725),"/",","),";",",")," ",""),",",""))+1),"Genre di luar daftar",""))),IF($I725="","Nama Channel kosong",""),IF($J725="","Link Channel kosong",IF(ISERROR(SEARCH("youtu",$J725)),"Link Channel bukan youtube","")),IF($K725="","Link Video kosong",IF(ISERROR(SEARCH("youtu",$K725)),"Link Video bukan youtube","")),IF($L725="","Tgl Dibuat kosong",IF(NOT(ISNUMBER($L725)),"Tgl Dibuat bukan tanggal","")),IF(AND($M725&lt;&gt;"",NOT(ISNUMBER($M725))),"Tgl Publish bukan tanggal",""),IF(AND(ISNUMBER($L725),ISNUMBER($M725),$M725&lt;$L725),"Tgl Publish &lt; Tgl buat",""),IF(TRIM($N725)="","Status kosong",IF(ISERROR(MATCH(TRIM($N725),{"Draft","Menunggu Review","Revisi","Terjadwal","Upload","Publish","Published","Batal"},0)),"Status di luar daftar","")))),""))</f>
        <v/>
      </c>
      <c r="S725" s="12">
        <f>IF(AND($A725&lt;&gt;"",$C725&lt;&gt;""),IF(COUNTIFS($A$2:$A$1000,$A725,$C$2:$C$1000,$C725)&gt;1,"DUPLICAT",""),"")</f>
        <v/>
      </c>
    </row>
    <row r="726">
      <c r="A726" s="17" t="n"/>
      <c r="B726" s="17" t="n"/>
      <c r="C726" s="17" t="n"/>
      <c r="D726" s="18" t="n"/>
      <c r="E726" s="17" t="n"/>
      <c r="F726" s="19" t="n"/>
      <c r="G726" s="17" t="n"/>
      <c r="H726" s="17" t="n"/>
      <c r="I726" s="17" t="n"/>
      <c r="J726" s="19" t="n"/>
      <c r="K726" s="19" t="n"/>
      <c r="L726" s="20" t="n"/>
      <c r="M726" s="20" t="n"/>
      <c r="N726" s="17" t="n"/>
      <c r="O726" s="17" t="n"/>
      <c r="P726" s="21">
        <f>IF(AND(ISNUMBER($L726),ISNUMBER($M726)),MAX(0,$M726-$L726),"")</f>
        <v/>
      </c>
      <c r="Q726" s="21">
        <f>IF(ISNUMBER($D726),MAX(0,TODAY()-$D726),"")</f>
        <v/>
      </c>
      <c r="R726" s="19">
        <f>IF(COUNTA($A726:$O726)=0,"",IFERROR(TRIM(TEXTJOIN(" | ",TRUE,IF($A726="","PC kosong",""),IF($C726="","Worker ID kosong",""),IF($D726="","Update Date kosong",IF(NOT(ISNUMBER($D726)),"Update Date bukan tanggal","")),IF($E726="","Song ID YT kosong",""),IF($F726="","Judul kosong",""),IF(TRIM($G726)="","",IF(ISERROR(MATCH(TRIM($G726),{"TuneCore","DistroKid","TooLost","SoundOn","Ditto","Believe","CD Baby","Amuse","Symphonic Distribution","ONErpm","RouteNote","LANDR","Horus Music","Indie"},0)),"Aggregator di luar daftar","")),IF(TRIM($H726)="","Genre kosong",IF((LEN(SUBSTITUTE(SUBSTITUTE(SUBSTITUTE(TRIM($H726),"/",","),";",",")," ",""))-LEN(SUBSTITUTE(SUBSTITUTE(SUBSTITUTE(SUBSTITUTE(TRIM($H726),"/",","),";",","),"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726),"/",","),";",",")," ","")&amp;",")))&lt;&gt;(LEN(SUBSTITUTE(SUBSTITUTE(SUBSTITUTE(TRIM($H726),"/",","),";",",")," ",""))-LEN(SUBSTITUTE(SUBSTITUTE(SUBSTITUTE(SUBSTITUTE(TRIM($H726),"/",","),";",",")," ",""),",",""))+1),"Genre di luar daftar",""))),IF($I726="","Nama Channel kosong",""),IF($J726="","Link Channel kosong",IF(ISERROR(SEARCH("youtu",$J726)),"Link Channel bukan youtube","")),IF($K726="","Link Video kosong",IF(ISERROR(SEARCH("youtu",$K726)),"Link Video bukan youtube","")),IF($L726="","Tgl Dibuat kosong",IF(NOT(ISNUMBER($L726)),"Tgl Dibuat bukan tanggal","")),IF(AND($M726&lt;&gt;"",NOT(ISNUMBER($M726))),"Tgl Publish bukan tanggal",""),IF(AND(ISNUMBER($L726),ISNUMBER($M726),$M726&lt;$L726),"Tgl Publish &lt; Tgl buat",""),IF(TRIM($N726)="","Status kosong",IF(ISERROR(MATCH(TRIM($N726),{"Draft","Menunggu Review","Revisi","Terjadwal","Upload","Publish","Published","Batal"},0)),"Status di luar daftar","")))),""))</f>
        <v/>
      </c>
      <c r="S726" s="17">
        <f>IF(AND($A726&lt;&gt;"",$C726&lt;&gt;""),IF(COUNTIFS($A$2:$A$1000,$A726,$C$2:$C$1000,$C726)&gt;1,"DUPLICAT",""),"")</f>
        <v/>
      </c>
    </row>
    <row r="727">
      <c r="A727" s="12" t="n"/>
      <c r="B727" s="12" t="n"/>
      <c r="C727" s="12" t="n"/>
      <c r="D727" s="13" t="n"/>
      <c r="E727" s="12" t="n"/>
      <c r="F727" s="14" t="n"/>
      <c r="G727" s="12" t="n"/>
      <c r="H727" s="12" t="n"/>
      <c r="I727" s="12" t="n"/>
      <c r="J727" s="14" t="n"/>
      <c r="K727" s="14" t="n"/>
      <c r="L727" s="15" t="n"/>
      <c r="M727" s="15" t="n"/>
      <c r="N727" s="12" t="n"/>
      <c r="O727" s="12" t="n"/>
      <c r="P727" s="16">
        <f>IF(AND(ISNUMBER($L727),ISNUMBER($M727)),MAX(0,$M727-$L727),"")</f>
        <v/>
      </c>
      <c r="Q727" s="16">
        <f>IF(ISNUMBER($D727),MAX(0,TODAY()-$D727),"")</f>
        <v/>
      </c>
      <c r="R727" s="14">
        <f>IF(COUNTA($A727:$O727)=0,"",IFERROR(TRIM(TEXTJOIN(" | ",TRUE,IF($A727="","PC kosong",""),IF($C727="","Worker ID kosong",""),IF($D727="","Update Date kosong",IF(NOT(ISNUMBER($D727)),"Update Date bukan tanggal","")),IF($E727="","Song ID YT kosong",""),IF($F727="","Judul kosong",""),IF(TRIM($G727)="","",IF(ISERROR(MATCH(TRIM($G727),{"TuneCore","DistroKid","TooLost","SoundOn","Ditto","Believe","CD Baby","Amuse","Symphonic Distribution","ONErpm","RouteNote","LANDR","Horus Music","Indie"},0)),"Aggregator di luar daftar","")),IF(TRIM($H727)="","Genre kosong",IF((LEN(SUBSTITUTE(SUBSTITUTE(SUBSTITUTE(TRIM($H727),"/",","),";",",")," ",""))-LEN(SUBSTITUTE(SUBSTITUTE(SUBSTITUTE(SUBSTITUTE(TRIM($H727),"/",","),";",","),"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727),"/",","),";",",")," ","")&amp;",")))&lt;&gt;(LEN(SUBSTITUTE(SUBSTITUTE(SUBSTITUTE(TRIM($H727),"/",","),";",",")," ",""))-LEN(SUBSTITUTE(SUBSTITUTE(SUBSTITUTE(SUBSTITUTE(TRIM($H727),"/",","),";",",")," ",""),",",""))+1),"Genre di luar daftar",""))),IF($I727="","Nama Channel kosong",""),IF($J727="","Link Channel kosong",IF(ISERROR(SEARCH("youtu",$J727)),"Link Channel bukan youtube","")),IF($K727="","Link Video kosong",IF(ISERROR(SEARCH("youtu",$K727)),"Link Video bukan youtube","")),IF($L727="","Tgl Dibuat kosong",IF(NOT(ISNUMBER($L727)),"Tgl Dibuat bukan tanggal","")),IF(AND($M727&lt;&gt;"",NOT(ISNUMBER($M727))),"Tgl Publish bukan tanggal",""),IF(AND(ISNUMBER($L727),ISNUMBER($M727),$M727&lt;$L727),"Tgl Publish &lt; Tgl buat",""),IF(TRIM($N727)="","Status kosong",IF(ISERROR(MATCH(TRIM($N727),{"Draft","Menunggu Review","Revisi","Terjadwal","Upload","Publish","Published","Batal"},0)),"Status di luar daftar","")))),""))</f>
        <v/>
      </c>
      <c r="S727" s="12">
        <f>IF(AND($A727&lt;&gt;"",$C727&lt;&gt;""),IF(COUNTIFS($A$2:$A$1000,$A727,$C$2:$C$1000,$C727)&gt;1,"DUPLICAT",""),"")</f>
        <v/>
      </c>
    </row>
    <row r="728">
      <c r="A728" s="17" t="n"/>
      <c r="B728" s="17" t="n"/>
      <c r="C728" s="17" t="n"/>
      <c r="D728" s="18" t="n"/>
      <c r="E728" s="17" t="n"/>
      <c r="F728" s="19" t="n"/>
      <c r="G728" s="17" t="n"/>
      <c r="H728" s="17" t="n"/>
      <c r="I728" s="17" t="n"/>
      <c r="J728" s="19" t="n"/>
      <c r="K728" s="19" t="n"/>
      <c r="L728" s="20" t="n"/>
      <c r="M728" s="20" t="n"/>
      <c r="N728" s="17" t="n"/>
      <c r="O728" s="17" t="n"/>
      <c r="P728" s="21">
        <f>IF(AND(ISNUMBER($L728),ISNUMBER($M728)),MAX(0,$M728-$L728),"")</f>
        <v/>
      </c>
      <c r="Q728" s="21">
        <f>IF(ISNUMBER($D728),MAX(0,TODAY()-$D728),"")</f>
        <v/>
      </c>
      <c r="R728" s="19">
        <f>IF(COUNTA($A728:$O728)=0,"",IFERROR(TRIM(TEXTJOIN(" | ",TRUE,IF($A728="","PC kosong",""),IF($C728="","Worker ID kosong",""),IF($D728="","Update Date kosong",IF(NOT(ISNUMBER($D728)),"Update Date bukan tanggal","")),IF($E728="","Song ID YT kosong",""),IF($F728="","Judul kosong",""),IF(TRIM($G728)="","",IF(ISERROR(MATCH(TRIM($G728),{"TuneCore","DistroKid","TooLost","SoundOn","Ditto","Believe","CD Baby","Amuse","Symphonic Distribution","ONErpm","RouteNote","LANDR","Horus Music","Indie"},0)),"Aggregator di luar daftar","")),IF(TRIM($H728)="","Genre kosong",IF((LEN(SUBSTITUTE(SUBSTITUTE(SUBSTITUTE(TRIM($H728),"/",","),";",",")," ",""))-LEN(SUBSTITUTE(SUBSTITUTE(SUBSTITUTE(SUBSTITUTE(TRIM($H728),"/",","),";",","),"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728),"/",","),";",",")," ","")&amp;",")))&lt;&gt;(LEN(SUBSTITUTE(SUBSTITUTE(SUBSTITUTE(TRIM($H728),"/",","),";",",")," ",""))-LEN(SUBSTITUTE(SUBSTITUTE(SUBSTITUTE(SUBSTITUTE(TRIM($H728),"/",","),";",",")," ",""),",",""))+1),"Genre di luar daftar",""))),IF($I728="","Nama Channel kosong",""),IF($J728="","Link Channel kosong",IF(ISERROR(SEARCH("youtu",$J728)),"Link Channel bukan youtube","")),IF($K728="","Link Video kosong",IF(ISERROR(SEARCH("youtu",$K728)),"Link Video bukan youtube","")),IF($L728="","Tgl Dibuat kosong",IF(NOT(ISNUMBER($L728)),"Tgl Dibuat bukan tanggal","")),IF(AND($M728&lt;&gt;"",NOT(ISNUMBER($M728))),"Tgl Publish bukan tanggal",""),IF(AND(ISNUMBER($L728),ISNUMBER($M728),$M728&lt;$L728),"Tgl Publish &lt; Tgl buat",""),IF(TRIM($N728)="","Status kosong",IF(ISERROR(MATCH(TRIM($N728),{"Draft","Menunggu Review","Revisi","Terjadwal","Upload","Publish","Published","Batal"},0)),"Status di luar daftar","")))),""))</f>
        <v/>
      </c>
      <c r="S728" s="17">
        <f>IF(AND($A728&lt;&gt;"",$C728&lt;&gt;""),IF(COUNTIFS($A$2:$A$1000,$A728,$C$2:$C$1000,$C728)&gt;1,"DUPLICAT",""),"")</f>
        <v/>
      </c>
    </row>
    <row r="729">
      <c r="A729" s="12" t="n"/>
      <c r="B729" s="12" t="n"/>
      <c r="C729" s="12" t="n"/>
      <c r="D729" s="13" t="n"/>
      <c r="E729" s="12" t="n"/>
      <c r="F729" s="14" t="n"/>
      <c r="G729" s="12" t="n"/>
      <c r="H729" s="12" t="n"/>
      <c r="I729" s="12" t="n"/>
      <c r="J729" s="14" t="n"/>
      <c r="K729" s="14" t="n"/>
      <c r="L729" s="15" t="n"/>
      <c r="M729" s="15" t="n"/>
      <c r="N729" s="12" t="n"/>
      <c r="O729" s="12" t="n"/>
      <c r="P729" s="16">
        <f>IF(AND(ISNUMBER($L729),ISNUMBER($M729)),MAX(0,$M729-$L729),"")</f>
        <v/>
      </c>
      <c r="Q729" s="16">
        <f>IF(ISNUMBER($D729),MAX(0,TODAY()-$D729),"")</f>
        <v/>
      </c>
      <c r="R729" s="14">
        <f>IF(COUNTA($A729:$O729)=0,"",IFERROR(TRIM(TEXTJOIN(" | ",TRUE,IF($A729="","PC kosong",""),IF($C729="","Worker ID kosong",""),IF($D729="","Update Date kosong",IF(NOT(ISNUMBER($D729)),"Update Date bukan tanggal","")),IF($E729="","Song ID YT kosong",""),IF($F729="","Judul kosong",""),IF(TRIM($G729)="","",IF(ISERROR(MATCH(TRIM($G729),{"TuneCore","DistroKid","TooLost","SoundOn","Ditto","Believe","CD Baby","Amuse","Symphonic Distribution","ONErpm","RouteNote","LANDR","Horus Music","Indie"},0)),"Aggregator di luar daftar","")),IF(TRIM($H729)="","Genre kosong",IF((LEN(SUBSTITUTE(SUBSTITUTE(SUBSTITUTE(TRIM($H729),"/",","),";",",")," ",""))-LEN(SUBSTITUTE(SUBSTITUTE(SUBSTITUTE(SUBSTITUTE(TRIM($H729),"/",","),";",","),"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729),"/",","),";",",")," ","")&amp;",")))&lt;&gt;(LEN(SUBSTITUTE(SUBSTITUTE(SUBSTITUTE(TRIM($H729),"/",","),";",",")," ",""))-LEN(SUBSTITUTE(SUBSTITUTE(SUBSTITUTE(SUBSTITUTE(TRIM($H729),"/",","),";",",")," ",""),",",""))+1),"Genre di luar daftar",""))),IF($I729="","Nama Channel kosong",""),IF($J729="","Link Channel kosong",IF(ISERROR(SEARCH("youtu",$J729)),"Link Channel bukan youtube","")),IF($K729="","Link Video kosong",IF(ISERROR(SEARCH("youtu",$K729)),"Link Video bukan youtube","")),IF($L729="","Tgl Dibuat kosong",IF(NOT(ISNUMBER($L729)),"Tgl Dibuat bukan tanggal","")),IF(AND($M729&lt;&gt;"",NOT(ISNUMBER($M729))),"Tgl Publish bukan tanggal",""),IF(AND(ISNUMBER($L729),ISNUMBER($M729),$M729&lt;$L729),"Tgl Publish &lt; Tgl buat",""),IF(TRIM($N729)="","Status kosong",IF(ISERROR(MATCH(TRIM($N729),{"Draft","Menunggu Review","Revisi","Terjadwal","Upload","Publish","Published","Batal"},0)),"Status di luar daftar","")))),""))</f>
        <v/>
      </c>
      <c r="S729" s="12">
        <f>IF(AND($A729&lt;&gt;"",$C729&lt;&gt;""),IF(COUNTIFS($A$2:$A$1000,$A729,$C$2:$C$1000,$C729)&gt;1,"DUPLICAT",""),"")</f>
        <v/>
      </c>
    </row>
    <row r="730">
      <c r="A730" s="17" t="n"/>
      <c r="B730" s="17" t="n"/>
      <c r="C730" s="17" t="n"/>
      <c r="D730" s="18" t="n"/>
      <c r="E730" s="17" t="n"/>
      <c r="F730" s="19" t="n"/>
      <c r="G730" s="17" t="n"/>
      <c r="H730" s="17" t="n"/>
      <c r="I730" s="17" t="n"/>
      <c r="J730" s="19" t="n"/>
      <c r="K730" s="19" t="n"/>
      <c r="L730" s="20" t="n"/>
      <c r="M730" s="20" t="n"/>
      <c r="N730" s="17" t="n"/>
      <c r="O730" s="17" t="n"/>
      <c r="P730" s="21">
        <f>IF(AND(ISNUMBER($L730),ISNUMBER($M730)),MAX(0,$M730-$L730),"")</f>
        <v/>
      </c>
      <c r="Q730" s="21">
        <f>IF(ISNUMBER($D730),MAX(0,TODAY()-$D730),"")</f>
        <v/>
      </c>
      <c r="R730" s="19">
        <f>IF(COUNTA($A730:$O730)=0,"",IFERROR(TRIM(TEXTJOIN(" | ",TRUE,IF($A730="","PC kosong",""),IF($C730="","Worker ID kosong",""),IF($D730="","Update Date kosong",IF(NOT(ISNUMBER($D730)),"Update Date bukan tanggal","")),IF($E730="","Song ID YT kosong",""),IF($F730="","Judul kosong",""),IF(TRIM($G730)="","",IF(ISERROR(MATCH(TRIM($G730),{"TuneCore","DistroKid","TooLost","SoundOn","Ditto","Believe","CD Baby","Amuse","Symphonic Distribution","ONErpm","RouteNote","LANDR","Horus Music","Indie"},0)),"Aggregator di luar daftar","")),IF(TRIM($H730)="","Genre kosong",IF((LEN(SUBSTITUTE(SUBSTITUTE(SUBSTITUTE(TRIM($H730),"/",","),";",",")," ",""))-LEN(SUBSTITUTE(SUBSTITUTE(SUBSTITUTE(SUBSTITUTE(TRIM($H730),"/",","),";",","),"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730),"/",","),";",",")," ","")&amp;",")))&lt;&gt;(LEN(SUBSTITUTE(SUBSTITUTE(SUBSTITUTE(TRIM($H730),"/",","),";",",")," ",""))-LEN(SUBSTITUTE(SUBSTITUTE(SUBSTITUTE(SUBSTITUTE(TRIM($H730),"/",","),";",",")," ",""),",",""))+1),"Genre di luar daftar",""))),IF($I730="","Nama Channel kosong",""),IF($J730="","Link Channel kosong",IF(ISERROR(SEARCH("youtu",$J730)),"Link Channel bukan youtube","")),IF($K730="","Link Video kosong",IF(ISERROR(SEARCH("youtu",$K730)),"Link Video bukan youtube","")),IF($L730="","Tgl Dibuat kosong",IF(NOT(ISNUMBER($L730)),"Tgl Dibuat bukan tanggal","")),IF(AND($M730&lt;&gt;"",NOT(ISNUMBER($M730))),"Tgl Publish bukan tanggal",""),IF(AND(ISNUMBER($L730),ISNUMBER($M730),$M730&lt;$L730),"Tgl Publish &lt; Tgl buat",""),IF(TRIM($N730)="","Status kosong",IF(ISERROR(MATCH(TRIM($N730),{"Draft","Menunggu Review","Revisi","Terjadwal","Upload","Publish","Published","Batal"},0)),"Status di luar daftar","")))),""))</f>
        <v/>
      </c>
      <c r="S730" s="17">
        <f>IF(AND($A730&lt;&gt;"",$C730&lt;&gt;""),IF(COUNTIFS($A$2:$A$1000,$A730,$C$2:$C$1000,$C730)&gt;1,"DUPLICAT",""),"")</f>
        <v/>
      </c>
    </row>
    <row r="731">
      <c r="A731" s="12" t="n"/>
      <c r="B731" s="12" t="n"/>
      <c r="C731" s="12" t="n"/>
      <c r="D731" s="13" t="n"/>
      <c r="E731" s="12" t="n"/>
      <c r="F731" s="14" t="n"/>
      <c r="G731" s="12" t="n"/>
      <c r="H731" s="12" t="n"/>
      <c r="I731" s="12" t="n"/>
      <c r="J731" s="14" t="n"/>
      <c r="K731" s="14" t="n"/>
      <c r="L731" s="15" t="n"/>
      <c r="M731" s="15" t="n"/>
      <c r="N731" s="12" t="n"/>
      <c r="O731" s="12" t="n"/>
      <c r="P731" s="16">
        <f>IF(AND(ISNUMBER($L731),ISNUMBER($M731)),MAX(0,$M731-$L731),"")</f>
        <v/>
      </c>
      <c r="Q731" s="16">
        <f>IF(ISNUMBER($D731),MAX(0,TODAY()-$D731),"")</f>
        <v/>
      </c>
      <c r="R731" s="14">
        <f>IF(COUNTA($A731:$O731)=0,"",IFERROR(TRIM(TEXTJOIN(" | ",TRUE,IF($A731="","PC kosong",""),IF($C731="","Worker ID kosong",""),IF($D731="","Update Date kosong",IF(NOT(ISNUMBER($D731)),"Update Date bukan tanggal","")),IF($E731="","Song ID YT kosong",""),IF($F731="","Judul kosong",""),IF(TRIM($G731)="","",IF(ISERROR(MATCH(TRIM($G731),{"TuneCore","DistroKid","TooLost","SoundOn","Ditto","Believe","CD Baby","Amuse","Symphonic Distribution","ONErpm","RouteNote","LANDR","Horus Music","Indie"},0)),"Aggregator di luar daftar","")),IF(TRIM($H731)="","Genre kosong",IF((LEN(SUBSTITUTE(SUBSTITUTE(SUBSTITUTE(TRIM($H731),"/",","),";",",")," ",""))-LEN(SUBSTITUTE(SUBSTITUTE(SUBSTITUTE(SUBSTITUTE(TRIM($H731),"/",","),";",","),"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731),"/",","),";",",")," ","")&amp;",")))&lt;&gt;(LEN(SUBSTITUTE(SUBSTITUTE(SUBSTITUTE(TRIM($H731),"/",","),";",",")," ",""))-LEN(SUBSTITUTE(SUBSTITUTE(SUBSTITUTE(SUBSTITUTE(TRIM($H731),"/",","),";",",")," ",""),",",""))+1),"Genre di luar daftar",""))),IF($I731="","Nama Channel kosong",""),IF($J731="","Link Channel kosong",IF(ISERROR(SEARCH("youtu",$J731)),"Link Channel bukan youtube","")),IF($K731="","Link Video kosong",IF(ISERROR(SEARCH("youtu",$K731)),"Link Video bukan youtube","")),IF($L731="","Tgl Dibuat kosong",IF(NOT(ISNUMBER($L731)),"Tgl Dibuat bukan tanggal","")),IF(AND($M731&lt;&gt;"",NOT(ISNUMBER($M731))),"Tgl Publish bukan tanggal",""),IF(AND(ISNUMBER($L731),ISNUMBER($M731),$M731&lt;$L731),"Tgl Publish &lt; Tgl buat",""),IF(TRIM($N731)="","Status kosong",IF(ISERROR(MATCH(TRIM($N731),{"Draft","Menunggu Review","Revisi","Terjadwal","Upload","Publish","Published","Batal"},0)),"Status di luar daftar","")))),""))</f>
        <v/>
      </c>
      <c r="S731" s="12">
        <f>IF(AND($A731&lt;&gt;"",$C731&lt;&gt;""),IF(COUNTIFS($A$2:$A$1000,$A731,$C$2:$C$1000,$C731)&gt;1,"DUPLICAT",""),"")</f>
        <v/>
      </c>
    </row>
    <row r="732">
      <c r="A732" s="17" t="n"/>
      <c r="B732" s="17" t="n"/>
      <c r="C732" s="17" t="n"/>
      <c r="D732" s="18" t="n"/>
      <c r="E732" s="17" t="n"/>
      <c r="F732" s="19" t="n"/>
      <c r="G732" s="17" t="n"/>
      <c r="H732" s="17" t="n"/>
      <c r="I732" s="17" t="n"/>
      <c r="J732" s="19" t="n"/>
      <c r="K732" s="19" t="n"/>
      <c r="L732" s="20" t="n"/>
      <c r="M732" s="20" t="n"/>
      <c r="N732" s="17" t="n"/>
      <c r="O732" s="17" t="n"/>
      <c r="P732" s="21">
        <f>IF(AND(ISNUMBER($L732),ISNUMBER($M732)),MAX(0,$M732-$L732),"")</f>
        <v/>
      </c>
      <c r="Q732" s="21">
        <f>IF(ISNUMBER($D732),MAX(0,TODAY()-$D732),"")</f>
        <v/>
      </c>
      <c r="R732" s="19">
        <f>IF(COUNTA($A732:$O732)=0,"",IFERROR(TRIM(TEXTJOIN(" | ",TRUE,IF($A732="","PC kosong",""),IF($C732="","Worker ID kosong",""),IF($D732="","Update Date kosong",IF(NOT(ISNUMBER($D732)),"Update Date bukan tanggal","")),IF($E732="","Song ID YT kosong",""),IF($F732="","Judul kosong",""),IF(TRIM($G732)="","",IF(ISERROR(MATCH(TRIM($G732),{"TuneCore","DistroKid","TooLost","SoundOn","Ditto","Believe","CD Baby","Amuse","Symphonic Distribution","ONErpm","RouteNote","LANDR","Horus Music","Indie"},0)),"Aggregator di luar daftar","")),IF(TRIM($H732)="","Genre kosong",IF((LEN(SUBSTITUTE(SUBSTITUTE(SUBSTITUTE(TRIM($H732),"/",","),";",",")," ",""))-LEN(SUBSTITUTE(SUBSTITUTE(SUBSTITUTE(SUBSTITUTE(TRIM($H732),"/",","),";",","),"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732),"/",","),";",",")," ","")&amp;",")))&lt;&gt;(LEN(SUBSTITUTE(SUBSTITUTE(SUBSTITUTE(TRIM($H732),"/",","),";",",")," ",""))-LEN(SUBSTITUTE(SUBSTITUTE(SUBSTITUTE(SUBSTITUTE(TRIM($H732),"/",","),";",",")," ",""),",",""))+1),"Genre di luar daftar",""))),IF($I732="","Nama Channel kosong",""),IF($J732="","Link Channel kosong",IF(ISERROR(SEARCH("youtu",$J732)),"Link Channel bukan youtube","")),IF($K732="","Link Video kosong",IF(ISERROR(SEARCH("youtu",$K732)),"Link Video bukan youtube","")),IF($L732="","Tgl Dibuat kosong",IF(NOT(ISNUMBER($L732)),"Tgl Dibuat bukan tanggal","")),IF(AND($M732&lt;&gt;"",NOT(ISNUMBER($M732))),"Tgl Publish bukan tanggal",""),IF(AND(ISNUMBER($L732),ISNUMBER($M732),$M732&lt;$L732),"Tgl Publish &lt; Tgl buat",""),IF(TRIM($N732)="","Status kosong",IF(ISERROR(MATCH(TRIM($N732),{"Draft","Menunggu Review","Revisi","Terjadwal","Upload","Publish","Published","Batal"},0)),"Status di luar daftar","")))),""))</f>
        <v/>
      </c>
      <c r="S732" s="17">
        <f>IF(AND($A732&lt;&gt;"",$C732&lt;&gt;""),IF(COUNTIFS($A$2:$A$1000,$A732,$C$2:$C$1000,$C732)&gt;1,"DUPLICAT",""),"")</f>
        <v/>
      </c>
    </row>
    <row r="733">
      <c r="A733" s="12" t="n"/>
      <c r="B733" s="12" t="n"/>
      <c r="C733" s="12" t="n"/>
      <c r="D733" s="13" t="n"/>
      <c r="E733" s="12" t="n"/>
      <c r="F733" s="14" t="n"/>
      <c r="G733" s="12" t="n"/>
      <c r="H733" s="12" t="n"/>
      <c r="I733" s="12" t="n"/>
      <c r="J733" s="14" t="n"/>
      <c r="K733" s="14" t="n"/>
      <c r="L733" s="15" t="n"/>
      <c r="M733" s="15" t="n"/>
      <c r="N733" s="12" t="n"/>
      <c r="O733" s="12" t="n"/>
      <c r="P733" s="16">
        <f>IF(AND(ISNUMBER($L733),ISNUMBER($M733)),MAX(0,$M733-$L733),"")</f>
        <v/>
      </c>
      <c r="Q733" s="16">
        <f>IF(ISNUMBER($D733),MAX(0,TODAY()-$D733),"")</f>
        <v/>
      </c>
      <c r="R733" s="14">
        <f>IF(COUNTA($A733:$O733)=0,"",IFERROR(TRIM(TEXTJOIN(" | ",TRUE,IF($A733="","PC kosong",""),IF($C733="","Worker ID kosong",""),IF($D733="","Update Date kosong",IF(NOT(ISNUMBER($D733)),"Update Date bukan tanggal","")),IF($E733="","Song ID YT kosong",""),IF($F733="","Judul kosong",""),IF(TRIM($G733)="","",IF(ISERROR(MATCH(TRIM($G733),{"TuneCore","DistroKid","TooLost","SoundOn","Ditto","Believe","CD Baby","Amuse","Symphonic Distribution","ONErpm","RouteNote","LANDR","Horus Music","Indie"},0)),"Aggregator di luar daftar","")),IF(TRIM($H733)="","Genre kosong",IF((LEN(SUBSTITUTE(SUBSTITUTE(SUBSTITUTE(TRIM($H733),"/",","),";",",")," ",""))-LEN(SUBSTITUTE(SUBSTITUTE(SUBSTITUTE(SUBSTITUTE(TRIM($H733),"/",","),";",","),"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733),"/",","),";",",")," ","")&amp;",")))&lt;&gt;(LEN(SUBSTITUTE(SUBSTITUTE(SUBSTITUTE(TRIM($H733),"/",","),";",",")," ",""))-LEN(SUBSTITUTE(SUBSTITUTE(SUBSTITUTE(SUBSTITUTE(TRIM($H733),"/",","),";",",")," ",""),",",""))+1),"Genre di luar daftar",""))),IF($I733="","Nama Channel kosong",""),IF($J733="","Link Channel kosong",IF(ISERROR(SEARCH("youtu",$J733)),"Link Channel bukan youtube","")),IF($K733="","Link Video kosong",IF(ISERROR(SEARCH("youtu",$K733)),"Link Video bukan youtube","")),IF($L733="","Tgl Dibuat kosong",IF(NOT(ISNUMBER($L733)),"Tgl Dibuat bukan tanggal","")),IF(AND($M733&lt;&gt;"",NOT(ISNUMBER($M733))),"Tgl Publish bukan tanggal",""),IF(AND(ISNUMBER($L733),ISNUMBER($M733),$M733&lt;$L733),"Tgl Publish &lt; Tgl buat",""),IF(TRIM($N733)="","Status kosong",IF(ISERROR(MATCH(TRIM($N733),{"Draft","Menunggu Review","Revisi","Terjadwal","Upload","Publish","Published","Batal"},0)),"Status di luar daftar","")))),""))</f>
        <v/>
      </c>
      <c r="S733" s="12">
        <f>IF(AND($A733&lt;&gt;"",$C733&lt;&gt;""),IF(COUNTIFS($A$2:$A$1000,$A733,$C$2:$C$1000,$C733)&gt;1,"DUPLICAT",""),"")</f>
        <v/>
      </c>
    </row>
    <row r="734">
      <c r="A734" s="17" t="n"/>
      <c r="B734" s="17" t="n"/>
      <c r="C734" s="17" t="n"/>
      <c r="D734" s="18" t="n"/>
      <c r="E734" s="17" t="n"/>
      <c r="F734" s="19" t="n"/>
      <c r="G734" s="17" t="n"/>
      <c r="H734" s="17" t="n"/>
      <c r="I734" s="17" t="n"/>
      <c r="J734" s="19" t="n"/>
      <c r="K734" s="19" t="n"/>
      <c r="L734" s="20" t="n"/>
      <c r="M734" s="20" t="n"/>
      <c r="N734" s="17" t="n"/>
      <c r="O734" s="17" t="n"/>
      <c r="P734" s="21">
        <f>IF(AND(ISNUMBER($L734),ISNUMBER($M734)),MAX(0,$M734-$L734),"")</f>
        <v/>
      </c>
      <c r="Q734" s="21">
        <f>IF(ISNUMBER($D734),MAX(0,TODAY()-$D734),"")</f>
        <v/>
      </c>
      <c r="R734" s="19">
        <f>IF(COUNTA($A734:$O734)=0,"",IFERROR(TRIM(TEXTJOIN(" | ",TRUE,IF($A734="","PC kosong",""),IF($C734="","Worker ID kosong",""),IF($D734="","Update Date kosong",IF(NOT(ISNUMBER($D734)),"Update Date bukan tanggal","")),IF($E734="","Song ID YT kosong",""),IF($F734="","Judul kosong",""),IF(TRIM($G734)="","",IF(ISERROR(MATCH(TRIM($G734),{"TuneCore","DistroKid","TooLost","SoundOn","Ditto","Believe","CD Baby","Amuse","Symphonic Distribution","ONErpm","RouteNote","LANDR","Horus Music","Indie"},0)),"Aggregator di luar daftar","")),IF(TRIM($H734)="","Genre kosong",IF((LEN(SUBSTITUTE(SUBSTITUTE(SUBSTITUTE(TRIM($H734),"/",","),";",",")," ",""))-LEN(SUBSTITUTE(SUBSTITUTE(SUBSTITUTE(SUBSTITUTE(TRIM($H734),"/",","),";",","),"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734),"/",","),";",",")," ","")&amp;",")))&lt;&gt;(LEN(SUBSTITUTE(SUBSTITUTE(SUBSTITUTE(TRIM($H734),"/",","),";",",")," ",""))-LEN(SUBSTITUTE(SUBSTITUTE(SUBSTITUTE(SUBSTITUTE(TRIM($H734),"/",","),";",",")," ",""),",",""))+1),"Genre di luar daftar",""))),IF($I734="","Nama Channel kosong",""),IF($J734="","Link Channel kosong",IF(ISERROR(SEARCH("youtu",$J734)),"Link Channel bukan youtube","")),IF($K734="","Link Video kosong",IF(ISERROR(SEARCH("youtu",$K734)),"Link Video bukan youtube","")),IF($L734="","Tgl Dibuat kosong",IF(NOT(ISNUMBER($L734)),"Tgl Dibuat bukan tanggal","")),IF(AND($M734&lt;&gt;"",NOT(ISNUMBER($M734))),"Tgl Publish bukan tanggal",""),IF(AND(ISNUMBER($L734),ISNUMBER($M734),$M734&lt;$L734),"Tgl Publish &lt; Tgl buat",""),IF(TRIM($N734)="","Status kosong",IF(ISERROR(MATCH(TRIM($N734),{"Draft","Menunggu Review","Revisi","Terjadwal","Upload","Publish","Published","Batal"},0)),"Status di luar daftar","")))),""))</f>
        <v/>
      </c>
      <c r="S734" s="17">
        <f>IF(AND($A734&lt;&gt;"",$C734&lt;&gt;""),IF(COUNTIFS($A$2:$A$1000,$A734,$C$2:$C$1000,$C734)&gt;1,"DUPLICAT",""),"")</f>
        <v/>
      </c>
    </row>
    <row r="735">
      <c r="A735" s="12" t="n"/>
      <c r="B735" s="12" t="n"/>
      <c r="C735" s="12" t="n"/>
      <c r="D735" s="13" t="n"/>
      <c r="E735" s="12" t="n"/>
      <c r="F735" s="14" t="n"/>
      <c r="G735" s="12" t="n"/>
      <c r="H735" s="12" t="n"/>
      <c r="I735" s="12" t="n"/>
      <c r="J735" s="14" t="n"/>
      <c r="K735" s="14" t="n"/>
      <c r="L735" s="15" t="n"/>
      <c r="M735" s="15" t="n"/>
      <c r="N735" s="12" t="n"/>
      <c r="O735" s="12" t="n"/>
      <c r="P735" s="16">
        <f>IF(AND(ISNUMBER($L735),ISNUMBER($M735)),MAX(0,$M735-$L735),"")</f>
        <v/>
      </c>
      <c r="Q735" s="16">
        <f>IF(ISNUMBER($D735),MAX(0,TODAY()-$D735),"")</f>
        <v/>
      </c>
      <c r="R735" s="14">
        <f>IF(COUNTA($A735:$O735)=0,"",IFERROR(TRIM(TEXTJOIN(" | ",TRUE,IF($A735="","PC kosong",""),IF($C735="","Worker ID kosong",""),IF($D735="","Update Date kosong",IF(NOT(ISNUMBER($D735)),"Update Date bukan tanggal","")),IF($E735="","Song ID YT kosong",""),IF($F735="","Judul kosong",""),IF(TRIM($G735)="","",IF(ISERROR(MATCH(TRIM($G735),{"TuneCore","DistroKid","TooLost","SoundOn","Ditto","Believe","CD Baby","Amuse","Symphonic Distribution","ONErpm","RouteNote","LANDR","Horus Music","Indie"},0)),"Aggregator di luar daftar","")),IF(TRIM($H735)="","Genre kosong",IF((LEN(SUBSTITUTE(SUBSTITUTE(SUBSTITUTE(TRIM($H735),"/",","),";",",")," ",""))-LEN(SUBSTITUTE(SUBSTITUTE(SUBSTITUTE(SUBSTITUTE(TRIM($H735),"/",","),";",","),"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735),"/",","),";",",")," ","")&amp;",")))&lt;&gt;(LEN(SUBSTITUTE(SUBSTITUTE(SUBSTITUTE(TRIM($H735),"/",","),";",",")," ",""))-LEN(SUBSTITUTE(SUBSTITUTE(SUBSTITUTE(SUBSTITUTE(TRIM($H735),"/",","),";",",")," ",""),",",""))+1),"Genre di luar daftar",""))),IF($I735="","Nama Channel kosong",""),IF($J735="","Link Channel kosong",IF(ISERROR(SEARCH("youtu",$J735)),"Link Channel bukan youtube","")),IF($K735="","Link Video kosong",IF(ISERROR(SEARCH("youtu",$K735)),"Link Video bukan youtube","")),IF($L735="","Tgl Dibuat kosong",IF(NOT(ISNUMBER($L735)),"Tgl Dibuat bukan tanggal","")),IF(AND($M735&lt;&gt;"",NOT(ISNUMBER($M735))),"Tgl Publish bukan tanggal",""),IF(AND(ISNUMBER($L735),ISNUMBER($M735),$M735&lt;$L735),"Tgl Publish &lt; Tgl buat",""),IF(TRIM($N735)="","Status kosong",IF(ISERROR(MATCH(TRIM($N735),{"Draft","Menunggu Review","Revisi","Terjadwal","Upload","Publish","Published","Batal"},0)),"Status di luar daftar","")))),""))</f>
        <v/>
      </c>
      <c r="S735" s="12">
        <f>IF(AND($A735&lt;&gt;"",$C735&lt;&gt;""),IF(COUNTIFS($A$2:$A$1000,$A735,$C$2:$C$1000,$C735)&gt;1,"DUPLICAT",""),"")</f>
        <v/>
      </c>
    </row>
    <row r="736">
      <c r="A736" s="17" t="n"/>
      <c r="B736" s="17" t="n"/>
      <c r="C736" s="17" t="n"/>
      <c r="D736" s="18" t="n"/>
      <c r="E736" s="17" t="n"/>
      <c r="F736" s="19" t="n"/>
      <c r="G736" s="17" t="n"/>
      <c r="H736" s="17" t="n"/>
      <c r="I736" s="17" t="n"/>
      <c r="J736" s="19" t="n"/>
      <c r="K736" s="19" t="n"/>
      <c r="L736" s="20" t="n"/>
      <c r="M736" s="20" t="n"/>
      <c r="N736" s="17" t="n"/>
      <c r="O736" s="17" t="n"/>
      <c r="P736" s="21">
        <f>IF(AND(ISNUMBER($L736),ISNUMBER($M736)),MAX(0,$M736-$L736),"")</f>
        <v/>
      </c>
      <c r="Q736" s="21">
        <f>IF(ISNUMBER($D736),MAX(0,TODAY()-$D736),"")</f>
        <v/>
      </c>
      <c r="R736" s="19">
        <f>IF(COUNTA($A736:$O736)=0,"",IFERROR(TRIM(TEXTJOIN(" | ",TRUE,IF($A736="","PC kosong",""),IF($C736="","Worker ID kosong",""),IF($D736="","Update Date kosong",IF(NOT(ISNUMBER($D736)),"Update Date bukan tanggal","")),IF($E736="","Song ID YT kosong",""),IF($F736="","Judul kosong",""),IF(TRIM($G736)="","",IF(ISERROR(MATCH(TRIM($G736),{"TuneCore","DistroKid","TooLost","SoundOn","Ditto","Believe","CD Baby","Amuse","Symphonic Distribution","ONErpm","RouteNote","LANDR","Horus Music","Indie"},0)),"Aggregator di luar daftar","")),IF(TRIM($H736)="","Genre kosong",IF((LEN(SUBSTITUTE(SUBSTITUTE(SUBSTITUTE(TRIM($H736),"/",","),";",",")," ",""))-LEN(SUBSTITUTE(SUBSTITUTE(SUBSTITUTE(SUBSTITUTE(TRIM($H736),"/",","),";",","),"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736),"/",","),";",",")," ","")&amp;",")))&lt;&gt;(LEN(SUBSTITUTE(SUBSTITUTE(SUBSTITUTE(TRIM($H736),"/",","),";",",")," ",""))-LEN(SUBSTITUTE(SUBSTITUTE(SUBSTITUTE(SUBSTITUTE(TRIM($H736),"/",","),";",",")," ",""),",",""))+1),"Genre di luar daftar",""))),IF($I736="","Nama Channel kosong",""),IF($J736="","Link Channel kosong",IF(ISERROR(SEARCH("youtu",$J736)),"Link Channel bukan youtube","")),IF($K736="","Link Video kosong",IF(ISERROR(SEARCH("youtu",$K736)),"Link Video bukan youtube","")),IF($L736="","Tgl Dibuat kosong",IF(NOT(ISNUMBER($L736)),"Tgl Dibuat bukan tanggal","")),IF(AND($M736&lt;&gt;"",NOT(ISNUMBER($M736))),"Tgl Publish bukan tanggal",""),IF(AND(ISNUMBER($L736),ISNUMBER($M736),$M736&lt;$L736),"Tgl Publish &lt; Tgl buat",""),IF(TRIM($N736)="","Status kosong",IF(ISERROR(MATCH(TRIM($N736),{"Draft","Menunggu Review","Revisi","Terjadwal","Upload","Publish","Published","Batal"},0)),"Status di luar daftar","")))),""))</f>
        <v/>
      </c>
      <c r="S736" s="17">
        <f>IF(AND($A736&lt;&gt;"",$C736&lt;&gt;""),IF(COUNTIFS($A$2:$A$1000,$A736,$C$2:$C$1000,$C736)&gt;1,"DUPLICAT",""),"")</f>
        <v/>
      </c>
    </row>
    <row r="737">
      <c r="A737" s="12" t="n"/>
      <c r="B737" s="12" t="n"/>
      <c r="C737" s="12" t="n"/>
      <c r="D737" s="13" t="n"/>
      <c r="E737" s="12" t="n"/>
      <c r="F737" s="14" t="n"/>
      <c r="G737" s="12" t="n"/>
      <c r="H737" s="12" t="n"/>
      <c r="I737" s="12" t="n"/>
      <c r="J737" s="14" t="n"/>
      <c r="K737" s="14" t="n"/>
      <c r="L737" s="15" t="n"/>
      <c r="M737" s="15" t="n"/>
      <c r="N737" s="12" t="n"/>
      <c r="O737" s="12" t="n"/>
      <c r="P737" s="16">
        <f>IF(AND(ISNUMBER($L737),ISNUMBER($M737)),MAX(0,$M737-$L737),"")</f>
        <v/>
      </c>
      <c r="Q737" s="16">
        <f>IF(ISNUMBER($D737),MAX(0,TODAY()-$D737),"")</f>
        <v/>
      </c>
      <c r="R737" s="14">
        <f>IF(COUNTA($A737:$O737)=0,"",IFERROR(TRIM(TEXTJOIN(" | ",TRUE,IF($A737="","PC kosong",""),IF($C737="","Worker ID kosong",""),IF($D737="","Update Date kosong",IF(NOT(ISNUMBER($D737)),"Update Date bukan tanggal","")),IF($E737="","Song ID YT kosong",""),IF($F737="","Judul kosong",""),IF(TRIM($G737)="","",IF(ISERROR(MATCH(TRIM($G737),{"TuneCore","DistroKid","TooLost","SoundOn","Ditto","Believe","CD Baby","Amuse","Symphonic Distribution","ONErpm","RouteNote","LANDR","Horus Music","Indie"},0)),"Aggregator di luar daftar","")),IF(TRIM($H737)="","Genre kosong",IF((LEN(SUBSTITUTE(SUBSTITUTE(SUBSTITUTE(TRIM($H737),"/",","),";",",")," ",""))-LEN(SUBSTITUTE(SUBSTITUTE(SUBSTITUTE(SUBSTITUTE(TRIM($H737),"/",","),";",","),"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737),"/",","),";",",")," ","")&amp;",")))&lt;&gt;(LEN(SUBSTITUTE(SUBSTITUTE(SUBSTITUTE(TRIM($H737),"/",","),";",",")," ",""))-LEN(SUBSTITUTE(SUBSTITUTE(SUBSTITUTE(SUBSTITUTE(TRIM($H737),"/",","),";",",")," ",""),",",""))+1),"Genre di luar daftar",""))),IF($I737="","Nama Channel kosong",""),IF($J737="","Link Channel kosong",IF(ISERROR(SEARCH("youtu",$J737)),"Link Channel bukan youtube","")),IF($K737="","Link Video kosong",IF(ISERROR(SEARCH("youtu",$K737)),"Link Video bukan youtube","")),IF($L737="","Tgl Dibuat kosong",IF(NOT(ISNUMBER($L737)),"Tgl Dibuat bukan tanggal","")),IF(AND($M737&lt;&gt;"",NOT(ISNUMBER($M737))),"Tgl Publish bukan tanggal",""),IF(AND(ISNUMBER($L737),ISNUMBER($M737),$M737&lt;$L737),"Tgl Publish &lt; Tgl buat",""),IF(TRIM($N737)="","Status kosong",IF(ISERROR(MATCH(TRIM($N737),{"Draft","Menunggu Review","Revisi","Terjadwal","Upload","Publish","Published","Batal"},0)),"Status di luar daftar","")))),""))</f>
        <v/>
      </c>
      <c r="S737" s="12">
        <f>IF(AND($A737&lt;&gt;"",$C737&lt;&gt;""),IF(COUNTIFS($A$2:$A$1000,$A737,$C$2:$C$1000,$C737)&gt;1,"DUPLICAT",""),"")</f>
        <v/>
      </c>
    </row>
    <row r="738">
      <c r="A738" s="17" t="n"/>
      <c r="B738" s="17" t="n"/>
      <c r="C738" s="17" t="n"/>
      <c r="D738" s="18" t="n"/>
      <c r="E738" s="17" t="n"/>
      <c r="F738" s="19" t="n"/>
      <c r="G738" s="17" t="n"/>
      <c r="H738" s="17" t="n"/>
      <c r="I738" s="17" t="n"/>
      <c r="J738" s="19" t="n"/>
      <c r="K738" s="19" t="n"/>
      <c r="L738" s="20" t="n"/>
      <c r="M738" s="20" t="n"/>
      <c r="N738" s="17" t="n"/>
      <c r="O738" s="17" t="n"/>
      <c r="P738" s="21">
        <f>IF(AND(ISNUMBER($L738),ISNUMBER($M738)),MAX(0,$M738-$L738),"")</f>
        <v/>
      </c>
      <c r="Q738" s="21">
        <f>IF(ISNUMBER($D738),MAX(0,TODAY()-$D738),"")</f>
        <v/>
      </c>
      <c r="R738" s="19">
        <f>IF(COUNTA($A738:$O738)=0,"",IFERROR(TRIM(TEXTJOIN(" | ",TRUE,IF($A738="","PC kosong",""),IF($C738="","Worker ID kosong",""),IF($D738="","Update Date kosong",IF(NOT(ISNUMBER($D738)),"Update Date bukan tanggal","")),IF($E738="","Song ID YT kosong",""),IF($F738="","Judul kosong",""),IF(TRIM($G738)="","",IF(ISERROR(MATCH(TRIM($G738),{"TuneCore","DistroKid","TooLost","SoundOn","Ditto","Believe","CD Baby","Amuse","Symphonic Distribution","ONErpm","RouteNote","LANDR","Horus Music","Indie"},0)),"Aggregator di luar daftar","")),IF(TRIM($H738)="","Genre kosong",IF((LEN(SUBSTITUTE(SUBSTITUTE(SUBSTITUTE(TRIM($H738),"/",","),";",",")," ",""))-LEN(SUBSTITUTE(SUBSTITUTE(SUBSTITUTE(SUBSTITUTE(TRIM($H738),"/",","),";",","),"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738),"/",","),";",",")," ","")&amp;",")))&lt;&gt;(LEN(SUBSTITUTE(SUBSTITUTE(SUBSTITUTE(TRIM($H738),"/",","),";",",")," ",""))-LEN(SUBSTITUTE(SUBSTITUTE(SUBSTITUTE(SUBSTITUTE(TRIM($H738),"/",","),";",",")," ",""),",",""))+1),"Genre di luar daftar",""))),IF($I738="","Nama Channel kosong",""),IF($J738="","Link Channel kosong",IF(ISERROR(SEARCH("youtu",$J738)),"Link Channel bukan youtube","")),IF($K738="","Link Video kosong",IF(ISERROR(SEARCH("youtu",$K738)),"Link Video bukan youtube","")),IF($L738="","Tgl Dibuat kosong",IF(NOT(ISNUMBER($L738)),"Tgl Dibuat bukan tanggal","")),IF(AND($M738&lt;&gt;"",NOT(ISNUMBER($M738))),"Tgl Publish bukan tanggal",""),IF(AND(ISNUMBER($L738),ISNUMBER($M738),$M738&lt;$L738),"Tgl Publish &lt; Tgl buat",""),IF(TRIM($N738)="","Status kosong",IF(ISERROR(MATCH(TRIM($N738),{"Draft","Menunggu Review","Revisi","Terjadwal","Upload","Publish","Published","Batal"},0)),"Status di luar daftar","")))),""))</f>
        <v/>
      </c>
      <c r="S738" s="17">
        <f>IF(AND($A738&lt;&gt;"",$C738&lt;&gt;""),IF(COUNTIFS($A$2:$A$1000,$A738,$C$2:$C$1000,$C738)&gt;1,"DUPLICAT",""),"")</f>
        <v/>
      </c>
    </row>
    <row r="739">
      <c r="A739" s="12" t="n"/>
      <c r="B739" s="12" t="n"/>
      <c r="C739" s="12" t="n"/>
      <c r="D739" s="13" t="n"/>
      <c r="E739" s="12" t="n"/>
      <c r="F739" s="14" t="n"/>
      <c r="G739" s="12" t="n"/>
      <c r="H739" s="12" t="n"/>
      <c r="I739" s="12" t="n"/>
      <c r="J739" s="14" t="n"/>
      <c r="K739" s="14" t="n"/>
      <c r="L739" s="15" t="n"/>
      <c r="M739" s="15" t="n"/>
      <c r="N739" s="12" t="n"/>
      <c r="O739" s="12" t="n"/>
      <c r="P739" s="16">
        <f>IF(AND(ISNUMBER($L739),ISNUMBER($M739)),MAX(0,$M739-$L739),"")</f>
        <v/>
      </c>
      <c r="Q739" s="16">
        <f>IF(ISNUMBER($D739),MAX(0,TODAY()-$D739),"")</f>
        <v/>
      </c>
      <c r="R739" s="14">
        <f>IF(COUNTA($A739:$O739)=0,"",IFERROR(TRIM(TEXTJOIN(" | ",TRUE,IF($A739="","PC kosong",""),IF($C739="","Worker ID kosong",""),IF($D739="","Update Date kosong",IF(NOT(ISNUMBER($D739)),"Update Date bukan tanggal","")),IF($E739="","Song ID YT kosong",""),IF($F739="","Judul kosong",""),IF(TRIM($G739)="","",IF(ISERROR(MATCH(TRIM($G739),{"TuneCore","DistroKid","TooLost","SoundOn","Ditto","Believe","CD Baby","Amuse","Symphonic Distribution","ONErpm","RouteNote","LANDR","Horus Music","Indie"},0)),"Aggregator di luar daftar","")),IF(TRIM($H739)="","Genre kosong",IF((LEN(SUBSTITUTE(SUBSTITUTE(SUBSTITUTE(TRIM($H739),"/",","),";",",")," ",""))-LEN(SUBSTITUTE(SUBSTITUTE(SUBSTITUTE(SUBSTITUTE(TRIM($H739),"/",","),";",","),"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739),"/",","),";",",")," ","")&amp;",")))&lt;&gt;(LEN(SUBSTITUTE(SUBSTITUTE(SUBSTITUTE(TRIM($H739),"/",","),";",",")," ",""))-LEN(SUBSTITUTE(SUBSTITUTE(SUBSTITUTE(SUBSTITUTE(TRIM($H739),"/",","),";",",")," ",""),",",""))+1),"Genre di luar daftar",""))),IF($I739="","Nama Channel kosong",""),IF($J739="","Link Channel kosong",IF(ISERROR(SEARCH("youtu",$J739)),"Link Channel bukan youtube","")),IF($K739="","Link Video kosong",IF(ISERROR(SEARCH("youtu",$K739)),"Link Video bukan youtube","")),IF($L739="","Tgl Dibuat kosong",IF(NOT(ISNUMBER($L739)),"Tgl Dibuat bukan tanggal","")),IF(AND($M739&lt;&gt;"",NOT(ISNUMBER($M739))),"Tgl Publish bukan tanggal",""),IF(AND(ISNUMBER($L739),ISNUMBER($M739),$M739&lt;$L739),"Tgl Publish &lt; Tgl buat",""),IF(TRIM($N739)="","Status kosong",IF(ISERROR(MATCH(TRIM($N739),{"Draft","Menunggu Review","Revisi","Terjadwal","Upload","Publish","Published","Batal"},0)),"Status di luar daftar","")))),""))</f>
        <v/>
      </c>
      <c r="S739" s="12">
        <f>IF(AND($A739&lt;&gt;"",$C739&lt;&gt;""),IF(COUNTIFS($A$2:$A$1000,$A739,$C$2:$C$1000,$C739)&gt;1,"DUPLICAT",""),"")</f>
        <v/>
      </c>
    </row>
    <row r="740">
      <c r="A740" s="17" t="n"/>
      <c r="B740" s="17" t="n"/>
      <c r="C740" s="17" t="n"/>
      <c r="D740" s="18" t="n"/>
      <c r="E740" s="17" t="n"/>
      <c r="F740" s="19" t="n"/>
      <c r="G740" s="17" t="n"/>
      <c r="H740" s="17" t="n"/>
      <c r="I740" s="17" t="n"/>
      <c r="J740" s="19" t="n"/>
      <c r="K740" s="19" t="n"/>
      <c r="L740" s="20" t="n"/>
      <c r="M740" s="20" t="n"/>
      <c r="N740" s="17" t="n"/>
      <c r="O740" s="17" t="n"/>
      <c r="P740" s="21">
        <f>IF(AND(ISNUMBER($L740),ISNUMBER($M740)),MAX(0,$M740-$L740),"")</f>
        <v/>
      </c>
      <c r="Q740" s="21">
        <f>IF(ISNUMBER($D740),MAX(0,TODAY()-$D740),"")</f>
        <v/>
      </c>
      <c r="R740" s="19">
        <f>IF(COUNTA($A740:$O740)=0,"",IFERROR(TRIM(TEXTJOIN(" | ",TRUE,IF($A740="","PC kosong",""),IF($C740="","Worker ID kosong",""),IF($D740="","Update Date kosong",IF(NOT(ISNUMBER($D740)),"Update Date bukan tanggal","")),IF($E740="","Song ID YT kosong",""),IF($F740="","Judul kosong",""),IF(TRIM($G740)="","",IF(ISERROR(MATCH(TRIM($G740),{"TuneCore","DistroKid","TooLost","SoundOn","Ditto","Believe","CD Baby","Amuse","Symphonic Distribution","ONErpm","RouteNote","LANDR","Horus Music","Indie"},0)),"Aggregator di luar daftar","")),IF(TRIM($H740)="","Genre kosong",IF((LEN(SUBSTITUTE(SUBSTITUTE(SUBSTITUTE(TRIM($H740),"/",","),";",",")," ",""))-LEN(SUBSTITUTE(SUBSTITUTE(SUBSTITUTE(SUBSTITUTE(TRIM($H740),"/",","),";",","),"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740),"/",","),";",",")," ","")&amp;",")))&lt;&gt;(LEN(SUBSTITUTE(SUBSTITUTE(SUBSTITUTE(TRIM($H740),"/",","),";",",")," ",""))-LEN(SUBSTITUTE(SUBSTITUTE(SUBSTITUTE(SUBSTITUTE(TRIM($H740),"/",","),";",",")," ",""),",",""))+1),"Genre di luar daftar",""))),IF($I740="","Nama Channel kosong",""),IF($J740="","Link Channel kosong",IF(ISERROR(SEARCH("youtu",$J740)),"Link Channel bukan youtube","")),IF($K740="","Link Video kosong",IF(ISERROR(SEARCH("youtu",$K740)),"Link Video bukan youtube","")),IF($L740="","Tgl Dibuat kosong",IF(NOT(ISNUMBER($L740)),"Tgl Dibuat bukan tanggal","")),IF(AND($M740&lt;&gt;"",NOT(ISNUMBER($M740))),"Tgl Publish bukan tanggal",""),IF(AND(ISNUMBER($L740),ISNUMBER($M740),$M740&lt;$L740),"Tgl Publish &lt; Tgl buat",""),IF(TRIM($N740)="","Status kosong",IF(ISERROR(MATCH(TRIM($N740),{"Draft","Menunggu Review","Revisi","Terjadwal","Upload","Publish","Published","Batal"},0)),"Status di luar daftar","")))),""))</f>
        <v/>
      </c>
      <c r="S740" s="17">
        <f>IF(AND($A740&lt;&gt;"",$C740&lt;&gt;""),IF(COUNTIFS($A$2:$A$1000,$A740,$C$2:$C$1000,$C740)&gt;1,"DUPLICAT",""),"")</f>
        <v/>
      </c>
    </row>
    <row r="741">
      <c r="A741" s="12" t="n"/>
      <c r="B741" s="12" t="n"/>
      <c r="C741" s="12" t="n"/>
      <c r="D741" s="13" t="n"/>
      <c r="E741" s="12" t="n"/>
      <c r="F741" s="14" t="n"/>
      <c r="G741" s="12" t="n"/>
      <c r="H741" s="12" t="n"/>
      <c r="I741" s="12" t="n"/>
      <c r="J741" s="14" t="n"/>
      <c r="K741" s="14" t="n"/>
      <c r="L741" s="15" t="n"/>
      <c r="M741" s="15" t="n"/>
      <c r="N741" s="12" t="n"/>
      <c r="O741" s="12" t="n"/>
      <c r="P741" s="16">
        <f>IF(AND(ISNUMBER($L741),ISNUMBER($M741)),MAX(0,$M741-$L741),"")</f>
        <v/>
      </c>
      <c r="Q741" s="16">
        <f>IF(ISNUMBER($D741),MAX(0,TODAY()-$D741),"")</f>
        <v/>
      </c>
      <c r="R741" s="14">
        <f>IF(COUNTA($A741:$O741)=0,"",IFERROR(TRIM(TEXTJOIN(" | ",TRUE,IF($A741="","PC kosong",""),IF($C741="","Worker ID kosong",""),IF($D741="","Update Date kosong",IF(NOT(ISNUMBER($D741)),"Update Date bukan tanggal","")),IF($E741="","Song ID YT kosong",""),IF($F741="","Judul kosong",""),IF(TRIM($G741)="","",IF(ISERROR(MATCH(TRIM($G741),{"TuneCore","DistroKid","TooLost","SoundOn","Ditto","Believe","CD Baby","Amuse","Symphonic Distribution","ONErpm","RouteNote","LANDR","Horus Music","Indie"},0)),"Aggregator di luar daftar","")),IF(TRIM($H741)="","Genre kosong",IF((LEN(SUBSTITUTE(SUBSTITUTE(SUBSTITUTE(TRIM($H741),"/",","),";",",")," ",""))-LEN(SUBSTITUTE(SUBSTITUTE(SUBSTITUTE(SUBSTITUTE(TRIM($H741),"/",","),";",","),"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741),"/",","),";",",")," ","")&amp;",")))&lt;&gt;(LEN(SUBSTITUTE(SUBSTITUTE(SUBSTITUTE(TRIM($H741),"/",","),";",",")," ",""))-LEN(SUBSTITUTE(SUBSTITUTE(SUBSTITUTE(SUBSTITUTE(TRIM($H741),"/",","),";",",")," ",""),",",""))+1),"Genre di luar daftar",""))),IF($I741="","Nama Channel kosong",""),IF($J741="","Link Channel kosong",IF(ISERROR(SEARCH("youtu",$J741)),"Link Channel bukan youtube","")),IF($K741="","Link Video kosong",IF(ISERROR(SEARCH("youtu",$K741)),"Link Video bukan youtube","")),IF($L741="","Tgl Dibuat kosong",IF(NOT(ISNUMBER($L741)),"Tgl Dibuat bukan tanggal","")),IF(AND($M741&lt;&gt;"",NOT(ISNUMBER($M741))),"Tgl Publish bukan tanggal",""),IF(AND(ISNUMBER($L741),ISNUMBER($M741),$M741&lt;$L741),"Tgl Publish &lt; Tgl buat",""),IF(TRIM($N741)="","Status kosong",IF(ISERROR(MATCH(TRIM($N741),{"Draft","Menunggu Review","Revisi","Terjadwal","Upload","Publish","Published","Batal"},0)),"Status di luar daftar","")))),""))</f>
        <v/>
      </c>
      <c r="S741" s="12">
        <f>IF(AND($A741&lt;&gt;"",$C741&lt;&gt;""),IF(COUNTIFS($A$2:$A$1000,$A741,$C$2:$C$1000,$C741)&gt;1,"DUPLICAT",""),"")</f>
        <v/>
      </c>
    </row>
    <row r="742">
      <c r="A742" s="17" t="n"/>
      <c r="B742" s="17" t="n"/>
      <c r="C742" s="17" t="n"/>
      <c r="D742" s="18" t="n"/>
      <c r="E742" s="17" t="n"/>
      <c r="F742" s="19" t="n"/>
      <c r="G742" s="17" t="n"/>
      <c r="H742" s="17" t="n"/>
      <c r="I742" s="17" t="n"/>
      <c r="J742" s="19" t="n"/>
      <c r="K742" s="19" t="n"/>
      <c r="L742" s="20" t="n"/>
      <c r="M742" s="20" t="n"/>
      <c r="N742" s="17" t="n"/>
      <c r="O742" s="17" t="n"/>
      <c r="P742" s="21">
        <f>IF(AND(ISNUMBER($L742),ISNUMBER($M742)),MAX(0,$M742-$L742),"")</f>
        <v/>
      </c>
      <c r="Q742" s="21">
        <f>IF(ISNUMBER($D742),MAX(0,TODAY()-$D742),"")</f>
        <v/>
      </c>
      <c r="R742" s="19">
        <f>IF(COUNTA($A742:$O742)=0,"",IFERROR(TRIM(TEXTJOIN(" | ",TRUE,IF($A742="","PC kosong",""),IF($C742="","Worker ID kosong",""),IF($D742="","Update Date kosong",IF(NOT(ISNUMBER($D742)),"Update Date bukan tanggal","")),IF($E742="","Song ID YT kosong",""),IF($F742="","Judul kosong",""),IF(TRIM($G742)="","",IF(ISERROR(MATCH(TRIM($G742),{"TuneCore","DistroKid","TooLost","SoundOn","Ditto","Believe","CD Baby","Amuse","Symphonic Distribution","ONErpm","RouteNote","LANDR","Horus Music","Indie"},0)),"Aggregator di luar daftar","")),IF(TRIM($H742)="","Genre kosong",IF((LEN(SUBSTITUTE(SUBSTITUTE(SUBSTITUTE(TRIM($H742),"/",","),";",",")," ",""))-LEN(SUBSTITUTE(SUBSTITUTE(SUBSTITUTE(SUBSTITUTE(TRIM($H742),"/",","),";",","),"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742),"/",","),";",",")," ","")&amp;",")))&lt;&gt;(LEN(SUBSTITUTE(SUBSTITUTE(SUBSTITUTE(TRIM($H742),"/",","),";",",")," ",""))-LEN(SUBSTITUTE(SUBSTITUTE(SUBSTITUTE(SUBSTITUTE(TRIM($H742),"/",","),";",",")," ",""),",",""))+1),"Genre di luar daftar",""))),IF($I742="","Nama Channel kosong",""),IF($J742="","Link Channel kosong",IF(ISERROR(SEARCH("youtu",$J742)),"Link Channel bukan youtube","")),IF($K742="","Link Video kosong",IF(ISERROR(SEARCH("youtu",$K742)),"Link Video bukan youtube","")),IF($L742="","Tgl Dibuat kosong",IF(NOT(ISNUMBER($L742)),"Tgl Dibuat bukan tanggal","")),IF(AND($M742&lt;&gt;"",NOT(ISNUMBER($M742))),"Tgl Publish bukan tanggal",""),IF(AND(ISNUMBER($L742),ISNUMBER($M742),$M742&lt;$L742),"Tgl Publish &lt; Tgl buat",""),IF(TRIM($N742)="","Status kosong",IF(ISERROR(MATCH(TRIM($N742),{"Draft","Menunggu Review","Revisi","Terjadwal","Upload","Publish","Published","Batal"},0)),"Status di luar daftar","")))),""))</f>
        <v/>
      </c>
      <c r="S742" s="17">
        <f>IF(AND($A742&lt;&gt;"",$C742&lt;&gt;""),IF(COUNTIFS($A$2:$A$1000,$A742,$C$2:$C$1000,$C742)&gt;1,"DUPLICAT",""),"")</f>
        <v/>
      </c>
    </row>
    <row r="743">
      <c r="A743" s="12" t="n"/>
      <c r="B743" s="12" t="n"/>
      <c r="C743" s="12" t="n"/>
      <c r="D743" s="13" t="n"/>
      <c r="E743" s="12" t="n"/>
      <c r="F743" s="14" t="n"/>
      <c r="G743" s="12" t="n"/>
      <c r="H743" s="12" t="n"/>
      <c r="I743" s="12" t="n"/>
      <c r="J743" s="14" t="n"/>
      <c r="K743" s="14" t="n"/>
      <c r="L743" s="15" t="n"/>
      <c r="M743" s="15" t="n"/>
      <c r="N743" s="12" t="n"/>
      <c r="O743" s="12" t="n"/>
      <c r="P743" s="16">
        <f>IF(AND(ISNUMBER($L743),ISNUMBER($M743)),MAX(0,$M743-$L743),"")</f>
        <v/>
      </c>
      <c r="Q743" s="16">
        <f>IF(ISNUMBER($D743),MAX(0,TODAY()-$D743),"")</f>
        <v/>
      </c>
      <c r="R743" s="14">
        <f>IF(COUNTA($A743:$O743)=0,"",IFERROR(TRIM(TEXTJOIN(" | ",TRUE,IF($A743="","PC kosong",""),IF($C743="","Worker ID kosong",""),IF($D743="","Update Date kosong",IF(NOT(ISNUMBER($D743)),"Update Date bukan tanggal","")),IF($E743="","Song ID YT kosong",""),IF($F743="","Judul kosong",""),IF(TRIM($G743)="","",IF(ISERROR(MATCH(TRIM($G743),{"TuneCore","DistroKid","TooLost","SoundOn","Ditto","Believe","CD Baby","Amuse","Symphonic Distribution","ONErpm","RouteNote","LANDR","Horus Music","Indie"},0)),"Aggregator di luar daftar","")),IF(TRIM($H743)="","Genre kosong",IF((LEN(SUBSTITUTE(SUBSTITUTE(SUBSTITUTE(TRIM($H743),"/",","),";",",")," ",""))-LEN(SUBSTITUTE(SUBSTITUTE(SUBSTITUTE(SUBSTITUTE(TRIM($H743),"/",","),";",","),"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743),"/",","),";",",")," ","")&amp;",")))&lt;&gt;(LEN(SUBSTITUTE(SUBSTITUTE(SUBSTITUTE(TRIM($H743),"/",","),";",",")," ",""))-LEN(SUBSTITUTE(SUBSTITUTE(SUBSTITUTE(SUBSTITUTE(TRIM($H743),"/",","),";",",")," ",""),",",""))+1),"Genre di luar daftar",""))),IF($I743="","Nama Channel kosong",""),IF($J743="","Link Channel kosong",IF(ISERROR(SEARCH("youtu",$J743)),"Link Channel bukan youtube","")),IF($K743="","Link Video kosong",IF(ISERROR(SEARCH("youtu",$K743)),"Link Video bukan youtube","")),IF($L743="","Tgl Dibuat kosong",IF(NOT(ISNUMBER($L743)),"Tgl Dibuat bukan tanggal","")),IF(AND($M743&lt;&gt;"",NOT(ISNUMBER($M743))),"Tgl Publish bukan tanggal",""),IF(AND(ISNUMBER($L743),ISNUMBER($M743),$M743&lt;$L743),"Tgl Publish &lt; Tgl buat",""),IF(TRIM($N743)="","Status kosong",IF(ISERROR(MATCH(TRIM($N743),{"Draft","Menunggu Review","Revisi","Terjadwal","Upload","Publish","Published","Batal"},0)),"Status di luar daftar","")))),""))</f>
        <v/>
      </c>
      <c r="S743" s="12">
        <f>IF(AND($A743&lt;&gt;"",$C743&lt;&gt;""),IF(COUNTIFS($A$2:$A$1000,$A743,$C$2:$C$1000,$C743)&gt;1,"DUPLICAT",""),"")</f>
        <v/>
      </c>
    </row>
    <row r="744">
      <c r="A744" s="17" t="n"/>
      <c r="B744" s="17" t="n"/>
      <c r="C744" s="17" t="n"/>
      <c r="D744" s="18" t="n"/>
      <c r="E744" s="17" t="n"/>
      <c r="F744" s="19" t="n"/>
      <c r="G744" s="17" t="n"/>
      <c r="H744" s="17" t="n"/>
      <c r="I744" s="17" t="n"/>
      <c r="J744" s="19" t="n"/>
      <c r="K744" s="19" t="n"/>
      <c r="L744" s="20" t="n"/>
      <c r="M744" s="20" t="n"/>
      <c r="N744" s="17" t="n"/>
      <c r="O744" s="17" t="n"/>
      <c r="P744" s="21">
        <f>IF(AND(ISNUMBER($L744),ISNUMBER($M744)),MAX(0,$M744-$L744),"")</f>
        <v/>
      </c>
      <c r="Q744" s="21">
        <f>IF(ISNUMBER($D744),MAX(0,TODAY()-$D744),"")</f>
        <v/>
      </c>
      <c r="R744" s="19">
        <f>IF(COUNTA($A744:$O744)=0,"",IFERROR(TRIM(TEXTJOIN(" | ",TRUE,IF($A744="","PC kosong",""),IF($C744="","Worker ID kosong",""),IF($D744="","Update Date kosong",IF(NOT(ISNUMBER($D744)),"Update Date bukan tanggal","")),IF($E744="","Song ID YT kosong",""),IF($F744="","Judul kosong",""),IF(TRIM($G744)="","",IF(ISERROR(MATCH(TRIM($G744),{"TuneCore","DistroKid","TooLost","SoundOn","Ditto","Believe","CD Baby","Amuse","Symphonic Distribution","ONErpm","RouteNote","LANDR","Horus Music","Indie"},0)),"Aggregator di luar daftar","")),IF(TRIM($H744)="","Genre kosong",IF((LEN(SUBSTITUTE(SUBSTITUTE(SUBSTITUTE(TRIM($H744),"/",","),";",",")," ",""))-LEN(SUBSTITUTE(SUBSTITUTE(SUBSTITUTE(SUBSTITUTE(TRIM($H744),"/",","),";",","),"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744),"/",","),";",",")," ","")&amp;",")))&lt;&gt;(LEN(SUBSTITUTE(SUBSTITUTE(SUBSTITUTE(TRIM($H744),"/",","),";",",")," ",""))-LEN(SUBSTITUTE(SUBSTITUTE(SUBSTITUTE(SUBSTITUTE(TRIM($H744),"/",","),";",",")," ",""),",",""))+1),"Genre di luar daftar",""))),IF($I744="","Nama Channel kosong",""),IF($J744="","Link Channel kosong",IF(ISERROR(SEARCH("youtu",$J744)),"Link Channel bukan youtube","")),IF($K744="","Link Video kosong",IF(ISERROR(SEARCH("youtu",$K744)),"Link Video bukan youtube","")),IF($L744="","Tgl Dibuat kosong",IF(NOT(ISNUMBER($L744)),"Tgl Dibuat bukan tanggal","")),IF(AND($M744&lt;&gt;"",NOT(ISNUMBER($M744))),"Tgl Publish bukan tanggal",""),IF(AND(ISNUMBER($L744),ISNUMBER($M744),$M744&lt;$L744),"Tgl Publish &lt; Tgl buat",""),IF(TRIM($N744)="","Status kosong",IF(ISERROR(MATCH(TRIM($N744),{"Draft","Menunggu Review","Revisi","Terjadwal","Upload","Publish","Published","Batal"},0)),"Status di luar daftar","")))),""))</f>
        <v/>
      </c>
      <c r="S744" s="17">
        <f>IF(AND($A744&lt;&gt;"",$C744&lt;&gt;""),IF(COUNTIFS($A$2:$A$1000,$A744,$C$2:$C$1000,$C744)&gt;1,"DUPLICAT",""),"")</f>
        <v/>
      </c>
    </row>
    <row r="745">
      <c r="A745" s="12" t="n"/>
      <c r="B745" s="12" t="n"/>
      <c r="C745" s="12" t="n"/>
      <c r="D745" s="13" t="n"/>
      <c r="E745" s="12" t="n"/>
      <c r="F745" s="14" t="n"/>
      <c r="G745" s="12" t="n"/>
      <c r="H745" s="12" t="n"/>
      <c r="I745" s="12" t="n"/>
      <c r="J745" s="14" t="n"/>
      <c r="K745" s="14" t="n"/>
      <c r="L745" s="15" t="n"/>
      <c r="M745" s="15" t="n"/>
      <c r="N745" s="12" t="n"/>
      <c r="O745" s="12" t="n"/>
      <c r="P745" s="16">
        <f>IF(AND(ISNUMBER($L745),ISNUMBER($M745)),MAX(0,$M745-$L745),"")</f>
        <v/>
      </c>
      <c r="Q745" s="16">
        <f>IF(ISNUMBER($D745),MAX(0,TODAY()-$D745),"")</f>
        <v/>
      </c>
      <c r="R745" s="14">
        <f>IF(COUNTA($A745:$O745)=0,"",IFERROR(TRIM(TEXTJOIN(" | ",TRUE,IF($A745="","PC kosong",""),IF($C745="","Worker ID kosong",""),IF($D745="","Update Date kosong",IF(NOT(ISNUMBER($D745)),"Update Date bukan tanggal","")),IF($E745="","Song ID YT kosong",""),IF($F745="","Judul kosong",""),IF(TRIM($G745)="","",IF(ISERROR(MATCH(TRIM($G745),{"TuneCore","DistroKid","TooLost","SoundOn","Ditto","Believe","CD Baby","Amuse","Symphonic Distribution","ONErpm","RouteNote","LANDR","Horus Music","Indie"},0)),"Aggregator di luar daftar","")),IF(TRIM($H745)="","Genre kosong",IF((LEN(SUBSTITUTE(SUBSTITUTE(SUBSTITUTE(TRIM($H745),"/",","),";",",")," ",""))-LEN(SUBSTITUTE(SUBSTITUTE(SUBSTITUTE(SUBSTITUTE(TRIM($H745),"/",","),";",","),"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745),"/",","),";",",")," ","")&amp;",")))&lt;&gt;(LEN(SUBSTITUTE(SUBSTITUTE(SUBSTITUTE(TRIM($H745),"/",","),";",",")," ",""))-LEN(SUBSTITUTE(SUBSTITUTE(SUBSTITUTE(SUBSTITUTE(TRIM($H745),"/",","),";",",")," ",""),",",""))+1),"Genre di luar daftar",""))),IF($I745="","Nama Channel kosong",""),IF($J745="","Link Channel kosong",IF(ISERROR(SEARCH("youtu",$J745)),"Link Channel bukan youtube","")),IF($K745="","Link Video kosong",IF(ISERROR(SEARCH("youtu",$K745)),"Link Video bukan youtube","")),IF($L745="","Tgl Dibuat kosong",IF(NOT(ISNUMBER($L745)),"Tgl Dibuat bukan tanggal","")),IF(AND($M745&lt;&gt;"",NOT(ISNUMBER($M745))),"Tgl Publish bukan tanggal",""),IF(AND(ISNUMBER($L745),ISNUMBER($M745),$M745&lt;$L745),"Tgl Publish &lt; Tgl buat",""),IF(TRIM($N745)="","Status kosong",IF(ISERROR(MATCH(TRIM($N745),{"Draft","Menunggu Review","Revisi","Terjadwal","Upload","Publish","Published","Batal"},0)),"Status di luar daftar","")))),""))</f>
        <v/>
      </c>
      <c r="S745" s="12">
        <f>IF(AND($A745&lt;&gt;"",$C745&lt;&gt;""),IF(COUNTIFS($A$2:$A$1000,$A745,$C$2:$C$1000,$C745)&gt;1,"DUPLICAT",""),"")</f>
        <v/>
      </c>
    </row>
    <row r="746">
      <c r="A746" s="17" t="n"/>
      <c r="B746" s="17" t="n"/>
      <c r="C746" s="17" t="n"/>
      <c r="D746" s="18" t="n"/>
      <c r="E746" s="17" t="n"/>
      <c r="F746" s="19" t="n"/>
      <c r="G746" s="17" t="n"/>
      <c r="H746" s="17" t="n"/>
      <c r="I746" s="17" t="n"/>
      <c r="J746" s="19" t="n"/>
      <c r="K746" s="19" t="n"/>
      <c r="L746" s="20" t="n"/>
      <c r="M746" s="20" t="n"/>
      <c r="N746" s="17" t="n"/>
      <c r="O746" s="17" t="n"/>
      <c r="P746" s="21">
        <f>IF(AND(ISNUMBER($L746),ISNUMBER($M746)),MAX(0,$M746-$L746),"")</f>
        <v/>
      </c>
      <c r="Q746" s="21">
        <f>IF(ISNUMBER($D746),MAX(0,TODAY()-$D746),"")</f>
        <v/>
      </c>
      <c r="R746" s="19">
        <f>IF(COUNTA($A746:$O746)=0,"",IFERROR(TRIM(TEXTJOIN(" | ",TRUE,IF($A746="","PC kosong",""),IF($C746="","Worker ID kosong",""),IF($D746="","Update Date kosong",IF(NOT(ISNUMBER($D746)),"Update Date bukan tanggal","")),IF($E746="","Song ID YT kosong",""),IF($F746="","Judul kosong",""),IF(TRIM($G746)="","",IF(ISERROR(MATCH(TRIM($G746),{"TuneCore","DistroKid","TooLost","SoundOn","Ditto","Believe","CD Baby","Amuse","Symphonic Distribution","ONErpm","RouteNote","LANDR","Horus Music","Indie"},0)),"Aggregator di luar daftar","")),IF(TRIM($H746)="","Genre kosong",IF((LEN(SUBSTITUTE(SUBSTITUTE(SUBSTITUTE(TRIM($H746),"/",","),";",",")," ",""))-LEN(SUBSTITUTE(SUBSTITUTE(SUBSTITUTE(SUBSTITUTE(TRIM($H746),"/",","),";",","),"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746),"/",","),";",",")," ","")&amp;",")))&lt;&gt;(LEN(SUBSTITUTE(SUBSTITUTE(SUBSTITUTE(TRIM($H746),"/",","),";",",")," ",""))-LEN(SUBSTITUTE(SUBSTITUTE(SUBSTITUTE(SUBSTITUTE(TRIM($H746),"/",","),";",",")," ",""),",",""))+1),"Genre di luar daftar",""))),IF($I746="","Nama Channel kosong",""),IF($J746="","Link Channel kosong",IF(ISERROR(SEARCH("youtu",$J746)),"Link Channel bukan youtube","")),IF($K746="","Link Video kosong",IF(ISERROR(SEARCH("youtu",$K746)),"Link Video bukan youtube","")),IF($L746="","Tgl Dibuat kosong",IF(NOT(ISNUMBER($L746)),"Tgl Dibuat bukan tanggal","")),IF(AND($M746&lt;&gt;"",NOT(ISNUMBER($M746))),"Tgl Publish bukan tanggal",""),IF(AND(ISNUMBER($L746),ISNUMBER($M746),$M746&lt;$L746),"Tgl Publish &lt; Tgl buat",""),IF(TRIM($N746)="","Status kosong",IF(ISERROR(MATCH(TRIM($N746),{"Draft","Menunggu Review","Revisi","Terjadwal","Upload","Publish","Published","Batal"},0)),"Status di luar daftar","")))),""))</f>
        <v/>
      </c>
      <c r="S746" s="17">
        <f>IF(AND($A746&lt;&gt;"",$C746&lt;&gt;""),IF(COUNTIFS($A$2:$A$1000,$A746,$C$2:$C$1000,$C746)&gt;1,"DUPLICAT",""),"")</f>
        <v/>
      </c>
    </row>
    <row r="747">
      <c r="A747" s="12" t="n"/>
      <c r="B747" s="12" t="n"/>
      <c r="C747" s="12" t="n"/>
      <c r="D747" s="13" t="n"/>
      <c r="E747" s="12" t="n"/>
      <c r="F747" s="14" t="n"/>
      <c r="G747" s="12" t="n"/>
      <c r="H747" s="12" t="n"/>
      <c r="I747" s="12" t="n"/>
      <c r="J747" s="14" t="n"/>
      <c r="K747" s="14" t="n"/>
      <c r="L747" s="15" t="n"/>
      <c r="M747" s="15" t="n"/>
      <c r="N747" s="12" t="n"/>
      <c r="O747" s="12" t="n"/>
      <c r="P747" s="16">
        <f>IF(AND(ISNUMBER($L747),ISNUMBER($M747)),MAX(0,$M747-$L747),"")</f>
        <v/>
      </c>
      <c r="Q747" s="16">
        <f>IF(ISNUMBER($D747),MAX(0,TODAY()-$D747),"")</f>
        <v/>
      </c>
      <c r="R747" s="14">
        <f>IF(COUNTA($A747:$O747)=0,"",IFERROR(TRIM(TEXTJOIN(" | ",TRUE,IF($A747="","PC kosong",""),IF($C747="","Worker ID kosong",""),IF($D747="","Update Date kosong",IF(NOT(ISNUMBER($D747)),"Update Date bukan tanggal","")),IF($E747="","Song ID YT kosong",""),IF($F747="","Judul kosong",""),IF(TRIM($G747)="","",IF(ISERROR(MATCH(TRIM($G747),{"TuneCore","DistroKid","TooLost","SoundOn","Ditto","Believe","CD Baby","Amuse","Symphonic Distribution","ONErpm","RouteNote","LANDR","Horus Music","Indie"},0)),"Aggregator di luar daftar","")),IF(TRIM($H747)="","Genre kosong",IF((LEN(SUBSTITUTE(SUBSTITUTE(SUBSTITUTE(TRIM($H747),"/",","),";",",")," ",""))-LEN(SUBSTITUTE(SUBSTITUTE(SUBSTITUTE(SUBSTITUTE(TRIM($H747),"/",","),";",","),"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747),"/",","),";",",")," ","")&amp;",")))&lt;&gt;(LEN(SUBSTITUTE(SUBSTITUTE(SUBSTITUTE(TRIM($H747),"/",","),";",",")," ",""))-LEN(SUBSTITUTE(SUBSTITUTE(SUBSTITUTE(SUBSTITUTE(TRIM($H747),"/",","),";",",")," ",""),",",""))+1),"Genre di luar daftar",""))),IF($I747="","Nama Channel kosong",""),IF($J747="","Link Channel kosong",IF(ISERROR(SEARCH("youtu",$J747)),"Link Channel bukan youtube","")),IF($K747="","Link Video kosong",IF(ISERROR(SEARCH("youtu",$K747)),"Link Video bukan youtube","")),IF($L747="","Tgl Dibuat kosong",IF(NOT(ISNUMBER($L747)),"Tgl Dibuat bukan tanggal","")),IF(AND($M747&lt;&gt;"",NOT(ISNUMBER($M747))),"Tgl Publish bukan tanggal",""),IF(AND(ISNUMBER($L747),ISNUMBER($M747),$M747&lt;$L747),"Tgl Publish &lt; Tgl buat",""),IF(TRIM($N747)="","Status kosong",IF(ISERROR(MATCH(TRIM($N747),{"Draft","Menunggu Review","Revisi","Terjadwal","Upload","Publish","Published","Batal"},0)),"Status di luar daftar","")))),""))</f>
        <v/>
      </c>
      <c r="S747" s="12">
        <f>IF(AND($A747&lt;&gt;"",$C747&lt;&gt;""),IF(COUNTIFS($A$2:$A$1000,$A747,$C$2:$C$1000,$C747)&gt;1,"DUPLICAT",""),"")</f>
        <v/>
      </c>
    </row>
    <row r="748">
      <c r="A748" s="17" t="n"/>
      <c r="B748" s="17" t="n"/>
      <c r="C748" s="17" t="n"/>
      <c r="D748" s="18" t="n"/>
      <c r="E748" s="17" t="n"/>
      <c r="F748" s="19" t="n"/>
      <c r="G748" s="17" t="n"/>
      <c r="H748" s="17" t="n"/>
      <c r="I748" s="17" t="n"/>
      <c r="J748" s="19" t="n"/>
      <c r="K748" s="19" t="n"/>
      <c r="L748" s="20" t="n"/>
      <c r="M748" s="20" t="n"/>
      <c r="N748" s="17" t="n"/>
      <c r="O748" s="17" t="n"/>
      <c r="P748" s="21">
        <f>IF(AND(ISNUMBER($L748),ISNUMBER($M748)),MAX(0,$M748-$L748),"")</f>
        <v/>
      </c>
      <c r="Q748" s="21">
        <f>IF(ISNUMBER($D748),MAX(0,TODAY()-$D748),"")</f>
        <v/>
      </c>
      <c r="R748" s="19">
        <f>IF(COUNTA($A748:$O748)=0,"",IFERROR(TRIM(TEXTJOIN(" | ",TRUE,IF($A748="","PC kosong",""),IF($C748="","Worker ID kosong",""),IF($D748="","Update Date kosong",IF(NOT(ISNUMBER($D748)),"Update Date bukan tanggal","")),IF($E748="","Song ID YT kosong",""),IF($F748="","Judul kosong",""),IF(TRIM($G748)="","",IF(ISERROR(MATCH(TRIM($G748),{"TuneCore","DistroKid","TooLost","SoundOn","Ditto","Believe","CD Baby","Amuse","Symphonic Distribution","ONErpm","RouteNote","LANDR","Horus Music","Indie"},0)),"Aggregator di luar daftar","")),IF(TRIM($H748)="","Genre kosong",IF((LEN(SUBSTITUTE(SUBSTITUTE(SUBSTITUTE(TRIM($H748),"/",","),";",",")," ",""))-LEN(SUBSTITUTE(SUBSTITUTE(SUBSTITUTE(SUBSTITUTE(TRIM($H748),"/",","),";",","),"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748),"/",","),";",",")," ","")&amp;",")))&lt;&gt;(LEN(SUBSTITUTE(SUBSTITUTE(SUBSTITUTE(TRIM($H748),"/",","),";",",")," ",""))-LEN(SUBSTITUTE(SUBSTITUTE(SUBSTITUTE(SUBSTITUTE(TRIM($H748),"/",","),";",",")," ",""),",",""))+1),"Genre di luar daftar",""))),IF($I748="","Nama Channel kosong",""),IF($J748="","Link Channel kosong",IF(ISERROR(SEARCH("youtu",$J748)),"Link Channel bukan youtube","")),IF($K748="","Link Video kosong",IF(ISERROR(SEARCH("youtu",$K748)),"Link Video bukan youtube","")),IF($L748="","Tgl Dibuat kosong",IF(NOT(ISNUMBER($L748)),"Tgl Dibuat bukan tanggal","")),IF(AND($M748&lt;&gt;"",NOT(ISNUMBER($M748))),"Tgl Publish bukan tanggal",""),IF(AND(ISNUMBER($L748),ISNUMBER($M748),$M748&lt;$L748),"Tgl Publish &lt; Tgl buat",""),IF(TRIM($N748)="","Status kosong",IF(ISERROR(MATCH(TRIM($N748),{"Draft","Menunggu Review","Revisi","Terjadwal","Upload","Publish","Published","Batal"},0)),"Status di luar daftar","")))),""))</f>
        <v/>
      </c>
      <c r="S748" s="17">
        <f>IF(AND($A748&lt;&gt;"",$C748&lt;&gt;""),IF(COUNTIFS($A$2:$A$1000,$A748,$C$2:$C$1000,$C748)&gt;1,"DUPLICAT",""),"")</f>
        <v/>
      </c>
    </row>
    <row r="749">
      <c r="A749" s="12" t="n"/>
      <c r="B749" s="12" t="n"/>
      <c r="C749" s="12" t="n"/>
      <c r="D749" s="13" t="n"/>
      <c r="E749" s="12" t="n"/>
      <c r="F749" s="14" t="n"/>
      <c r="G749" s="12" t="n"/>
      <c r="H749" s="12" t="n"/>
      <c r="I749" s="12" t="n"/>
      <c r="J749" s="14" t="n"/>
      <c r="K749" s="14" t="n"/>
      <c r="L749" s="15" t="n"/>
      <c r="M749" s="15" t="n"/>
      <c r="N749" s="12" t="n"/>
      <c r="O749" s="12" t="n"/>
      <c r="P749" s="16">
        <f>IF(AND(ISNUMBER($L749),ISNUMBER($M749)),MAX(0,$M749-$L749),"")</f>
        <v/>
      </c>
      <c r="Q749" s="16">
        <f>IF(ISNUMBER($D749),MAX(0,TODAY()-$D749),"")</f>
        <v/>
      </c>
      <c r="R749" s="14">
        <f>IF(COUNTA($A749:$O749)=0,"",IFERROR(TRIM(TEXTJOIN(" | ",TRUE,IF($A749="","PC kosong",""),IF($C749="","Worker ID kosong",""),IF($D749="","Update Date kosong",IF(NOT(ISNUMBER($D749)),"Update Date bukan tanggal","")),IF($E749="","Song ID YT kosong",""),IF($F749="","Judul kosong",""),IF(TRIM($G749)="","",IF(ISERROR(MATCH(TRIM($G749),{"TuneCore","DistroKid","TooLost","SoundOn","Ditto","Believe","CD Baby","Amuse","Symphonic Distribution","ONErpm","RouteNote","LANDR","Horus Music","Indie"},0)),"Aggregator di luar daftar","")),IF(TRIM($H749)="","Genre kosong",IF((LEN(SUBSTITUTE(SUBSTITUTE(SUBSTITUTE(TRIM($H749),"/",","),";",",")," ",""))-LEN(SUBSTITUTE(SUBSTITUTE(SUBSTITUTE(SUBSTITUTE(TRIM($H749),"/",","),";",","),"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749),"/",","),";",",")," ","")&amp;",")))&lt;&gt;(LEN(SUBSTITUTE(SUBSTITUTE(SUBSTITUTE(TRIM($H749),"/",","),";",",")," ",""))-LEN(SUBSTITUTE(SUBSTITUTE(SUBSTITUTE(SUBSTITUTE(TRIM($H749),"/",","),";",",")," ",""),",",""))+1),"Genre di luar daftar",""))),IF($I749="","Nama Channel kosong",""),IF($J749="","Link Channel kosong",IF(ISERROR(SEARCH("youtu",$J749)),"Link Channel bukan youtube","")),IF($K749="","Link Video kosong",IF(ISERROR(SEARCH("youtu",$K749)),"Link Video bukan youtube","")),IF($L749="","Tgl Dibuat kosong",IF(NOT(ISNUMBER($L749)),"Tgl Dibuat bukan tanggal","")),IF(AND($M749&lt;&gt;"",NOT(ISNUMBER($M749))),"Tgl Publish bukan tanggal",""),IF(AND(ISNUMBER($L749),ISNUMBER($M749),$M749&lt;$L749),"Tgl Publish &lt; Tgl buat",""),IF(TRIM($N749)="","Status kosong",IF(ISERROR(MATCH(TRIM($N749),{"Draft","Menunggu Review","Revisi","Terjadwal","Upload","Publish","Published","Batal"},0)),"Status di luar daftar","")))),""))</f>
        <v/>
      </c>
      <c r="S749" s="12">
        <f>IF(AND($A749&lt;&gt;"",$C749&lt;&gt;""),IF(COUNTIFS($A$2:$A$1000,$A749,$C$2:$C$1000,$C749)&gt;1,"DUPLICAT",""),"")</f>
        <v/>
      </c>
    </row>
    <row r="750">
      <c r="A750" s="17" t="n"/>
      <c r="B750" s="17" t="n"/>
      <c r="C750" s="17" t="n"/>
      <c r="D750" s="18" t="n"/>
      <c r="E750" s="17" t="n"/>
      <c r="F750" s="19" t="n"/>
      <c r="G750" s="17" t="n"/>
      <c r="H750" s="17" t="n"/>
      <c r="I750" s="17" t="n"/>
      <c r="J750" s="19" t="n"/>
      <c r="K750" s="19" t="n"/>
      <c r="L750" s="20" t="n"/>
      <c r="M750" s="20" t="n"/>
      <c r="N750" s="17" t="n"/>
      <c r="O750" s="17" t="n"/>
      <c r="P750" s="21">
        <f>IF(AND(ISNUMBER($L750),ISNUMBER($M750)),MAX(0,$M750-$L750),"")</f>
        <v/>
      </c>
      <c r="Q750" s="21">
        <f>IF(ISNUMBER($D750),MAX(0,TODAY()-$D750),"")</f>
        <v/>
      </c>
      <c r="R750" s="19">
        <f>IF(COUNTA($A750:$O750)=0,"",IFERROR(TRIM(TEXTJOIN(" | ",TRUE,IF($A750="","PC kosong",""),IF($C750="","Worker ID kosong",""),IF($D750="","Update Date kosong",IF(NOT(ISNUMBER($D750)),"Update Date bukan tanggal","")),IF($E750="","Song ID YT kosong",""),IF($F750="","Judul kosong",""),IF(TRIM($G750)="","",IF(ISERROR(MATCH(TRIM($G750),{"TuneCore","DistroKid","TooLost","SoundOn","Ditto","Believe","CD Baby","Amuse","Symphonic Distribution","ONErpm","RouteNote","LANDR","Horus Music","Indie"},0)),"Aggregator di luar daftar","")),IF(TRIM($H750)="","Genre kosong",IF((LEN(SUBSTITUTE(SUBSTITUTE(SUBSTITUTE(TRIM($H750),"/",","),";",",")," ",""))-LEN(SUBSTITUTE(SUBSTITUTE(SUBSTITUTE(SUBSTITUTE(TRIM($H750),"/",","),";",","),"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750),"/",","),";",",")," ","")&amp;",")))&lt;&gt;(LEN(SUBSTITUTE(SUBSTITUTE(SUBSTITUTE(TRIM($H750),"/",","),";",",")," ",""))-LEN(SUBSTITUTE(SUBSTITUTE(SUBSTITUTE(SUBSTITUTE(TRIM($H750),"/",","),";",",")," ",""),",",""))+1),"Genre di luar daftar",""))),IF($I750="","Nama Channel kosong",""),IF($J750="","Link Channel kosong",IF(ISERROR(SEARCH("youtu",$J750)),"Link Channel bukan youtube","")),IF($K750="","Link Video kosong",IF(ISERROR(SEARCH("youtu",$K750)),"Link Video bukan youtube","")),IF($L750="","Tgl Dibuat kosong",IF(NOT(ISNUMBER($L750)),"Tgl Dibuat bukan tanggal","")),IF(AND($M750&lt;&gt;"",NOT(ISNUMBER($M750))),"Tgl Publish bukan tanggal",""),IF(AND(ISNUMBER($L750),ISNUMBER($M750),$M750&lt;$L750),"Tgl Publish &lt; Tgl buat",""),IF(TRIM($N750)="","Status kosong",IF(ISERROR(MATCH(TRIM($N750),{"Draft","Menunggu Review","Revisi","Terjadwal","Upload","Publish","Published","Batal"},0)),"Status di luar daftar","")))),""))</f>
        <v/>
      </c>
      <c r="S750" s="17">
        <f>IF(AND($A750&lt;&gt;"",$C750&lt;&gt;""),IF(COUNTIFS($A$2:$A$1000,$A750,$C$2:$C$1000,$C750)&gt;1,"DUPLICAT",""),"")</f>
        <v/>
      </c>
    </row>
    <row r="751">
      <c r="A751" s="12" t="n"/>
      <c r="B751" s="12" t="n"/>
      <c r="C751" s="12" t="n"/>
      <c r="D751" s="13" t="n"/>
      <c r="E751" s="12" t="n"/>
      <c r="F751" s="14" t="n"/>
      <c r="G751" s="12" t="n"/>
      <c r="H751" s="12" t="n"/>
      <c r="I751" s="12" t="n"/>
      <c r="J751" s="14" t="n"/>
      <c r="K751" s="14" t="n"/>
      <c r="L751" s="15" t="n"/>
      <c r="M751" s="15" t="n"/>
      <c r="N751" s="12" t="n"/>
      <c r="O751" s="12" t="n"/>
      <c r="P751" s="16">
        <f>IF(AND(ISNUMBER($L751),ISNUMBER($M751)),MAX(0,$M751-$L751),"")</f>
        <v/>
      </c>
      <c r="Q751" s="16">
        <f>IF(ISNUMBER($D751),MAX(0,TODAY()-$D751),"")</f>
        <v/>
      </c>
      <c r="R751" s="14">
        <f>IF(COUNTA($A751:$O751)=0,"",IFERROR(TRIM(TEXTJOIN(" | ",TRUE,IF($A751="","PC kosong",""),IF($C751="","Worker ID kosong",""),IF($D751="","Update Date kosong",IF(NOT(ISNUMBER($D751)),"Update Date bukan tanggal","")),IF($E751="","Song ID YT kosong",""),IF($F751="","Judul kosong",""),IF(TRIM($G751)="","",IF(ISERROR(MATCH(TRIM($G751),{"TuneCore","DistroKid","TooLost","SoundOn","Ditto","Believe","CD Baby","Amuse","Symphonic Distribution","ONErpm","RouteNote","LANDR","Horus Music","Indie"},0)),"Aggregator di luar daftar","")),IF(TRIM($H751)="","Genre kosong",IF((LEN(SUBSTITUTE(SUBSTITUTE(SUBSTITUTE(TRIM($H751),"/",","),";",",")," ",""))-LEN(SUBSTITUTE(SUBSTITUTE(SUBSTITUTE(SUBSTITUTE(TRIM($H751),"/",","),";",","),"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751),"/",","),";",",")," ","")&amp;",")))&lt;&gt;(LEN(SUBSTITUTE(SUBSTITUTE(SUBSTITUTE(TRIM($H751),"/",","),";",",")," ",""))-LEN(SUBSTITUTE(SUBSTITUTE(SUBSTITUTE(SUBSTITUTE(TRIM($H751),"/",","),";",",")," ",""),",",""))+1),"Genre di luar daftar",""))),IF($I751="","Nama Channel kosong",""),IF($J751="","Link Channel kosong",IF(ISERROR(SEARCH("youtu",$J751)),"Link Channel bukan youtube","")),IF($K751="","Link Video kosong",IF(ISERROR(SEARCH("youtu",$K751)),"Link Video bukan youtube","")),IF($L751="","Tgl Dibuat kosong",IF(NOT(ISNUMBER($L751)),"Tgl Dibuat bukan tanggal","")),IF(AND($M751&lt;&gt;"",NOT(ISNUMBER($M751))),"Tgl Publish bukan tanggal",""),IF(AND(ISNUMBER($L751),ISNUMBER($M751),$M751&lt;$L751),"Tgl Publish &lt; Tgl buat",""),IF(TRIM($N751)="","Status kosong",IF(ISERROR(MATCH(TRIM($N751),{"Draft","Menunggu Review","Revisi","Terjadwal","Upload","Publish","Published","Batal"},0)),"Status di luar daftar","")))),""))</f>
        <v/>
      </c>
      <c r="S751" s="12">
        <f>IF(AND($A751&lt;&gt;"",$C751&lt;&gt;""),IF(COUNTIFS($A$2:$A$1000,$A751,$C$2:$C$1000,$C751)&gt;1,"DUPLICAT",""),"")</f>
        <v/>
      </c>
    </row>
    <row r="752">
      <c r="A752" s="17" t="n"/>
      <c r="B752" s="17" t="n"/>
      <c r="C752" s="17" t="n"/>
      <c r="D752" s="18" t="n"/>
      <c r="E752" s="17" t="n"/>
      <c r="F752" s="19" t="n"/>
      <c r="G752" s="17" t="n"/>
      <c r="H752" s="17" t="n"/>
      <c r="I752" s="17" t="n"/>
      <c r="J752" s="19" t="n"/>
      <c r="K752" s="19" t="n"/>
      <c r="L752" s="20" t="n"/>
      <c r="M752" s="20" t="n"/>
      <c r="N752" s="17" t="n"/>
      <c r="O752" s="17" t="n"/>
      <c r="P752" s="21">
        <f>IF(AND(ISNUMBER($L752),ISNUMBER($M752)),MAX(0,$M752-$L752),"")</f>
        <v/>
      </c>
      <c r="Q752" s="21">
        <f>IF(ISNUMBER($D752),MAX(0,TODAY()-$D752),"")</f>
        <v/>
      </c>
      <c r="R752" s="19">
        <f>IF(COUNTA($A752:$O752)=0,"",IFERROR(TRIM(TEXTJOIN(" | ",TRUE,IF($A752="","PC kosong",""),IF($C752="","Worker ID kosong",""),IF($D752="","Update Date kosong",IF(NOT(ISNUMBER($D752)),"Update Date bukan tanggal","")),IF($E752="","Song ID YT kosong",""),IF($F752="","Judul kosong",""),IF(TRIM($G752)="","",IF(ISERROR(MATCH(TRIM($G752),{"TuneCore","DistroKid","TooLost","SoundOn","Ditto","Believe","CD Baby","Amuse","Symphonic Distribution","ONErpm","RouteNote","LANDR","Horus Music","Indie"},0)),"Aggregator di luar daftar","")),IF(TRIM($H752)="","Genre kosong",IF((LEN(SUBSTITUTE(SUBSTITUTE(SUBSTITUTE(TRIM($H752),"/",","),";",",")," ",""))-LEN(SUBSTITUTE(SUBSTITUTE(SUBSTITUTE(SUBSTITUTE(TRIM($H752),"/",","),";",","),"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752),"/",","),";",",")," ","")&amp;",")))&lt;&gt;(LEN(SUBSTITUTE(SUBSTITUTE(SUBSTITUTE(TRIM($H752),"/",","),";",",")," ",""))-LEN(SUBSTITUTE(SUBSTITUTE(SUBSTITUTE(SUBSTITUTE(TRIM($H752),"/",","),";",",")," ",""),",",""))+1),"Genre di luar daftar",""))),IF($I752="","Nama Channel kosong",""),IF($J752="","Link Channel kosong",IF(ISERROR(SEARCH("youtu",$J752)),"Link Channel bukan youtube","")),IF($K752="","Link Video kosong",IF(ISERROR(SEARCH("youtu",$K752)),"Link Video bukan youtube","")),IF($L752="","Tgl Dibuat kosong",IF(NOT(ISNUMBER($L752)),"Tgl Dibuat bukan tanggal","")),IF(AND($M752&lt;&gt;"",NOT(ISNUMBER($M752))),"Tgl Publish bukan tanggal",""),IF(AND(ISNUMBER($L752),ISNUMBER($M752),$M752&lt;$L752),"Tgl Publish &lt; Tgl buat",""),IF(TRIM($N752)="","Status kosong",IF(ISERROR(MATCH(TRIM($N752),{"Draft","Menunggu Review","Revisi","Terjadwal","Upload","Publish","Published","Batal"},0)),"Status di luar daftar","")))),""))</f>
        <v/>
      </c>
      <c r="S752" s="17">
        <f>IF(AND($A752&lt;&gt;"",$C752&lt;&gt;""),IF(COUNTIFS($A$2:$A$1000,$A752,$C$2:$C$1000,$C752)&gt;1,"DUPLICAT",""),"")</f>
        <v/>
      </c>
    </row>
    <row r="753">
      <c r="A753" s="12" t="n"/>
      <c r="B753" s="12" t="n"/>
      <c r="C753" s="12" t="n"/>
      <c r="D753" s="13" t="n"/>
      <c r="E753" s="12" t="n"/>
      <c r="F753" s="14" t="n"/>
      <c r="G753" s="12" t="n"/>
      <c r="H753" s="12" t="n"/>
      <c r="I753" s="12" t="n"/>
      <c r="J753" s="14" t="n"/>
      <c r="K753" s="14" t="n"/>
      <c r="L753" s="15" t="n"/>
      <c r="M753" s="15" t="n"/>
      <c r="N753" s="12" t="n"/>
      <c r="O753" s="12" t="n"/>
      <c r="P753" s="16">
        <f>IF(AND(ISNUMBER($L753),ISNUMBER($M753)),MAX(0,$M753-$L753),"")</f>
        <v/>
      </c>
      <c r="Q753" s="16">
        <f>IF(ISNUMBER($D753),MAX(0,TODAY()-$D753),"")</f>
        <v/>
      </c>
      <c r="R753" s="14">
        <f>IF(COUNTA($A753:$O753)=0,"",IFERROR(TRIM(TEXTJOIN(" | ",TRUE,IF($A753="","PC kosong",""),IF($C753="","Worker ID kosong",""),IF($D753="","Update Date kosong",IF(NOT(ISNUMBER($D753)),"Update Date bukan tanggal","")),IF($E753="","Song ID YT kosong",""),IF($F753="","Judul kosong",""),IF(TRIM($G753)="","",IF(ISERROR(MATCH(TRIM($G753),{"TuneCore","DistroKid","TooLost","SoundOn","Ditto","Believe","CD Baby","Amuse","Symphonic Distribution","ONErpm","RouteNote","LANDR","Horus Music","Indie"},0)),"Aggregator di luar daftar","")),IF(TRIM($H753)="","Genre kosong",IF((LEN(SUBSTITUTE(SUBSTITUTE(SUBSTITUTE(TRIM($H753),"/",","),";",",")," ",""))-LEN(SUBSTITUTE(SUBSTITUTE(SUBSTITUTE(SUBSTITUTE(TRIM($H753),"/",","),";",","),"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753),"/",","),";",",")," ","")&amp;",")))&lt;&gt;(LEN(SUBSTITUTE(SUBSTITUTE(SUBSTITUTE(TRIM($H753),"/",","),";",",")," ",""))-LEN(SUBSTITUTE(SUBSTITUTE(SUBSTITUTE(SUBSTITUTE(TRIM($H753),"/",","),";",",")," ",""),",",""))+1),"Genre di luar daftar",""))),IF($I753="","Nama Channel kosong",""),IF($J753="","Link Channel kosong",IF(ISERROR(SEARCH("youtu",$J753)),"Link Channel bukan youtube","")),IF($K753="","Link Video kosong",IF(ISERROR(SEARCH("youtu",$K753)),"Link Video bukan youtube","")),IF($L753="","Tgl Dibuat kosong",IF(NOT(ISNUMBER($L753)),"Tgl Dibuat bukan tanggal","")),IF(AND($M753&lt;&gt;"",NOT(ISNUMBER($M753))),"Tgl Publish bukan tanggal",""),IF(AND(ISNUMBER($L753),ISNUMBER($M753),$M753&lt;$L753),"Tgl Publish &lt; Tgl buat",""),IF(TRIM($N753)="","Status kosong",IF(ISERROR(MATCH(TRIM($N753),{"Draft","Menunggu Review","Revisi","Terjadwal","Upload","Publish","Published","Batal"},0)),"Status di luar daftar","")))),""))</f>
        <v/>
      </c>
      <c r="S753" s="12">
        <f>IF(AND($A753&lt;&gt;"",$C753&lt;&gt;""),IF(COUNTIFS($A$2:$A$1000,$A753,$C$2:$C$1000,$C753)&gt;1,"DUPLICAT",""),"")</f>
        <v/>
      </c>
    </row>
    <row r="754">
      <c r="A754" s="17" t="n"/>
      <c r="B754" s="17" t="n"/>
      <c r="C754" s="17" t="n"/>
      <c r="D754" s="18" t="n"/>
      <c r="E754" s="17" t="n"/>
      <c r="F754" s="19" t="n"/>
      <c r="G754" s="17" t="n"/>
      <c r="H754" s="17" t="n"/>
      <c r="I754" s="17" t="n"/>
      <c r="J754" s="19" t="n"/>
      <c r="K754" s="19" t="n"/>
      <c r="L754" s="20" t="n"/>
      <c r="M754" s="20" t="n"/>
      <c r="N754" s="17" t="n"/>
      <c r="O754" s="17" t="n"/>
      <c r="P754" s="21">
        <f>IF(AND(ISNUMBER($L754),ISNUMBER($M754)),MAX(0,$M754-$L754),"")</f>
        <v/>
      </c>
      <c r="Q754" s="21">
        <f>IF(ISNUMBER($D754),MAX(0,TODAY()-$D754),"")</f>
        <v/>
      </c>
      <c r="R754" s="19">
        <f>IF(COUNTA($A754:$O754)=0,"",IFERROR(TRIM(TEXTJOIN(" | ",TRUE,IF($A754="","PC kosong",""),IF($C754="","Worker ID kosong",""),IF($D754="","Update Date kosong",IF(NOT(ISNUMBER($D754)),"Update Date bukan tanggal","")),IF($E754="","Song ID YT kosong",""),IF($F754="","Judul kosong",""),IF(TRIM($G754)="","",IF(ISERROR(MATCH(TRIM($G754),{"TuneCore","DistroKid","TooLost","SoundOn","Ditto","Believe","CD Baby","Amuse","Symphonic Distribution","ONErpm","RouteNote","LANDR","Horus Music","Indie"},0)),"Aggregator di luar daftar","")),IF(TRIM($H754)="","Genre kosong",IF((LEN(SUBSTITUTE(SUBSTITUTE(SUBSTITUTE(TRIM($H754),"/",","),";",",")," ",""))-LEN(SUBSTITUTE(SUBSTITUTE(SUBSTITUTE(SUBSTITUTE(TRIM($H754),"/",","),";",","),"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754),"/",","),";",",")," ","")&amp;",")))&lt;&gt;(LEN(SUBSTITUTE(SUBSTITUTE(SUBSTITUTE(TRIM($H754),"/",","),";",",")," ",""))-LEN(SUBSTITUTE(SUBSTITUTE(SUBSTITUTE(SUBSTITUTE(TRIM($H754),"/",","),";",",")," ",""),",",""))+1),"Genre di luar daftar",""))),IF($I754="","Nama Channel kosong",""),IF($J754="","Link Channel kosong",IF(ISERROR(SEARCH("youtu",$J754)),"Link Channel bukan youtube","")),IF($K754="","Link Video kosong",IF(ISERROR(SEARCH("youtu",$K754)),"Link Video bukan youtube","")),IF($L754="","Tgl Dibuat kosong",IF(NOT(ISNUMBER($L754)),"Tgl Dibuat bukan tanggal","")),IF(AND($M754&lt;&gt;"",NOT(ISNUMBER($M754))),"Tgl Publish bukan tanggal",""),IF(AND(ISNUMBER($L754),ISNUMBER($M754),$M754&lt;$L754),"Tgl Publish &lt; Tgl buat",""),IF(TRIM($N754)="","Status kosong",IF(ISERROR(MATCH(TRIM($N754),{"Draft","Menunggu Review","Revisi","Terjadwal","Upload","Publish","Published","Batal"},0)),"Status di luar daftar","")))),""))</f>
        <v/>
      </c>
      <c r="S754" s="17">
        <f>IF(AND($A754&lt;&gt;"",$C754&lt;&gt;""),IF(COUNTIFS($A$2:$A$1000,$A754,$C$2:$C$1000,$C754)&gt;1,"DUPLICAT",""),"")</f>
        <v/>
      </c>
    </row>
    <row r="755">
      <c r="A755" s="12" t="n"/>
      <c r="B755" s="12" t="n"/>
      <c r="C755" s="12" t="n"/>
      <c r="D755" s="13" t="n"/>
      <c r="E755" s="12" t="n"/>
      <c r="F755" s="14" t="n"/>
      <c r="G755" s="12" t="n"/>
      <c r="H755" s="12" t="n"/>
      <c r="I755" s="12" t="n"/>
      <c r="J755" s="14" t="n"/>
      <c r="K755" s="14" t="n"/>
      <c r="L755" s="15" t="n"/>
      <c r="M755" s="15" t="n"/>
      <c r="N755" s="12" t="n"/>
      <c r="O755" s="12" t="n"/>
      <c r="P755" s="16">
        <f>IF(AND(ISNUMBER($L755),ISNUMBER($M755)),MAX(0,$M755-$L755),"")</f>
        <v/>
      </c>
      <c r="Q755" s="16">
        <f>IF(ISNUMBER($D755),MAX(0,TODAY()-$D755),"")</f>
        <v/>
      </c>
      <c r="R755" s="14">
        <f>IF(COUNTA($A755:$O755)=0,"",IFERROR(TRIM(TEXTJOIN(" | ",TRUE,IF($A755="","PC kosong",""),IF($C755="","Worker ID kosong",""),IF($D755="","Update Date kosong",IF(NOT(ISNUMBER($D755)),"Update Date bukan tanggal","")),IF($E755="","Song ID YT kosong",""),IF($F755="","Judul kosong",""),IF(TRIM($G755)="","",IF(ISERROR(MATCH(TRIM($G755),{"TuneCore","DistroKid","TooLost","SoundOn","Ditto","Believe","CD Baby","Amuse","Symphonic Distribution","ONErpm","RouteNote","LANDR","Horus Music","Indie"},0)),"Aggregator di luar daftar","")),IF(TRIM($H755)="","Genre kosong",IF((LEN(SUBSTITUTE(SUBSTITUTE(SUBSTITUTE(TRIM($H755),"/",","),";",",")," ",""))-LEN(SUBSTITUTE(SUBSTITUTE(SUBSTITUTE(SUBSTITUTE(TRIM($H755),"/",","),";",","),"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755),"/",","),";",",")," ","")&amp;",")))&lt;&gt;(LEN(SUBSTITUTE(SUBSTITUTE(SUBSTITUTE(TRIM($H755),"/",","),";",",")," ",""))-LEN(SUBSTITUTE(SUBSTITUTE(SUBSTITUTE(SUBSTITUTE(TRIM($H755),"/",","),";",",")," ",""),",",""))+1),"Genre di luar daftar",""))),IF($I755="","Nama Channel kosong",""),IF($J755="","Link Channel kosong",IF(ISERROR(SEARCH("youtu",$J755)),"Link Channel bukan youtube","")),IF($K755="","Link Video kosong",IF(ISERROR(SEARCH("youtu",$K755)),"Link Video bukan youtube","")),IF($L755="","Tgl Dibuat kosong",IF(NOT(ISNUMBER($L755)),"Tgl Dibuat bukan tanggal","")),IF(AND($M755&lt;&gt;"",NOT(ISNUMBER($M755))),"Tgl Publish bukan tanggal",""),IF(AND(ISNUMBER($L755),ISNUMBER($M755),$M755&lt;$L755),"Tgl Publish &lt; Tgl buat",""),IF(TRIM($N755)="","Status kosong",IF(ISERROR(MATCH(TRIM($N755),{"Draft","Menunggu Review","Revisi","Terjadwal","Upload","Publish","Published","Batal"},0)),"Status di luar daftar","")))),""))</f>
        <v/>
      </c>
      <c r="S755" s="12">
        <f>IF(AND($A755&lt;&gt;"",$C755&lt;&gt;""),IF(COUNTIFS($A$2:$A$1000,$A755,$C$2:$C$1000,$C755)&gt;1,"DUPLICAT",""),"")</f>
        <v/>
      </c>
    </row>
    <row r="756">
      <c r="A756" s="17" t="n"/>
      <c r="B756" s="17" t="n"/>
      <c r="C756" s="17" t="n"/>
      <c r="D756" s="18" t="n"/>
      <c r="E756" s="17" t="n"/>
      <c r="F756" s="19" t="n"/>
      <c r="G756" s="17" t="n"/>
      <c r="H756" s="17" t="n"/>
      <c r="I756" s="17" t="n"/>
      <c r="J756" s="19" t="n"/>
      <c r="K756" s="19" t="n"/>
      <c r="L756" s="20" t="n"/>
      <c r="M756" s="20" t="n"/>
      <c r="N756" s="17" t="n"/>
      <c r="O756" s="17" t="n"/>
      <c r="P756" s="21">
        <f>IF(AND(ISNUMBER($L756),ISNUMBER($M756)),MAX(0,$M756-$L756),"")</f>
        <v/>
      </c>
      <c r="Q756" s="21">
        <f>IF(ISNUMBER($D756),MAX(0,TODAY()-$D756),"")</f>
        <v/>
      </c>
      <c r="R756" s="19">
        <f>IF(COUNTA($A756:$O756)=0,"",IFERROR(TRIM(TEXTJOIN(" | ",TRUE,IF($A756="","PC kosong",""),IF($C756="","Worker ID kosong",""),IF($D756="","Update Date kosong",IF(NOT(ISNUMBER($D756)),"Update Date bukan tanggal","")),IF($E756="","Song ID YT kosong",""),IF($F756="","Judul kosong",""),IF(TRIM($G756)="","",IF(ISERROR(MATCH(TRIM($G756),{"TuneCore","DistroKid","TooLost","SoundOn","Ditto","Believe","CD Baby","Amuse","Symphonic Distribution","ONErpm","RouteNote","LANDR","Horus Music","Indie"},0)),"Aggregator di luar daftar","")),IF(TRIM($H756)="","Genre kosong",IF((LEN(SUBSTITUTE(SUBSTITUTE(SUBSTITUTE(TRIM($H756),"/",","),";",",")," ",""))-LEN(SUBSTITUTE(SUBSTITUTE(SUBSTITUTE(SUBSTITUTE(TRIM($H756),"/",","),";",","),"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756),"/",","),";",",")," ","")&amp;",")))&lt;&gt;(LEN(SUBSTITUTE(SUBSTITUTE(SUBSTITUTE(TRIM($H756),"/",","),";",",")," ",""))-LEN(SUBSTITUTE(SUBSTITUTE(SUBSTITUTE(SUBSTITUTE(TRIM($H756),"/",","),";",",")," ",""),",",""))+1),"Genre di luar daftar",""))),IF($I756="","Nama Channel kosong",""),IF($J756="","Link Channel kosong",IF(ISERROR(SEARCH("youtu",$J756)),"Link Channel bukan youtube","")),IF($K756="","Link Video kosong",IF(ISERROR(SEARCH("youtu",$K756)),"Link Video bukan youtube","")),IF($L756="","Tgl Dibuat kosong",IF(NOT(ISNUMBER($L756)),"Tgl Dibuat bukan tanggal","")),IF(AND($M756&lt;&gt;"",NOT(ISNUMBER($M756))),"Tgl Publish bukan tanggal",""),IF(AND(ISNUMBER($L756),ISNUMBER($M756),$M756&lt;$L756),"Tgl Publish &lt; Tgl buat",""),IF(TRIM($N756)="","Status kosong",IF(ISERROR(MATCH(TRIM($N756),{"Draft","Menunggu Review","Revisi","Terjadwal","Upload","Publish","Published","Batal"},0)),"Status di luar daftar","")))),""))</f>
        <v/>
      </c>
      <c r="S756" s="17">
        <f>IF(AND($A756&lt;&gt;"",$C756&lt;&gt;""),IF(COUNTIFS($A$2:$A$1000,$A756,$C$2:$C$1000,$C756)&gt;1,"DUPLICAT",""),"")</f>
        <v/>
      </c>
    </row>
    <row r="757">
      <c r="A757" s="12" t="n"/>
      <c r="B757" s="12" t="n"/>
      <c r="C757" s="12" t="n"/>
      <c r="D757" s="13" t="n"/>
      <c r="E757" s="12" t="n"/>
      <c r="F757" s="14" t="n"/>
      <c r="G757" s="12" t="n"/>
      <c r="H757" s="12" t="n"/>
      <c r="I757" s="12" t="n"/>
      <c r="J757" s="14" t="n"/>
      <c r="K757" s="14" t="n"/>
      <c r="L757" s="15" t="n"/>
      <c r="M757" s="15" t="n"/>
      <c r="N757" s="12" t="n"/>
      <c r="O757" s="12" t="n"/>
      <c r="P757" s="16">
        <f>IF(AND(ISNUMBER($L757),ISNUMBER($M757)),MAX(0,$M757-$L757),"")</f>
        <v/>
      </c>
      <c r="Q757" s="16">
        <f>IF(ISNUMBER($D757),MAX(0,TODAY()-$D757),"")</f>
        <v/>
      </c>
      <c r="R757" s="14">
        <f>IF(COUNTA($A757:$O757)=0,"",IFERROR(TRIM(TEXTJOIN(" | ",TRUE,IF($A757="","PC kosong",""),IF($C757="","Worker ID kosong",""),IF($D757="","Update Date kosong",IF(NOT(ISNUMBER($D757)),"Update Date bukan tanggal","")),IF($E757="","Song ID YT kosong",""),IF($F757="","Judul kosong",""),IF(TRIM($G757)="","",IF(ISERROR(MATCH(TRIM($G757),{"TuneCore","DistroKid","TooLost","SoundOn","Ditto","Believe","CD Baby","Amuse","Symphonic Distribution","ONErpm","RouteNote","LANDR","Horus Music","Indie"},0)),"Aggregator di luar daftar","")),IF(TRIM($H757)="","Genre kosong",IF((LEN(SUBSTITUTE(SUBSTITUTE(SUBSTITUTE(TRIM($H757),"/",","),";",",")," ",""))-LEN(SUBSTITUTE(SUBSTITUTE(SUBSTITUTE(SUBSTITUTE(TRIM($H757),"/",","),";",","),"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757),"/",","),";",",")," ","")&amp;",")))&lt;&gt;(LEN(SUBSTITUTE(SUBSTITUTE(SUBSTITUTE(TRIM($H757),"/",","),";",",")," ",""))-LEN(SUBSTITUTE(SUBSTITUTE(SUBSTITUTE(SUBSTITUTE(TRIM($H757),"/",","),";",",")," ",""),",",""))+1),"Genre di luar daftar",""))),IF($I757="","Nama Channel kosong",""),IF($J757="","Link Channel kosong",IF(ISERROR(SEARCH("youtu",$J757)),"Link Channel bukan youtube","")),IF($K757="","Link Video kosong",IF(ISERROR(SEARCH("youtu",$K757)),"Link Video bukan youtube","")),IF($L757="","Tgl Dibuat kosong",IF(NOT(ISNUMBER($L757)),"Tgl Dibuat bukan tanggal","")),IF(AND($M757&lt;&gt;"",NOT(ISNUMBER($M757))),"Tgl Publish bukan tanggal",""),IF(AND(ISNUMBER($L757),ISNUMBER($M757),$M757&lt;$L757),"Tgl Publish &lt; Tgl buat",""),IF(TRIM($N757)="","Status kosong",IF(ISERROR(MATCH(TRIM($N757),{"Draft","Menunggu Review","Revisi","Terjadwal","Upload","Publish","Published","Batal"},0)),"Status di luar daftar","")))),""))</f>
        <v/>
      </c>
      <c r="S757" s="12">
        <f>IF(AND($A757&lt;&gt;"",$C757&lt;&gt;""),IF(COUNTIFS($A$2:$A$1000,$A757,$C$2:$C$1000,$C757)&gt;1,"DUPLICAT",""),"")</f>
        <v/>
      </c>
    </row>
    <row r="758">
      <c r="A758" s="17" t="n"/>
      <c r="B758" s="17" t="n"/>
      <c r="C758" s="17" t="n"/>
      <c r="D758" s="18" t="n"/>
      <c r="E758" s="17" t="n"/>
      <c r="F758" s="19" t="n"/>
      <c r="G758" s="17" t="n"/>
      <c r="H758" s="17" t="n"/>
      <c r="I758" s="17" t="n"/>
      <c r="J758" s="19" t="n"/>
      <c r="K758" s="19" t="n"/>
      <c r="L758" s="20" t="n"/>
      <c r="M758" s="20" t="n"/>
      <c r="N758" s="17" t="n"/>
      <c r="O758" s="17" t="n"/>
      <c r="P758" s="21">
        <f>IF(AND(ISNUMBER($L758),ISNUMBER($M758)),MAX(0,$M758-$L758),"")</f>
        <v/>
      </c>
      <c r="Q758" s="21">
        <f>IF(ISNUMBER($D758),MAX(0,TODAY()-$D758),"")</f>
        <v/>
      </c>
      <c r="R758" s="19">
        <f>IF(COUNTA($A758:$O758)=0,"",IFERROR(TRIM(TEXTJOIN(" | ",TRUE,IF($A758="","PC kosong",""),IF($C758="","Worker ID kosong",""),IF($D758="","Update Date kosong",IF(NOT(ISNUMBER($D758)),"Update Date bukan tanggal","")),IF($E758="","Song ID YT kosong",""),IF($F758="","Judul kosong",""),IF(TRIM($G758)="","",IF(ISERROR(MATCH(TRIM($G758),{"TuneCore","DistroKid","TooLost","SoundOn","Ditto","Believe","CD Baby","Amuse","Symphonic Distribution","ONErpm","RouteNote","LANDR","Horus Music","Indie"},0)),"Aggregator di luar daftar","")),IF(TRIM($H758)="","Genre kosong",IF((LEN(SUBSTITUTE(SUBSTITUTE(SUBSTITUTE(TRIM($H758),"/",","),";",",")," ",""))-LEN(SUBSTITUTE(SUBSTITUTE(SUBSTITUTE(SUBSTITUTE(TRIM($H758),"/",","),";",","),"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758),"/",","),";",",")," ","")&amp;",")))&lt;&gt;(LEN(SUBSTITUTE(SUBSTITUTE(SUBSTITUTE(TRIM($H758),"/",","),";",",")," ",""))-LEN(SUBSTITUTE(SUBSTITUTE(SUBSTITUTE(SUBSTITUTE(TRIM($H758),"/",","),";",",")," ",""),",",""))+1),"Genre di luar daftar",""))),IF($I758="","Nama Channel kosong",""),IF($J758="","Link Channel kosong",IF(ISERROR(SEARCH("youtu",$J758)),"Link Channel bukan youtube","")),IF($K758="","Link Video kosong",IF(ISERROR(SEARCH("youtu",$K758)),"Link Video bukan youtube","")),IF($L758="","Tgl Dibuat kosong",IF(NOT(ISNUMBER($L758)),"Tgl Dibuat bukan tanggal","")),IF(AND($M758&lt;&gt;"",NOT(ISNUMBER($M758))),"Tgl Publish bukan tanggal",""),IF(AND(ISNUMBER($L758),ISNUMBER($M758),$M758&lt;$L758),"Tgl Publish &lt; Tgl buat",""),IF(TRIM($N758)="","Status kosong",IF(ISERROR(MATCH(TRIM($N758),{"Draft","Menunggu Review","Revisi","Terjadwal","Upload","Publish","Published","Batal"},0)),"Status di luar daftar","")))),""))</f>
        <v/>
      </c>
      <c r="S758" s="17">
        <f>IF(AND($A758&lt;&gt;"",$C758&lt;&gt;""),IF(COUNTIFS($A$2:$A$1000,$A758,$C$2:$C$1000,$C758)&gt;1,"DUPLICAT",""),"")</f>
        <v/>
      </c>
    </row>
    <row r="759">
      <c r="A759" s="12" t="n"/>
      <c r="B759" s="12" t="n"/>
      <c r="C759" s="12" t="n"/>
      <c r="D759" s="13" t="n"/>
      <c r="E759" s="12" t="n"/>
      <c r="F759" s="14" t="n"/>
      <c r="G759" s="12" t="n"/>
      <c r="H759" s="12" t="n"/>
      <c r="I759" s="12" t="n"/>
      <c r="J759" s="14" t="n"/>
      <c r="K759" s="14" t="n"/>
      <c r="L759" s="15" t="n"/>
      <c r="M759" s="15" t="n"/>
      <c r="N759" s="12" t="n"/>
      <c r="O759" s="12" t="n"/>
      <c r="P759" s="16">
        <f>IF(AND(ISNUMBER($L759),ISNUMBER($M759)),MAX(0,$M759-$L759),"")</f>
        <v/>
      </c>
      <c r="Q759" s="16">
        <f>IF(ISNUMBER($D759),MAX(0,TODAY()-$D759),"")</f>
        <v/>
      </c>
      <c r="R759" s="14">
        <f>IF(COUNTA($A759:$O759)=0,"",IFERROR(TRIM(TEXTJOIN(" | ",TRUE,IF($A759="","PC kosong",""),IF($C759="","Worker ID kosong",""),IF($D759="","Update Date kosong",IF(NOT(ISNUMBER($D759)),"Update Date bukan tanggal","")),IF($E759="","Song ID YT kosong",""),IF($F759="","Judul kosong",""),IF(TRIM($G759)="","",IF(ISERROR(MATCH(TRIM($G759),{"TuneCore","DistroKid","TooLost","SoundOn","Ditto","Believe","CD Baby","Amuse","Symphonic Distribution","ONErpm","RouteNote","LANDR","Horus Music","Indie"},0)),"Aggregator di luar daftar","")),IF(TRIM($H759)="","Genre kosong",IF((LEN(SUBSTITUTE(SUBSTITUTE(SUBSTITUTE(TRIM($H759),"/",","),";",",")," ",""))-LEN(SUBSTITUTE(SUBSTITUTE(SUBSTITUTE(SUBSTITUTE(TRIM($H759),"/",","),";",","),"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759),"/",","),";",",")," ","")&amp;",")))&lt;&gt;(LEN(SUBSTITUTE(SUBSTITUTE(SUBSTITUTE(TRIM($H759),"/",","),";",",")," ",""))-LEN(SUBSTITUTE(SUBSTITUTE(SUBSTITUTE(SUBSTITUTE(TRIM($H759),"/",","),";",",")," ",""),",",""))+1),"Genre di luar daftar",""))),IF($I759="","Nama Channel kosong",""),IF($J759="","Link Channel kosong",IF(ISERROR(SEARCH("youtu",$J759)),"Link Channel bukan youtube","")),IF($K759="","Link Video kosong",IF(ISERROR(SEARCH("youtu",$K759)),"Link Video bukan youtube","")),IF($L759="","Tgl Dibuat kosong",IF(NOT(ISNUMBER($L759)),"Tgl Dibuat bukan tanggal","")),IF(AND($M759&lt;&gt;"",NOT(ISNUMBER($M759))),"Tgl Publish bukan tanggal",""),IF(AND(ISNUMBER($L759),ISNUMBER($M759),$M759&lt;$L759),"Tgl Publish &lt; Tgl buat",""),IF(TRIM($N759)="","Status kosong",IF(ISERROR(MATCH(TRIM($N759),{"Draft","Menunggu Review","Revisi","Terjadwal","Upload","Publish","Published","Batal"},0)),"Status di luar daftar","")))),""))</f>
        <v/>
      </c>
      <c r="S759" s="12">
        <f>IF(AND($A759&lt;&gt;"",$C759&lt;&gt;""),IF(COUNTIFS($A$2:$A$1000,$A759,$C$2:$C$1000,$C759)&gt;1,"DUPLICAT",""),"")</f>
        <v/>
      </c>
    </row>
    <row r="760">
      <c r="A760" s="17" t="n"/>
      <c r="B760" s="17" t="n"/>
      <c r="C760" s="17" t="n"/>
      <c r="D760" s="18" t="n"/>
      <c r="E760" s="17" t="n"/>
      <c r="F760" s="19" t="n"/>
      <c r="G760" s="17" t="n"/>
      <c r="H760" s="17" t="n"/>
      <c r="I760" s="17" t="n"/>
      <c r="J760" s="19" t="n"/>
      <c r="K760" s="19" t="n"/>
      <c r="L760" s="20" t="n"/>
      <c r="M760" s="20" t="n"/>
      <c r="N760" s="17" t="n"/>
      <c r="O760" s="17" t="n"/>
      <c r="P760" s="21">
        <f>IF(AND(ISNUMBER($L760),ISNUMBER($M760)),MAX(0,$M760-$L760),"")</f>
        <v/>
      </c>
      <c r="Q760" s="21">
        <f>IF(ISNUMBER($D760),MAX(0,TODAY()-$D760),"")</f>
        <v/>
      </c>
      <c r="R760" s="19">
        <f>IF(COUNTA($A760:$O760)=0,"",IFERROR(TRIM(TEXTJOIN(" | ",TRUE,IF($A760="","PC kosong",""),IF($C760="","Worker ID kosong",""),IF($D760="","Update Date kosong",IF(NOT(ISNUMBER($D760)),"Update Date bukan tanggal","")),IF($E760="","Song ID YT kosong",""),IF($F760="","Judul kosong",""),IF(TRIM($G760)="","",IF(ISERROR(MATCH(TRIM($G760),{"TuneCore","DistroKid","TooLost","SoundOn","Ditto","Believe","CD Baby","Amuse","Symphonic Distribution","ONErpm","RouteNote","LANDR","Horus Music","Indie"},0)),"Aggregator di luar daftar","")),IF(TRIM($H760)="","Genre kosong",IF((LEN(SUBSTITUTE(SUBSTITUTE(SUBSTITUTE(TRIM($H760),"/",","),";",",")," ",""))-LEN(SUBSTITUTE(SUBSTITUTE(SUBSTITUTE(SUBSTITUTE(TRIM($H760),"/",","),";",","),"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760),"/",","),";",",")," ","")&amp;",")))&lt;&gt;(LEN(SUBSTITUTE(SUBSTITUTE(SUBSTITUTE(TRIM($H760),"/",","),";",",")," ",""))-LEN(SUBSTITUTE(SUBSTITUTE(SUBSTITUTE(SUBSTITUTE(TRIM($H760),"/",","),";",",")," ",""),",",""))+1),"Genre di luar daftar",""))),IF($I760="","Nama Channel kosong",""),IF($J760="","Link Channel kosong",IF(ISERROR(SEARCH("youtu",$J760)),"Link Channel bukan youtube","")),IF($K760="","Link Video kosong",IF(ISERROR(SEARCH("youtu",$K760)),"Link Video bukan youtube","")),IF($L760="","Tgl Dibuat kosong",IF(NOT(ISNUMBER($L760)),"Tgl Dibuat bukan tanggal","")),IF(AND($M760&lt;&gt;"",NOT(ISNUMBER($M760))),"Tgl Publish bukan tanggal",""),IF(AND(ISNUMBER($L760),ISNUMBER($M760),$M760&lt;$L760),"Tgl Publish &lt; Tgl buat",""),IF(TRIM($N760)="","Status kosong",IF(ISERROR(MATCH(TRIM($N760),{"Draft","Menunggu Review","Revisi","Terjadwal","Upload","Publish","Published","Batal"},0)),"Status di luar daftar","")))),""))</f>
        <v/>
      </c>
      <c r="S760" s="17">
        <f>IF(AND($A760&lt;&gt;"",$C760&lt;&gt;""),IF(COUNTIFS($A$2:$A$1000,$A760,$C$2:$C$1000,$C760)&gt;1,"DUPLICAT",""),"")</f>
        <v/>
      </c>
    </row>
    <row r="761">
      <c r="A761" s="12" t="n"/>
      <c r="B761" s="12" t="n"/>
      <c r="C761" s="12" t="n"/>
      <c r="D761" s="13" t="n"/>
      <c r="E761" s="12" t="n"/>
      <c r="F761" s="14" t="n"/>
      <c r="G761" s="12" t="n"/>
      <c r="H761" s="12" t="n"/>
      <c r="I761" s="12" t="n"/>
      <c r="J761" s="14" t="n"/>
      <c r="K761" s="14" t="n"/>
      <c r="L761" s="15" t="n"/>
      <c r="M761" s="15" t="n"/>
      <c r="N761" s="12" t="n"/>
      <c r="O761" s="12" t="n"/>
      <c r="P761" s="16">
        <f>IF(AND(ISNUMBER($L761),ISNUMBER($M761)),MAX(0,$M761-$L761),"")</f>
        <v/>
      </c>
      <c r="Q761" s="16">
        <f>IF(ISNUMBER($D761),MAX(0,TODAY()-$D761),"")</f>
        <v/>
      </c>
      <c r="R761" s="14">
        <f>IF(COUNTA($A761:$O761)=0,"",IFERROR(TRIM(TEXTJOIN(" | ",TRUE,IF($A761="","PC kosong",""),IF($C761="","Worker ID kosong",""),IF($D761="","Update Date kosong",IF(NOT(ISNUMBER($D761)),"Update Date bukan tanggal","")),IF($E761="","Song ID YT kosong",""),IF($F761="","Judul kosong",""),IF(TRIM($G761)="","",IF(ISERROR(MATCH(TRIM($G761),{"TuneCore","DistroKid","TooLost","SoundOn","Ditto","Believe","CD Baby","Amuse","Symphonic Distribution","ONErpm","RouteNote","LANDR","Horus Music","Indie"},0)),"Aggregator di luar daftar","")),IF(TRIM($H761)="","Genre kosong",IF((LEN(SUBSTITUTE(SUBSTITUTE(SUBSTITUTE(TRIM($H761),"/",","),";",",")," ",""))-LEN(SUBSTITUTE(SUBSTITUTE(SUBSTITUTE(SUBSTITUTE(TRIM($H761),"/",","),";",","),"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761),"/",","),";",",")," ","")&amp;",")))&lt;&gt;(LEN(SUBSTITUTE(SUBSTITUTE(SUBSTITUTE(TRIM($H761),"/",","),";",",")," ",""))-LEN(SUBSTITUTE(SUBSTITUTE(SUBSTITUTE(SUBSTITUTE(TRIM($H761),"/",","),";",",")," ",""),",",""))+1),"Genre di luar daftar",""))),IF($I761="","Nama Channel kosong",""),IF($J761="","Link Channel kosong",IF(ISERROR(SEARCH("youtu",$J761)),"Link Channel bukan youtube","")),IF($K761="","Link Video kosong",IF(ISERROR(SEARCH("youtu",$K761)),"Link Video bukan youtube","")),IF($L761="","Tgl Dibuat kosong",IF(NOT(ISNUMBER($L761)),"Tgl Dibuat bukan tanggal","")),IF(AND($M761&lt;&gt;"",NOT(ISNUMBER($M761))),"Tgl Publish bukan tanggal",""),IF(AND(ISNUMBER($L761),ISNUMBER($M761),$M761&lt;$L761),"Tgl Publish &lt; Tgl buat",""),IF(TRIM($N761)="","Status kosong",IF(ISERROR(MATCH(TRIM($N761),{"Draft","Menunggu Review","Revisi","Terjadwal","Upload","Publish","Published","Batal"},0)),"Status di luar daftar","")))),""))</f>
        <v/>
      </c>
      <c r="S761" s="12">
        <f>IF(AND($A761&lt;&gt;"",$C761&lt;&gt;""),IF(COUNTIFS($A$2:$A$1000,$A761,$C$2:$C$1000,$C761)&gt;1,"DUPLICAT",""),"")</f>
        <v/>
      </c>
    </row>
    <row r="762">
      <c r="A762" s="17" t="n"/>
      <c r="B762" s="17" t="n"/>
      <c r="C762" s="17" t="n"/>
      <c r="D762" s="18" t="n"/>
      <c r="E762" s="17" t="n"/>
      <c r="F762" s="19" t="n"/>
      <c r="G762" s="17" t="n"/>
      <c r="H762" s="17" t="n"/>
      <c r="I762" s="17" t="n"/>
      <c r="J762" s="19" t="n"/>
      <c r="K762" s="19" t="n"/>
      <c r="L762" s="20" t="n"/>
      <c r="M762" s="20" t="n"/>
      <c r="N762" s="17" t="n"/>
      <c r="O762" s="17" t="n"/>
      <c r="P762" s="21">
        <f>IF(AND(ISNUMBER($L762),ISNUMBER($M762)),MAX(0,$M762-$L762),"")</f>
        <v/>
      </c>
      <c r="Q762" s="21">
        <f>IF(ISNUMBER($D762),MAX(0,TODAY()-$D762),"")</f>
        <v/>
      </c>
      <c r="R762" s="19">
        <f>IF(COUNTA($A762:$O762)=0,"",IFERROR(TRIM(TEXTJOIN(" | ",TRUE,IF($A762="","PC kosong",""),IF($C762="","Worker ID kosong",""),IF($D762="","Update Date kosong",IF(NOT(ISNUMBER($D762)),"Update Date bukan tanggal","")),IF($E762="","Song ID YT kosong",""),IF($F762="","Judul kosong",""),IF(TRIM($G762)="","",IF(ISERROR(MATCH(TRIM($G762),{"TuneCore","DistroKid","TooLost","SoundOn","Ditto","Believe","CD Baby","Amuse","Symphonic Distribution","ONErpm","RouteNote","LANDR","Horus Music","Indie"},0)),"Aggregator di luar daftar","")),IF(TRIM($H762)="","Genre kosong",IF((LEN(SUBSTITUTE(SUBSTITUTE(SUBSTITUTE(TRIM($H762),"/",","),";",",")," ",""))-LEN(SUBSTITUTE(SUBSTITUTE(SUBSTITUTE(SUBSTITUTE(TRIM($H762),"/",","),";",","),"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762),"/",","),";",",")," ","")&amp;",")))&lt;&gt;(LEN(SUBSTITUTE(SUBSTITUTE(SUBSTITUTE(TRIM($H762),"/",","),";",",")," ",""))-LEN(SUBSTITUTE(SUBSTITUTE(SUBSTITUTE(SUBSTITUTE(TRIM($H762),"/",","),";",",")," ",""),",",""))+1),"Genre di luar daftar",""))),IF($I762="","Nama Channel kosong",""),IF($J762="","Link Channel kosong",IF(ISERROR(SEARCH("youtu",$J762)),"Link Channel bukan youtube","")),IF($K762="","Link Video kosong",IF(ISERROR(SEARCH("youtu",$K762)),"Link Video bukan youtube","")),IF($L762="","Tgl Dibuat kosong",IF(NOT(ISNUMBER($L762)),"Tgl Dibuat bukan tanggal","")),IF(AND($M762&lt;&gt;"",NOT(ISNUMBER($M762))),"Tgl Publish bukan tanggal",""),IF(AND(ISNUMBER($L762),ISNUMBER($M762),$M762&lt;$L762),"Tgl Publish &lt; Tgl buat",""),IF(TRIM($N762)="","Status kosong",IF(ISERROR(MATCH(TRIM($N762),{"Draft","Menunggu Review","Revisi","Terjadwal","Upload","Publish","Published","Batal"},0)),"Status di luar daftar","")))),""))</f>
        <v/>
      </c>
      <c r="S762" s="17">
        <f>IF(AND($A762&lt;&gt;"",$C762&lt;&gt;""),IF(COUNTIFS($A$2:$A$1000,$A762,$C$2:$C$1000,$C762)&gt;1,"DUPLICAT",""),"")</f>
        <v/>
      </c>
    </row>
    <row r="763">
      <c r="A763" s="12" t="n"/>
      <c r="B763" s="12" t="n"/>
      <c r="C763" s="12" t="n"/>
      <c r="D763" s="13" t="n"/>
      <c r="E763" s="12" t="n"/>
      <c r="F763" s="14" t="n"/>
      <c r="G763" s="12" t="n"/>
      <c r="H763" s="12" t="n"/>
      <c r="I763" s="12" t="n"/>
      <c r="J763" s="14" t="n"/>
      <c r="K763" s="14" t="n"/>
      <c r="L763" s="15" t="n"/>
      <c r="M763" s="15" t="n"/>
      <c r="N763" s="12" t="n"/>
      <c r="O763" s="12" t="n"/>
      <c r="P763" s="16">
        <f>IF(AND(ISNUMBER($L763),ISNUMBER($M763)),MAX(0,$M763-$L763),"")</f>
        <v/>
      </c>
      <c r="Q763" s="16">
        <f>IF(ISNUMBER($D763),MAX(0,TODAY()-$D763),"")</f>
        <v/>
      </c>
      <c r="R763" s="14">
        <f>IF(COUNTA($A763:$O763)=0,"",IFERROR(TRIM(TEXTJOIN(" | ",TRUE,IF($A763="","PC kosong",""),IF($C763="","Worker ID kosong",""),IF($D763="","Update Date kosong",IF(NOT(ISNUMBER($D763)),"Update Date bukan tanggal","")),IF($E763="","Song ID YT kosong",""),IF($F763="","Judul kosong",""),IF(TRIM($G763)="","",IF(ISERROR(MATCH(TRIM($G763),{"TuneCore","DistroKid","TooLost","SoundOn","Ditto","Believe","CD Baby","Amuse","Symphonic Distribution","ONErpm","RouteNote","LANDR","Horus Music","Indie"},0)),"Aggregator di luar daftar","")),IF(TRIM($H763)="","Genre kosong",IF((LEN(SUBSTITUTE(SUBSTITUTE(SUBSTITUTE(TRIM($H763),"/",","),";",",")," ",""))-LEN(SUBSTITUTE(SUBSTITUTE(SUBSTITUTE(SUBSTITUTE(TRIM($H763),"/",","),";",","),"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763),"/",","),";",",")," ","")&amp;",")))&lt;&gt;(LEN(SUBSTITUTE(SUBSTITUTE(SUBSTITUTE(TRIM($H763),"/",","),";",",")," ",""))-LEN(SUBSTITUTE(SUBSTITUTE(SUBSTITUTE(SUBSTITUTE(TRIM($H763),"/",","),";",",")," ",""),",",""))+1),"Genre di luar daftar",""))),IF($I763="","Nama Channel kosong",""),IF($J763="","Link Channel kosong",IF(ISERROR(SEARCH("youtu",$J763)),"Link Channel bukan youtube","")),IF($K763="","Link Video kosong",IF(ISERROR(SEARCH("youtu",$K763)),"Link Video bukan youtube","")),IF($L763="","Tgl Dibuat kosong",IF(NOT(ISNUMBER($L763)),"Tgl Dibuat bukan tanggal","")),IF(AND($M763&lt;&gt;"",NOT(ISNUMBER($M763))),"Tgl Publish bukan tanggal",""),IF(AND(ISNUMBER($L763),ISNUMBER($M763),$M763&lt;$L763),"Tgl Publish &lt; Tgl buat",""),IF(TRIM($N763)="","Status kosong",IF(ISERROR(MATCH(TRIM($N763),{"Draft","Menunggu Review","Revisi","Terjadwal","Upload","Publish","Published","Batal"},0)),"Status di luar daftar","")))),""))</f>
        <v/>
      </c>
      <c r="S763" s="12">
        <f>IF(AND($A763&lt;&gt;"",$C763&lt;&gt;""),IF(COUNTIFS($A$2:$A$1000,$A763,$C$2:$C$1000,$C763)&gt;1,"DUPLICAT",""),"")</f>
        <v/>
      </c>
    </row>
    <row r="764">
      <c r="A764" s="17" t="n"/>
      <c r="B764" s="17" t="n"/>
      <c r="C764" s="17" t="n"/>
      <c r="D764" s="18" t="n"/>
      <c r="E764" s="17" t="n"/>
      <c r="F764" s="19" t="n"/>
      <c r="G764" s="17" t="n"/>
      <c r="H764" s="17" t="n"/>
      <c r="I764" s="17" t="n"/>
      <c r="J764" s="19" t="n"/>
      <c r="K764" s="19" t="n"/>
      <c r="L764" s="20" t="n"/>
      <c r="M764" s="20" t="n"/>
      <c r="N764" s="17" t="n"/>
      <c r="O764" s="17" t="n"/>
      <c r="P764" s="21">
        <f>IF(AND(ISNUMBER($L764),ISNUMBER($M764)),MAX(0,$M764-$L764),"")</f>
        <v/>
      </c>
      <c r="Q764" s="21">
        <f>IF(ISNUMBER($D764),MAX(0,TODAY()-$D764),"")</f>
        <v/>
      </c>
      <c r="R764" s="19">
        <f>IF(COUNTA($A764:$O764)=0,"",IFERROR(TRIM(TEXTJOIN(" | ",TRUE,IF($A764="","PC kosong",""),IF($C764="","Worker ID kosong",""),IF($D764="","Update Date kosong",IF(NOT(ISNUMBER($D764)),"Update Date bukan tanggal","")),IF($E764="","Song ID YT kosong",""),IF($F764="","Judul kosong",""),IF(TRIM($G764)="","",IF(ISERROR(MATCH(TRIM($G764),{"TuneCore","DistroKid","TooLost","SoundOn","Ditto","Believe","CD Baby","Amuse","Symphonic Distribution","ONErpm","RouteNote","LANDR","Horus Music","Indie"},0)),"Aggregator di luar daftar","")),IF(TRIM($H764)="","Genre kosong",IF((LEN(SUBSTITUTE(SUBSTITUTE(SUBSTITUTE(TRIM($H764),"/",","),";",",")," ",""))-LEN(SUBSTITUTE(SUBSTITUTE(SUBSTITUTE(SUBSTITUTE(TRIM($H764),"/",","),";",","),"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764),"/",","),";",",")," ","")&amp;",")))&lt;&gt;(LEN(SUBSTITUTE(SUBSTITUTE(SUBSTITUTE(TRIM($H764),"/",","),";",",")," ",""))-LEN(SUBSTITUTE(SUBSTITUTE(SUBSTITUTE(SUBSTITUTE(TRIM($H764),"/",","),";",",")," ",""),",",""))+1),"Genre di luar daftar",""))),IF($I764="","Nama Channel kosong",""),IF($J764="","Link Channel kosong",IF(ISERROR(SEARCH("youtu",$J764)),"Link Channel bukan youtube","")),IF($K764="","Link Video kosong",IF(ISERROR(SEARCH("youtu",$K764)),"Link Video bukan youtube","")),IF($L764="","Tgl Dibuat kosong",IF(NOT(ISNUMBER($L764)),"Tgl Dibuat bukan tanggal","")),IF(AND($M764&lt;&gt;"",NOT(ISNUMBER($M764))),"Tgl Publish bukan tanggal",""),IF(AND(ISNUMBER($L764),ISNUMBER($M764),$M764&lt;$L764),"Tgl Publish &lt; Tgl buat",""),IF(TRIM($N764)="","Status kosong",IF(ISERROR(MATCH(TRIM($N764),{"Draft","Menunggu Review","Revisi","Terjadwal","Upload","Publish","Published","Batal"},0)),"Status di luar daftar","")))),""))</f>
        <v/>
      </c>
      <c r="S764" s="17">
        <f>IF(AND($A764&lt;&gt;"",$C764&lt;&gt;""),IF(COUNTIFS($A$2:$A$1000,$A764,$C$2:$C$1000,$C764)&gt;1,"DUPLICAT",""),"")</f>
        <v/>
      </c>
    </row>
    <row r="765">
      <c r="A765" s="12" t="n"/>
      <c r="B765" s="12" t="n"/>
      <c r="C765" s="12" t="n"/>
      <c r="D765" s="13" t="n"/>
      <c r="E765" s="12" t="n"/>
      <c r="F765" s="14" t="n"/>
      <c r="G765" s="12" t="n"/>
      <c r="H765" s="12" t="n"/>
      <c r="I765" s="12" t="n"/>
      <c r="J765" s="14" t="n"/>
      <c r="K765" s="14" t="n"/>
      <c r="L765" s="15" t="n"/>
      <c r="M765" s="15" t="n"/>
      <c r="N765" s="12" t="n"/>
      <c r="O765" s="12" t="n"/>
      <c r="P765" s="16">
        <f>IF(AND(ISNUMBER($L765),ISNUMBER($M765)),MAX(0,$M765-$L765),"")</f>
        <v/>
      </c>
      <c r="Q765" s="16">
        <f>IF(ISNUMBER($D765),MAX(0,TODAY()-$D765),"")</f>
        <v/>
      </c>
      <c r="R765" s="14">
        <f>IF(COUNTA($A765:$O765)=0,"",IFERROR(TRIM(TEXTJOIN(" | ",TRUE,IF($A765="","PC kosong",""),IF($C765="","Worker ID kosong",""),IF($D765="","Update Date kosong",IF(NOT(ISNUMBER($D765)),"Update Date bukan tanggal","")),IF($E765="","Song ID YT kosong",""),IF($F765="","Judul kosong",""),IF(TRIM($G765)="","",IF(ISERROR(MATCH(TRIM($G765),{"TuneCore","DistroKid","TooLost","SoundOn","Ditto","Believe","CD Baby","Amuse","Symphonic Distribution","ONErpm","RouteNote","LANDR","Horus Music","Indie"},0)),"Aggregator di luar daftar","")),IF(TRIM($H765)="","Genre kosong",IF((LEN(SUBSTITUTE(SUBSTITUTE(SUBSTITUTE(TRIM($H765),"/",","),";",",")," ",""))-LEN(SUBSTITUTE(SUBSTITUTE(SUBSTITUTE(SUBSTITUTE(TRIM($H765),"/",","),";",","),"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765),"/",","),";",",")," ","")&amp;",")))&lt;&gt;(LEN(SUBSTITUTE(SUBSTITUTE(SUBSTITUTE(TRIM($H765),"/",","),";",",")," ",""))-LEN(SUBSTITUTE(SUBSTITUTE(SUBSTITUTE(SUBSTITUTE(TRIM($H765),"/",","),";",",")," ",""),",",""))+1),"Genre di luar daftar",""))),IF($I765="","Nama Channel kosong",""),IF($J765="","Link Channel kosong",IF(ISERROR(SEARCH("youtu",$J765)),"Link Channel bukan youtube","")),IF($K765="","Link Video kosong",IF(ISERROR(SEARCH("youtu",$K765)),"Link Video bukan youtube","")),IF($L765="","Tgl Dibuat kosong",IF(NOT(ISNUMBER($L765)),"Tgl Dibuat bukan tanggal","")),IF(AND($M765&lt;&gt;"",NOT(ISNUMBER($M765))),"Tgl Publish bukan tanggal",""),IF(AND(ISNUMBER($L765),ISNUMBER($M765),$M765&lt;$L765),"Tgl Publish &lt; Tgl buat",""),IF(TRIM($N765)="","Status kosong",IF(ISERROR(MATCH(TRIM($N765),{"Draft","Menunggu Review","Revisi","Terjadwal","Upload","Publish","Published","Batal"},0)),"Status di luar daftar","")))),""))</f>
        <v/>
      </c>
      <c r="S765" s="12">
        <f>IF(AND($A765&lt;&gt;"",$C765&lt;&gt;""),IF(COUNTIFS($A$2:$A$1000,$A765,$C$2:$C$1000,$C765)&gt;1,"DUPLICAT",""),"")</f>
        <v/>
      </c>
    </row>
    <row r="766">
      <c r="A766" s="17" t="n"/>
      <c r="B766" s="17" t="n"/>
      <c r="C766" s="17" t="n"/>
      <c r="D766" s="18" t="n"/>
      <c r="E766" s="17" t="n"/>
      <c r="F766" s="19" t="n"/>
      <c r="G766" s="17" t="n"/>
      <c r="H766" s="17" t="n"/>
      <c r="I766" s="17" t="n"/>
      <c r="J766" s="19" t="n"/>
      <c r="K766" s="19" t="n"/>
      <c r="L766" s="20" t="n"/>
      <c r="M766" s="20" t="n"/>
      <c r="N766" s="17" t="n"/>
      <c r="O766" s="17" t="n"/>
      <c r="P766" s="21">
        <f>IF(AND(ISNUMBER($L766),ISNUMBER($M766)),MAX(0,$M766-$L766),"")</f>
        <v/>
      </c>
      <c r="Q766" s="21">
        <f>IF(ISNUMBER($D766),MAX(0,TODAY()-$D766),"")</f>
        <v/>
      </c>
      <c r="R766" s="19">
        <f>IF(COUNTA($A766:$O766)=0,"",IFERROR(TRIM(TEXTJOIN(" | ",TRUE,IF($A766="","PC kosong",""),IF($C766="","Worker ID kosong",""),IF($D766="","Update Date kosong",IF(NOT(ISNUMBER($D766)),"Update Date bukan tanggal","")),IF($E766="","Song ID YT kosong",""),IF($F766="","Judul kosong",""),IF(TRIM($G766)="","",IF(ISERROR(MATCH(TRIM($G766),{"TuneCore","DistroKid","TooLost","SoundOn","Ditto","Believe","CD Baby","Amuse","Symphonic Distribution","ONErpm","RouteNote","LANDR","Horus Music","Indie"},0)),"Aggregator di luar daftar","")),IF(TRIM($H766)="","Genre kosong",IF((LEN(SUBSTITUTE(SUBSTITUTE(SUBSTITUTE(TRIM($H766),"/",","),";",",")," ",""))-LEN(SUBSTITUTE(SUBSTITUTE(SUBSTITUTE(SUBSTITUTE(TRIM($H766),"/",","),";",","),"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766),"/",","),";",",")," ","")&amp;",")))&lt;&gt;(LEN(SUBSTITUTE(SUBSTITUTE(SUBSTITUTE(TRIM($H766),"/",","),";",",")," ",""))-LEN(SUBSTITUTE(SUBSTITUTE(SUBSTITUTE(SUBSTITUTE(TRIM($H766),"/",","),";",",")," ",""),",",""))+1),"Genre di luar daftar",""))),IF($I766="","Nama Channel kosong",""),IF($J766="","Link Channel kosong",IF(ISERROR(SEARCH("youtu",$J766)),"Link Channel bukan youtube","")),IF($K766="","Link Video kosong",IF(ISERROR(SEARCH("youtu",$K766)),"Link Video bukan youtube","")),IF($L766="","Tgl Dibuat kosong",IF(NOT(ISNUMBER($L766)),"Tgl Dibuat bukan tanggal","")),IF(AND($M766&lt;&gt;"",NOT(ISNUMBER($M766))),"Tgl Publish bukan tanggal",""),IF(AND(ISNUMBER($L766),ISNUMBER($M766),$M766&lt;$L766),"Tgl Publish &lt; Tgl buat",""),IF(TRIM($N766)="","Status kosong",IF(ISERROR(MATCH(TRIM($N766),{"Draft","Menunggu Review","Revisi","Terjadwal","Upload","Publish","Published","Batal"},0)),"Status di luar daftar","")))),""))</f>
        <v/>
      </c>
      <c r="S766" s="17">
        <f>IF(AND($A766&lt;&gt;"",$C766&lt;&gt;""),IF(COUNTIFS($A$2:$A$1000,$A766,$C$2:$C$1000,$C766)&gt;1,"DUPLICAT",""),"")</f>
        <v/>
      </c>
    </row>
    <row r="767">
      <c r="A767" s="12" t="n"/>
      <c r="B767" s="12" t="n"/>
      <c r="C767" s="12" t="n"/>
      <c r="D767" s="13" t="n"/>
      <c r="E767" s="12" t="n"/>
      <c r="F767" s="14" t="n"/>
      <c r="G767" s="12" t="n"/>
      <c r="H767" s="12" t="n"/>
      <c r="I767" s="12" t="n"/>
      <c r="J767" s="14" t="n"/>
      <c r="K767" s="14" t="n"/>
      <c r="L767" s="15" t="n"/>
      <c r="M767" s="15" t="n"/>
      <c r="N767" s="12" t="n"/>
      <c r="O767" s="12" t="n"/>
      <c r="P767" s="16">
        <f>IF(AND(ISNUMBER($L767),ISNUMBER($M767)),MAX(0,$M767-$L767),"")</f>
        <v/>
      </c>
      <c r="Q767" s="16">
        <f>IF(ISNUMBER($D767),MAX(0,TODAY()-$D767),"")</f>
        <v/>
      </c>
      <c r="R767" s="14">
        <f>IF(COUNTA($A767:$O767)=0,"",IFERROR(TRIM(TEXTJOIN(" | ",TRUE,IF($A767="","PC kosong",""),IF($C767="","Worker ID kosong",""),IF($D767="","Update Date kosong",IF(NOT(ISNUMBER($D767)),"Update Date bukan tanggal","")),IF($E767="","Song ID YT kosong",""),IF($F767="","Judul kosong",""),IF(TRIM($G767)="","",IF(ISERROR(MATCH(TRIM($G767),{"TuneCore","DistroKid","TooLost","SoundOn","Ditto","Believe","CD Baby","Amuse","Symphonic Distribution","ONErpm","RouteNote","LANDR","Horus Music","Indie"},0)),"Aggregator di luar daftar","")),IF(TRIM($H767)="","Genre kosong",IF((LEN(SUBSTITUTE(SUBSTITUTE(SUBSTITUTE(TRIM($H767),"/",","),";",",")," ",""))-LEN(SUBSTITUTE(SUBSTITUTE(SUBSTITUTE(SUBSTITUTE(TRIM($H767),"/",","),";",","),"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767),"/",","),";",",")," ","")&amp;",")))&lt;&gt;(LEN(SUBSTITUTE(SUBSTITUTE(SUBSTITUTE(TRIM($H767),"/",","),";",",")," ",""))-LEN(SUBSTITUTE(SUBSTITUTE(SUBSTITUTE(SUBSTITUTE(TRIM($H767),"/",","),";",",")," ",""),",",""))+1),"Genre di luar daftar",""))),IF($I767="","Nama Channel kosong",""),IF($J767="","Link Channel kosong",IF(ISERROR(SEARCH("youtu",$J767)),"Link Channel bukan youtube","")),IF($K767="","Link Video kosong",IF(ISERROR(SEARCH("youtu",$K767)),"Link Video bukan youtube","")),IF($L767="","Tgl Dibuat kosong",IF(NOT(ISNUMBER($L767)),"Tgl Dibuat bukan tanggal","")),IF(AND($M767&lt;&gt;"",NOT(ISNUMBER($M767))),"Tgl Publish bukan tanggal",""),IF(AND(ISNUMBER($L767),ISNUMBER($M767),$M767&lt;$L767),"Tgl Publish &lt; Tgl buat",""),IF(TRIM($N767)="","Status kosong",IF(ISERROR(MATCH(TRIM($N767),{"Draft","Menunggu Review","Revisi","Terjadwal","Upload","Publish","Published","Batal"},0)),"Status di luar daftar","")))),""))</f>
        <v/>
      </c>
      <c r="S767" s="12">
        <f>IF(AND($A767&lt;&gt;"",$C767&lt;&gt;""),IF(COUNTIFS($A$2:$A$1000,$A767,$C$2:$C$1000,$C767)&gt;1,"DUPLICAT",""),"")</f>
        <v/>
      </c>
    </row>
    <row r="768">
      <c r="A768" s="17" t="n"/>
      <c r="B768" s="17" t="n"/>
      <c r="C768" s="17" t="n"/>
      <c r="D768" s="18" t="n"/>
      <c r="E768" s="17" t="n"/>
      <c r="F768" s="19" t="n"/>
      <c r="G768" s="17" t="n"/>
      <c r="H768" s="17" t="n"/>
      <c r="I768" s="17" t="n"/>
      <c r="J768" s="19" t="n"/>
      <c r="K768" s="19" t="n"/>
      <c r="L768" s="20" t="n"/>
      <c r="M768" s="20" t="n"/>
      <c r="N768" s="17" t="n"/>
      <c r="O768" s="17" t="n"/>
      <c r="P768" s="21">
        <f>IF(AND(ISNUMBER($L768),ISNUMBER($M768)),MAX(0,$M768-$L768),"")</f>
        <v/>
      </c>
      <c r="Q768" s="21">
        <f>IF(ISNUMBER($D768),MAX(0,TODAY()-$D768),"")</f>
        <v/>
      </c>
      <c r="R768" s="19">
        <f>IF(COUNTA($A768:$O768)=0,"",IFERROR(TRIM(TEXTJOIN(" | ",TRUE,IF($A768="","PC kosong",""),IF($C768="","Worker ID kosong",""),IF($D768="","Update Date kosong",IF(NOT(ISNUMBER($D768)),"Update Date bukan tanggal","")),IF($E768="","Song ID YT kosong",""),IF($F768="","Judul kosong",""),IF(TRIM($G768)="","",IF(ISERROR(MATCH(TRIM($G768),{"TuneCore","DistroKid","TooLost","SoundOn","Ditto","Believe","CD Baby","Amuse","Symphonic Distribution","ONErpm","RouteNote","LANDR","Horus Music","Indie"},0)),"Aggregator di luar daftar","")),IF(TRIM($H768)="","Genre kosong",IF((LEN(SUBSTITUTE(SUBSTITUTE(SUBSTITUTE(TRIM($H768),"/",","),";",",")," ",""))-LEN(SUBSTITUTE(SUBSTITUTE(SUBSTITUTE(SUBSTITUTE(TRIM($H768),"/",","),";",","),"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768),"/",","),";",",")," ","")&amp;",")))&lt;&gt;(LEN(SUBSTITUTE(SUBSTITUTE(SUBSTITUTE(TRIM($H768),"/",","),";",",")," ",""))-LEN(SUBSTITUTE(SUBSTITUTE(SUBSTITUTE(SUBSTITUTE(TRIM($H768),"/",","),";",",")," ",""),",",""))+1),"Genre di luar daftar",""))),IF($I768="","Nama Channel kosong",""),IF($J768="","Link Channel kosong",IF(ISERROR(SEARCH("youtu",$J768)),"Link Channel bukan youtube","")),IF($K768="","Link Video kosong",IF(ISERROR(SEARCH("youtu",$K768)),"Link Video bukan youtube","")),IF($L768="","Tgl Dibuat kosong",IF(NOT(ISNUMBER($L768)),"Tgl Dibuat bukan tanggal","")),IF(AND($M768&lt;&gt;"",NOT(ISNUMBER($M768))),"Tgl Publish bukan tanggal",""),IF(AND(ISNUMBER($L768),ISNUMBER($M768),$M768&lt;$L768),"Tgl Publish &lt; Tgl buat",""),IF(TRIM($N768)="","Status kosong",IF(ISERROR(MATCH(TRIM($N768),{"Draft","Menunggu Review","Revisi","Terjadwal","Upload","Publish","Published","Batal"},0)),"Status di luar daftar","")))),""))</f>
        <v/>
      </c>
      <c r="S768" s="17">
        <f>IF(AND($A768&lt;&gt;"",$C768&lt;&gt;""),IF(COUNTIFS($A$2:$A$1000,$A768,$C$2:$C$1000,$C768)&gt;1,"DUPLICAT",""),"")</f>
        <v/>
      </c>
    </row>
    <row r="769">
      <c r="A769" s="12" t="n"/>
      <c r="B769" s="12" t="n"/>
      <c r="C769" s="12" t="n"/>
      <c r="D769" s="13" t="n"/>
      <c r="E769" s="12" t="n"/>
      <c r="F769" s="14" t="n"/>
      <c r="G769" s="12" t="n"/>
      <c r="H769" s="12" t="n"/>
      <c r="I769" s="12" t="n"/>
      <c r="J769" s="14" t="n"/>
      <c r="K769" s="14" t="n"/>
      <c r="L769" s="15" t="n"/>
      <c r="M769" s="15" t="n"/>
      <c r="N769" s="12" t="n"/>
      <c r="O769" s="12" t="n"/>
      <c r="P769" s="16">
        <f>IF(AND(ISNUMBER($L769),ISNUMBER($M769)),MAX(0,$M769-$L769),"")</f>
        <v/>
      </c>
      <c r="Q769" s="16">
        <f>IF(ISNUMBER($D769),MAX(0,TODAY()-$D769),"")</f>
        <v/>
      </c>
      <c r="R769" s="14">
        <f>IF(COUNTA($A769:$O769)=0,"",IFERROR(TRIM(TEXTJOIN(" | ",TRUE,IF($A769="","PC kosong",""),IF($C769="","Worker ID kosong",""),IF($D769="","Update Date kosong",IF(NOT(ISNUMBER($D769)),"Update Date bukan tanggal","")),IF($E769="","Song ID YT kosong",""),IF($F769="","Judul kosong",""),IF(TRIM($G769)="","",IF(ISERROR(MATCH(TRIM($G769),{"TuneCore","DistroKid","TooLost","SoundOn","Ditto","Believe","CD Baby","Amuse","Symphonic Distribution","ONErpm","RouteNote","LANDR","Horus Music","Indie"},0)),"Aggregator di luar daftar","")),IF(TRIM($H769)="","Genre kosong",IF((LEN(SUBSTITUTE(SUBSTITUTE(SUBSTITUTE(TRIM($H769),"/",","),";",",")," ",""))-LEN(SUBSTITUTE(SUBSTITUTE(SUBSTITUTE(SUBSTITUTE(TRIM($H769),"/",","),";",","),"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769),"/",","),";",",")," ","")&amp;",")))&lt;&gt;(LEN(SUBSTITUTE(SUBSTITUTE(SUBSTITUTE(TRIM($H769),"/",","),";",",")," ",""))-LEN(SUBSTITUTE(SUBSTITUTE(SUBSTITUTE(SUBSTITUTE(TRIM($H769),"/",","),";",",")," ",""),",",""))+1),"Genre di luar daftar",""))),IF($I769="","Nama Channel kosong",""),IF($J769="","Link Channel kosong",IF(ISERROR(SEARCH("youtu",$J769)),"Link Channel bukan youtube","")),IF($K769="","Link Video kosong",IF(ISERROR(SEARCH("youtu",$K769)),"Link Video bukan youtube","")),IF($L769="","Tgl Dibuat kosong",IF(NOT(ISNUMBER($L769)),"Tgl Dibuat bukan tanggal","")),IF(AND($M769&lt;&gt;"",NOT(ISNUMBER($M769))),"Tgl Publish bukan tanggal",""),IF(AND(ISNUMBER($L769),ISNUMBER($M769),$M769&lt;$L769),"Tgl Publish &lt; Tgl buat",""),IF(TRIM($N769)="","Status kosong",IF(ISERROR(MATCH(TRIM($N769),{"Draft","Menunggu Review","Revisi","Terjadwal","Upload","Publish","Published","Batal"},0)),"Status di luar daftar","")))),""))</f>
        <v/>
      </c>
      <c r="S769" s="12">
        <f>IF(AND($A769&lt;&gt;"",$C769&lt;&gt;""),IF(COUNTIFS($A$2:$A$1000,$A769,$C$2:$C$1000,$C769)&gt;1,"DUPLICAT",""),"")</f>
        <v/>
      </c>
    </row>
    <row r="770">
      <c r="A770" s="17" t="n"/>
      <c r="B770" s="17" t="n"/>
      <c r="C770" s="17" t="n"/>
      <c r="D770" s="18" t="n"/>
      <c r="E770" s="17" t="n"/>
      <c r="F770" s="19" t="n"/>
      <c r="G770" s="17" t="n"/>
      <c r="H770" s="17" t="n"/>
      <c r="I770" s="17" t="n"/>
      <c r="J770" s="19" t="n"/>
      <c r="K770" s="19" t="n"/>
      <c r="L770" s="20" t="n"/>
      <c r="M770" s="20" t="n"/>
      <c r="N770" s="17" t="n"/>
      <c r="O770" s="17" t="n"/>
      <c r="P770" s="21">
        <f>IF(AND(ISNUMBER($L770),ISNUMBER($M770)),MAX(0,$M770-$L770),"")</f>
        <v/>
      </c>
      <c r="Q770" s="21">
        <f>IF(ISNUMBER($D770),MAX(0,TODAY()-$D770),"")</f>
        <v/>
      </c>
      <c r="R770" s="19">
        <f>IF(COUNTA($A770:$O770)=0,"",IFERROR(TRIM(TEXTJOIN(" | ",TRUE,IF($A770="","PC kosong",""),IF($C770="","Worker ID kosong",""),IF($D770="","Update Date kosong",IF(NOT(ISNUMBER($D770)),"Update Date bukan tanggal","")),IF($E770="","Song ID YT kosong",""),IF($F770="","Judul kosong",""),IF(TRIM($G770)="","",IF(ISERROR(MATCH(TRIM($G770),{"TuneCore","DistroKid","TooLost","SoundOn","Ditto","Believe","CD Baby","Amuse","Symphonic Distribution","ONErpm","RouteNote","LANDR","Horus Music","Indie"},0)),"Aggregator di luar daftar","")),IF(TRIM($H770)="","Genre kosong",IF((LEN(SUBSTITUTE(SUBSTITUTE(SUBSTITUTE(TRIM($H770),"/",","),";",",")," ",""))-LEN(SUBSTITUTE(SUBSTITUTE(SUBSTITUTE(SUBSTITUTE(TRIM($H770),"/",","),";",","),"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770),"/",","),";",",")," ","")&amp;",")))&lt;&gt;(LEN(SUBSTITUTE(SUBSTITUTE(SUBSTITUTE(TRIM($H770),"/",","),";",",")," ",""))-LEN(SUBSTITUTE(SUBSTITUTE(SUBSTITUTE(SUBSTITUTE(TRIM($H770),"/",","),";",",")," ",""),",",""))+1),"Genre di luar daftar",""))),IF($I770="","Nama Channel kosong",""),IF($J770="","Link Channel kosong",IF(ISERROR(SEARCH("youtu",$J770)),"Link Channel bukan youtube","")),IF($K770="","Link Video kosong",IF(ISERROR(SEARCH("youtu",$K770)),"Link Video bukan youtube","")),IF($L770="","Tgl Dibuat kosong",IF(NOT(ISNUMBER($L770)),"Tgl Dibuat bukan tanggal","")),IF(AND($M770&lt;&gt;"",NOT(ISNUMBER($M770))),"Tgl Publish bukan tanggal",""),IF(AND(ISNUMBER($L770),ISNUMBER($M770),$M770&lt;$L770),"Tgl Publish &lt; Tgl buat",""),IF(TRIM($N770)="","Status kosong",IF(ISERROR(MATCH(TRIM($N770),{"Draft","Menunggu Review","Revisi","Terjadwal","Upload","Publish","Published","Batal"},0)),"Status di luar daftar","")))),""))</f>
        <v/>
      </c>
      <c r="S770" s="17">
        <f>IF(AND($A770&lt;&gt;"",$C770&lt;&gt;""),IF(COUNTIFS($A$2:$A$1000,$A770,$C$2:$C$1000,$C770)&gt;1,"DUPLICAT",""),"")</f>
        <v/>
      </c>
    </row>
    <row r="771">
      <c r="A771" s="12" t="n"/>
      <c r="B771" s="12" t="n"/>
      <c r="C771" s="12" t="n"/>
      <c r="D771" s="13" t="n"/>
      <c r="E771" s="12" t="n"/>
      <c r="F771" s="14" t="n"/>
      <c r="G771" s="12" t="n"/>
      <c r="H771" s="12" t="n"/>
      <c r="I771" s="12" t="n"/>
      <c r="J771" s="14" t="n"/>
      <c r="K771" s="14" t="n"/>
      <c r="L771" s="15" t="n"/>
      <c r="M771" s="15" t="n"/>
      <c r="N771" s="12" t="n"/>
      <c r="O771" s="12" t="n"/>
      <c r="P771" s="16">
        <f>IF(AND(ISNUMBER($L771),ISNUMBER($M771)),MAX(0,$M771-$L771),"")</f>
        <v/>
      </c>
      <c r="Q771" s="16">
        <f>IF(ISNUMBER($D771),MAX(0,TODAY()-$D771),"")</f>
        <v/>
      </c>
      <c r="R771" s="14">
        <f>IF(COUNTA($A771:$O771)=0,"",IFERROR(TRIM(TEXTJOIN(" | ",TRUE,IF($A771="","PC kosong",""),IF($C771="","Worker ID kosong",""),IF($D771="","Update Date kosong",IF(NOT(ISNUMBER($D771)),"Update Date bukan tanggal","")),IF($E771="","Song ID YT kosong",""),IF($F771="","Judul kosong",""),IF(TRIM($G771)="","",IF(ISERROR(MATCH(TRIM($G771),{"TuneCore","DistroKid","TooLost","SoundOn","Ditto","Believe","CD Baby","Amuse","Symphonic Distribution","ONErpm","RouteNote","LANDR","Horus Music","Indie"},0)),"Aggregator di luar daftar","")),IF(TRIM($H771)="","Genre kosong",IF((LEN(SUBSTITUTE(SUBSTITUTE(SUBSTITUTE(TRIM($H771),"/",","),";",",")," ",""))-LEN(SUBSTITUTE(SUBSTITUTE(SUBSTITUTE(SUBSTITUTE(TRIM($H771),"/",","),";",","),"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771),"/",","),";",",")," ","")&amp;",")))&lt;&gt;(LEN(SUBSTITUTE(SUBSTITUTE(SUBSTITUTE(TRIM($H771),"/",","),";",",")," ",""))-LEN(SUBSTITUTE(SUBSTITUTE(SUBSTITUTE(SUBSTITUTE(TRIM($H771),"/",","),";",",")," ",""),",",""))+1),"Genre di luar daftar",""))),IF($I771="","Nama Channel kosong",""),IF($J771="","Link Channel kosong",IF(ISERROR(SEARCH("youtu",$J771)),"Link Channel bukan youtube","")),IF($K771="","Link Video kosong",IF(ISERROR(SEARCH("youtu",$K771)),"Link Video bukan youtube","")),IF($L771="","Tgl Dibuat kosong",IF(NOT(ISNUMBER($L771)),"Tgl Dibuat bukan tanggal","")),IF(AND($M771&lt;&gt;"",NOT(ISNUMBER($M771))),"Tgl Publish bukan tanggal",""),IF(AND(ISNUMBER($L771),ISNUMBER($M771),$M771&lt;$L771),"Tgl Publish &lt; Tgl buat",""),IF(TRIM($N771)="","Status kosong",IF(ISERROR(MATCH(TRIM($N771),{"Draft","Menunggu Review","Revisi","Terjadwal","Upload","Publish","Published","Batal"},0)),"Status di luar daftar","")))),""))</f>
        <v/>
      </c>
      <c r="S771" s="12">
        <f>IF(AND($A771&lt;&gt;"",$C771&lt;&gt;""),IF(COUNTIFS($A$2:$A$1000,$A771,$C$2:$C$1000,$C771)&gt;1,"DUPLICAT",""),"")</f>
        <v/>
      </c>
    </row>
    <row r="772">
      <c r="A772" s="17" t="n"/>
      <c r="B772" s="17" t="n"/>
      <c r="C772" s="17" t="n"/>
      <c r="D772" s="18" t="n"/>
      <c r="E772" s="17" t="n"/>
      <c r="F772" s="19" t="n"/>
      <c r="G772" s="17" t="n"/>
      <c r="H772" s="17" t="n"/>
      <c r="I772" s="17" t="n"/>
      <c r="J772" s="19" t="n"/>
      <c r="K772" s="19" t="n"/>
      <c r="L772" s="20" t="n"/>
      <c r="M772" s="20" t="n"/>
      <c r="N772" s="17" t="n"/>
      <c r="O772" s="17" t="n"/>
      <c r="P772" s="21">
        <f>IF(AND(ISNUMBER($L772),ISNUMBER($M772)),MAX(0,$M772-$L772),"")</f>
        <v/>
      </c>
      <c r="Q772" s="21">
        <f>IF(ISNUMBER($D772),MAX(0,TODAY()-$D772),"")</f>
        <v/>
      </c>
      <c r="R772" s="19">
        <f>IF(COUNTA($A772:$O772)=0,"",IFERROR(TRIM(TEXTJOIN(" | ",TRUE,IF($A772="","PC kosong",""),IF($C772="","Worker ID kosong",""),IF($D772="","Update Date kosong",IF(NOT(ISNUMBER($D772)),"Update Date bukan tanggal","")),IF($E772="","Song ID YT kosong",""),IF($F772="","Judul kosong",""),IF(TRIM($G772)="","",IF(ISERROR(MATCH(TRIM($G772),{"TuneCore","DistroKid","TooLost","SoundOn","Ditto","Believe","CD Baby","Amuse","Symphonic Distribution","ONErpm","RouteNote","LANDR","Horus Music","Indie"},0)),"Aggregator di luar daftar","")),IF(TRIM($H772)="","Genre kosong",IF((LEN(SUBSTITUTE(SUBSTITUTE(SUBSTITUTE(TRIM($H772),"/",","),";",",")," ",""))-LEN(SUBSTITUTE(SUBSTITUTE(SUBSTITUTE(SUBSTITUTE(TRIM($H772),"/",","),";",","),"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772),"/",","),";",",")," ","")&amp;",")))&lt;&gt;(LEN(SUBSTITUTE(SUBSTITUTE(SUBSTITUTE(TRIM($H772),"/",","),";",",")," ",""))-LEN(SUBSTITUTE(SUBSTITUTE(SUBSTITUTE(SUBSTITUTE(TRIM($H772),"/",","),";",",")," ",""),",",""))+1),"Genre di luar daftar",""))),IF($I772="","Nama Channel kosong",""),IF($J772="","Link Channel kosong",IF(ISERROR(SEARCH("youtu",$J772)),"Link Channel bukan youtube","")),IF($K772="","Link Video kosong",IF(ISERROR(SEARCH("youtu",$K772)),"Link Video bukan youtube","")),IF($L772="","Tgl Dibuat kosong",IF(NOT(ISNUMBER($L772)),"Tgl Dibuat bukan tanggal","")),IF(AND($M772&lt;&gt;"",NOT(ISNUMBER($M772))),"Tgl Publish bukan tanggal",""),IF(AND(ISNUMBER($L772),ISNUMBER($M772),$M772&lt;$L772),"Tgl Publish &lt; Tgl buat",""),IF(TRIM($N772)="","Status kosong",IF(ISERROR(MATCH(TRIM($N772),{"Draft","Menunggu Review","Revisi","Terjadwal","Upload","Publish","Published","Batal"},0)),"Status di luar daftar","")))),""))</f>
        <v/>
      </c>
      <c r="S772" s="17">
        <f>IF(AND($A772&lt;&gt;"",$C772&lt;&gt;""),IF(COUNTIFS($A$2:$A$1000,$A772,$C$2:$C$1000,$C772)&gt;1,"DUPLICAT",""),"")</f>
        <v/>
      </c>
    </row>
    <row r="773">
      <c r="A773" s="12" t="n"/>
      <c r="B773" s="12" t="n"/>
      <c r="C773" s="12" t="n"/>
      <c r="D773" s="13" t="n"/>
      <c r="E773" s="12" t="n"/>
      <c r="F773" s="14" t="n"/>
      <c r="G773" s="12" t="n"/>
      <c r="H773" s="12" t="n"/>
      <c r="I773" s="12" t="n"/>
      <c r="J773" s="14" t="n"/>
      <c r="K773" s="14" t="n"/>
      <c r="L773" s="15" t="n"/>
      <c r="M773" s="15" t="n"/>
      <c r="N773" s="12" t="n"/>
      <c r="O773" s="12" t="n"/>
      <c r="P773" s="16">
        <f>IF(AND(ISNUMBER($L773),ISNUMBER($M773)),MAX(0,$M773-$L773),"")</f>
        <v/>
      </c>
      <c r="Q773" s="16">
        <f>IF(ISNUMBER($D773),MAX(0,TODAY()-$D773),"")</f>
        <v/>
      </c>
      <c r="R773" s="14">
        <f>IF(COUNTA($A773:$O773)=0,"",IFERROR(TRIM(TEXTJOIN(" | ",TRUE,IF($A773="","PC kosong",""),IF($C773="","Worker ID kosong",""),IF($D773="","Update Date kosong",IF(NOT(ISNUMBER($D773)),"Update Date bukan tanggal","")),IF($E773="","Song ID YT kosong",""),IF($F773="","Judul kosong",""),IF(TRIM($G773)="","",IF(ISERROR(MATCH(TRIM($G773),{"TuneCore","DistroKid","TooLost","SoundOn","Ditto","Believe","CD Baby","Amuse","Symphonic Distribution","ONErpm","RouteNote","LANDR","Horus Music","Indie"},0)),"Aggregator di luar daftar","")),IF(TRIM($H773)="","Genre kosong",IF((LEN(SUBSTITUTE(SUBSTITUTE(SUBSTITUTE(TRIM($H773),"/",","),";",",")," ",""))-LEN(SUBSTITUTE(SUBSTITUTE(SUBSTITUTE(SUBSTITUTE(TRIM($H773),"/",","),";",","),"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773),"/",","),";",",")," ","")&amp;",")))&lt;&gt;(LEN(SUBSTITUTE(SUBSTITUTE(SUBSTITUTE(TRIM($H773),"/",","),";",",")," ",""))-LEN(SUBSTITUTE(SUBSTITUTE(SUBSTITUTE(SUBSTITUTE(TRIM($H773),"/",","),";",",")," ",""),",",""))+1),"Genre di luar daftar",""))),IF($I773="","Nama Channel kosong",""),IF($J773="","Link Channel kosong",IF(ISERROR(SEARCH("youtu",$J773)),"Link Channel bukan youtube","")),IF($K773="","Link Video kosong",IF(ISERROR(SEARCH("youtu",$K773)),"Link Video bukan youtube","")),IF($L773="","Tgl Dibuat kosong",IF(NOT(ISNUMBER($L773)),"Tgl Dibuat bukan tanggal","")),IF(AND($M773&lt;&gt;"",NOT(ISNUMBER($M773))),"Tgl Publish bukan tanggal",""),IF(AND(ISNUMBER($L773),ISNUMBER($M773),$M773&lt;$L773),"Tgl Publish &lt; Tgl buat",""),IF(TRIM($N773)="","Status kosong",IF(ISERROR(MATCH(TRIM($N773),{"Draft","Menunggu Review","Revisi","Terjadwal","Upload","Publish","Published","Batal"},0)),"Status di luar daftar","")))),""))</f>
        <v/>
      </c>
      <c r="S773" s="12">
        <f>IF(AND($A773&lt;&gt;"",$C773&lt;&gt;""),IF(COUNTIFS($A$2:$A$1000,$A773,$C$2:$C$1000,$C773)&gt;1,"DUPLICAT",""),"")</f>
        <v/>
      </c>
    </row>
    <row r="774">
      <c r="A774" s="17" t="n"/>
      <c r="B774" s="17" t="n"/>
      <c r="C774" s="17" t="n"/>
      <c r="D774" s="18" t="n"/>
      <c r="E774" s="17" t="n"/>
      <c r="F774" s="19" t="n"/>
      <c r="G774" s="17" t="n"/>
      <c r="H774" s="17" t="n"/>
      <c r="I774" s="17" t="n"/>
      <c r="J774" s="19" t="n"/>
      <c r="K774" s="19" t="n"/>
      <c r="L774" s="20" t="n"/>
      <c r="M774" s="20" t="n"/>
      <c r="N774" s="17" t="n"/>
      <c r="O774" s="17" t="n"/>
      <c r="P774" s="21">
        <f>IF(AND(ISNUMBER($L774),ISNUMBER($M774)),MAX(0,$M774-$L774),"")</f>
        <v/>
      </c>
      <c r="Q774" s="21">
        <f>IF(ISNUMBER($D774),MAX(0,TODAY()-$D774),"")</f>
        <v/>
      </c>
      <c r="R774" s="19">
        <f>IF(COUNTA($A774:$O774)=0,"",IFERROR(TRIM(TEXTJOIN(" | ",TRUE,IF($A774="","PC kosong",""),IF($C774="","Worker ID kosong",""),IF($D774="","Update Date kosong",IF(NOT(ISNUMBER($D774)),"Update Date bukan tanggal","")),IF($E774="","Song ID YT kosong",""),IF($F774="","Judul kosong",""),IF(TRIM($G774)="","",IF(ISERROR(MATCH(TRIM($G774),{"TuneCore","DistroKid","TooLost","SoundOn","Ditto","Believe","CD Baby","Amuse","Symphonic Distribution","ONErpm","RouteNote","LANDR","Horus Music","Indie"},0)),"Aggregator di luar daftar","")),IF(TRIM($H774)="","Genre kosong",IF((LEN(SUBSTITUTE(SUBSTITUTE(SUBSTITUTE(TRIM($H774),"/",","),";",",")," ",""))-LEN(SUBSTITUTE(SUBSTITUTE(SUBSTITUTE(SUBSTITUTE(TRIM($H774),"/",","),";",","),"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774),"/",","),";",",")," ","")&amp;",")))&lt;&gt;(LEN(SUBSTITUTE(SUBSTITUTE(SUBSTITUTE(TRIM($H774),"/",","),";",",")," ",""))-LEN(SUBSTITUTE(SUBSTITUTE(SUBSTITUTE(SUBSTITUTE(TRIM($H774),"/",","),";",",")," ",""),",",""))+1),"Genre di luar daftar",""))),IF($I774="","Nama Channel kosong",""),IF($J774="","Link Channel kosong",IF(ISERROR(SEARCH("youtu",$J774)),"Link Channel bukan youtube","")),IF($K774="","Link Video kosong",IF(ISERROR(SEARCH("youtu",$K774)),"Link Video bukan youtube","")),IF($L774="","Tgl Dibuat kosong",IF(NOT(ISNUMBER($L774)),"Tgl Dibuat bukan tanggal","")),IF(AND($M774&lt;&gt;"",NOT(ISNUMBER($M774))),"Tgl Publish bukan tanggal",""),IF(AND(ISNUMBER($L774),ISNUMBER($M774),$M774&lt;$L774),"Tgl Publish &lt; Tgl buat",""),IF(TRIM($N774)="","Status kosong",IF(ISERROR(MATCH(TRIM($N774),{"Draft","Menunggu Review","Revisi","Terjadwal","Upload","Publish","Published","Batal"},0)),"Status di luar daftar","")))),""))</f>
        <v/>
      </c>
      <c r="S774" s="17">
        <f>IF(AND($A774&lt;&gt;"",$C774&lt;&gt;""),IF(COUNTIFS($A$2:$A$1000,$A774,$C$2:$C$1000,$C774)&gt;1,"DUPLICAT",""),"")</f>
        <v/>
      </c>
    </row>
    <row r="775">
      <c r="A775" s="12" t="n"/>
      <c r="B775" s="12" t="n"/>
      <c r="C775" s="12" t="n"/>
      <c r="D775" s="13" t="n"/>
      <c r="E775" s="12" t="n"/>
      <c r="F775" s="14" t="n"/>
      <c r="G775" s="12" t="n"/>
      <c r="H775" s="12" t="n"/>
      <c r="I775" s="12" t="n"/>
      <c r="J775" s="14" t="n"/>
      <c r="K775" s="14" t="n"/>
      <c r="L775" s="15" t="n"/>
      <c r="M775" s="15" t="n"/>
      <c r="N775" s="12" t="n"/>
      <c r="O775" s="12" t="n"/>
      <c r="P775" s="16">
        <f>IF(AND(ISNUMBER($L775),ISNUMBER($M775)),MAX(0,$M775-$L775),"")</f>
        <v/>
      </c>
      <c r="Q775" s="16">
        <f>IF(ISNUMBER($D775),MAX(0,TODAY()-$D775),"")</f>
        <v/>
      </c>
      <c r="R775" s="14">
        <f>IF(COUNTA($A775:$O775)=0,"",IFERROR(TRIM(TEXTJOIN(" | ",TRUE,IF($A775="","PC kosong",""),IF($C775="","Worker ID kosong",""),IF($D775="","Update Date kosong",IF(NOT(ISNUMBER($D775)),"Update Date bukan tanggal","")),IF($E775="","Song ID YT kosong",""),IF($F775="","Judul kosong",""),IF(TRIM($G775)="","",IF(ISERROR(MATCH(TRIM($G775),{"TuneCore","DistroKid","TooLost","SoundOn","Ditto","Believe","CD Baby","Amuse","Symphonic Distribution","ONErpm","RouteNote","LANDR","Horus Music","Indie"},0)),"Aggregator di luar daftar","")),IF(TRIM($H775)="","Genre kosong",IF((LEN(SUBSTITUTE(SUBSTITUTE(SUBSTITUTE(TRIM($H775),"/",","),";",",")," ",""))-LEN(SUBSTITUTE(SUBSTITUTE(SUBSTITUTE(SUBSTITUTE(TRIM($H775),"/",","),";",","),"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775),"/",","),";",",")," ","")&amp;",")))&lt;&gt;(LEN(SUBSTITUTE(SUBSTITUTE(SUBSTITUTE(TRIM($H775),"/",","),";",",")," ",""))-LEN(SUBSTITUTE(SUBSTITUTE(SUBSTITUTE(SUBSTITUTE(TRIM($H775),"/",","),";",",")," ",""),",",""))+1),"Genre di luar daftar",""))),IF($I775="","Nama Channel kosong",""),IF($J775="","Link Channel kosong",IF(ISERROR(SEARCH("youtu",$J775)),"Link Channel bukan youtube","")),IF($K775="","Link Video kosong",IF(ISERROR(SEARCH("youtu",$K775)),"Link Video bukan youtube","")),IF($L775="","Tgl Dibuat kosong",IF(NOT(ISNUMBER($L775)),"Tgl Dibuat bukan tanggal","")),IF(AND($M775&lt;&gt;"",NOT(ISNUMBER($M775))),"Tgl Publish bukan tanggal",""),IF(AND(ISNUMBER($L775),ISNUMBER($M775),$M775&lt;$L775),"Tgl Publish &lt; Tgl buat",""),IF(TRIM($N775)="","Status kosong",IF(ISERROR(MATCH(TRIM($N775),{"Draft","Menunggu Review","Revisi","Terjadwal","Upload","Publish","Published","Batal"},0)),"Status di luar daftar","")))),""))</f>
        <v/>
      </c>
      <c r="S775" s="12">
        <f>IF(AND($A775&lt;&gt;"",$C775&lt;&gt;""),IF(COUNTIFS($A$2:$A$1000,$A775,$C$2:$C$1000,$C775)&gt;1,"DUPLICAT",""),"")</f>
        <v/>
      </c>
    </row>
    <row r="776">
      <c r="A776" s="17" t="n"/>
      <c r="B776" s="17" t="n"/>
      <c r="C776" s="17" t="n"/>
      <c r="D776" s="18" t="n"/>
      <c r="E776" s="17" t="n"/>
      <c r="F776" s="19" t="n"/>
      <c r="G776" s="17" t="n"/>
      <c r="H776" s="17" t="n"/>
      <c r="I776" s="17" t="n"/>
      <c r="J776" s="19" t="n"/>
      <c r="K776" s="19" t="n"/>
      <c r="L776" s="20" t="n"/>
      <c r="M776" s="20" t="n"/>
      <c r="N776" s="17" t="n"/>
      <c r="O776" s="17" t="n"/>
      <c r="P776" s="21">
        <f>IF(AND(ISNUMBER($L776),ISNUMBER($M776)),MAX(0,$M776-$L776),"")</f>
        <v/>
      </c>
      <c r="Q776" s="21">
        <f>IF(ISNUMBER($D776),MAX(0,TODAY()-$D776),"")</f>
        <v/>
      </c>
      <c r="R776" s="19">
        <f>IF(COUNTA($A776:$O776)=0,"",IFERROR(TRIM(TEXTJOIN(" | ",TRUE,IF($A776="","PC kosong",""),IF($C776="","Worker ID kosong",""),IF($D776="","Update Date kosong",IF(NOT(ISNUMBER($D776)),"Update Date bukan tanggal","")),IF($E776="","Song ID YT kosong",""),IF($F776="","Judul kosong",""),IF(TRIM($G776)="","",IF(ISERROR(MATCH(TRIM($G776),{"TuneCore","DistroKid","TooLost","SoundOn","Ditto","Believe","CD Baby","Amuse","Symphonic Distribution","ONErpm","RouteNote","LANDR","Horus Music","Indie"},0)),"Aggregator di luar daftar","")),IF(TRIM($H776)="","Genre kosong",IF((LEN(SUBSTITUTE(SUBSTITUTE(SUBSTITUTE(TRIM($H776),"/",","),";",",")," ",""))-LEN(SUBSTITUTE(SUBSTITUTE(SUBSTITUTE(SUBSTITUTE(TRIM($H776),"/",","),";",","),"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776),"/",","),";",",")," ","")&amp;",")))&lt;&gt;(LEN(SUBSTITUTE(SUBSTITUTE(SUBSTITUTE(TRIM($H776),"/",","),";",",")," ",""))-LEN(SUBSTITUTE(SUBSTITUTE(SUBSTITUTE(SUBSTITUTE(TRIM($H776),"/",","),";",",")," ",""),",",""))+1),"Genre di luar daftar",""))),IF($I776="","Nama Channel kosong",""),IF($J776="","Link Channel kosong",IF(ISERROR(SEARCH("youtu",$J776)),"Link Channel bukan youtube","")),IF($K776="","Link Video kosong",IF(ISERROR(SEARCH("youtu",$K776)),"Link Video bukan youtube","")),IF($L776="","Tgl Dibuat kosong",IF(NOT(ISNUMBER($L776)),"Tgl Dibuat bukan tanggal","")),IF(AND($M776&lt;&gt;"",NOT(ISNUMBER($M776))),"Tgl Publish bukan tanggal",""),IF(AND(ISNUMBER($L776),ISNUMBER($M776),$M776&lt;$L776),"Tgl Publish &lt; Tgl buat",""),IF(TRIM($N776)="","Status kosong",IF(ISERROR(MATCH(TRIM($N776),{"Draft","Menunggu Review","Revisi","Terjadwal","Upload","Publish","Published","Batal"},0)),"Status di luar daftar","")))),""))</f>
        <v/>
      </c>
      <c r="S776" s="17">
        <f>IF(AND($A776&lt;&gt;"",$C776&lt;&gt;""),IF(COUNTIFS($A$2:$A$1000,$A776,$C$2:$C$1000,$C776)&gt;1,"DUPLICAT",""),"")</f>
        <v/>
      </c>
    </row>
    <row r="777">
      <c r="A777" s="12" t="n"/>
      <c r="B777" s="12" t="n"/>
      <c r="C777" s="12" t="n"/>
      <c r="D777" s="13" t="n"/>
      <c r="E777" s="12" t="n"/>
      <c r="F777" s="14" t="n"/>
      <c r="G777" s="12" t="n"/>
      <c r="H777" s="12" t="n"/>
      <c r="I777" s="12" t="n"/>
      <c r="J777" s="14" t="n"/>
      <c r="K777" s="14" t="n"/>
      <c r="L777" s="15" t="n"/>
      <c r="M777" s="15" t="n"/>
      <c r="N777" s="12" t="n"/>
      <c r="O777" s="12" t="n"/>
      <c r="P777" s="16">
        <f>IF(AND(ISNUMBER($L777),ISNUMBER($M777)),MAX(0,$M777-$L777),"")</f>
        <v/>
      </c>
      <c r="Q777" s="16">
        <f>IF(ISNUMBER($D777),MAX(0,TODAY()-$D777),"")</f>
        <v/>
      </c>
      <c r="R777" s="14">
        <f>IF(COUNTA($A777:$O777)=0,"",IFERROR(TRIM(TEXTJOIN(" | ",TRUE,IF($A777="","PC kosong",""),IF($C777="","Worker ID kosong",""),IF($D777="","Update Date kosong",IF(NOT(ISNUMBER($D777)),"Update Date bukan tanggal","")),IF($E777="","Song ID YT kosong",""),IF($F777="","Judul kosong",""),IF(TRIM($G777)="","",IF(ISERROR(MATCH(TRIM($G777),{"TuneCore","DistroKid","TooLost","SoundOn","Ditto","Believe","CD Baby","Amuse","Symphonic Distribution","ONErpm","RouteNote","LANDR","Horus Music","Indie"},0)),"Aggregator di luar daftar","")),IF(TRIM($H777)="","Genre kosong",IF((LEN(SUBSTITUTE(SUBSTITUTE(SUBSTITUTE(TRIM($H777),"/",","),";",",")," ",""))-LEN(SUBSTITUTE(SUBSTITUTE(SUBSTITUTE(SUBSTITUTE(TRIM($H777),"/",","),";",","),"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777),"/",","),";",",")," ","")&amp;",")))&lt;&gt;(LEN(SUBSTITUTE(SUBSTITUTE(SUBSTITUTE(TRIM($H777),"/",","),";",",")," ",""))-LEN(SUBSTITUTE(SUBSTITUTE(SUBSTITUTE(SUBSTITUTE(TRIM($H777),"/",","),";",",")," ",""),",",""))+1),"Genre di luar daftar",""))),IF($I777="","Nama Channel kosong",""),IF($J777="","Link Channel kosong",IF(ISERROR(SEARCH("youtu",$J777)),"Link Channel bukan youtube","")),IF($K777="","Link Video kosong",IF(ISERROR(SEARCH("youtu",$K777)),"Link Video bukan youtube","")),IF($L777="","Tgl Dibuat kosong",IF(NOT(ISNUMBER($L777)),"Tgl Dibuat bukan tanggal","")),IF(AND($M777&lt;&gt;"",NOT(ISNUMBER($M777))),"Tgl Publish bukan tanggal",""),IF(AND(ISNUMBER($L777),ISNUMBER($M777),$M777&lt;$L777),"Tgl Publish &lt; Tgl buat",""),IF(TRIM($N777)="","Status kosong",IF(ISERROR(MATCH(TRIM($N777),{"Draft","Menunggu Review","Revisi","Terjadwal","Upload","Publish","Published","Batal"},0)),"Status di luar daftar","")))),""))</f>
        <v/>
      </c>
      <c r="S777" s="12">
        <f>IF(AND($A777&lt;&gt;"",$C777&lt;&gt;""),IF(COUNTIFS($A$2:$A$1000,$A777,$C$2:$C$1000,$C777)&gt;1,"DUPLICAT",""),"")</f>
        <v/>
      </c>
    </row>
    <row r="778">
      <c r="A778" s="17" t="n"/>
      <c r="B778" s="17" t="n"/>
      <c r="C778" s="17" t="n"/>
      <c r="D778" s="18" t="n"/>
      <c r="E778" s="17" t="n"/>
      <c r="F778" s="19" t="n"/>
      <c r="G778" s="17" t="n"/>
      <c r="H778" s="17" t="n"/>
      <c r="I778" s="17" t="n"/>
      <c r="J778" s="19" t="n"/>
      <c r="K778" s="19" t="n"/>
      <c r="L778" s="20" t="n"/>
      <c r="M778" s="20" t="n"/>
      <c r="N778" s="17" t="n"/>
      <c r="O778" s="17" t="n"/>
      <c r="P778" s="21">
        <f>IF(AND(ISNUMBER($L778),ISNUMBER($M778)),MAX(0,$M778-$L778),"")</f>
        <v/>
      </c>
      <c r="Q778" s="21">
        <f>IF(ISNUMBER($D778),MAX(0,TODAY()-$D778),"")</f>
        <v/>
      </c>
      <c r="R778" s="19">
        <f>IF(COUNTA($A778:$O778)=0,"",IFERROR(TRIM(TEXTJOIN(" | ",TRUE,IF($A778="","PC kosong",""),IF($C778="","Worker ID kosong",""),IF($D778="","Update Date kosong",IF(NOT(ISNUMBER($D778)),"Update Date bukan tanggal","")),IF($E778="","Song ID YT kosong",""),IF($F778="","Judul kosong",""),IF(TRIM($G778)="","",IF(ISERROR(MATCH(TRIM($G778),{"TuneCore","DistroKid","TooLost","SoundOn","Ditto","Believe","CD Baby","Amuse","Symphonic Distribution","ONErpm","RouteNote","LANDR","Horus Music","Indie"},0)),"Aggregator di luar daftar","")),IF(TRIM($H778)="","Genre kosong",IF((LEN(SUBSTITUTE(SUBSTITUTE(SUBSTITUTE(TRIM($H778),"/",","),";",",")," ",""))-LEN(SUBSTITUTE(SUBSTITUTE(SUBSTITUTE(SUBSTITUTE(TRIM($H778),"/",","),";",","),"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778),"/",","),";",",")," ","")&amp;",")))&lt;&gt;(LEN(SUBSTITUTE(SUBSTITUTE(SUBSTITUTE(TRIM($H778),"/",","),";",",")," ",""))-LEN(SUBSTITUTE(SUBSTITUTE(SUBSTITUTE(SUBSTITUTE(TRIM($H778),"/",","),";",",")," ",""),",",""))+1),"Genre di luar daftar",""))),IF($I778="","Nama Channel kosong",""),IF($J778="","Link Channel kosong",IF(ISERROR(SEARCH("youtu",$J778)),"Link Channel bukan youtube","")),IF($K778="","Link Video kosong",IF(ISERROR(SEARCH("youtu",$K778)),"Link Video bukan youtube","")),IF($L778="","Tgl Dibuat kosong",IF(NOT(ISNUMBER($L778)),"Tgl Dibuat bukan tanggal","")),IF(AND($M778&lt;&gt;"",NOT(ISNUMBER($M778))),"Tgl Publish bukan tanggal",""),IF(AND(ISNUMBER($L778),ISNUMBER($M778),$M778&lt;$L778),"Tgl Publish &lt; Tgl buat",""),IF(TRIM($N778)="","Status kosong",IF(ISERROR(MATCH(TRIM($N778),{"Draft","Menunggu Review","Revisi","Terjadwal","Upload","Publish","Published","Batal"},0)),"Status di luar daftar","")))),""))</f>
        <v/>
      </c>
      <c r="S778" s="17">
        <f>IF(AND($A778&lt;&gt;"",$C778&lt;&gt;""),IF(COUNTIFS($A$2:$A$1000,$A778,$C$2:$C$1000,$C778)&gt;1,"DUPLICAT",""),"")</f>
        <v/>
      </c>
    </row>
    <row r="779">
      <c r="A779" s="12" t="n"/>
      <c r="B779" s="12" t="n"/>
      <c r="C779" s="12" t="n"/>
      <c r="D779" s="13" t="n"/>
      <c r="E779" s="12" t="n"/>
      <c r="F779" s="14" t="n"/>
      <c r="G779" s="12" t="n"/>
      <c r="H779" s="12" t="n"/>
      <c r="I779" s="12" t="n"/>
      <c r="J779" s="14" t="n"/>
      <c r="K779" s="14" t="n"/>
      <c r="L779" s="15" t="n"/>
      <c r="M779" s="15" t="n"/>
      <c r="N779" s="12" t="n"/>
      <c r="O779" s="12" t="n"/>
      <c r="P779" s="16">
        <f>IF(AND(ISNUMBER($L779),ISNUMBER($M779)),MAX(0,$M779-$L779),"")</f>
        <v/>
      </c>
      <c r="Q779" s="16">
        <f>IF(ISNUMBER($D779),MAX(0,TODAY()-$D779),"")</f>
        <v/>
      </c>
      <c r="R779" s="14">
        <f>IF(COUNTA($A779:$O779)=0,"",IFERROR(TRIM(TEXTJOIN(" | ",TRUE,IF($A779="","PC kosong",""),IF($C779="","Worker ID kosong",""),IF($D779="","Update Date kosong",IF(NOT(ISNUMBER($D779)),"Update Date bukan tanggal","")),IF($E779="","Song ID YT kosong",""),IF($F779="","Judul kosong",""),IF(TRIM($G779)="","",IF(ISERROR(MATCH(TRIM($G779),{"TuneCore","DistroKid","TooLost","SoundOn","Ditto","Believe","CD Baby","Amuse","Symphonic Distribution","ONErpm","RouteNote","LANDR","Horus Music","Indie"},0)),"Aggregator di luar daftar","")),IF(TRIM($H779)="","Genre kosong",IF((LEN(SUBSTITUTE(SUBSTITUTE(SUBSTITUTE(TRIM($H779),"/",","),";",",")," ",""))-LEN(SUBSTITUTE(SUBSTITUTE(SUBSTITUTE(SUBSTITUTE(TRIM($H779),"/",","),";",","),"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779),"/",","),";",",")," ","")&amp;",")))&lt;&gt;(LEN(SUBSTITUTE(SUBSTITUTE(SUBSTITUTE(TRIM($H779),"/",","),";",",")," ",""))-LEN(SUBSTITUTE(SUBSTITUTE(SUBSTITUTE(SUBSTITUTE(TRIM($H779),"/",","),";",",")," ",""),",",""))+1),"Genre di luar daftar",""))),IF($I779="","Nama Channel kosong",""),IF($J779="","Link Channel kosong",IF(ISERROR(SEARCH("youtu",$J779)),"Link Channel bukan youtube","")),IF($K779="","Link Video kosong",IF(ISERROR(SEARCH("youtu",$K779)),"Link Video bukan youtube","")),IF($L779="","Tgl Dibuat kosong",IF(NOT(ISNUMBER($L779)),"Tgl Dibuat bukan tanggal","")),IF(AND($M779&lt;&gt;"",NOT(ISNUMBER($M779))),"Tgl Publish bukan tanggal",""),IF(AND(ISNUMBER($L779),ISNUMBER($M779),$M779&lt;$L779),"Tgl Publish &lt; Tgl buat",""),IF(TRIM($N779)="","Status kosong",IF(ISERROR(MATCH(TRIM($N779),{"Draft","Menunggu Review","Revisi","Terjadwal","Upload","Publish","Published","Batal"},0)),"Status di luar daftar","")))),""))</f>
        <v/>
      </c>
      <c r="S779" s="12">
        <f>IF(AND($A779&lt;&gt;"",$C779&lt;&gt;""),IF(COUNTIFS($A$2:$A$1000,$A779,$C$2:$C$1000,$C779)&gt;1,"DUPLICAT",""),"")</f>
        <v/>
      </c>
    </row>
    <row r="780">
      <c r="A780" s="17" t="n"/>
      <c r="B780" s="17" t="n"/>
      <c r="C780" s="17" t="n"/>
      <c r="D780" s="18" t="n"/>
      <c r="E780" s="17" t="n"/>
      <c r="F780" s="19" t="n"/>
      <c r="G780" s="17" t="n"/>
      <c r="H780" s="17" t="n"/>
      <c r="I780" s="17" t="n"/>
      <c r="J780" s="19" t="n"/>
      <c r="K780" s="19" t="n"/>
      <c r="L780" s="20" t="n"/>
      <c r="M780" s="20" t="n"/>
      <c r="N780" s="17" t="n"/>
      <c r="O780" s="17" t="n"/>
      <c r="P780" s="21">
        <f>IF(AND(ISNUMBER($L780),ISNUMBER($M780)),MAX(0,$M780-$L780),"")</f>
        <v/>
      </c>
      <c r="Q780" s="21">
        <f>IF(ISNUMBER($D780),MAX(0,TODAY()-$D780),"")</f>
        <v/>
      </c>
      <c r="R780" s="19">
        <f>IF(COUNTA($A780:$O780)=0,"",IFERROR(TRIM(TEXTJOIN(" | ",TRUE,IF($A780="","PC kosong",""),IF($C780="","Worker ID kosong",""),IF($D780="","Update Date kosong",IF(NOT(ISNUMBER($D780)),"Update Date bukan tanggal","")),IF($E780="","Song ID YT kosong",""),IF($F780="","Judul kosong",""),IF(TRIM($G780)="","",IF(ISERROR(MATCH(TRIM($G780),{"TuneCore","DistroKid","TooLost","SoundOn","Ditto","Believe","CD Baby","Amuse","Symphonic Distribution","ONErpm","RouteNote","LANDR","Horus Music","Indie"},0)),"Aggregator di luar daftar","")),IF(TRIM($H780)="","Genre kosong",IF((LEN(SUBSTITUTE(SUBSTITUTE(SUBSTITUTE(TRIM($H780),"/",","),";",",")," ",""))-LEN(SUBSTITUTE(SUBSTITUTE(SUBSTITUTE(SUBSTITUTE(TRIM($H780),"/",","),";",","),"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780),"/",","),";",",")," ","")&amp;",")))&lt;&gt;(LEN(SUBSTITUTE(SUBSTITUTE(SUBSTITUTE(TRIM($H780),"/",","),";",",")," ",""))-LEN(SUBSTITUTE(SUBSTITUTE(SUBSTITUTE(SUBSTITUTE(TRIM($H780),"/",","),";",",")," ",""),",",""))+1),"Genre di luar daftar",""))),IF($I780="","Nama Channel kosong",""),IF($J780="","Link Channel kosong",IF(ISERROR(SEARCH("youtu",$J780)),"Link Channel bukan youtube","")),IF($K780="","Link Video kosong",IF(ISERROR(SEARCH("youtu",$K780)),"Link Video bukan youtube","")),IF($L780="","Tgl Dibuat kosong",IF(NOT(ISNUMBER($L780)),"Tgl Dibuat bukan tanggal","")),IF(AND($M780&lt;&gt;"",NOT(ISNUMBER($M780))),"Tgl Publish bukan tanggal",""),IF(AND(ISNUMBER($L780),ISNUMBER($M780),$M780&lt;$L780),"Tgl Publish &lt; Tgl buat",""),IF(TRIM($N780)="","Status kosong",IF(ISERROR(MATCH(TRIM($N780),{"Draft","Menunggu Review","Revisi","Terjadwal","Upload","Publish","Published","Batal"},0)),"Status di luar daftar","")))),""))</f>
        <v/>
      </c>
      <c r="S780" s="17">
        <f>IF(AND($A780&lt;&gt;"",$C780&lt;&gt;""),IF(COUNTIFS($A$2:$A$1000,$A780,$C$2:$C$1000,$C780)&gt;1,"DUPLICAT",""),"")</f>
        <v/>
      </c>
    </row>
    <row r="781">
      <c r="A781" s="12" t="n"/>
      <c r="B781" s="12" t="n"/>
      <c r="C781" s="12" t="n"/>
      <c r="D781" s="13" t="n"/>
      <c r="E781" s="12" t="n"/>
      <c r="F781" s="14" t="n"/>
      <c r="G781" s="12" t="n"/>
      <c r="H781" s="12" t="n"/>
      <c r="I781" s="12" t="n"/>
      <c r="J781" s="14" t="n"/>
      <c r="K781" s="14" t="n"/>
      <c r="L781" s="15" t="n"/>
      <c r="M781" s="15" t="n"/>
      <c r="N781" s="12" t="n"/>
      <c r="O781" s="12" t="n"/>
      <c r="P781" s="16">
        <f>IF(AND(ISNUMBER($L781),ISNUMBER($M781)),MAX(0,$M781-$L781),"")</f>
        <v/>
      </c>
      <c r="Q781" s="16">
        <f>IF(ISNUMBER($D781),MAX(0,TODAY()-$D781),"")</f>
        <v/>
      </c>
      <c r="R781" s="14">
        <f>IF(COUNTA($A781:$O781)=0,"",IFERROR(TRIM(TEXTJOIN(" | ",TRUE,IF($A781="","PC kosong",""),IF($C781="","Worker ID kosong",""),IF($D781="","Update Date kosong",IF(NOT(ISNUMBER($D781)),"Update Date bukan tanggal","")),IF($E781="","Song ID YT kosong",""),IF($F781="","Judul kosong",""),IF(TRIM($G781)="","",IF(ISERROR(MATCH(TRIM($G781),{"TuneCore","DistroKid","TooLost","SoundOn","Ditto","Believe","CD Baby","Amuse","Symphonic Distribution","ONErpm","RouteNote","LANDR","Horus Music","Indie"},0)),"Aggregator di luar daftar","")),IF(TRIM($H781)="","Genre kosong",IF((LEN(SUBSTITUTE(SUBSTITUTE(SUBSTITUTE(TRIM($H781),"/",","),";",",")," ",""))-LEN(SUBSTITUTE(SUBSTITUTE(SUBSTITUTE(SUBSTITUTE(TRIM($H781),"/",","),";",","),"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781),"/",","),";",",")," ","")&amp;",")))&lt;&gt;(LEN(SUBSTITUTE(SUBSTITUTE(SUBSTITUTE(TRIM($H781),"/",","),";",",")," ",""))-LEN(SUBSTITUTE(SUBSTITUTE(SUBSTITUTE(SUBSTITUTE(TRIM($H781),"/",","),";",",")," ",""),",",""))+1),"Genre di luar daftar",""))),IF($I781="","Nama Channel kosong",""),IF($J781="","Link Channel kosong",IF(ISERROR(SEARCH("youtu",$J781)),"Link Channel bukan youtube","")),IF($K781="","Link Video kosong",IF(ISERROR(SEARCH("youtu",$K781)),"Link Video bukan youtube","")),IF($L781="","Tgl Dibuat kosong",IF(NOT(ISNUMBER($L781)),"Tgl Dibuat bukan tanggal","")),IF(AND($M781&lt;&gt;"",NOT(ISNUMBER($M781))),"Tgl Publish bukan tanggal",""),IF(AND(ISNUMBER($L781),ISNUMBER($M781),$M781&lt;$L781),"Tgl Publish &lt; Tgl buat",""),IF(TRIM($N781)="","Status kosong",IF(ISERROR(MATCH(TRIM($N781),{"Draft","Menunggu Review","Revisi","Terjadwal","Upload","Publish","Published","Batal"},0)),"Status di luar daftar","")))),""))</f>
        <v/>
      </c>
      <c r="S781" s="12">
        <f>IF(AND($A781&lt;&gt;"",$C781&lt;&gt;""),IF(COUNTIFS($A$2:$A$1000,$A781,$C$2:$C$1000,$C781)&gt;1,"DUPLICAT",""),"")</f>
        <v/>
      </c>
    </row>
    <row r="782">
      <c r="A782" s="17" t="n"/>
      <c r="B782" s="17" t="n"/>
      <c r="C782" s="17" t="n"/>
      <c r="D782" s="18" t="n"/>
      <c r="E782" s="17" t="n"/>
      <c r="F782" s="19" t="n"/>
      <c r="G782" s="17" t="n"/>
      <c r="H782" s="17" t="n"/>
      <c r="I782" s="17" t="n"/>
      <c r="J782" s="19" t="n"/>
      <c r="K782" s="19" t="n"/>
      <c r="L782" s="20" t="n"/>
      <c r="M782" s="20" t="n"/>
      <c r="N782" s="17" t="n"/>
      <c r="O782" s="17" t="n"/>
      <c r="P782" s="21">
        <f>IF(AND(ISNUMBER($L782),ISNUMBER($M782)),MAX(0,$M782-$L782),"")</f>
        <v/>
      </c>
      <c r="Q782" s="21">
        <f>IF(ISNUMBER($D782),MAX(0,TODAY()-$D782),"")</f>
        <v/>
      </c>
      <c r="R782" s="19">
        <f>IF(COUNTA($A782:$O782)=0,"",IFERROR(TRIM(TEXTJOIN(" | ",TRUE,IF($A782="","PC kosong",""),IF($C782="","Worker ID kosong",""),IF($D782="","Update Date kosong",IF(NOT(ISNUMBER($D782)),"Update Date bukan tanggal","")),IF($E782="","Song ID YT kosong",""),IF($F782="","Judul kosong",""),IF(TRIM($G782)="","",IF(ISERROR(MATCH(TRIM($G782),{"TuneCore","DistroKid","TooLost","SoundOn","Ditto","Believe","CD Baby","Amuse","Symphonic Distribution","ONErpm","RouteNote","LANDR","Horus Music","Indie"},0)),"Aggregator di luar daftar","")),IF(TRIM($H782)="","Genre kosong",IF((LEN(SUBSTITUTE(SUBSTITUTE(SUBSTITUTE(TRIM($H782),"/",","),";",",")," ",""))-LEN(SUBSTITUTE(SUBSTITUTE(SUBSTITUTE(SUBSTITUTE(TRIM($H782),"/",","),";",","),"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782),"/",","),";",",")," ","")&amp;",")))&lt;&gt;(LEN(SUBSTITUTE(SUBSTITUTE(SUBSTITUTE(TRIM($H782),"/",","),";",",")," ",""))-LEN(SUBSTITUTE(SUBSTITUTE(SUBSTITUTE(SUBSTITUTE(TRIM($H782),"/",","),";",",")," ",""),",",""))+1),"Genre di luar daftar",""))),IF($I782="","Nama Channel kosong",""),IF($J782="","Link Channel kosong",IF(ISERROR(SEARCH("youtu",$J782)),"Link Channel bukan youtube","")),IF($K782="","Link Video kosong",IF(ISERROR(SEARCH("youtu",$K782)),"Link Video bukan youtube","")),IF($L782="","Tgl Dibuat kosong",IF(NOT(ISNUMBER($L782)),"Tgl Dibuat bukan tanggal","")),IF(AND($M782&lt;&gt;"",NOT(ISNUMBER($M782))),"Tgl Publish bukan tanggal",""),IF(AND(ISNUMBER($L782),ISNUMBER($M782),$M782&lt;$L782),"Tgl Publish &lt; Tgl buat",""),IF(TRIM($N782)="","Status kosong",IF(ISERROR(MATCH(TRIM($N782),{"Draft","Menunggu Review","Revisi","Terjadwal","Upload","Publish","Published","Batal"},0)),"Status di luar daftar","")))),""))</f>
        <v/>
      </c>
      <c r="S782" s="17">
        <f>IF(AND($A782&lt;&gt;"",$C782&lt;&gt;""),IF(COUNTIFS($A$2:$A$1000,$A782,$C$2:$C$1000,$C782)&gt;1,"DUPLICAT",""),"")</f>
        <v/>
      </c>
    </row>
    <row r="783">
      <c r="A783" s="12" t="n"/>
      <c r="B783" s="12" t="n"/>
      <c r="C783" s="12" t="n"/>
      <c r="D783" s="13" t="n"/>
      <c r="E783" s="12" t="n"/>
      <c r="F783" s="14" t="n"/>
      <c r="G783" s="12" t="n"/>
      <c r="H783" s="12" t="n"/>
      <c r="I783" s="12" t="n"/>
      <c r="J783" s="14" t="n"/>
      <c r="K783" s="14" t="n"/>
      <c r="L783" s="15" t="n"/>
      <c r="M783" s="15" t="n"/>
      <c r="N783" s="12" t="n"/>
      <c r="O783" s="12" t="n"/>
      <c r="P783" s="16">
        <f>IF(AND(ISNUMBER($L783),ISNUMBER($M783)),MAX(0,$M783-$L783),"")</f>
        <v/>
      </c>
      <c r="Q783" s="16">
        <f>IF(ISNUMBER($D783),MAX(0,TODAY()-$D783),"")</f>
        <v/>
      </c>
      <c r="R783" s="14">
        <f>IF(COUNTA($A783:$O783)=0,"",IFERROR(TRIM(TEXTJOIN(" | ",TRUE,IF($A783="","PC kosong",""),IF($C783="","Worker ID kosong",""),IF($D783="","Update Date kosong",IF(NOT(ISNUMBER($D783)),"Update Date bukan tanggal","")),IF($E783="","Song ID YT kosong",""),IF($F783="","Judul kosong",""),IF(TRIM($G783)="","",IF(ISERROR(MATCH(TRIM($G783),{"TuneCore","DistroKid","TooLost","SoundOn","Ditto","Believe","CD Baby","Amuse","Symphonic Distribution","ONErpm","RouteNote","LANDR","Horus Music","Indie"},0)),"Aggregator di luar daftar","")),IF(TRIM($H783)="","Genre kosong",IF((LEN(SUBSTITUTE(SUBSTITUTE(SUBSTITUTE(TRIM($H783),"/",","),";",",")," ",""))-LEN(SUBSTITUTE(SUBSTITUTE(SUBSTITUTE(SUBSTITUTE(TRIM($H783),"/",","),";",","),"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783),"/",","),";",",")," ","")&amp;",")))&lt;&gt;(LEN(SUBSTITUTE(SUBSTITUTE(SUBSTITUTE(TRIM($H783),"/",","),";",",")," ",""))-LEN(SUBSTITUTE(SUBSTITUTE(SUBSTITUTE(SUBSTITUTE(TRIM($H783),"/",","),";",",")," ",""),",",""))+1),"Genre di luar daftar",""))),IF($I783="","Nama Channel kosong",""),IF($J783="","Link Channel kosong",IF(ISERROR(SEARCH("youtu",$J783)),"Link Channel bukan youtube","")),IF($K783="","Link Video kosong",IF(ISERROR(SEARCH("youtu",$K783)),"Link Video bukan youtube","")),IF($L783="","Tgl Dibuat kosong",IF(NOT(ISNUMBER($L783)),"Tgl Dibuat bukan tanggal","")),IF(AND($M783&lt;&gt;"",NOT(ISNUMBER($M783))),"Tgl Publish bukan tanggal",""),IF(AND(ISNUMBER($L783),ISNUMBER($M783),$M783&lt;$L783),"Tgl Publish &lt; Tgl buat",""),IF(TRIM($N783)="","Status kosong",IF(ISERROR(MATCH(TRIM($N783),{"Draft","Menunggu Review","Revisi","Terjadwal","Upload","Publish","Published","Batal"},0)),"Status di luar daftar","")))),""))</f>
        <v/>
      </c>
      <c r="S783" s="12">
        <f>IF(AND($A783&lt;&gt;"",$C783&lt;&gt;""),IF(COUNTIFS($A$2:$A$1000,$A783,$C$2:$C$1000,$C783)&gt;1,"DUPLICAT",""),"")</f>
        <v/>
      </c>
    </row>
    <row r="784">
      <c r="A784" s="17" t="n"/>
      <c r="B784" s="17" t="n"/>
      <c r="C784" s="17" t="n"/>
      <c r="D784" s="18" t="n"/>
      <c r="E784" s="17" t="n"/>
      <c r="F784" s="19" t="n"/>
      <c r="G784" s="17" t="n"/>
      <c r="H784" s="17" t="n"/>
      <c r="I784" s="17" t="n"/>
      <c r="J784" s="19" t="n"/>
      <c r="K784" s="19" t="n"/>
      <c r="L784" s="20" t="n"/>
      <c r="M784" s="20" t="n"/>
      <c r="N784" s="17" t="n"/>
      <c r="O784" s="17" t="n"/>
      <c r="P784" s="21">
        <f>IF(AND(ISNUMBER($L784),ISNUMBER($M784)),MAX(0,$M784-$L784),"")</f>
        <v/>
      </c>
      <c r="Q784" s="21">
        <f>IF(ISNUMBER($D784),MAX(0,TODAY()-$D784),"")</f>
        <v/>
      </c>
      <c r="R784" s="19">
        <f>IF(COUNTA($A784:$O784)=0,"",IFERROR(TRIM(TEXTJOIN(" | ",TRUE,IF($A784="","PC kosong",""),IF($C784="","Worker ID kosong",""),IF($D784="","Update Date kosong",IF(NOT(ISNUMBER($D784)),"Update Date bukan tanggal","")),IF($E784="","Song ID YT kosong",""),IF($F784="","Judul kosong",""),IF(TRIM($G784)="","",IF(ISERROR(MATCH(TRIM($G784),{"TuneCore","DistroKid","TooLost","SoundOn","Ditto","Believe","CD Baby","Amuse","Symphonic Distribution","ONErpm","RouteNote","LANDR","Horus Music","Indie"},0)),"Aggregator di luar daftar","")),IF(TRIM($H784)="","Genre kosong",IF((LEN(SUBSTITUTE(SUBSTITUTE(SUBSTITUTE(TRIM($H784),"/",","),";",",")," ",""))-LEN(SUBSTITUTE(SUBSTITUTE(SUBSTITUTE(SUBSTITUTE(TRIM($H784),"/",","),";",","),"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784),"/",","),";",",")," ","")&amp;",")))&lt;&gt;(LEN(SUBSTITUTE(SUBSTITUTE(SUBSTITUTE(TRIM($H784),"/",","),";",",")," ",""))-LEN(SUBSTITUTE(SUBSTITUTE(SUBSTITUTE(SUBSTITUTE(TRIM($H784),"/",","),";",",")," ",""),",",""))+1),"Genre di luar daftar",""))),IF($I784="","Nama Channel kosong",""),IF($J784="","Link Channel kosong",IF(ISERROR(SEARCH("youtu",$J784)),"Link Channel bukan youtube","")),IF($K784="","Link Video kosong",IF(ISERROR(SEARCH("youtu",$K784)),"Link Video bukan youtube","")),IF($L784="","Tgl Dibuat kosong",IF(NOT(ISNUMBER($L784)),"Tgl Dibuat bukan tanggal","")),IF(AND($M784&lt;&gt;"",NOT(ISNUMBER($M784))),"Tgl Publish bukan tanggal",""),IF(AND(ISNUMBER($L784),ISNUMBER($M784),$M784&lt;$L784),"Tgl Publish &lt; Tgl buat",""),IF(TRIM($N784)="","Status kosong",IF(ISERROR(MATCH(TRIM($N784),{"Draft","Menunggu Review","Revisi","Terjadwal","Upload","Publish","Published","Batal"},0)),"Status di luar daftar","")))),""))</f>
        <v/>
      </c>
      <c r="S784" s="17">
        <f>IF(AND($A784&lt;&gt;"",$C784&lt;&gt;""),IF(COUNTIFS($A$2:$A$1000,$A784,$C$2:$C$1000,$C784)&gt;1,"DUPLICAT",""),"")</f>
        <v/>
      </c>
    </row>
    <row r="785">
      <c r="A785" s="12" t="n"/>
      <c r="B785" s="12" t="n"/>
      <c r="C785" s="12" t="n"/>
      <c r="D785" s="13" t="n"/>
      <c r="E785" s="12" t="n"/>
      <c r="F785" s="14" t="n"/>
      <c r="G785" s="12" t="n"/>
      <c r="H785" s="12" t="n"/>
      <c r="I785" s="12" t="n"/>
      <c r="J785" s="14" t="n"/>
      <c r="K785" s="14" t="n"/>
      <c r="L785" s="15" t="n"/>
      <c r="M785" s="15" t="n"/>
      <c r="N785" s="12" t="n"/>
      <c r="O785" s="12" t="n"/>
      <c r="P785" s="16">
        <f>IF(AND(ISNUMBER($L785),ISNUMBER($M785)),MAX(0,$M785-$L785),"")</f>
        <v/>
      </c>
      <c r="Q785" s="16">
        <f>IF(ISNUMBER($D785),MAX(0,TODAY()-$D785),"")</f>
        <v/>
      </c>
      <c r="R785" s="14">
        <f>IF(COUNTA($A785:$O785)=0,"",IFERROR(TRIM(TEXTJOIN(" | ",TRUE,IF($A785="","PC kosong",""),IF($C785="","Worker ID kosong",""),IF($D785="","Update Date kosong",IF(NOT(ISNUMBER($D785)),"Update Date bukan tanggal","")),IF($E785="","Song ID YT kosong",""),IF($F785="","Judul kosong",""),IF(TRIM($G785)="","",IF(ISERROR(MATCH(TRIM($G785),{"TuneCore","DistroKid","TooLost","SoundOn","Ditto","Believe","CD Baby","Amuse","Symphonic Distribution","ONErpm","RouteNote","LANDR","Horus Music","Indie"},0)),"Aggregator di luar daftar","")),IF(TRIM($H785)="","Genre kosong",IF((LEN(SUBSTITUTE(SUBSTITUTE(SUBSTITUTE(TRIM($H785),"/",","),";",",")," ",""))-LEN(SUBSTITUTE(SUBSTITUTE(SUBSTITUTE(SUBSTITUTE(TRIM($H785),"/",","),";",","),"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785),"/",","),";",",")," ","")&amp;",")))&lt;&gt;(LEN(SUBSTITUTE(SUBSTITUTE(SUBSTITUTE(TRIM($H785),"/",","),";",",")," ",""))-LEN(SUBSTITUTE(SUBSTITUTE(SUBSTITUTE(SUBSTITUTE(TRIM($H785),"/",","),";",",")," ",""),",",""))+1),"Genre di luar daftar",""))),IF($I785="","Nama Channel kosong",""),IF($J785="","Link Channel kosong",IF(ISERROR(SEARCH("youtu",$J785)),"Link Channel bukan youtube","")),IF($K785="","Link Video kosong",IF(ISERROR(SEARCH("youtu",$K785)),"Link Video bukan youtube","")),IF($L785="","Tgl Dibuat kosong",IF(NOT(ISNUMBER($L785)),"Tgl Dibuat bukan tanggal","")),IF(AND($M785&lt;&gt;"",NOT(ISNUMBER($M785))),"Tgl Publish bukan tanggal",""),IF(AND(ISNUMBER($L785),ISNUMBER($M785),$M785&lt;$L785),"Tgl Publish &lt; Tgl buat",""),IF(TRIM($N785)="","Status kosong",IF(ISERROR(MATCH(TRIM($N785),{"Draft","Menunggu Review","Revisi","Terjadwal","Upload","Publish","Published","Batal"},0)),"Status di luar daftar","")))),""))</f>
        <v/>
      </c>
      <c r="S785" s="12">
        <f>IF(AND($A785&lt;&gt;"",$C785&lt;&gt;""),IF(COUNTIFS($A$2:$A$1000,$A785,$C$2:$C$1000,$C785)&gt;1,"DUPLICAT",""),"")</f>
        <v/>
      </c>
    </row>
    <row r="786">
      <c r="A786" s="17" t="n"/>
      <c r="B786" s="17" t="n"/>
      <c r="C786" s="17" t="n"/>
      <c r="D786" s="18" t="n"/>
      <c r="E786" s="17" t="n"/>
      <c r="F786" s="19" t="n"/>
      <c r="G786" s="17" t="n"/>
      <c r="H786" s="17" t="n"/>
      <c r="I786" s="17" t="n"/>
      <c r="J786" s="19" t="n"/>
      <c r="K786" s="19" t="n"/>
      <c r="L786" s="20" t="n"/>
      <c r="M786" s="20" t="n"/>
      <c r="N786" s="17" t="n"/>
      <c r="O786" s="17" t="n"/>
      <c r="P786" s="21">
        <f>IF(AND(ISNUMBER($L786),ISNUMBER($M786)),MAX(0,$M786-$L786),"")</f>
        <v/>
      </c>
      <c r="Q786" s="21">
        <f>IF(ISNUMBER($D786),MAX(0,TODAY()-$D786),"")</f>
        <v/>
      </c>
      <c r="R786" s="19">
        <f>IF(COUNTA($A786:$O786)=0,"",IFERROR(TRIM(TEXTJOIN(" | ",TRUE,IF($A786="","PC kosong",""),IF($C786="","Worker ID kosong",""),IF($D786="","Update Date kosong",IF(NOT(ISNUMBER($D786)),"Update Date bukan tanggal","")),IF($E786="","Song ID YT kosong",""),IF($F786="","Judul kosong",""),IF(TRIM($G786)="","",IF(ISERROR(MATCH(TRIM($G786),{"TuneCore","DistroKid","TooLost","SoundOn","Ditto","Believe","CD Baby","Amuse","Symphonic Distribution","ONErpm","RouteNote","LANDR","Horus Music","Indie"},0)),"Aggregator di luar daftar","")),IF(TRIM($H786)="","Genre kosong",IF((LEN(SUBSTITUTE(SUBSTITUTE(SUBSTITUTE(TRIM($H786),"/",","),";",",")," ",""))-LEN(SUBSTITUTE(SUBSTITUTE(SUBSTITUTE(SUBSTITUTE(TRIM($H786),"/",","),";",","),"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786),"/",","),";",",")," ","")&amp;",")))&lt;&gt;(LEN(SUBSTITUTE(SUBSTITUTE(SUBSTITUTE(TRIM($H786),"/",","),";",",")," ",""))-LEN(SUBSTITUTE(SUBSTITUTE(SUBSTITUTE(SUBSTITUTE(TRIM($H786),"/",","),";",",")," ",""),",",""))+1),"Genre di luar daftar",""))),IF($I786="","Nama Channel kosong",""),IF($J786="","Link Channel kosong",IF(ISERROR(SEARCH("youtu",$J786)),"Link Channel bukan youtube","")),IF($K786="","Link Video kosong",IF(ISERROR(SEARCH("youtu",$K786)),"Link Video bukan youtube","")),IF($L786="","Tgl Dibuat kosong",IF(NOT(ISNUMBER($L786)),"Tgl Dibuat bukan tanggal","")),IF(AND($M786&lt;&gt;"",NOT(ISNUMBER($M786))),"Tgl Publish bukan tanggal",""),IF(AND(ISNUMBER($L786),ISNUMBER($M786),$M786&lt;$L786),"Tgl Publish &lt; Tgl buat",""),IF(TRIM($N786)="","Status kosong",IF(ISERROR(MATCH(TRIM($N786),{"Draft","Menunggu Review","Revisi","Terjadwal","Upload","Publish","Published","Batal"},0)),"Status di luar daftar","")))),""))</f>
        <v/>
      </c>
      <c r="S786" s="17">
        <f>IF(AND($A786&lt;&gt;"",$C786&lt;&gt;""),IF(COUNTIFS($A$2:$A$1000,$A786,$C$2:$C$1000,$C786)&gt;1,"DUPLICAT",""),"")</f>
        <v/>
      </c>
    </row>
    <row r="787">
      <c r="A787" s="12" t="n"/>
      <c r="B787" s="12" t="n"/>
      <c r="C787" s="12" t="n"/>
      <c r="D787" s="13" t="n"/>
      <c r="E787" s="12" t="n"/>
      <c r="F787" s="14" t="n"/>
      <c r="G787" s="12" t="n"/>
      <c r="H787" s="12" t="n"/>
      <c r="I787" s="12" t="n"/>
      <c r="J787" s="14" t="n"/>
      <c r="K787" s="14" t="n"/>
      <c r="L787" s="15" t="n"/>
      <c r="M787" s="15" t="n"/>
      <c r="N787" s="12" t="n"/>
      <c r="O787" s="12" t="n"/>
      <c r="P787" s="16">
        <f>IF(AND(ISNUMBER($L787),ISNUMBER($M787)),MAX(0,$M787-$L787),"")</f>
        <v/>
      </c>
      <c r="Q787" s="16">
        <f>IF(ISNUMBER($D787),MAX(0,TODAY()-$D787),"")</f>
        <v/>
      </c>
      <c r="R787" s="14">
        <f>IF(COUNTA($A787:$O787)=0,"",IFERROR(TRIM(TEXTJOIN(" | ",TRUE,IF($A787="","PC kosong",""),IF($C787="","Worker ID kosong",""),IF($D787="","Update Date kosong",IF(NOT(ISNUMBER($D787)),"Update Date bukan tanggal","")),IF($E787="","Song ID YT kosong",""),IF($F787="","Judul kosong",""),IF(TRIM($G787)="","",IF(ISERROR(MATCH(TRIM($G787),{"TuneCore","DistroKid","TooLost","SoundOn","Ditto","Believe","CD Baby","Amuse","Symphonic Distribution","ONErpm","RouteNote","LANDR","Horus Music","Indie"},0)),"Aggregator di luar daftar","")),IF(TRIM($H787)="","Genre kosong",IF((LEN(SUBSTITUTE(SUBSTITUTE(SUBSTITUTE(TRIM($H787),"/",","),";",",")," ",""))-LEN(SUBSTITUTE(SUBSTITUTE(SUBSTITUTE(SUBSTITUTE(TRIM($H787),"/",","),";",","),"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787),"/",","),";",",")," ","")&amp;",")))&lt;&gt;(LEN(SUBSTITUTE(SUBSTITUTE(SUBSTITUTE(TRIM($H787),"/",","),";",",")," ",""))-LEN(SUBSTITUTE(SUBSTITUTE(SUBSTITUTE(SUBSTITUTE(TRIM($H787),"/",","),";",",")," ",""),",",""))+1),"Genre di luar daftar",""))),IF($I787="","Nama Channel kosong",""),IF($J787="","Link Channel kosong",IF(ISERROR(SEARCH("youtu",$J787)),"Link Channel bukan youtube","")),IF($K787="","Link Video kosong",IF(ISERROR(SEARCH("youtu",$K787)),"Link Video bukan youtube","")),IF($L787="","Tgl Dibuat kosong",IF(NOT(ISNUMBER($L787)),"Tgl Dibuat bukan tanggal","")),IF(AND($M787&lt;&gt;"",NOT(ISNUMBER($M787))),"Tgl Publish bukan tanggal",""),IF(AND(ISNUMBER($L787),ISNUMBER($M787),$M787&lt;$L787),"Tgl Publish &lt; Tgl buat",""),IF(TRIM($N787)="","Status kosong",IF(ISERROR(MATCH(TRIM($N787),{"Draft","Menunggu Review","Revisi","Terjadwal","Upload","Publish","Published","Batal"},0)),"Status di luar daftar","")))),""))</f>
        <v/>
      </c>
      <c r="S787" s="12">
        <f>IF(AND($A787&lt;&gt;"",$C787&lt;&gt;""),IF(COUNTIFS($A$2:$A$1000,$A787,$C$2:$C$1000,$C787)&gt;1,"DUPLICAT",""),"")</f>
        <v/>
      </c>
    </row>
    <row r="788">
      <c r="A788" s="17" t="n"/>
      <c r="B788" s="17" t="n"/>
      <c r="C788" s="17" t="n"/>
      <c r="D788" s="18" t="n"/>
      <c r="E788" s="17" t="n"/>
      <c r="F788" s="19" t="n"/>
      <c r="G788" s="17" t="n"/>
      <c r="H788" s="17" t="n"/>
      <c r="I788" s="17" t="n"/>
      <c r="J788" s="19" t="n"/>
      <c r="K788" s="19" t="n"/>
      <c r="L788" s="20" t="n"/>
      <c r="M788" s="20" t="n"/>
      <c r="N788" s="17" t="n"/>
      <c r="O788" s="17" t="n"/>
      <c r="P788" s="21">
        <f>IF(AND(ISNUMBER($L788),ISNUMBER($M788)),MAX(0,$M788-$L788),"")</f>
        <v/>
      </c>
      <c r="Q788" s="21">
        <f>IF(ISNUMBER($D788),MAX(0,TODAY()-$D788),"")</f>
        <v/>
      </c>
      <c r="R788" s="19">
        <f>IF(COUNTA($A788:$O788)=0,"",IFERROR(TRIM(TEXTJOIN(" | ",TRUE,IF($A788="","PC kosong",""),IF($C788="","Worker ID kosong",""),IF($D788="","Update Date kosong",IF(NOT(ISNUMBER($D788)),"Update Date bukan tanggal","")),IF($E788="","Song ID YT kosong",""),IF($F788="","Judul kosong",""),IF(TRIM($G788)="","",IF(ISERROR(MATCH(TRIM($G788),{"TuneCore","DistroKid","TooLost","SoundOn","Ditto","Believe","CD Baby","Amuse","Symphonic Distribution","ONErpm","RouteNote","LANDR","Horus Music","Indie"},0)),"Aggregator di luar daftar","")),IF(TRIM($H788)="","Genre kosong",IF((LEN(SUBSTITUTE(SUBSTITUTE(SUBSTITUTE(TRIM($H788),"/",","),";",",")," ",""))-LEN(SUBSTITUTE(SUBSTITUTE(SUBSTITUTE(SUBSTITUTE(TRIM($H788),"/",","),";",","),"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788),"/",","),";",",")," ","")&amp;",")))&lt;&gt;(LEN(SUBSTITUTE(SUBSTITUTE(SUBSTITUTE(TRIM($H788),"/",","),";",",")," ",""))-LEN(SUBSTITUTE(SUBSTITUTE(SUBSTITUTE(SUBSTITUTE(TRIM($H788),"/",","),";",",")," ",""),",",""))+1),"Genre di luar daftar",""))),IF($I788="","Nama Channel kosong",""),IF($J788="","Link Channel kosong",IF(ISERROR(SEARCH("youtu",$J788)),"Link Channel bukan youtube","")),IF($K788="","Link Video kosong",IF(ISERROR(SEARCH("youtu",$K788)),"Link Video bukan youtube","")),IF($L788="","Tgl Dibuat kosong",IF(NOT(ISNUMBER($L788)),"Tgl Dibuat bukan tanggal","")),IF(AND($M788&lt;&gt;"",NOT(ISNUMBER($M788))),"Tgl Publish bukan tanggal",""),IF(AND(ISNUMBER($L788),ISNUMBER($M788),$M788&lt;$L788),"Tgl Publish &lt; Tgl buat",""),IF(TRIM($N788)="","Status kosong",IF(ISERROR(MATCH(TRIM($N788),{"Draft","Menunggu Review","Revisi","Terjadwal","Upload","Publish","Published","Batal"},0)),"Status di luar daftar","")))),""))</f>
        <v/>
      </c>
      <c r="S788" s="17">
        <f>IF(AND($A788&lt;&gt;"",$C788&lt;&gt;""),IF(COUNTIFS($A$2:$A$1000,$A788,$C$2:$C$1000,$C788)&gt;1,"DUPLICAT",""),"")</f>
        <v/>
      </c>
    </row>
    <row r="789">
      <c r="A789" s="12" t="n"/>
      <c r="B789" s="12" t="n"/>
      <c r="C789" s="12" t="n"/>
      <c r="D789" s="13" t="n"/>
      <c r="E789" s="12" t="n"/>
      <c r="F789" s="14" t="n"/>
      <c r="G789" s="12" t="n"/>
      <c r="H789" s="12" t="n"/>
      <c r="I789" s="12" t="n"/>
      <c r="J789" s="14" t="n"/>
      <c r="K789" s="14" t="n"/>
      <c r="L789" s="15" t="n"/>
      <c r="M789" s="15" t="n"/>
      <c r="N789" s="12" t="n"/>
      <c r="O789" s="12" t="n"/>
      <c r="P789" s="16">
        <f>IF(AND(ISNUMBER($L789),ISNUMBER($M789)),MAX(0,$M789-$L789),"")</f>
        <v/>
      </c>
      <c r="Q789" s="16">
        <f>IF(ISNUMBER($D789),MAX(0,TODAY()-$D789),"")</f>
        <v/>
      </c>
      <c r="R789" s="14">
        <f>IF(COUNTA($A789:$O789)=0,"",IFERROR(TRIM(TEXTJOIN(" | ",TRUE,IF($A789="","PC kosong",""),IF($C789="","Worker ID kosong",""),IF($D789="","Update Date kosong",IF(NOT(ISNUMBER($D789)),"Update Date bukan tanggal","")),IF($E789="","Song ID YT kosong",""),IF($F789="","Judul kosong",""),IF(TRIM($G789)="","",IF(ISERROR(MATCH(TRIM($G789),{"TuneCore","DistroKid","TooLost","SoundOn","Ditto","Believe","CD Baby","Amuse","Symphonic Distribution","ONErpm","RouteNote","LANDR","Horus Music","Indie"},0)),"Aggregator di luar daftar","")),IF(TRIM($H789)="","Genre kosong",IF((LEN(SUBSTITUTE(SUBSTITUTE(SUBSTITUTE(TRIM($H789),"/",","),";",",")," ",""))-LEN(SUBSTITUTE(SUBSTITUTE(SUBSTITUTE(SUBSTITUTE(TRIM($H789),"/",","),";",","),"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789),"/",","),";",",")," ","")&amp;",")))&lt;&gt;(LEN(SUBSTITUTE(SUBSTITUTE(SUBSTITUTE(TRIM($H789),"/",","),";",",")," ",""))-LEN(SUBSTITUTE(SUBSTITUTE(SUBSTITUTE(SUBSTITUTE(TRIM($H789),"/",","),";",",")," ",""),",",""))+1),"Genre di luar daftar",""))),IF($I789="","Nama Channel kosong",""),IF($J789="","Link Channel kosong",IF(ISERROR(SEARCH("youtu",$J789)),"Link Channel bukan youtube","")),IF($K789="","Link Video kosong",IF(ISERROR(SEARCH("youtu",$K789)),"Link Video bukan youtube","")),IF($L789="","Tgl Dibuat kosong",IF(NOT(ISNUMBER($L789)),"Tgl Dibuat bukan tanggal","")),IF(AND($M789&lt;&gt;"",NOT(ISNUMBER($M789))),"Tgl Publish bukan tanggal",""),IF(AND(ISNUMBER($L789),ISNUMBER($M789),$M789&lt;$L789),"Tgl Publish &lt; Tgl buat",""),IF(TRIM($N789)="","Status kosong",IF(ISERROR(MATCH(TRIM($N789),{"Draft","Menunggu Review","Revisi","Terjadwal","Upload","Publish","Published","Batal"},0)),"Status di luar daftar","")))),""))</f>
        <v/>
      </c>
      <c r="S789" s="12">
        <f>IF(AND($A789&lt;&gt;"",$C789&lt;&gt;""),IF(COUNTIFS($A$2:$A$1000,$A789,$C$2:$C$1000,$C789)&gt;1,"DUPLICAT",""),"")</f>
        <v/>
      </c>
    </row>
    <row r="790">
      <c r="A790" s="17" t="n"/>
      <c r="B790" s="17" t="n"/>
      <c r="C790" s="17" t="n"/>
      <c r="D790" s="18" t="n"/>
      <c r="E790" s="17" t="n"/>
      <c r="F790" s="19" t="n"/>
      <c r="G790" s="17" t="n"/>
      <c r="H790" s="17" t="n"/>
      <c r="I790" s="17" t="n"/>
      <c r="J790" s="19" t="n"/>
      <c r="K790" s="19" t="n"/>
      <c r="L790" s="20" t="n"/>
      <c r="M790" s="20" t="n"/>
      <c r="N790" s="17" t="n"/>
      <c r="O790" s="17" t="n"/>
      <c r="P790" s="21">
        <f>IF(AND(ISNUMBER($L790),ISNUMBER($M790)),MAX(0,$M790-$L790),"")</f>
        <v/>
      </c>
      <c r="Q790" s="21">
        <f>IF(ISNUMBER($D790),MAX(0,TODAY()-$D790),"")</f>
        <v/>
      </c>
      <c r="R790" s="19">
        <f>IF(COUNTA($A790:$O790)=0,"",IFERROR(TRIM(TEXTJOIN(" | ",TRUE,IF($A790="","PC kosong",""),IF($C790="","Worker ID kosong",""),IF($D790="","Update Date kosong",IF(NOT(ISNUMBER($D790)),"Update Date bukan tanggal","")),IF($E790="","Song ID YT kosong",""),IF($F790="","Judul kosong",""),IF(TRIM($G790)="","",IF(ISERROR(MATCH(TRIM($G790),{"TuneCore","DistroKid","TooLost","SoundOn","Ditto","Believe","CD Baby","Amuse","Symphonic Distribution","ONErpm","RouteNote","LANDR","Horus Music","Indie"},0)),"Aggregator di luar daftar","")),IF(TRIM($H790)="","Genre kosong",IF((LEN(SUBSTITUTE(SUBSTITUTE(SUBSTITUTE(TRIM($H790),"/",","),";",",")," ",""))-LEN(SUBSTITUTE(SUBSTITUTE(SUBSTITUTE(SUBSTITUTE(TRIM($H790),"/",","),";",","),"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790),"/",","),";",",")," ","")&amp;",")))&lt;&gt;(LEN(SUBSTITUTE(SUBSTITUTE(SUBSTITUTE(TRIM($H790),"/",","),";",",")," ",""))-LEN(SUBSTITUTE(SUBSTITUTE(SUBSTITUTE(SUBSTITUTE(TRIM($H790),"/",","),";",",")," ",""),",",""))+1),"Genre di luar daftar",""))),IF($I790="","Nama Channel kosong",""),IF($J790="","Link Channel kosong",IF(ISERROR(SEARCH("youtu",$J790)),"Link Channel bukan youtube","")),IF($K790="","Link Video kosong",IF(ISERROR(SEARCH("youtu",$K790)),"Link Video bukan youtube","")),IF($L790="","Tgl Dibuat kosong",IF(NOT(ISNUMBER($L790)),"Tgl Dibuat bukan tanggal","")),IF(AND($M790&lt;&gt;"",NOT(ISNUMBER($M790))),"Tgl Publish bukan tanggal",""),IF(AND(ISNUMBER($L790),ISNUMBER($M790),$M790&lt;$L790),"Tgl Publish &lt; Tgl buat",""),IF(TRIM($N790)="","Status kosong",IF(ISERROR(MATCH(TRIM($N790),{"Draft","Menunggu Review","Revisi","Terjadwal","Upload","Publish","Published","Batal"},0)),"Status di luar daftar","")))),""))</f>
        <v/>
      </c>
      <c r="S790" s="17">
        <f>IF(AND($A790&lt;&gt;"",$C790&lt;&gt;""),IF(COUNTIFS($A$2:$A$1000,$A790,$C$2:$C$1000,$C790)&gt;1,"DUPLICAT",""),"")</f>
        <v/>
      </c>
    </row>
    <row r="791">
      <c r="A791" s="12" t="n"/>
      <c r="B791" s="12" t="n"/>
      <c r="C791" s="12" t="n"/>
      <c r="D791" s="13" t="n"/>
      <c r="E791" s="12" t="n"/>
      <c r="F791" s="14" t="n"/>
      <c r="G791" s="12" t="n"/>
      <c r="H791" s="12" t="n"/>
      <c r="I791" s="12" t="n"/>
      <c r="J791" s="14" t="n"/>
      <c r="K791" s="14" t="n"/>
      <c r="L791" s="15" t="n"/>
      <c r="M791" s="15" t="n"/>
      <c r="N791" s="12" t="n"/>
      <c r="O791" s="12" t="n"/>
      <c r="P791" s="16">
        <f>IF(AND(ISNUMBER($L791),ISNUMBER($M791)),MAX(0,$M791-$L791),"")</f>
        <v/>
      </c>
      <c r="Q791" s="16">
        <f>IF(ISNUMBER($D791),MAX(0,TODAY()-$D791),"")</f>
        <v/>
      </c>
      <c r="R791" s="14">
        <f>IF(COUNTA($A791:$O791)=0,"",IFERROR(TRIM(TEXTJOIN(" | ",TRUE,IF($A791="","PC kosong",""),IF($C791="","Worker ID kosong",""),IF($D791="","Update Date kosong",IF(NOT(ISNUMBER($D791)),"Update Date bukan tanggal","")),IF($E791="","Song ID YT kosong",""),IF($F791="","Judul kosong",""),IF(TRIM($G791)="","",IF(ISERROR(MATCH(TRIM($G791),{"TuneCore","DistroKid","TooLost","SoundOn","Ditto","Believe","CD Baby","Amuse","Symphonic Distribution","ONErpm","RouteNote","LANDR","Horus Music","Indie"},0)),"Aggregator di luar daftar","")),IF(TRIM($H791)="","Genre kosong",IF((LEN(SUBSTITUTE(SUBSTITUTE(SUBSTITUTE(TRIM($H791),"/",","),";",",")," ",""))-LEN(SUBSTITUTE(SUBSTITUTE(SUBSTITUTE(SUBSTITUTE(TRIM($H791),"/",","),";",","),"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791),"/",","),";",",")," ","")&amp;",")))&lt;&gt;(LEN(SUBSTITUTE(SUBSTITUTE(SUBSTITUTE(TRIM($H791),"/",","),";",",")," ",""))-LEN(SUBSTITUTE(SUBSTITUTE(SUBSTITUTE(SUBSTITUTE(TRIM($H791),"/",","),";",",")," ",""),",",""))+1),"Genre di luar daftar",""))),IF($I791="","Nama Channel kosong",""),IF($J791="","Link Channel kosong",IF(ISERROR(SEARCH("youtu",$J791)),"Link Channel bukan youtube","")),IF($K791="","Link Video kosong",IF(ISERROR(SEARCH("youtu",$K791)),"Link Video bukan youtube","")),IF($L791="","Tgl Dibuat kosong",IF(NOT(ISNUMBER($L791)),"Tgl Dibuat bukan tanggal","")),IF(AND($M791&lt;&gt;"",NOT(ISNUMBER($M791))),"Tgl Publish bukan tanggal",""),IF(AND(ISNUMBER($L791),ISNUMBER($M791),$M791&lt;$L791),"Tgl Publish &lt; Tgl buat",""),IF(TRIM($N791)="","Status kosong",IF(ISERROR(MATCH(TRIM($N791),{"Draft","Menunggu Review","Revisi","Terjadwal","Upload","Publish","Published","Batal"},0)),"Status di luar daftar","")))),""))</f>
        <v/>
      </c>
      <c r="S791" s="12">
        <f>IF(AND($A791&lt;&gt;"",$C791&lt;&gt;""),IF(COUNTIFS($A$2:$A$1000,$A791,$C$2:$C$1000,$C791)&gt;1,"DUPLICAT",""),"")</f>
        <v/>
      </c>
    </row>
    <row r="792">
      <c r="A792" s="17" t="n"/>
      <c r="B792" s="17" t="n"/>
      <c r="C792" s="17" t="n"/>
      <c r="D792" s="18" t="n"/>
      <c r="E792" s="17" t="n"/>
      <c r="F792" s="19" t="n"/>
      <c r="G792" s="17" t="n"/>
      <c r="H792" s="17" t="n"/>
      <c r="I792" s="17" t="n"/>
      <c r="J792" s="19" t="n"/>
      <c r="K792" s="19" t="n"/>
      <c r="L792" s="20" t="n"/>
      <c r="M792" s="20" t="n"/>
      <c r="N792" s="17" t="n"/>
      <c r="O792" s="17" t="n"/>
      <c r="P792" s="21">
        <f>IF(AND(ISNUMBER($L792),ISNUMBER($M792)),MAX(0,$M792-$L792),"")</f>
        <v/>
      </c>
      <c r="Q792" s="21">
        <f>IF(ISNUMBER($D792),MAX(0,TODAY()-$D792),"")</f>
        <v/>
      </c>
      <c r="R792" s="19">
        <f>IF(COUNTA($A792:$O792)=0,"",IFERROR(TRIM(TEXTJOIN(" | ",TRUE,IF($A792="","PC kosong",""),IF($C792="","Worker ID kosong",""),IF($D792="","Update Date kosong",IF(NOT(ISNUMBER($D792)),"Update Date bukan tanggal","")),IF($E792="","Song ID YT kosong",""),IF($F792="","Judul kosong",""),IF(TRIM($G792)="","",IF(ISERROR(MATCH(TRIM($G792),{"TuneCore","DistroKid","TooLost","SoundOn","Ditto","Believe","CD Baby","Amuse","Symphonic Distribution","ONErpm","RouteNote","LANDR","Horus Music","Indie"},0)),"Aggregator di luar daftar","")),IF(TRIM($H792)="","Genre kosong",IF((LEN(SUBSTITUTE(SUBSTITUTE(SUBSTITUTE(TRIM($H792),"/",","),";",",")," ",""))-LEN(SUBSTITUTE(SUBSTITUTE(SUBSTITUTE(SUBSTITUTE(TRIM($H792),"/",","),";",","),"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792),"/",","),";",",")," ","")&amp;",")))&lt;&gt;(LEN(SUBSTITUTE(SUBSTITUTE(SUBSTITUTE(TRIM($H792),"/",","),";",",")," ",""))-LEN(SUBSTITUTE(SUBSTITUTE(SUBSTITUTE(SUBSTITUTE(TRIM($H792),"/",","),";",",")," ",""),",",""))+1),"Genre di luar daftar",""))),IF($I792="","Nama Channel kosong",""),IF($J792="","Link Channel kosong",IF(ISERROR(SEARCH("youtu",$J792)),"Link Channel bukan youtube","")),IF($K792="","Link Video kosong",IF(ISERROR(SEARCH("youtu",$K792)),"Link Video bukan youtube","")),IF($L792="","Tgl Dibuat kosong",IF(NOT(ISNUMBER($L792)),"Tgl Dibuat bukan tanggal","")),IF(AND($M792&lt;&gt;"",NOT(ISNUMBER($M792))),"Tgl Publish bukan tanggal",""),IF(AND(ISNUMBER($L792),ISNUMBER($M792),$M792&lt;$L792),"Tgl Publish &lt; Tgl buat",""),IF(TRIM($N792)="","Status kosong",IF(ISERROR(MATCH(TRIM($N792),{"Draft","Menunggu Review","Revisi","Terjadwal","Upload","Publish","Published","Batal"},0)),"Status di luar daftar","")))),""))</f>
        <v/>
      </c>
      <c r="S792" s="17">
        <f>IF(AND($A792&lt;&gt;"",$C792&lt;&gt;""),IF(COUNTIFS($A$2:$A$1000,$A792,$C$2:$C$1000,$C792)&gt;1,"DUPLICAT",""),"")</f>
        <v/>
      </c>
    </row>
    <row r="793">
      <c r="A793" s="12" t="n"/>
      <c r="B793" s="12" t="n"/>
      <c r="C793" s="12" t="n"/>
      <c r="D793" s="13" t="n"/>
      <c r="E793" s="12" t="n"/>
      <c r="F793" s="14" t="n"/>
      <c r="G793" s="12" t="n"/>
      <c r="H793" s="12" t="n"/>
      <c r="I793" s="12" t="n"/>
      <c r="J793" s="14" t="n"/>
      <c r="K793" s="14" t="n"/>
      <c r="L793" s="15" t="n"/>
      <c r="M793" s="15" t="n"/>
      <c r="N793" s="12" t="n"/>
      <c r="O793" s="12" t="n"/>
      <c r="P793" s="16">
        <f>IF(AND(ISNUMBER($L793),ISNUMBER($M793)),MAX(0,$M793-$L793),"")</f>
        <v/>
      </c>
      <c r="Q793" s="16">
        <f>IF(ISNUMBER($D793),MAX(0,TODAY()-$D793),"")</f>
        <v/>
      </c>
      <c r="R793" s="14">
        <f>IF(COUNTA($A793:$O793)=0,"",IFERROR(TRIM(TEXTJOIN(" | ",TRUE,IF($A793="","PC kosong",""),IF($C793="","Worker ID kosong",""),IF($D793="","Update Date kosong",IF(NOT(ISNUMBER($D793)),"Update Date bukan tanggal","")),IF($E793="","Song ID YT kosong",""),IF($F793="","Judul kosong",""),IF(TRIM($G793)="","",IF(ISERROR(MATCH(TRIM($G793),{"TuneCore","DistroKid","TooLost","SoundOn","Ditto","Believe","CD Baby","Amuse","Symphonic Distribution","ONErpm","RouteNote","LANDR","Horus Music","Indie"},0)),"Aggregator di luar daftar","")),IF(TRIM($H793)="","Genre kosong",IF((LEN(SUBSTITUTE(SUBSTITUTE(SUBSTITUTE(TRIM($H793),"/",","),";",",")," ",""))-LEN(SUBSTITUTE(SUBSTITUTE(SUBSTITUTE(SUBSTITUTE(TRIM($H793),"/",","),";",","),"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793),"/",","),";",",")," ","")&amp;",")))&lt;&gt;(LEN(SUBSTITUTE(SUBSTITUTE(SUBSTITUTE(TRIM($H793),"/",","),";",",")," ",""))-LEN(SUBSTITUTE(SUBSTITUTE(SUBSTITUTE(SUBSTITUTE(TRIM($H793),"/",","),";",",")," ",""),",",""))+1),"Genre di luar daftar",""))),IF($I793="","Nama Channel kosong",""),IF($J793="","Link Channel kosong",IF(ISERROR(SEARCH("youtu",$J793)),"Link Channel bukan youtube","")),IF($K793="","Link Video kosong",IF(ISERROR(SEARCH("youtu",$K793)),"Link Video bukan youtube","")),IF($L793="","Tgl Dibuat kosong",IF(NOT(ISNUMBER($L793)),"Tgl Dibuat bukan tanggal","")),IF(AND($M793&lt;&gt;"",NOT(ISNUMBER($M793))),"Tgl Publish bukan tanggal",""),IF(AND(ISNUMBER($L793),ISNUMBER($M793),$M793&lt;$L793),"Tgl Publish &lt; Tgl buat",""),IF(TRIM($N793)="","Status kosong",IF(ISERROR(MATCH(TRIM($N793),{"Draft","Menunggu Review","Revisi","Terjadwal","Upload","Publish","Published","Batal"},0)),"Status di luar daftar","")))),""))</f>
        <v/>
      </c>
      <c r="S793" s="12">
        <f>IF(AND($A793&lt;&gt;"",$C793&lt;&gt;""),IF(COUNTIFS($A$2:$A$1000,$A793,$C$2:$C$1000,$C793)&gt;1,"DUPLICAT",""),"")</f>
        <v/>
      </c>
    </row>
    <row r="794">
      <c r="A794" s="17" t="n"/>
      <c r="B794" s="17" t="n"/>
      <c r="C794" s="17" t="n"/>
      <c r="D794" s="18" t="n"/>
      <c r="E794" s="17" t="n"/>
      <c r="F794" s="19" t="n"/>
      <c r="G794" s="17" t="n"/>
      <c r="H794" s="17" t="n"/>
      <c r="I794" s="17" t="n"/>
      <c r="J794" s="19" t="n"/>
      <c r="K794" s="19" t="n"/>
      <c r="L794" s="20" t="n"/>
      <c r="M794" s="20" t="n"/>
      <c r="N794" s="17" t="n"/>
      <c r="O794" s="17" t="n"/>
      <c r="P794" s="21">
        <f>IF(AND(ISNUMBER($L794),ISNUMBER($M794)),MAX(0,$M794-$L794),"")</f>
        <v/>
      </c>
      <c r="Q794" s="21">
        <f>IF(ISNUMBER($D794),MAX(0,TODAY()-$D794),"")</f>
        <v/>
      </c>
      <c r="R794" s="19">
        <f>IF(COUNTA($A794:$O794)=0,"",IFERROR(TRIM(TEXTJOIN(" | ",TRUE,IF($A794="","PC kosong",""),IF($C794="","Worker ID kosong",""),IF($D794="","Update Date kosong",IF(NOT(ISNUMBER($D794)),"Update Date bukan tanggal","")),IF($E794="","Song ID YT kosong",""),IF($F794="","Judul kosong",""),IF(TRIM($G794)="","",IF(ISERROR(MATCH(TRIM($G794),{"TuneCore","DistroKid","TooLost","SoundOn","Ditto","Believe","CD Baby","Amuse","Symphonic Distribution","ONErpm","RouteNote","LANDR","Horus Music","Indie"},0)),"Aggregator di luar daftar","")),IF(TRIM($H794)="","Genre kosong",IF((LEN(SUBSTITUTE(SUBSTITUTE(SUBSTITUTE(TRIM($H794),"/",","),";",",")," ",""))-LEN(SUBSTITUTE(SUBSTITUTE(SUBSTITUTE(SUBSTITUTE(TRIM($H794),"/",","),";",","),"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794),"/",","),";",",")," ","")&amp;",")))&lt;&gt;(LEN(SUBSTITUTE(SUBSTITUTE(SUBSTITUTE(TRIM($H794),"/",","),";",",")," ",""))-LEN(SUBSTITUTE(SUBSTITUTE(SUBSTITUTE(SUBSTITUTE(TRIM($H794),"/",","),";",",")," ",""),",",""))+1),"Genre di luar daftar",""))),IF($I794="","Nama Channel kosong",""),IF($J794="","Link Channel kosong",IF(ISERROR(SEARCH("youtu",$J794)),"Link Channel bukan youtube","")),IF($K794="","Link Video kosong",IF(ISERROR(SEARCH("youtu",$K794)),"Link Video bukan youtube","")),IF($L794="","Tgl Dibuat kosong",IF(NOT(ISNUMBER($L794)),"Tgl Dibuat bukan tanggal","")),IF(AND($M794&lt;&gt;"",NOT(ISNUMBER($M794))),"Tgl Publish bukan tanggal",""),IF(AND(ISNUMBER($L794),ISNUMBER($M794),$M794&lt;$L794),"Tgl Publish &lt; Tgl buat",""),IF(TRIM($N794)="","Status kosong",IF(ISERROR(MATCH(TRIM($N794),{"Draft","Menunggu Review","Revisi","Terjadwal","Upload","Publish","Published","Batal"},0)),"Status di luar daftar","")))),""))</f>
        <v/>
      </c>
      <c r="S794" s="17">
        <f>IF(AND($A794&lt;&gt;"",$C794&lt;&gt;""),IF(COUNTIFS($A$2:$A$1000,$A794,$C$2:$C$1000,$C794)&gt;1,"DUPLICAT",""),"")</f>
        <v/>
      </c>
    </row>
    <row r="795">
      <c r="A795" s="12" t="n"/>
      <c r="B795" s="12" t="n"/>
      <c r="C795" s="12" t="n"/>
      <c r="D795" s="13" t="n"/>
      <c r="E795" s="12" t="n"/>
      <c r="F795" s="14" t="n"/>
      <c r="G795" s="12" t="n"/>
      <c r="H795" s="12" t="n"/>
      <c r="I795" s="12" t="n"/>
      <c r="J795" s="14" t="n"/>
      <c r="K795" s="14" t="n"/>
      <c r="L795" s="15" t="n"/>
      <c r="M795" s="15" t="n"/>
      <c r="N795" s="12" t="n"/>
      <c r="O795" s="12" t="n"/>
      <c r="P795" s="16">
        <f>IF(AND(ISNUMBER($L795),ISNUMBER($M795)),MAX(0,$M795-$L795),"")</f>
        <v/>
      </c>
      <c r="Q795" s="16">
        <f>IF(ISNUMBER($D795),MAX(0,TODAY()-$D795),"")</f>
        <v/>
      </c>
      <c r="R795" s="14">
        <f>IF(COUNTA($A795:$O795)=0,"",IFERROR(TRIM(TEXTJOIN(" | ",TRUE,IF($A795="","PC kosong",""),IF($C795="","Worker ID kosong",""),IF($D795="","Update Date kosong",IF(NOT(ISNUMBER($D795)),"Update Date bukan tanggal","")),IF($E795="","Song ID YT kosong",""),IF($F795="","Judul kosong",""),IF(TRIM($G795)="","",IF(ISERROR(MATCH(TRIM($G795),{"TuneCore","DistroKid","TooLost","SoundOn","Ditto","Believe","CD Baby","Amuse","Symphonic Distribution","ONErpm","RouteNote","LANDR","Horus Music","Indie"},0)),"Aggregator di luar daftar","")),IF(TRIM($H795)="","Genre kosong",IF((LEN(SUBSTITUTE(SUBSTITUTE(SUBSTITUTE(TRIM($H795),"/",","),";",",")," ",""))-LEN(SUBSTITUTE(SUBSTITUTE(SUBSTITUTE(SUBSTITUTE(TRIM($H795),"/",","),";",","),"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795),"/",","),";",",")," ","")&amp;",")))&lt;&gt;(LEN(SUBSTITUTE(SUBSTITUTE(SUBSTITUTE(TRIM($H795),"/",","),";",",")," ",""))-LEN(SUBSTITUTE(SUBSTITUTE(SUBSTITUTE(SUBSTITUTE(TRIM($H795),"/",","),";",",")," ",""),",",""))+1),"Genre di luar daftar",""))),IF($I795="","Nama Channel kosong",""),IF($J795="","Link Channel kosong",IF(ISERROR(SEARCH("youtu",$J795)),"Link Channel bukan youtube","")),IF($K795="","Link Video kosong",IF(ISERROR(SEARCH("youtu",$K795)),"Link Video bukan youtube","")),IF($L795="","Tgl Dibuat kosong",IF(NOT(ISNUMBER($L795)),"Tgl Dibuat bukan tanggal","")),IF(AND($M795&lt;&gt;"",NOT(ISNUMBER($M795))),"Tgl Publish bukan tanggal",""),IF(AND(ISNUMBER($L795),ISNUMBER($M795),$M795&lt;$L795),"Tgl Publish &lt; Tgl buat",""),IF(TRIM($N795)="","Status kosong",IF(ISERROR(MATCH(TRIM($N795),{"Draft","Menunggu Review","Revisi","Terjadwal","Upload","Publish","Published","Batal"},0)),"Status di luar daftar","")))),""))</f>
        <v/>
      </c>
      <c r="S795" s="12">
        <f>IF(AND($A795&lt;&gt;"",$C795&lt;&gt;""),IF(COUNTIFS($A$2:$A$1000,$A795,$C$2:$C$1000,$C795)&gt;1,"DUPLICAT",""),"")</f>
        <v/>
      </c>
    </row>
    <row r="796">
      <c r="A796" s="17" t="n"/>
      <c r="B796" s="17" t="n"/>
      <c r="C796" s="17" t="n"/>
      <c r="D796" s="18" t="n"/>
      <c r="E796" s="17" t="n"/>
      <c r="F796" s="19" t="n"/>
      <c r="G796" s="17" t="n"/>
      <c r="H796" s="17" t="n"/>
      <c r="I796" s="17" t="n"/>
      <c r="J796" s="19" t="n"/>
      <c r="K796" s="19" t="n"/>
      <c r="L796" s="20" t="n"/>
      <c r="M796" s="20" t="n"/>
      <c r="N796" s="17" t="n"/>
      <c r="O796" s="17" t="n"/>
      <c r="P796" s="21">
        <f>IF(AND(ISNUMBER($L796),ISNUMBER($M796)),MAX(0,$M796-$L796),"")</f>
        <v/>
      </c>
      <c r="Q796" s="21">
        <f>IF(ISNUMBER($D796),MAX(0,TODAY()-$D796),"")</f>
        <v/>
      </c>
      <c r="R796" s="19">
        <f>IF(COUNTA($A796:$O796)=0,"",IFERROR(TRIM(TEXTJOIN(" | ",TRUE,IF($A796="","PC kosong",""),IF($C796="","Worker ID kosong",""),IF($D796="","Update Date kosong",IF(NOT(ISNUMBER($D796)),"Update Date bukan tanggal","")),IF($E796="","Song ID YT kosong",""),IF($F796="","Judul kosong",""),IF(TRIM($G796)="","",IF(ISERROR(MATCH(TRIM($G796),{"TuneCore","DistroKid","TooLost","SoundOn","Ditto","Believe","CD Baby","Amuse","Symphonic Distribution","ONErpm","RouteNote","LANDR","Horus Music","Indie"},0)),"Aggregator di luar daftar","")),IF(TRIM($H796)="","Genre kosong",IF((LEN(SUBSTITUTE(SUBSTITUTE(SUBSTITUTE(TRIM($H796),"/",","),";",",")," ",""))-LEN(SUBSTITUTE(SUBSTITUTE(SUBSTITUTE(SUBSTITUTE(TRIM($H796),"/",","),";",","),"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796),"/",","),";",",")," ","")&amp;",")))&lt;&gt;(LEN(SUBSTITUTE(SUBSTITUTE(SUBSTITUTE(TRIM($H796),"/",","),";",",")," ",""))-LEN(SUBSTITUTE(SUBSTITUTE(SUBSTITUTE(SUBSTITUTE(TRIM($H796),"/",","),";",",")," ",""),",",""))+1),"Genre di luar daftar",""))),IF($I796="","Nama Channel kosong",""),IF($J796="","Link Channel kosong",IF(ISERROR(SEARCH("youtu",$J796)),"Link Channel bukan youtube","")),IF($K796="","Link Video kosong",IF(ISERROR(SEARCH("youtu",$K796)),"Link Video bukan youtube","")),IF($L796="","Tgl Dibuat kosong",IF(NOT(ISNUMBER($L796)),"Tgl Dibuat bukan tanggal","")),IF(AND($M796&lt;&gt;"",NOT(ISNUMBER($M796))),"Tgl Publish bukan tanggal",""),IF(AND(ISNUMBER($L796),ISNUMBER($M796),$M796&lt;$L796),"Tgl Publish &lt; Tgl buat",""),IF(TRIM($N796)="","Status kosong",IF(ISERROR(MATCH(TRIM($N796),{"Draft","Menunggu Review","Revisi","Terjadwal","Upload","Publish","Published","Batal"},0)),"Status di luar daftar","")))),""))</f>
        <v/>
      </c>
      <c r="S796" s="17">
        <f>IF(AND($A796&lt;&gt;"",$C796&lt;&gt;""),IF(COUNTIFS($A$2:$A$1000,$A796,$C$2:$C$1000,$C796)&gt;1,"DUPLICAT",""),"")</f>
        <v/>
      </c>
    </row>
    <row r="797">
      <c r="A797" s="12" t="n"/>
      <c r="B797" s="12" t="n"/>
      <c r="C797" s="12" t="n"/>
      <c r="D797" s="13" t="n"/>
      <c r="E797" s="12" t="n"/>
      <c r="F797" s="14" t="n"/>
      <c r="G797" s="12" t="n"/>
      <c r="H797" s="12" t="n"/>
      <c r="I797" s="12" t="n"/>
      <c r="J797" s="14" t="n"/>
      <c r="K797" s="14" t="n"/>
      <c r="L797" s="15" t="n"/>
      <c r="M797" s="15" t="n"/>
      <c r="N797" s="12" t="n"/>
      <c r="O797" s="12" t="n"/>
      <c r="P797" s="16">
        <f>IF(AND(ISNUMBER($L797),ISNUMBER($M797)),MAX(0,$M797-$L797),"")</f>
        <v/>
      </c>
      <c r="Q797" s="16">
        <f>IF(ISNUMBER($D797),MAX(0,TODAY()-$D797),"")</f>
        <v/>
      </c>
      <c r="R797" s="14">
        <f>IF(COUNTA($A797:$O797)=0,"",IFERROR(TRIM(TEXTJOIN(" | ",TRUE,IF($A797="","PC kosong",""),IF($C797="","Worker ID kosong",""),IF($D797="","Update Date kosong",IF(NOT(ISNUMBER($D797)),"Update Date bukan tanggal","")),IF($E797="","Song ID YT kosong",""),IF($F797="","Judul kosong",""),IF(TRIM($G797)="","",IF(ISERROR(MATCH(TRIM($G797),{"TuneCore","DistroKid","TooLost","SoundOn","Ditto","Believe","CD Baby","Amuse","Symphonic Distribution","ONErpm","RouteNote","LANDR","Horus Music","Indie"},0)),"Aggregator di luar daftar","")),IF(TRIM($H797)="","Genre kosong",IF((LEN(SUBSTITUTE(SUBSTITUTE(SUBSTITUTE(TRIM($H797),"/",","),";",",")," ",""))-LEN(SUBSTITUTE(SUBSTITUTE(SUBSTITUTE(SUBSTITUTE(TRIM($H797),"/",","),";",","),"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797),"/",","),";",",")," ","")&amp;",")))&lt;&gt;(LEN(SUBSTITUTE(SUBSTITUTE(SUBSTITUTE(TRIM($H797),"/",","),";",",")," ",""))-LEN(SUBSTITUTE(SUBSTITUTE(SUBSTITUTE(SUBSTITUTE(TRIM($H797),"/",","),";",",")," ",""),",",""))+1),"Genre di luar daftar",""))),IF($I797="","Nama Channel kosong",""),IF($J797="","Link Channel kosong",IF(ISERROR(SEARCH("youtu",$J797)),"Link Channel bukan youtube","")),IF($K797="","Link Video kosong",IF(ISERROR(SEARCH("youtu",$K797)),"Link Video bukan youtube","")),IF($L797="","Tgl Dibuat kosong",IF(NOT(ISNUMBER($L797)),"Tgl Dibuat bukan tanggal","")),IF(AND($M797&lt;&gt;"",NOT(ISNUMBER($M797))),"Tgl Publish bukan tanggal",""),IF(AND(ISNUMBER($L797),ISNUMBER($M797),$M797&lt;$L797),"Tgl Publish &lt; Tgl buat",""),IF(TRIM($N797)="","Status kosong",IF(ISERROR(MATCH(TRIM($N797),{"Draft","Menunggu Review","Revisi","Terjadwal","Upload","Publish","Published","Batal"},0)),"Status di luar daftar","")))),""))</f>
        <v/>
      </c>
      <c r="S797" s="12">
        <f>IF(AND($A797&lt;&gt;"",$C797&lt;&gt;""),IF(COUNTIFS($A$2:$A$1000,$A797,$C$2:$C$1000,$C797)&gt;1,"DUPLICAT",""),"")</f>
        <v/>
      </c>
    </row>
    <row r="798">
      <c r="A798" s="17" t="n"/>
      <c r="B798" s="17" t="n"/>
      <c r="C798" s="17" t="n"/>
      <c r="D798" s="18" t="n"/>
      <c r="E798" s="17" t="n"/>
      <c r="F798" s="19" t="n"/>
      <c r="G798" s="17" t="n"/>
      <c r="H798" s="17" t="n"/>
      <c r="I798" s="17" t="n"/>
      <c r="J798" s="19" t="n"/>
      <c r="K798" s="19" t="n"/>
      <c r="L798" s="20" t="n"/>
      <c r="M798" s="20" t="n"/>
      <c r="N798" s="17" t="n"/>
      <c r="O798" s="17" t="n"/>
      <c r="P798" s="21">
        <f>IF(AND(ISNUMBER($L798),ISNUMBER($M798)),MAX(0,$M798-$L798),"")</f>
        <v/>
      </c>
      <c r="Q798" s="21">
        <f>IF(ISNUMBER($D798),MAX(0,TODAY()-$D798),"")</f>
        <v/>
      </c>
      <c r="R798" s="19">
        <f>IF(COUNTA($A798:$O798)=0,"",IFERROR(TRIM(TEXTJOIN(" | ",TRUE,IF($A798="","PC kosong",""),IF($C798="","Worker ID kosong",""),IF($D798="","Update Date kosong",IF(NOT(ISNUMBER($D798)),"Update Date bukan tanggal","")),IF($E798="","Song ID YT kosong",""),IF($F798="","Judul kosong",""),IF(TRIM($G798)="","",IF(ISERROR(MATCH(TRIM($G798),{"TuneCore","DistroKid","TooLost","SoundOn","Ditto","Believe","CD Baby","Amuse","Symphonic Distribution","ONErpm","RouteNote","LANDR","Horus Music","Indie"},0)),"Aggregator di luar daftar","")),IF(TRIM($H798)="","Genre kosong",IF((LEN(SUBSTITUTE(SUBSTITUTE(SUBSTITUTE(TRIM($H798),"/",","),";",",")," ",""))-LEN(SUBSTITUTE(SUBSTITUTE(SUBSTITUTE(SUBSTITUTE(TRIM($H798),"/",","),";",","),"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798),"/",","),";",",")," ","")&amp;",")))&lt;&gt;(LEN(SUBSTITUTE(SUBSTITUTE(SUBSTITUTE(TRIM($H798),"/",","),";",",")," ",""))-LEN(SUBSTITUTE(SUBSTITUTE(SUBSTITUTE(SUBSTITUTE(TRIM($H798),"/",","),";",",")," ",""),",",""))+1),"Genre di luar daftar",""))),IF($I798="","Nama Channel kosong",""),IF($J798="","Link Channel kosong",IF(ISERROR(SEARCH("youtu",$J798)),"Link Channel bukan youtube","")),IF($K798="","Link Video kosong",IF(ISERROR(SEARCH("youtu",$K798)),"Link Video bukan youtube","")),IF($L798="","Tgl Dibuat kosong",IF(NOT(ISNUMBER($L798)),"Tgl Dibuat bukan tanggal","")),IF(AND($M798&lt;&gt;"",NOT(ISNUMBER($M798))),"Tgl Publish bukan tanggal",""),IF(AND(ISNUMBER($L798),ISNUMBER($M798),$M798&lt;$L798),"Tgl Publish &lt; Tgl buat",""),IF(TRIM($N798)="","Status kosong",IF(ISERROR(MATCH(TRIM($N798),{"Draft","Menunggu Review","Revisi","Terjadwal","Upload","Publish","Published","Batal"},0)),"Status di luar daftar","")))),""))</f>
        <v/>
      </c>
      <c r="S798" s="17">
        <f>IF(AND($A798&lt;&gt;"",$C798&lt;&gt;""),IF(COUNTIFS($A$2:$A$1000,$A798,$C$2:$C$1000,$C798)&gt;1,"DUPLICAT",""),"")</f>
        <v/>
      </c>
    </row>
    <row r="799">
      <c r="A799" s="12" t="n"/>
      <c r="B799" s="12" t="n"/>
      <c r="C799" s="12" t="n"/>
      <c r="D799" s="13" t="n"/>
      <c r="E799" s="12" t="n"/>
      <c r="F799" s="14" t="n"/>
      <c r="G799" s="12" t="n"/>
      <c r="H799" s="12" t="n"/>
      <c r="I799" s="12" t="n"/>
      <c r="J799" s="14" t="n"/>
      <c r="K799" s="14" t="n"/>
      <c r="L799" s="15" t="n"/>
      <c r="M799" s="15" t="n"/>
      <c r="N799" s="12" t="n"/>
      <c r="O799" s="12" t="n"/>
      <c r="P799" s="16">
        <f>IF(AND(ISNUMBER($L799),ISNUMBER($M799)),MAX(0,$M799-$L799),"")</f>
        <v/>
      </c>
      <c r="Q799" s="16">
        <f>IF(ISNUMBER($D799),MAX(0,TODAY()-$D799),"")</f>
        <v/>
      </c>
      <c r="R799" s="14">
        <f>IF(COUNTA($A799:$O799)=0,"",IFERROR(TRIM(TEXTJOIN(" | ",TRUE,IF($A799="","PC kosong",""),IF($C799="","Worker ID kosong",""),IF($D799="","Update Date kosong",IF(NOT(ISNUMBER($D799)),"Update Date bukan tanggal","")),IF($E799="","Song ID YT kosong",""),IF($F799="","Judul kosong",""),IF(TRIM($G799)="","",IF(ISERROR(MATCH(TRIM($G799),{"TuneCore","DistroKid","TooLost","SoundOn","Ditto","Believe","CD Baby","Amuse","Symphonic Distribution","ONErpm","RouteNote","LANDR","Horus Music","Indie"},0)),"Aggregator di luar daftar","")),IF(TRIM($H799)="","Genre kosong",IF((LEN(SUBSTITUTE(SUBSTITUTE(SUBSTITUTE(TRIM($H799),"/",","),";",",")," ",""))-LEN(SUBSTITUTE(SUBSTITUTE(SUBSTITUTE(SUBSTITUTE(TRIM($H799),"/",","),";",","),"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799),"/",","),";",",")," ","")&amp;",")))&lt;&gt;(LEN(SUBSTITUTE(SUBSTITUTE(SUBSTITUTE(TRIM($H799),"/",","),";",",")," ",""))-LEN(SUBSTITUTE(SUBSTITUTE(SUBSTITUTE(SUBSTITUTE(TRIM($H799),"/",","),";",",")," ",""),",",""))+1),"Genre di luar daftar",""))),IF($I799="","Nama Channel kosong",""),IF($J799="","Link Channel kosong",IF(ISERROR(SEARCH("youtu",$J799)),"Link Channel bukan youtube","")),IF($K799="","Link Video kosong",IF(ISERROR(SEARCH("youtu",$K799)),"Link Video bukan youtube","")),IF($L799="","Tgl Dibuat kosong",IF(NOT(ISNUMBER($L799)),"Tgl Dibuat bukan tanggal","")),IF(AND($M799&lt;&gt;"",NOT(ISNUMBER($M799))),"Tgl Publish bukan tanggal",""),IF(AND(ISNUMBER($L799),ISNUMBER($M799),$M799&lt;$L799),"Tgl Publish &lt; Tgl buat",""),IF(TRIM($N799)="","Status kosong",IF(ISERROR(MATCH(TRIM($N799),{"Draft","Menunggu Review","Revisi","Terjadwal","Upload","Publish","Published","Batal"},0)),"Status di luar daftar","")))),""))</f>
        <v/>
      </c>
      <c r="S799" s="12">
        <f>IF(AND($A799&lt;&gt;"",$C799&lt;&gt;""),IF(COUNTIFS($A$2:$A$1000,$A799,$C$2:$C$1000,$C799)&gt;1,"DUPLICAT",""),"")</f>
        <v/>
      </c>
    </row>
    <row r="800">
      <c r="A800" s="17" t="n"/>
      <c r="B800" s="17" t="n"/>
      <c r="C800" s="17" t="n"/>
      <c r="D800" s="18" t="n"/>
      <c r="E800" s="17" t="n"/>
      <c r="F800" s="19" t="n"/>
      <c r="G800" s="17" t="n"/>
      <c r="H800" s="17" t="n"/>
      <c r="I800" s="17" t="n"/>
      <c r="J800" s="19" t="n"/>
      <c r="K800" s="19" t="n"/>
      <c r="L800" s="20" t="n"/>
      <c r="M800" s="20" t="n"/>
      <c r="N800" s="17" t="n"/>
      <c r="O800" s="17" t="n"/>
      <c r="P800" s="21">
        <f>IF(AND(ISNUMBER($L800),ISNUMBER($M800)),MAX(0,$M800-$L800),"")</f>
        <v/>
      </c>
      <c r="Q800" s="21">
        <f>IF(ISNUMBER($D800),MAX(0,TODAY()-$D800),"")</f>
        <v/>
      </c>
      <c r="R800" s="19">
        <f>IF(COUNTA($A800:$O800)=0,"",IFERROR(TRIM(TEXTJOIN(" | ",TRUE,IF($A800="","PC kosong",""),IF($C800="","Worker ID kosong",""),IF($D800="","Update Date kosong",IF(NOT(ISNUMBER($D800)),"Update Date bukan tanggal","")),IF($E800="","Song ID YT kosong",""),IF($F800="","Judul kosong",""),IF(TRIM($G800)="","",IF(ISERROR(MATCH(TRIM($G800),{"TuneCore","DistroKid","TooLost","SoundOn","Ditto","Believe","CD Baby","Amuse","Symphonic Distribution","ONErpm","RouteNote","LANDR","Horus Music","Indie"},0)),"Aggregator di luar daftar","")),IF(TRIM($H800)="","Genre kosong",IF((LEN(SUBSTITUTE(SUBSTITUTE(SUBSTITUTE(TRIM($H800),"/",","),";",",")," ",""))-LEN(SUBSTITUTE(SUBSTITUTE(SUBSTITUTE(SUBSTITUTE(TRIM($H800),"/",","),";",","),"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800),"/",","),";",",")," ","")&amp;",")))&lt;&gt;(LEN(SUBSTITUTE(SUBSTITUTE(SUBSTITUTE(TRIM($H800),"/",","),";",",")," ",""))-LEN(SUBSTITUTE(SUBSTITUTE(SUBSTITUTE(SUBSTITUTE(TRIM($H800),"/",","),";",",")," ",""),",",""))+1),"Genre di luar daftar",""))),IF($I800="","Nama Channel kosong",""),IF($J800="","Link Channel kosong",IF(ISERROR(SEARCH("youtu",$J800)),"Link Channel bukan youtube","")),IF($K800="","Link Video kosong",IF(ISERROR(SEARCH("youtu",$K800)),"Link Video bukan youtube","")),IF($L800="","Tgl Dibuat kosong",IF(NOT(ISNUMBER($L800)),"Tgl Dibuat bukan tanggal","")),IF(AND($M800&lt;&gt;"",NOT(ISNUMBER($M800))),"Tgl Publish bukan tanggal",""),IF(AND(ISNUMBER($L800),ISNUMBER($M800),$M800&lt;$L800),"Tgl Publish &lt; Tgl buat",""),IF(TRIM($N800)="","Status kosong",IF(ISERROR(MATCH(TRIM($N800),{"Draft","Menunggu Review","Revisi","Terjadwal","Upload","Publish","Published","Batal"},0)),"Status di luar daftar","")))),""))</f>
        <v/>
      </c>
      <c r="S800" s="17">
        <f>IF(AND($A800&lt;&gt;"",$C800&lt;&gt;""),IF(COUNTIFS($A$2:$A$1000,$A800,$C$2:$C$1000,$C800)&gt;1,"DUPLICAT",""),"")</f>
        <v/>
      </c>
    </row>
    <row r="801">
      <c r="A801" s="12" t="n"/>
      <c r="B801" s="12" t="n"/>
      <c r="C801" s="12" t="n"/>
      <c r="D801" s="13" t="n"/>
      <c r="E801" s="12" t="n"/>
      <c r="F801" s="14" t="n"/>
      <c r="G801" s="12" t="n"/>
      <c r="H801" s="12" t="n"/>
      <c r="I801" s="12" t="n"/>
      <c r="J801" s="14" t="n"/>
      <c r="K801" s="14" t="n"/>
      <c r="L801" s="15" t="n"/>
      <c r="M801" s="15" t="n"/>
      <c r="N801" s="12" t="n"/>
      <c r="O801" s="12" t="n"/>
      <c r="P801" s="16">
        <f>IF(AND(ISNUMBER($L801),ISNUMBER($M801)),MAX(0,$M801-$L801),"")</f>
        <v/>
      </c>
      <c r="Q801" s="16">
        <f>IF(ISNUMBER($D801),MAX(0,TODAY()-$D801),"")</f>
        <v/>
      </c>
      <c r="R801" s="14">
        <f>IF(COUNTA($A801:$O801)=0,"",IFERROR(TRIM(TEXTJOIN(" | ",TRUE,IF($A801="","PC kosong",""),IF($C801="","Worker ID kosong",""),IF($D801="","Update Date kosong",IF(NOT(ISNUMBER($D801)),"Update Date bukan tanggal","")),IF($E801="","Song ID YT kosong",""),IF($F801="","Judul kosong",""),IF(TRIM($G801)="","",IF(ISERROR(MATCH(TRIM($G801),{"TuneCore","DistroKid","TooLost","SoundOn","Ditto","Believe","CD Baby","Amuse","Symphonic Distribution","ONErpm","RouteNote","LANDR","Horus Music","Indie"},0)),"Aggregator di luar daftar","")),IF(TRIM($H801)="","Genre kosong",IF((LEN(SUBSTITUTE(SUBSTITUTE(SUBSTITUTE(TRIM($H801),"/",","),";",",")," ",""))-LEN(SUBSTITUTE(SUBSTITUTE(SUBSTITUTE(SUBSTITUTE(TRIM($H801),"/",","),";",","),"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801),"/",","),";",",")," ","")&amp;",")))&lt;&gt;(LEN(SUBSTITUTE(SUBSTITUTE(SUBSTITUTE(TRIM($H801),"/",","),";",",")," ",""))-LEN(SUBSTITUTE(SUBSTITUTE(SUBSTITUTE(SUBSTITUTE(TRIM($H801),"/",","),";",",")," ",""),",",""))+1),"Genre di luar daftar",""))),IF($I801="","Nama Channel kosong",""),IF($J801="","Link Channel kosong",IF(ISERROR(SEARCH("youtu",$J801)),"Link Channel bukan youtube","")),IF($K801="","Link Video kosong",IF(ISERROR(SEARCH("youtu",$K801)),"Link Video bukan youtube","")),IF($L801="","Tgl Dibuat kosong",IF(NOT(ISNUMBER($L801)),"Tgl Dibuat bukan tanggal","")),IF(AND($M801&lt;&gt;"",NOT(ISNUMBER($M801))),"Tgl Publish bukan tanggal",""),IF(AND(ISNUMBER($L801),ISNUMBER($M801),$M801&lt;$L801),"Tgl Publish &lt; Tgl buat",""),IF(TRIM($N801)="","Status kosong",IF(ISERROR(MATCH(TRIM($N801),{"Draft","Menunggu Review","Revisi","Terjadwal","Upload","Publish","Published","Batal"},0)),"Status di luar daftar","")))),""))</f>
        <v/>
      </c>
      <c r="S801" s="12">
        <f>IF(AND($A801&lt;&gt;"",$C801&lt;&gt;""),IF(COUNTIFS($A$2:$A$1000,$A801,$C$2:$C$1000,$C801)&gt;1,"DUPLICAT",""),"")</f>
        <v/>
      </c>
    </row>
    <row r="802">
      <c r="A802" s="17" t="n"/>
      <c r="B802" s="17" t="n"/>
      <c r="C802" s="17" t="n"/>
      <c r="D802" s="18" t="n"/>
      <c r="E802" s="17" t="n"/>
      <c r="F802" s="19" t="n"/>
      <c r="G802" s="17" t="n"/>
      <c r="H802" s="17" t="n"/>
      <c r="I802" s="17" t="n"/>
      <c r="J802" s="19" t="n"/>
      <c r="K802" s="19" t="n"/>
      <c r="L802" s="20" t="n"/>
      <c r="M802" s="20" t="n"/>
      <c r="N802" s="17" t="n"/>
      <c r="O802" s="17" t="n"/>
      <c r="P802" s="21">
        <f>IF(AND(ISNUMBER($L802),ISNUMBER($M802)),MAX(0,$M802-$L802),"")</f>
        <v/>
      </c>
      <c r="Q802" s="21">
        <f>IF(ISNUMBER($D802),MAX(0,TODAY()-$D802),"")</f>
        <v/>
      </c>
      <c r="R802" s="19">
        <f>IF(COUNTA($A802:$O802)=0,"",IFERROR(TRIM(TEXTJOIN(" | ",TRUE,IF($A802="","PC kosong",""),IF($C802="","Worker ID kosong",""),IF($D802="","Update Date kosong",IF(NOT(ISNUMBER($D802)),"Update Date bukan tanggal","")),IF($E802="","Song ID YT kosong",""),IF($F802="","Judul kosong",""),IF(TRIM($G802)="","",IF(ISERROR(MATCH(TRIM($G802),{"TuneCore","DistroKid","TooLost","SoundOn","Ditto","Believe","CD Baby","Amuse","Symphonic Distribution","ONErpm","RouteNote","LANDR","Horus Music","Indie"},0)),"Aggregator di luar daftar","")),IF(TRIM($H802)="","Genre kosong",IF((LEN(SUBSTITUTE(SUBSTITUTE(SUBSTITUTE(TRIM($H802),"/",","),";",",")," ",""))-LEN(SUBSTITUTE(SUBSTITUTE(SUBSTITUTE(SUBSTITUTE(TRIM($H802),"/",","),";",","),"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802),"/",","),";",",")," ","")&amp;",")))&lt;&gt;(LEN(SUBSTITUTE(SUBSTITUTE(SUBSTITUTE(TRIM($H802),"/",","),";",",")," ",""))-LEN(SUBSTITUTE(SUBSTITUTE(SUBSTITUTE(SUBSTITUTE(TRIM($H802),"/",","),";",",")," ",""),",",""))+1),"Genre di luar daftar",""))),IF($I802="","Nama Channel kosong",""),IF($J802="","Link Channel kosong",IF(ISERROR(SEARCH("youtu",$J802)),"Link Channel bukan youtube","")),IF($K802="","Link Video kosong",IF(ISERROR(SEARCH("youtu",$K802)),"Link Video bukan youtube","")),IF($L802="","Tgl Dibuat kosong",IF(NOT(ISNUMBER($L802)),"Tgl Dibuat bukan tanggal","")),IF(AND($M802&lt;&gt;"",NOT(ISNUMBER($M802))),"Tgl Publish bukan tanggal",""),IF(AND(ISNUMBER($L802),ISNUMBER($M802),$M802&lt;$L802),"Tgl Publish &lt; Tgl buat",""),IF(TRIM($N802)="","Status kosong",IF(ISERROR(MATCH(TRIM($N802),{"Draft","Menunggu Review","Revisi","Terjadwal","Upload","Publish","Published","Batal"},0)),"Status di luar daftar","")))),""))</f>
        <v/>
      </c>
      <c r="S802" s="17">
        <f>IF(AND($A802&lt;&gt;"",$C802&lt;&gt;""),IF(COUNTIFS($A$2:$A$1000,$A802,$C$2:$C$1000,$C802)&gt;1,"DUPLICAT",""),"")</f>
        <v/>
      </c>
    </row>
    <row r="803">
      <c r="A803" s="12" t="n"/>
      <c r="B803" s="12" t="n"/>
      <c r="C803" s="12" t="n"/>
      <c r="D803" s="13" t="n"/>
      <c r="E803" s="12" t="n"/>
      <c r="F803" s="14" t="n"/>
      <c r="G803" s="12" t="n"/>
      <c r="H803" s="12" t="n"/>
      <c r="I803" s="12" t="n"/>
      <c r="J803" s="14" t="n"/>
      <c r="K803" s="14" t="n"/>
      <c r="L803" s="15" t="n"/>
      <c r="M803" s="15" t="n"/>
      <c r="N803" s="12" t="n"/>
      <c r="O803" s="12" t="n"/>
      <c r="P803" s="16">
        <f>IF(AND(ISNUMBER($L803),ISNUMBER($M803)),MAX(0,$M803-$L803),"")</f>
        <v/>
      </c>
      <c r="Q803" s="16">
        <f>IF(ISNUMBER($D803),MAX(0,TODAY()-$D803),"")</f>
        <v/>
      </c>
      <c r="R803" s="14">
        <f>IF(COUNTA($A803:$O803)=0,"",IFERROR(TRIM(TEXTJOIN(" | ",TRUE,IF($A803="","PC kosong",""),IF($C803="","Worker ID kosong",""),IF($D803="","Update Date kosong",IF(NOT(ISNUMBER($D803)),"Update Date bukan tanggal","")),IF($E803="","Song ID YT kosong",""),IF($F803="","Judul kosong",""),IF(TRIM($G803)="","",IF(ISERROR(MATCH(TRIM($G803),{"TuneCore","DistroKid","TooLost","SoundOn","Ditto","Believe","CD Baby","Amuse","Symphonic Distribution","ONErpm","RouteNote","LANDR","Horus Music","Indie"},0)),"Aggregator di luar daftar","")),IF(TRIM($H803)="","Genre kosong",IF((LEN(SUBSTITUTE(SUBSTITUTE(SUBSTITUTE(TRIM($H803),"/",","),";",",")," ",""))-LEN(SUBSTITUTE(SUBSTITUTE(SUBSTITUTE(SUBSTITUTE(TRIM($H803),"/",","),";",","),"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803),"/",","),";",",")," ","")&amp;",")))&lt;&gt;(LEN(SUBSTITUTE(SUBSTITUTE(SUBSTITUTE(TRIM($H803),"/",","),";",",")," ",""))-LEN(SUBSTITUTE(SUBSTITUTE(SUBSTITUTE(SUBSTITUTE(TRIM($H803),"/",","),";",",")," ",""),",",""))+1),"Genre di luar daftar",""))),IF($I803="","Nama Channel kosong",""),IF($J803="","Link Channel kosong",IF(ISERROR(SEARCH("youtu",$J803)),"Link Channel bukan youtube","")),IF($K803="","Link Video kosong",IF(ISERROR(SEARCH("youtu",$K803)),"Link Video bukan youtube","")),IF($L803="","Tgl Dibuat kosong",IF(NOT(ISNUMBER($L803)),"Tgl Dibuat bukan tanggal","")),IF(AND($M803&lt;&gt;"",NOT(ISNUMBER($M803))),"Tgl Publish bukan tanggal",""),IF(AND(ISNUMBER($L803),ISNUMBER($M803),$M803&lt;$L803),"Tgl Publish &lt; Tgl buat",""),IF(TRIM($N803)="","Status kosong",IF(ISERROR(MATCH(TRIM($N803),{"Draft","Menunggu Review","Revisi","Terjadwal","Upload","Publish","Published","Batal"},0)),"Status di luar daftar","")))),""))</f>
        <v/>
      </c>
      <c r="S803" s="12">
        <f>IF(AND($A803&lt;&gt;"",$C803&lt;&gt;""),IF(COUNTIFS($A$2:$A$1000,$A803,$C$2:$C$1000,$C803)&gt;1,"DUPLICAT",""),"")</f>
        <v/>
      </c>
    </row>
    <row r="804">
      <c r="A804" s="17" t="n"/>
      <c r="B804" s="17" t="n"/>
      <c r="C804" s="17" t="n"/>
      <c r="D804" s="18" t="n"/>
      <c r="E804" s="17" t="n"/>
      <c r="F804" s="19" t="n"/>
      <c r="G804" s="17" t="n"/>
      <c r="H804" s="17" t="n"/>
      <c r="I804" s="17" t="n"/>
      <c r="J804" s="19" t="n"/>
      <c r="K804" s="19" t="n"/>
      <c r="L804" s="20" t="n"/>
      <c r="M804" s="20" t="n"/>
      <c r="N804" s="17" t="n"/>
      <c r="O804" s="17" t="n"/>
      <c r="P804" s="21">
        <f>IF(AND(ISNUMBER($L804),ISNUMBER($M804)),MAX(0,$M804-$L804),"")</f>
        <v/>
      </c>
      <c r="Q804" s="21">
        <f>IF(ISNUMBER($D804),MAX(0,TODAY()-$D804),"")</f>
        <v/>
      </c>
      <c r="R804" s="19">
        <f>IF(COUNTA($A804:$O804)=0,"",IFERROR(TRIM(TEXTJOIN(" | ",TRUE,IF($A804="","PC kosong",""),IF($C804="","Worker ID kosong",""),IF($D804="","Update Date kosong",IF(NOT(ISNUMBER($D804)),"Update Date bukan tanggal","")),IF($E804="","Song ID YT kosong",""),IF($F804="","Judul kosong",""),IF(TRIM($G804)="","",IF(ISERROR(MATCH(TRIM($G804),{"TuneCore","DistroKid","TooLost","SoundOn","Ditto","Believe","CD Baby","Amuse","Symphonic Distribution","ONErpm","RouteNote","LANDR","Horus Music","Indie"},0)),"Aggregator di luar daftar","")),IF(TRIM($H804)="","Genre kosong",IF((LEN(SUBSTITUTE(SUBSTITUTE(SUBSTITUTE(TRIM($H804),"/",","),";",",")," ",""))-LEN(SUBSTITUTE(SUBSTITUTE(SUBSTITUTE(SUBSTITUTE(TRIM($H804),"/",","),";",","),"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804),"/",","),";",",")," ","")&amp;",")))&lt;&gt;(LEN(SUBSTITUTE(SUBSTITUTE(SUBSTITUTE(TRIM($H804),"/",","),";",",")," ",""))-LEN(SUBSTITUTE(SUBSTITUTE(SUBSTITUTE(SUBSTITUTE(TRIM($H804),"/",","),";",",")," ",""),",",""))+1),"Genre di luar daftar",""))),IF($I804="","Nama Channel kosong",""),IF($J804="","Link Channel kosong",IF(ISERROR(SEARCH("youtu",$J804)),"Link Channel bukan youtube","")),IF($K804="","Link Video kosong",IF(ISERROR(SEARCH("youtu",$K804)),"Link Video bukan youtube","")),IF($L804="","Tgl Dibuat kosong",IF(NOT(ISNUMBER($L804)),"Tgl Dibuat bukan tanggal","")),IF(AND($M804&lt;&gt;"",NOT(ISNUMBER($M804))),"Tgl Publish bukan tanggal",""),IF(AND(ISNUMBER($L804),ISNUMBER($M804),$M804&lt;$L804),"Tgl Publish &lt; Tgl buat",""),IF(TRIM($N804)="","Status kosong",IF(ISERROR(MATCH(TRIM($N804),{"Draft","Menunggu Review","Revisi","Terjadwal","Upload","Publish","Published","Batal"},0)),"Status di luar daftar","")))),""))</f>
        <v/>
      </c>
      <c r="S804" s="17">
        <f>IF(AND($A804&lt;&gt;"",$C804&lt;&gt;""),IF(COUNTIFS($A$2:$A$1000,$A804,$C$2:$C$1000,$C804)&gt;1,"DUPLICAT",""),"")</f>
        <v/>
      </c>
    </row>
    <row r="805">
      <c r="A805" s="12" t="n"/>
      <c r="B805" s="12" t="n"/>
      <c r="C805" s="12" t="n"/>
      <c r="D805" s="13" t="n"/>
      <c r="E805" s="12" t="n"/>
      <c r="F805" s="14" t="n"/>
      <c r="G805" s="12" t="n"/>
      <c r="H805" s="12" t="n"/>
      <c r="I805" s="12" t="n"/>
      <c r="J805" s="14" t="n"/>
      <c r="K805" s="14" t="n"/>
      <c r="L805" s="15" t="n"/>
      <c r="M805" s="15" t="n"/>
      <c r="N805" s="12" t="n"/>
      <c r="O805" s="12" t="n"/>
      <c r="P805" s="16">
        <f>IF(AND(ISNUMBER($L805),ISNUMBER($M805)),MAX(0,$M805-$L805),"")</f>
        <v/>
      </c>
      <c r="Q805" s="16">
        <f>IF(ISNUMBER($D805),MAX(0,TODAY()-$D805),"")</f>
        <v/>
      </c>
      <c r="R805" s="14">
        <f>IF(COUNTA($A805:$O805)=0,"",IFERROR(TRIM(TEXTJOIN(" | ",TRUE,IF($A805="","PC kosong",""),IF($C805="","Worker ID kosong",""),IF($D805="","Update Date kosong",IF(NOT(ISNUMBER($D805)),"Update Date bukan tanggal","")),IF($E805="","Song ID YT kosong",""),IF($F805="","Judul kosong",""),IF(TRIM($G805)="","",IF(ISERROR(MATCH(TRIM($G805),{"TuneCore","DistroKid","TooLost","SoundOn","Ditto","Believe","CD Baby","Amuse","Symphonic Distribution","ONErpm","RouteNote","LANDR","Horus Music","Indie"},0)),"Aggregator di luar daftar","")),IF(TRIM($H805)="","Genre kosong",IF((LEN(SUBSTITUTE(SUBSTITUTE(SUBSTITUTE(TRIM($H805),"/",","),";",",")," ",""))-LEN(SUBSTITUTE(SUBSTITUTE(SUBSTITUTE(SUBSTITUTE(TRIM($H805),"/",","),";",","),"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805),"/",","),";",",")," ","")&amp;",")))&lt;&gt;(LEN(SUBSTITUTE(SUBSTITUTE(SUBSTITUTE(TRIM($H805),"/",","),";",",")," ",""))-LEN(SUBSTITUTE(SUBSTITUTE(SUBSTITUTE(SUBSTITUTE(TRIM($H805),"/",","),";",",")," ",""),",",""))+1),"Genre di luar daftar",""))),IF($I805="","Nama Channel kosong",""),IF($J805="","Link Channel kosong",IF(ISERROR(SEARCH("youtu",$J805)),"Link Channel bukan youtube","")),IF($K805="","Link Video kosong",IF(ISERROR(SEARCH("youtu",$K805)),"Link Video bukan youtube","")),IF($L805="","Tgl Dibuat kosong",IF(NOT(ISNUMBER($L805)),"Tgl Dibuat bukan tanggal","")),IF(AND($M805&lt;&gt;"",NOT(ISNUMBER($M805))),"Tgl Publish bukan tanggal",""),IF(AND(ISNUMBER($L805),ISNUMBER($M805),$M805&lt;$L805),"Tgl Publish &lt; Tgl buat",""),IF(TRIM($N805)="","Status kosong",IF(ISERROR(MATCH(TRIM($N805),{"Draft","Menunggu Review","Revisi","Terjadwal","Upload","Publish","Published","Batal"},0)),"Status di luar daftar","")))),""))</f>
        <v/>
      </c>
      <c r="S805" s="12">
        <f>IF(AND($A805&lt;&gt;"",$C805&lt;&gt;""),IF(COUNTIFS($A$2:$A$1000,$A805,$C$2:$C$1000,$C805)&gt;1,"DUPLICAT",""),"")</f>
        <v/>
      </c>
    </row>
    <row r="806">
      <c r="A806" s="17" t="n"/>
      <c r="B806" s="17" t="n"/>
      <c r="C806" s="17" t="n"/>
      <c r="D806" s="18" t="n"/>
      <c r="E806" s="17" t="n"/>
      <c r="F806" s="19" t="n"/>
      <c r="G806" s="17" t="n"/>
      <c r="H806" s="17" t="n"/>
      <c r="I806" s="17" t="n"/>
      <c r="J806" s="19" t="n"/>
      <c r="K806" s="19" t="n"/>
      <c r="L806" s="20" t="n"/>
      <c r="M806" s="20" t="n"/>
      <c r="N806" s="17" t="n"/>
      <c r="O806" s="17" t="n"/>
      <c r="P806" s="21">
        <f>IF(AND(ISNUMBER($L806),ISNUMBER($M806)),MAX(0,$M806-$L806),"")</f>
        <v/>
      </c>
      <c r="Q806" s="21">
        <f>IF(ISNUMBER($D806),MAX(0,TODAY()-$D806),"")</f>
        <v/>
      </c>
      <c r="R806" s="19">
        <f>IF(COUNTA($A806:$O806)=0,"",IFERROR(TRIM(TEXTJOIN(" | ",TRUE,IF($A806="","PC kosong",""),IF($C806="","Worker ID kosong",""),IF($D806="","Update Date kosong",IF(NOT(ISNUMBER($D806)),"Update Date bukan tanggal","")),IF($E806="","Song ID YT kosong",""),IF($F806="","Judul kosong",""),IF(TRIM($G806)="","",IF(ISERROR(MATCH(TRIM($G806),{"TuneCore","DistroKid","TooLost","SoundOn","Ditto","Believe","CD Baby","Amuse","Symphonic Distribution","ONErpm","RouteNote","LANDR","Horus Music","Indie"},0)),"Aggregator di luar daftar","")),IF(TRIM($H806)="","Genre kosong",IF((LEN(SUBSTITUTE(SUBSTITUTE(SUBSTITUTE(TRIM($H806),"/",","),";",",")," ",""))-LEN(SUBSTITUTE(SUBSTITUTE(SUBSTITUTE(SUBSTITUTE(TRIM($H806),"/",","),";",","),"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806),"/",","),";",",")," ","")&amp;",")))&lt;&gt;(LEN(SUBSTITUTE(SUBSTITUTE(SUBSTITUTE(TRIM($H806),"/",","),";",",")," ",""))-LEN(SUBSTITUTE(SUBSTITUTE(SUBSTITUTE(SUBSTITUTE(TRIM($H806),"/",","),";",",")," ",""),",",""))+1),"Genre di luar daftar",""))),IF($I806="","Nama Channel kosong",""),IF($J806="","Link Channel kosong",IF(ISERROR(SEARCH("youtu",$J806)),"Link Channel bukan youtube","")),IF($K806="","Link Video kosong",IF(ISERROR(SEARCH("youtu",$K806)),"Link Video bukan youtube","")),IF($L806="","Tgl Dibuat kosong",IF(NOT(ISNUMBER($L806)),"Tgl Dibuat bukan tanggal","")),IF(AND($M806&lt;&gt;"",NOT(ISNUMBER($M806))),"Tgl Publish bukan tanggal",""),IF(AND(ISNUMBER($L806),ISNUMBER($M806),$M806&lt;$L806),"Tgl Publish &lt; Tgl buat",""),IF(TRIM($N806)="","Status kosong",IF(ISERROR(MATCH(TRIM($N806),{"Draft","Menunggu Review","Revisi","Terjadwal","Upload","Publish","Published","Batal"},0)),"Status di luar daftar","")))),""))</f>
        <v/>
      </c>
      <c r="S806" s="17">
        <f>IF(AND($A806&lt;&gt;"",$C806&lt;&gt;""),IF(COUNTIFS($A$2:$A$1000,$A806,$C$2:$C$1000,$C806)&gt;1,"DUPLICAT",""),"")</f>
        <v/>
      </c>
    </row>
    <row r="807">
      <c r="A807" s="12" t="n"/>
      <c r="B807" s="12" t="n"/>
      <c r="C807" s="12" t="n"/>
      <c r="D807" s="13" t="n"/>
      <c r="E807" s="12" t="n"/>
      <c r="F807" s="14" t="n"/>
      <c r="G807" s="12" t="n"/>
      <c r="H807" s="12" t="n"/>
      <c r="I807" s="12" t="n"/>
      <c r="J807" s="14" t="n"/>
      <c r="K807" s="14" t="n"/>
      <c r="L807" s="15" t="n"/>
      <c r="M807" s="15" t="n"/>
      <c r="N807" s="12" t="n"/>
      <c r="O807" s="12" t="n"/>
      <c r="P807" s="16">
        <f>IF(AND(ISNUMBER($L807),ISNUMBER($M807)),MAX(0,$M807-$L807),"")</f>
        <v/>
      </c>
      <c r="Q807" s="16">
        <f>IF(ISNUMBER($D807),MAX(0,TODAY()-$D807),"")</f>
        <v/>
      </c>
      <c r="R807" s="14">
        <f>IF(COUNTA($A807:$O807)=0,"",IFERROR(TRIM(TEXTJOIN(" | ",TRUE,IF($A807="","PC kosong",""),IF($C807="","Worker ID kosong",""),IF($D807="","Update Date kosong",IF(NOT(ISNUMBER($D807)),"Update Date bukan tanggal","")),IF($E807="","Song ID YT kosong",""),IF($F807="","Judul kosong",""),IF(TRIM($G807)="","",IF(ISERROR(MATCH(TRIM($G807),{"TuneCore","DistroKid","TooLost","SoundOn","Ditto","Believe","CD Baby","Amuse","Symphonic Distribution","ONErpm","RouteNote","LANDR","Horus Music","Indie"},0)),"Aggregator di luar daftar","")),IF(TRIM($H807)="","Genre kosong",IF((LEN(SUBSTITUTE(SUBSTITUTE(SUBSTITUTE(TRIM($H807),"/",","),";",",")," ",""))-LEN(SUBSTITUTE(SUBSTITUTE(SUBSTITUTE(SUBSTITUTE(TRIM($H807),"/",","),";",","),"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807),"/",","),";",",")," ","")&amp;",")))&lt;&gt;(LEN(SUBSTITUTE(SUBSTITUTE(SUBSTITUTE(TRIM($H807),"/",","),";",",")," ",""))-LEN(SUBSTITUTE(SUBSTITUTE(SUBSTITUTE(SUBSTITUTE(TRIM($H807),"/",","),";",",")," ",""),",",""))+1),"Genre di luar daftar",""))),IF($I807="","Nama Channel kosong",""),IF($J807="","Link Channel kosong",IF(ISERROR(SEARCH("youtu",$J807)),"Link Channel bukan youtube","")),IF($K807="","Link Video kosong",IF(ISERROR(SEARCH("youtu",$K807)),"Link Video bukan youtube","")),IF($L807="","Tgl Dibuat kosong",IF(NOT(ISNUMBER($L807)),"Tgl Dibuat bukan tanggal","")),IF(AND($M807&lt;&gt;"",NOT(ISNUMBER($M807))),"Tgl Publish bukan tanggal",""),IF(AND(ISNUMBER($L807),ISNUMBER($M807),$M807&lt;$L807),"Tgl Publish &lt; Tgl buat",""),IF(TRIM($N807)="","Status kosong",IF(ISERROR(MATCH(TRIM($N807),{"Draft","Menunggu Review","Revisi","Terjadwal","Upload","Publish","Published","Batal"},0)),"Status di luar daftar","")))),""))</f>
        <v/>
      </c>
      <c r="S807" s="12">
        <f>IF(AND($A807&lt;&gt;"",$C807&lt;&gt;""),IF(COUNTIFS($A$2:$A$1000,$A807,$C$2:$C$1000,$C807)&gt;1,"DUPLICAT",""),"")</f>
        <v/>
      </c>
    </row>
    <row r="808">
      <c r="A808" s="17" t="n"/>
      <c r="B808" s="17" t="n"/>
      <c r="C808" s="17" t="n"/>
      <c r="D808" s="18" t="n"/>
      <c r="E808" s="17" t="n"/>
      <c r="F808" s="19" t="n"/>
      <c r="G808" s="17" t="n"/>
      <c r="H808" s="17" t="n"/>
      <c r="I808" s="17" t="n"/>
      <c r="J808" s="19" t="n"/>
      <c r="K808" s="19" t="n"/>
      <c r="L808" s="20" t="n"/>
      <c r="M808" s="20" t="n"/>
      <c r="N808" s="17" t="n"/>
      <c r="O808" s="17" t="n"/>
      <c r="P808" s="21">
        <f>IF(AND(ISNUMBER($L808),ISNUMBER($M808)),MAX(0,$M808-$L808),"")</f>
        <v/>
      </c>
      <c r="Q808" s="21">
        <f>IF(ISNUMBER($D808),MAX(0,TODAY()-$D808),"")</f>
        <v/>
      </c>
      <c r="R808" s="19">
        <f>IF(COUNTA($A808:$O808)=0,"",IFERROR(TRIM(TEXTJOIN(" | ",TRUE,IF($A808="","PC kosong",""),IF($C808="","Worker ID kosong",""),IF($D808="","Update Date kosong",IF(NOT(ISNUMBER($D808)),"Update Date bukan tanggal","")),IF($E808="","Song ID YT kosong",""),IF($F808="","Judul kosong",""),IF(TRIM($G808)="","",IF(ISERROR(MATCH(TRIM($G808),{"TuneCore","DistroKid","TooLost","SoundOn","Ditto","Believe","CD Baby","Amuse","Symphonic Distribution","ONErpm","RouteNote","LANDR","Horus Music","Indie"},0)),"Aggregator di luar daftar","")),IF(TRIM($H808)="","Genre kosong",IF((LEN(SUBSTITUTE(SUBSTITUTE(SUBSTITUTE(TRIM($H808),"/",","),";",",")," ",""))-LEN(SUBSTITUTE(SUBSTITUTE(SUBSTITUTE(SUBSTITUTE(TRIM($H808),"/",","),";",","),"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808),"/",","),";",",")," ","")&amp;",")))&lt;&gt;(LEN(SUBSTITUTE(SUBSTITUTE(SUBSTITUTE(TRIM($H808),"/",","),";",",")," ",""))-LEN(SUBSTITUTE(SUBSTITUTE(SUBSTITUTE(SUBSTITUTE(TRIM($H808),"/",","),";",",")," ",""),",",""))+1),"Genre di luar daftar",""))),IF($I808="","Nama Channel kosong",""),IF($J808="","Link Channel kosong",IF(ISERROR(SEARCH("youtu",$J808)),"Link Channel bukan youtube","")),IF($K808="","Link Video kosong",IF(ISERROR(SEARCH("youtu",$K808)),"Link Video bukan youtube","")),IF($L808="","Tgl Dibuat kosong",IF(NOT(ISNUMBER($L808)),"Tgl Dibuat bukan tanggal","")),IF(AND($M808&lt;&gt;"",NOT(ISNUMBER($M808))),"Tgl Publish bukan tanggal",""),IF(AND(ISNUMBER($L808),ISNUMBER($M808),$M808&lt;$L808),"Tgl Publish &lt; Tgl buat",""),IF(TRIM($N808)="","Status kosong",IF(ISERROR(MATCH(TRIM($N808),{"Draft","Menunggu Review","Revisi","Terjadwal","Upload","Publish","Published","Batal"},0)),"Status di luar daftar","")))),""))</f>
        <v/>
      </c>
      <c r="S808" s="17">
        <f>IF(AND($A808&lt;&gt;"",$C808&lt;&gt;""),IF(COUNTIFS($A$2:$A$1000,$A808,$C$2:$C$1000,$C808)&gt;1,"DUPLICAT",""),"")</f>
        <v/>
      </c>
    </row>
    <row r="809">
      <c r="A809" s="12" t="n"/>
      <c r="B809" s="12" t="n"/>
      <c r="C809" s="12" t="n"/>
      <c r="D809" s="13" t="n"/>
      <c r="E809" s="12" t="n"/>
      <c r="F809" s="14" t="n"/>
      <c r="G809" s="12" t="n"/>
      <c r="H809" s="12" t="n"/>
      <c r="I809" s="12" t="n"/>
      <c r="J809" s="14" t="n"/>
      <c r="K809" s="14" t="n"/>
      <c r="L809" s="15" t="n"/>
      <c r="M809" s="15" t="n"/>
      <c r="N809" s="12" t="n"/>
      <c r="O809" s="12" t="n"/>
      <c r="P809" s="16">
        <f>IF(AND(ISNUMBER($L809),ISNUMBER($M809)),MAX(0,$M809-$L809),"")</f>
        <v/>
      </c>
      <c r="Q809" s="16">
        <f>IF(ISNUMBER($D809),MAX(0,TODAY()-$D809),"")</f>
        <v/>
      </c>
      <c r="R809" s="14">
        <f>IF(COUNTA($A809:$O809)=0,"",IFERROR(TRIM(TEXTJOIN(" | ",TRUE,IF($A809="","PC kosong",""),IF($C809="","Worker ID kosong",""),IF($D809="","Update Date kosong",IF(NOT(ISNUMBER($D809)),"Update Date bukan tanggal","")),IF($E809="","Song ID YT kosong",""),IF($F809="","Judul kosong",""),IF(TRIM($G809)="","",IF(ISERROR(MATCH(TRIM($G809),{"TuneCore","DistroKid","TooLost","SoundOn","Ditto","Believe","CD Baby","Amuse","Symphonic Distribution","ONErpm","RouteNote","LANDR","Horus Music","Indie"},0)),"Aggregator di luar daftar","")),IF(TRIM($H809)="","Genre kosong",IF((LEN(SUBSTITUTE(SUBSTITUTE(SUBSTITUTE(TRIM($H809),"/",","),";",",")," ",""))-LEN(SUBSTITUTE(SUBSTITUTE(SUBSTITUTE(SUBSTITUTE(TRIM($H809),"/",","),";",","),"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809),"/",","),";",",")," ","")&amp;",")))&lt;&gt;(LEN(SUBSTITUTE(SUBSTITUTE(SUBSTITUTE(TRIM($H809),"/",","),";",",")," ",""))-LEN(SUBSTITUTE(SUBSTITUTE(SUBSTITUTE(SUBSTITUTE(TRIM($H809),"/",","),";",",")," ",""),",",""))+1),"Genre di luar daftar",""))),IF($I809="","Nama Channel kosong",""),IF($J809="","Link Channel kosong",IF(ISERROR(SEARCH("youtu",$J809)),"Link Channel bukan youtube","")),IF($K809="","Link Video kosong",IF(ISERROR(SEARCH("youtu",$K809)),"Link Video bukan youtube","")),IF($L809="","Tgl Dibuat kosong",IF(NOT(ISNUMBER($L809)),"Tgl Dibuat bukan tanggal","")),IF(AND($M809&lt;&gt;"",NOT(ISNUMBER($M809))),"Tgl Publish bukan tanggal",""),IF(AND(ISNUMBER($L809),ISNUMBER($M809),$M809&lt;$L809),"Tgl Publish &lt; Tgl buat",""),IF(TRIM($N809)="","Status kosong",IF(ISERROR(MATCH(TRIM($N809),{"Draft","Menunggu Review","Revisi","Terjadwal","Upload","Publish","Published","Batal"},0)),"Status di luar daftar","")))),""))</f>
        <v/>
      </c>
      <c r="S809" s="12">
        <f>IF(AND($A809&lt;&gt;"",$C809&lt;&gt;""),IF(COUNTIFS($A$2:$A$1000,$A809,$C$2:$C$1000,$C809)&gt;1,"DUPLICAT",""),"")</f>
        <v/>
      </c>
    </row>
    <row r="810">
      <c r="A810" s="17" t="n"/>
      <c r="B810" s="17" t="n"/>
      <c r="C810" s="17" t="n"/>
      <c r="D810" s="18" t="n"/>
      <c r="E810" s="17" t="n"/>
      <c r="F810" s="19" t="n"/>
      <c r="G810" s="17" t="n"/>
      <c r="H810" s="17" t="n"/>
      <c r="I810" s="17" t="n"/>
      <c r="J810" s="19" t="n"/>
      <c r="K810" s="19" t="n"/>
      <c r="L810" s="20" t="n"/>
      <c r="M810" s="20" t="n"/>
      <c r="N810" s="17" t="n"/>
      <c r="O810" s="17" t="n"/>
      <c r="P810" s="21">
        <f>IF(AND(ISNUMBER($L810),ISNUMBER($M810)),MAX(0,$M810-$L810),"")</f>
        <v/>
      </c>
      <c r="Q810" s="21">
        <f>IF(ISNUMBER($D810),MAX(0,TODAY()-$D810),"")</f>
        <v/>
      </c>
      <c r="R810" s="19">
        <f>IF(COUNTA($A810:$O810)=0,"",IFERROR(TRIM(TEXTJOIN(" | ",TRUE,IF($A810="","PC kosong",""),IF($C810="","Worker ID kosong",""),IF($D810="","Update Date kosong",IF(NOT(ISNUMBER($D810)),"Update Date bukan tanggal","")),IF($E810="","Song ID YT kosong",""),IF($F810="","Judul kosong",""),IF(TRIM($G810)="","",IF(ISERROR(MATCH(TRIM($G810),{"TuneCore","DistroKid","TooLost","SoundOn","Ditto","Believe","CD Baby","Amuse","Symphonic Distribution","ONErpm","RouteNote","LANDR","Horus Music","Indie"},0)),"Aggregator di luar daftar","")),IF(TRIM($H810)="","Genre kosong",IF((LEN(SUBSTITUTE(SUBSTITUTE(SUBSTITUTE(TRIM($H810),"/",","),";",",")," ",""))-LEN(SUBSTITUTE(SUBSTITUTE(SUBSTITUTE(SUBSTITUTE(TRIM($H810),"/",","),";",","),"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810),"/",","),";",",")," ","")&amp;",")))&lt;&gt;(LEN(SUBSTITUTE(SUBSTITUTE(SUBSTITUTE(TRIM($H810),"/",","),";",",")," ",""))-LEN(SUBSTITUTE(SUBSTITUTE(SUBSTITUTE(SUBSTITUTE(TRIM($H810),"/",","),";",",")," ",""),",",""))+1),"Genre di luar daftar",""))),IF($I810="","Nama Channel kosong",""),IF($J810="","Link Channel kosong",IF(ISERROR(SEARCH("youtu",$J810)),"Link Channel bukan youtube","")),IF($K810="","Link Video kosong",IF(ISERROR(SEARCH("youtu",$K810)),"Link Video bukan youtube","")),IF($L810="","Tgl Dibuat kosong",IF(NOT(ISNUMBER($L810)),"Tgl Dibuat bukan tanggal","")),IF(AND($M810&lt;&gt;"",NOT(ISNUMBER($M810))),"Tgl Publish bukan tanggal",""),IF(AND(ISNUMBER($L810),ISNUMBER($M810),$M810&lt;$L810),"Tgl Publish &lt; Tgl buat",""),IF(TRIM($N810)="","Status kosong",IF(ISERROR(MATCH(TRIM($N810),{"Draft","Menunggu Review","Revisi","Terjadwal","Upload","Publish","Published","Batal"},0)),"Status di luar daftar","")))),""))</f>
        <v/>
      </c>
      <c r="S810" s="17">
        <f>IF(AND($A810&lt;&gt;"",$C810&lt;&gt;""),IF(COUNTIFS($A$2:$A$1000,$A810,$C$2:$C$1000,$C810)&gt;1,"DUPLICAT",""),"")</f>
        <v/>
      </c>
    </row>
    <row r="811">
      <c r="A811" s="12" t="n"/>
      <c r="B811" s="12" t="n"/>
      <c r="C811" s="12" t="n"/>
      <c r="D811" s="13" t="n"/>
      <c r="E811" s="12" t="n"/>
      <c r="F811" s="14" t="n"/>
      <c r="G811" s="12" t="n"/>
      <c r="H811" s="12" t="n"/>
      <c r="I811" s="12" t="n"/>
      <c r="J811" s="14" t="n"/>
      <c r="K811" s="14" t="n"/>
      <c r="L811" s="15" t="n"/>
      <c r="M811" s="15" t="n"/>
      <c r="N811" s="12" t="n"/>
      <c r="O811" s="12" t="n"/>
      <c r="P811" s="16">
        <f>IF(AND(ISNUMBER($L811),ISNUMBER($M811)),MAX(0,$M811-$L811),"")</f>
        <v/>
      </c>
      <c r="Q811" s="16">
        <f>IF(ISNUMBER($D811),MAX(0,TODAY()-$D811),"")</f>
        <v/>
      </c>
      <c r="R811" s="14">
        <f>IF(COUNTA($A811:$O811)=0,"",IFERROR(TRIM(TEXTJOIN(" | ",TRUE,IF($A811="","PC kosong",""),IF($C811="","Worker ID kosong",""),IF($D811="","Update Date kosong",IF(NOT(ISNUMBER($D811)),"Update Date bukan tanggal","")),IF($E811="","Song ID YT kosong",""),IF($F811="","Judul kosong",""),IF(TRIM($G811)="","",IF(ISERROR(MATCH(TRIM($G811),{"TuneCore","DistroKid","TooLost","SoundOn","Ditto","Believe","CD Baby","Amuse","Symphonic Distribution","ONErpm","RouteNote","LANDR","Horus Music","Indie"},0)),"Aggregator di luar daftar","")),IF(TRIM($H811)="","Genre kosong",IF((LEN(SUBSTITUTE(SUBSTITUTE(SUBSTITUTE(TRIM($H811),"/",","),";",",")," ",""))-LEN(SUBSTITUTE(SUBSTITUTE(SUBSTITUTE(SUBSTITUTE(TRIM($H811),"/",","),";",","),"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811),"/",","),";",",")," ","")&amp;",")))&lt;&gt;(LEN(SUBSTITUTE(SUBSTITUTE(SUBSTITUTE(TRIM($H811),"/",","),";",",")," ",""))-LEN(SUBSTITUTE(SUBSTITUTE(SUBSTITUTE(SUBSTITUTE(TRIM($H811),"/",","),";",",")," ",""),",",""))+1),"Genre di luar daftar",""))),IF($I811="","Nama Channel kosong",""),IF($J811="","Link Channel kosong",IF(ISERROR(SEARCH("youtu",$J811)),"Link Channel bukan youtube","")),IF($K811="","Link Video kosong",IF(ISERROR(SEARCH("youtu",$K811)),"Link Video bukan youtube","")),IF($L811="","Tgl Dibuat kosong",IF(NOT(ISNUMBER($L811)),"Tgl Dibuat bukan tanggal","")),IF(AND($M811&lt;&gt;"",NOT(ISNUMBER($M811))),"Tgl Publish bukan tanggal",""),IF(AND(ISNUMBER($L811),ISNUMBER($M811),$M811&lt;$L811),"Tgl Publish &lt; Tgl buat",""),IF(TRIM($N811)="","Status kosong",IF(ISERROR(MATCH(TRIM($N811),{"Draft","Menunggu Review","Revisi","Terjadwal","Upload","Publish","Published","Batal"},0)),"Status di luar daftar","")))),""))</f>
        <v/>
      </c>
      <c r="S811" s="12">
        <f>IF(AND($A811&lt;&gt;"",$C811&lt;&gt;""),IF(COUNTIFS($A$2:$A$1000,$A811,$C$2:$C$1000,$C811)&gt;1,"DUPLICAT",""),"")</f>
        <v/>
      </c>
    </row>
    <row r="812">
      <c r="A812" s="17" t="n"/>
      <c r="B812" s="17" t="n"/>
      <c r="C812" s="17" t="n"/>
      <c r="D812" s="18" t="n"/>
      <c r="E812" s="17" t="n"/>
      <c r="F812" s="19" t="n"/>
      <c r="G812" s="17" t="n"/>
      <c r="H812" s="17" t="n"/>
      <c r="I812" s="17" t="n"/>
      <c r="J812" s="19" t="n"/>
      <c r="K812" s="19" t="n"/>
      <c r="L812" s="20" t="n"/>
      <c r="M812" s="20" t="n"/>
      <c r="N812" s="17" t="n"/>
      <c r="O812" s="17" t="n"/>
      <c r="P812" s="21">
        <f>IF(AND(ISNUMBER($L812),ISNUMBER($M812)),MAX(0,$M812-$L812),"")</f>
        <v/>
      </c>
      <c r="Q812" s="21">
        <f>IF(ISNUMBER($D812),MAX(0,TODAY()-$D812),"")</f>
        <v/>
      </c>
      <c r="R812" s="19">
        <f>IF(COUNTA($A812:$O812)=0,"",IFERROR(TRIM(TEXTJOIN(" | ",TRUE,IF($A812="","PC kosong",""),IF($C812="","Worker ID kosong",""),IF($D812="","Update Date kosong",IF(NOT(ISNUMBER($D812)),"Update Date bukan tanggal","")),IF($E812="","Song ID YT kosong",""),IF($F812="","Judul kosong",""),IF(TRIM($G812)="","",IF(ISERROR(MATCH(TRIM($G812),{"TuneCore","DistroKid","TooLost","SoundOn","Ditto","Believe","CD Baby","Amuse","Symphonic Distribution","ONErpm","RouteNote","LANDR","Horus Music","Indie"},0)),"Aggregator di luar daftar","")),IF(TRIM($H812)="","Genre kosong",IF((LEN(SUBSTITUTE(SUBSTITUTE(SUBSTITUTE(TRIM($H812),"/",","),";",",")," ",""))-LEN(SUBSTITUTE(SUBSTITUTE(SUBSTITUTE(SUBSTITUTE(TRIM($H812),"/",","),";",","),"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812),"/",","),";",",")," ","")&amp;",")))&lt;&gt;(LEN(SUBSTITUTE(SUBSTITUTE(SUBSTITUTE(TRIM($H812),"/",","),";",",")," ",""))-LEN(SUBSTITUTE(SUBSTITUTE(SUBSTITUTE(SUBSTITUTE(TRIM($H812),"/",","),";",",")," ",""),",",""))+1),"Genre di luar daftar",""))),IF($I812="","Nama Channel kosong",""),IF($J812="","Link Channel kosong",IF(ISERROR(SEARCH("youtu",$J812)),"Link Channel bukan youtube","")),IF($K812="","Link Video kosong",IF(ISERROR(SEARCH("youtu",$K812)),"Link Video bukan youtube","")),IF($L812="","Tgl Dibuat kosong",IF(NOT(ISNUMBER($L812)),"Tgl Dibuat bukan tanggal","")),IF(AND($M812&lt;&gt;"",NOT(ISNUMBER($M812))),"Tgl Publish bukan tanggal",""),IF(AND(ISNUMBER($L812),ISNUMBER($M812),$M812&lt;$L812),"Tgl Publish &lt; Tgl buat",""),IF(TRIM($N812)="","Status kosong",IF(ISERROR(MATCH(TRIM($N812),{"Draft","Menunggu Review","Revisi","Terjadwal","Upload","Publish","Published","Batal"},0)),"Status di luar daftar","")))),""))</f>
        <v/>
      </c>
      <c r="S812" s="17">
        <f>IF(AND($A812&lt;&gt;"",$C812&lt;&gt;""),IF(COUNTIFS($A$2:$A$1000,$A812,$C$2:$C$1000,$C812)&gt;1,"DUPLICAT",""),"")</f>
        <v/>
      </c>
    </row>
    <row r="813">
      <c r="A813" s="12" t="n"/>
      <c r="B813" s="12" t="n"/>
      <c r="C813" s="12" t="n"/>
      <c r="D813" s="13" t="n"/>
      <c r="E813" s="12" t="n"/>
      <c r="F813" s="14" t="n"/>
      <c r="G813" s="12" t="n"/>
      <c r="H813" s="12" t="n"/>
      <c r="I813" s="12" t="n"/>
      <c r="J813" s="14" t="n"/>
      <c r="K813" s="14" t="n"/>
      <c r="L813" s="15" t="n"/>
      <c r="M813" s="15" t="n"/>
      <c r="N813" s="12" t="n"/>
      <c r="O813" s="12" t="n"/>
      <c r="P813" s="16">
        <f>IF(AND(ISNUMBER($L813),ISNUMBER($M813)),MAX(0,$M813-$L813),"")</f>
        <v/>
      </c>
      <c r="Q813" s="16">
        <f>IF(ISNUMBER($D813),MAX(0,TODAY()-$D813),"")</f>
        <v/>
      </c>
      <c r="R813" s="14">
        <f>IF(COUNTA($A813:$O813)=0,"",IFERROR(TRIM(TEXTJOIN(" | ",TRUE,IF($A813="","PC kosong",""),IF($C813="","Worker ID kosong",""),IF($D813="","Update Date kosong",IF(NOT(ISNUMBER($D813)),"Update Date bukan tanggal","")),IF($E813="","Song ID YT kosong",""),IF($F813="","Judul kosong",""),IF(TRIM($G813)="","",IF(ISERROR(MATCH(TRIM($G813),{"TuneCore","DistroKid","TooLost","SoundOn","Ditto","Believe","CD Baby","Amuse","Symphonic Distribution","ONErpm","RouteNote","LANDR","Horus Music","Indie"},0)),"Aggregator di luar daftar","")),IF(TRIM($H813)="","Genre kosong",IF((LEN(SUBSTITUTE(SUBSTITUTE(SUBSTITUTE(TRIM($H813),"/",","),";",",")," ",""))-LEN(SUBSTITUTE(SUBSTITUTE(SUBSTITUTE(SUBSTITUTE(TRIM($H813),"/",","),";",","),"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813),"/",","),";",",")," ","")&amp;",")))&lt;&gt;(LEN(SUBSTITUTE(SUBSTITUTE(SUBSTITUTE(TRIM($H813),"/",","),";",",")," ",""))-LEN(SUBSTITUTE(SUBSTITUTE(SUBSTITUTE(SUBSTITUTE(TRIM($H813),"/",","),";",",")," ",""),",",""))+1),"Genre di luar daftar",""))),IF($I813="","Nama Channel kosong",""),IF($J813="","Link Channel kosong",IF(ISERROR(SEARCH("youtu",$J813)),"Link Channel bukan youtube","")),IF($K813="","Link Video kosong",IF(ISERROR(SEARCH("youtu",$K813)),"Link Video bukan youtube","")),IF($L813="","Tgl Dibuat kosong",IF(NOT(ISNUMBER($L813)),"Tgl Dibuat bukan tanggal","")),IF(AND($M813&lt;&gt;"",NOT(ISNUMBER($M813))),"Tgl Publish bukan tanggal",""),IF(AND(ISNUMBER($L813),ISNUMBER($M813),$M813&lt;$L813),"Tgl Publish &lt; Tgl buat",""),IF(TRIM($N813)="","Status kosong",IF(ISERROR(MATCH(TRIM($N813),{"Draft","Menunggu Review","Revisi","Terjadwal","Upload","Publish","Published","Batal"},0)),"Status di luar daftar","")))),""))</f>
        <v/>
      </c>
      <c r="S813" s="12">
        <f>IF(AND($A813&lt;&gt;"",$C813&lt;&gt;""),IF(COUNTIFS($A$2:$A$1000,$A813,$C$2:$C$1000,$C813)&gt;1,"DUPLICAT",""),"")</f>
        <v/>
      </c>
    </row>
    <row r="814">
      <c r="A814" s="17" t="n"/>
      <c r="B814" s="17" t="n"/>
      <c r="C814" s="17" t="n"/>
      <c r="D814" s="18" t="n"/>
      <c r="E814" s="17" t="n"/>
      <c r="F814" s="19" t="n"/>
      <c r="G814" s="17" t="n"/>
      <c r="H814" s="17" t="n"/>
      <c r="I814" s="17" t="n"/>
      <c r="J814" s="19" t="n"/>
      <c r="K814" s="19" t="n"/>
      <c r="L814" s="20" t="n"/>
      <c r="M814" s="20" t="n"/>
      <c r="N814" s="17" t="n"/>
      <c r="O814" s="17" t="n"/>
      <c r="P814" s="21">
        <f>IF(AND(ISNUMBER($L814),ISNUMBER($M814)),MAX(0,$M814-$L814),"")</f>
        <v/>
      </c>
      <c r="Q814" s="21">
        <f>IF(ISNUMBER($D814),MAX(0,TODAY()-$D814),"")</f>
        <v/>
      </c>
      <c r="R814" s="19">
        <f>IF(COUNTA($A814:$O814)=0,"",IFERROR(TRIM(TEXTJOIN(" | ",TRUE,IF($A814="","PC kosong",""),IF($C814="","Worker ID kosong",""),IF($D814="","Update Date kosong",IF(NOT(ISNUMBER($D814)),"Update Date bukan tanggal","")),IF($E814="","Song ID YT kosong",""),IF($F814="","Judul kosong",""),IF(TRIM($G814)="","",IF(ISERROR(MATCH(TRIM($G814),{"TuneCore","DistroKid","TooLost","SoundOn","Ditto","Believe","CD Baby","Amuse","Symphonic Distribution","ONErpm","RouteNote","LANDR","Horus Music","Indie"},0)),"Aggregator di luar daftar","")),IF(TRIM($H814)="","Genre kosong",IF((LEN(SUBSTITUTE(SUBSTITUTE(SUBSTITUTE(TRIM($H814),"/",","),";",",")," ",""))-LEN(SUBSTITUTE(SUBSTITUTE(SUBSTITUTE(SUBSTITUTE(TRIM($H814),"/",","),";",","),"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814),"/",","),";",",")," ","")&amp;",")))&lt;&gt;(LEN(SUBSTITUTE(SUBSTITUTE(SUBSTITUTE(TRIM($H814),"/",","),";",",")," ",""))-LEN(SUBSTITUTE(SUBSTITUTE(SUBSTITUTE(SUBSTITUTE(TRIM($H814),"/",","),";",",")," ",""),",",""))+1),"Genre di luar daftar",""))),IF($I814="","Nama Channel kosong",""),IF($J814="","Link Channel kosong",IF(ISERROR(SEARCH("youtu",$J814)),"Link Channel bukan youtube","")),IF($K814="","Link Video kosong",IF(ISERROR(SEARCH("youtu",$K814)),"Link Video bukan youtube","")),IF($L814="","Tgl Dibuat kosong",IF(NOT(ISNUMBER($L814)),"Tgl Dibuat bukan tanggal","")),IF(AND($M814&lt;&gt;"",NOT(ISNUMBER($M814))),"Tgl Publish bukan tanggal",""),IF(AND(ISNUMBER($L814),ISNUMBER($M814),$M814&lt;$L814),"Tgl Publish &lt; Tgl buat",""),IF(TRIM($N814)="","Status kosong",IF(ISERROR(MATCH(TRIM($N814),{"Draft","Menunggu Review","Revisi","Terjadwal","Upload","Publish","Published","Batal"},0)),"Status di luar daftar","")))),""))</f>
        <v/>
      </c>
      <c r="S814" s="17">
        <f>IF(AND($A814&lt;&gt;"",$C814&lt;&gt;""),IF(COUNTIFS($A$2:$A$1000,$A814,$C$2:$C$1000,$C814)&gt;1,"DUPLICAT",""),"")</f>
        <v/>
      </c>
    </row>
    <row r="815">
      <c r="A815" s="12" t="n"/>
      <c r="B815" s="12" t="n"/>
      <c r="C815" s="12" t="n"/>
      <c r="D815" s="13" t="n"/>
      <c r="E815" s="12" t="n"/>
      <c r="F815" s="14" t="n"/>
      <c r="G815" s="12" t="n"/>
      <c r="H815" s="12" t="n"/>
      <c r="I815" s="12" t="n"/>
      <c r="J815" s="14" t="n"/>
      <c r="K815" s="14" t="n"/>
      <c r="L815" s="15" t="n"/>
      <c r="M815" s="15" t="n"/>
      <c r="N815" s="12" t="n"/>
      <c r="O815" s="12" t="n"/>
      <c r="P815" s="16">
        <f>IF(AND(ISNUMBER($L815),ISNUMBER($M815)),MAX(0,$M815-$L815),"")</f>
        <v/>
      </c>
      <c r="Q815" s="16">
        <f>IF(ISNUMBER($D815),MAX(0,TODAY()-$D815),"")</f>
        <v/>
      </c>
      <c r="R815" s="14">
        <f>IF(COUNTA($A815:$O815)=0,"",IFERROR(TRIM(TEXTJOIN(" | ",TRUE,IF($A815="","PC kosong",""),IF($C815="","Worker ID kosong",""),IF($D815="","Update Date kosong",IF(NOT(ISNUMBER($D815)),"Update Date bukan tanggal","")),IF($E815="","Song ID YT kosong",""),IF($F815="","Judul kosong",""),IF(TRIM($G815)="","",IF(ISERROR(MATCH(TRIM($G815),{"TuneCore","DistroKid","TooLost","SoundOn","Ditto","Believe","CD Baby","Amuse","Symphonic Distribution","ONErpm","RouteNote","LANDR","Horus Music","Indie"},0)),"Aggregator di luar daftar","")),IF(TRIM($H815)="","Genre kosong",IF((LEN(SUBSTITUTE(SUBSTITUTE(SUBSTITUTE(TRIM($H815),"/",","),";",",")," ",""))-LEN(SUBSTITUTE(SUBSTITUTE(SUBSTITUTE(SUBSTITUTE(TRIM($H815),"/",","),";",","),"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815),"/",","),";",",")," ","")&amp;",")))&lt;&gt;(LEN(SUBSTITUTE(SUBSTITUTE(SUBSTITUTE(TRIM($H815),"/",","),";",",")," ",""))-LEN(SUBSTITUTE(SUBSTITUTE(SUBSTITUTE(SUBSTITUTE(TRIM($H815),"/",","),";",",")," ",""),",",""))+1),"Genre di luar daftar",""))),IF($I815="","Nama Channel kosong",""),IF($J815="","Link Channel kosong",IF(ISERROR(SEARCH("youtu",$J815)),"Link Channel bukan youtube","")),IF($K815="","Link Video kosong",IF(ISERROR(SEARCH("youtu",$K815)),"Link Video bukan youtube","")),IF($L815="","Tgl Dibuat kosong",IF(NOT(ISNUMBER($L815)),"Tgl Dibuat bukan tanggal","")),IF(AND($M815&lt;&gt;"",NOT(ISNUMBER($M815))),"Tgl Publish bukan tanggal",""),IF(AND(ISNUMBER($L815),ISNUMBER($M815),$M815&lt;$L815),"Tgl Publish &lt; Tgl buat",""),IF(TRIM($N815)="","Status kosong",IF(ISERROR(MATCH(TRIM($N815),{"Draft","Menunggu Review","Revisi","Terjadwal","Upload","Publish","Published","Batal"},0)),"Status di luar daftar","")))),""))</f>
        <v/>
      </c>
      <c r="S815" s="12">
        <f>IF(AND($A815&lt;&gt;"",$C815&lt;&gt;""),IF(COUNTIFS($A$2:$A$1000,$A815,$C$2:$C$1000,$C815)&gt;1,"DUPLICAT",""),"")</f>
        <v/>
      </c>
    </row>
    <row r="816">
      <c r="A816" s="17" t="n"/>
      <c r="B816" s="17" t="n"/>
      <c r="C816" s="17" t="n"/>
      <c r="D816" s="18" t="n"/>
      <c r="E816" s="17" t="n"/>
      <c r="F816" s="19" t="n"/>
      <c r="G816" s="17" t="n"/>
      <c r="H816" s="17" t="n"/>
      <c r="I816" s="17" t="n"/>
      <c r="J816" s="19" t="n"/>
      <c r="K816" s="19" t="n"/>
      <c r="L816" s="20" t="n"/>
      <c r="M816" s="20" t="n"/>
      <c r="N816" s="17" t="n"/>
      <c r="O816" s="17" t="n"/>
      <c r="P816" s="21">
        <f>IF(AND(ISNUMBER($L816),ISNUMBER($M816)),MAX(0,$M816-$L816),"")</f>
        <v/>
      </c>
      <c r="Q816" s="21">
        <f>IF(ISNUMBER($D816),MAX(0,TODAY()-$D816),"")</f>
        <v/>
      </c>
      <c r="R816" s="19">
        <f>IF(COUNTA($A816:$O816)=0,"",IFERROR(TRIM(TEXTJOIN(" | ",TRUE,IF($A816="","PC kosong",""),IF($C816="","Worker ID kosong",""),IF($D816="","Update Date kosong",IF(NOT(ISNUMBER($D816)),"Update Date bukan tanggal","")),IF($E816="","Song ID YT kosong",""),IF($F816="","Judul kosong",""),IF(TRIM($G816)="","",IF(ISERROR(MATCH(TRIM($G816),{"TuneCore","DistroKid","TooLost","SoundOn","Ditto","Believe","CD Baby","Amuse","Symphonic Distribution","ONErpm","RouteNote","LANDR","Horus Music","Indie"},0)),"Aggregator di luar daftar","")),IF(TRIM($H816)="","Genre kosong",IF((LEN(SUBSTITUTE(SUBSTITUTE(SUBSTITUTE(TRIM($H816),"/",","),";",",")," ",""))-LEN(SUBSTITUTE(SUBSTITUTE(SUBSTITUTE(SUBSTITUTE(TRIM($H816),"/",","),";",","),"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816),"/",","),";",",")," ","")&amp;",")))&lt;&gt;(LEN(SUBSTITUTE(SUBSTITUTE(SUBSTITUTE(TRIM($H816),"/",","),";",",")," ",""))-LEN(SUBSTITUTE(SUBSTITUTE(SUBSTITUTE(SUBSTITUTE(TRIM($H816),"/",","),";",",")," ",""),",",""))+1),"Genre di luar daftar",""))),IF($I816="","Nama Channel kosong",""),IF($J816="","Link Channel kosong",IF(ISERROR(SEARCH("youtu",$J816)),"Link Channel bukan youtube","")),IF($K816="","Link Video kosong",IF(ISERROR(SEARCH("youtu",$K816)),"Link Video bukan youtube","")),IF($L816="","Tgl Dibuat kosong",IF(NOT(ISNUMBER($L816)),"Tgl Dibuat bukan tanggal","")),IF(AND($M816&lt;&gt;"",NOT(ISNUMBER($M816))),"Tgl Publish bukan tanggal",""),IF(AND(ISNUMBER($L816),ISNUMBER($M816),$M816&lt;$L816),"Tgl Publish &lt; Tgl buat",""),IF(TRIM($N816)="","Status kosong",IF(ISERROR(MATCH(TRIM($N816),{"Draft","Menunggu Review","Revisi","Terjadwal","Upload","Publish","Published","Batal"},0)),"Status di luar daftar","")))),""))</f>
        <v/>
      </c>
      <c r="S816" s="17">
        <f>IF(AND($A816&lt;&gt;"",$C816&lt;&gt;""),IF(COUNTIFS($A$2:$A$1000,$A816,$C$2:$C$1000,$C816)&gt;1,"DUPLICAT",""),"")</f>
        <v/>
      </c>
    </row>
    <row r="817">
      <c r="A817" s="12" t="n"/>
      <c r="B817" s="12" t="n"/>
      <c r="C817" s="12" t="n"/>
      <c r="D817" s="13" t="n"/>
      <c r="E817" s="12" t="n"/>
      <c r="F817" s="14" t="n"/>
      <c r="G817" s="12" t="n"/>
      <c r="H817" s="12" t="n"/>
      <c r="I817" s="12" t="n"/>
      <c r="J817" s="14" t="n"/>
      <c r="K817" s="14" t="n"/>
      <c r="L817" s="15" t="n"/>
      <c r="M817" s="15" t="n"/>
      <c r="N817" s="12" t="n"/>
      <c r="O817" s="12" t="n"/>
      <c r="P817" s="16">
        <f>IF(AND(ISNUMBER($L817),ISNUMBER($M817)),MAX(0,$M817-$L817),"")</f>
        <v/>
      </c>
      <c r="Q817" s="16">
        <f>IF(ISNUMBER($D817),MAX(0,TODAY()-$D817),"")</f>
        <v/>
      </c>
      <c r="R817" s="14">
        <f>IF(COUNTA($A817:$O817)=0,"",IFERROR(TRIM(TEXTJOIN(" | ",TRUE,IF($A817="","PC kosong",""),IF($C817="","Worker ID kosong",""),IF($D817="","Update Date kosong",IF(NOT(ISNUMBER($D817)),"Update Date bukan tanggal","")),IF($E817="","Song ID YT kosong",""),IF($F817="","Judul kosong",""),IF(TRIM($G817)="","",IF(ISERROR(MATCH(TRIM($G817),{"TuneCore","DistroKid","TooLost","SoundOn","Ditto","Believe","CD Baby","Amuse","Symphonic Distribution","ONErpm","RouteNote","LANDR","Horus Music","Indie"},0)),"Aggregator di luar daftar","")),IF(TRIM($H817)="","Genre kosong",IF((LEN(SUBSTITUTE(SUBSTITUTE(SUBSTITUTE(TRIM($H817),"/",","),";",",")," ",""))-LEN(SUBSTITUTE(SUBSTITUTE(SUBSTITUTE(SUBSTITUTE(TRIM($H817),"/",","),";",","),"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817),"/",","),";",",")," ","")&amp;",")))&lt;&gt;(LEN(SUBSTITUTE(SUBSTITUTE(SUBSTITUTE(TRIM($H817),"/",","),";",",")," ",""))-LEN(SUBSTITUTE(SUBSTITUTE(SUBSTITUTE(SUBSTITUTE(TRIM($H817),"/",","),";",",")," ",""),",",""))+1),"Genre di luar daftar",""))),IF($I817="","Nama Channel kosong",""),IF($J817="","Link Channel kosong",IF(ISERROR(SEARCH("youtu",$J817)),"Link Channel bukan youtube","")),IF($K817="","Link Video kosong",IF(ISERROR(SEARCH("youtu",$K817)),"Link Video bukan youtube","")),IF($L817="","Tgl Dibuat kosong",IF(NOT(ISNUMBER($L817)),"Tgl Dibuat bukan tanggal","")),IF(AND($M817&lt;&gt;"",NOT(ISNUMBER($M817))),"Tgl Publish bukan tanggal",""),IF(AND(ISNUMBER($L817),ISNUMBER($M817),$M817&lt;$L817),"Tgl Publish &lt; Tgl buat",""),IF(TRIM($N817)="","Status kosong",IF(ISERROR(MATCH(TRIM($N817),{"Draft","Menunggu Review","Revisi","Terjadwal","Upload","Publish","Published","Batal"},0)),"Status di luar daftar","")))),""))</f>
        <v/>
      </c>
      <c r="S817" s="12">
        <f>IF(AND($A817&lt;&gt;"",$C817&lt;&gt;""),IF(COUNTIFS($A$2:$A$1000,$A817,$C$2:$C$1000,$C817)&gt;1,"DUPLICAT",""),"")</f>
        <v/>
      </c>
    </row>
    <row r="818">
      <c r="A818" s="17" t="n"/>
      <c r="B818" s="17" t="n"/>
      <c r="C818" s="17" t="n"/>
      <c r="D818" s="18" t="n"/>
      <c r="E818" s="17" t="n"/>
      <c r="F818" s="19" t="n"/>
      <c r="G818" s="17" t="n"/>
      <c r="H818" s="17" t="n"/>
      <c r="I818" s="17" t="n"/>
      <c r="J818" s="19" t="n"/>
      <c r="K818" s="19" t="n"/>
      <c r="L818" s="20" t="n"/>
      <c r="M818" s="20" t="n"/>
      <c r="N818" s="17" t="n"/>
      <c r="O818" s="17" t="n"/>
      <c r="P818" s="21">
        <f>IF(AND(ISNUMBER($L818),ISNUMBER($M818)),MAX(0,$M818-$L818),"")</f>
        <v/>
      </c>
      <c r="Q818" s="21">
        <f>IF(ISNUMBER($D818),MAX(0,TODAY()-$D818),"")</f>
        <v/>
      </c>
      <c r="R818" s="19">
        <f>IF(COUNTA($A818:$O818)=0,"",IFERROR(TRIM(TEXTJOIN(" | ",TRUE,IF($A818="","PC kosong",""),IF($C818="","Worker ID kosong",""),IF($D818="","Update Date kosong",IF(NOT(ISNUMBER($D818)),"Update Date bukan tanggal","")),IF($E818="","Song ID YT kosong",""),IF($F818="","Judul kosong",""),IF(TRIM($G818)="","",IF(ISERROR(MATCH(TRIM($G818),{"TuneCore","DistroKid","TooLost","SoundOn","Ditto","Believe","CD Baby","Amuse","Symphonic Distribution","ONErpm","RouteNote","LANDR","Horus Music","Indie"},0)),"Aggregator di luar daftar","")),IF(TRIM($H818)="","Genre kosong",IF((LEN(SUBSTITUTE(SUBSTITUTE(SUBSTITUTE(TRIM($H818),"/",","),";",",")," ",""))-LEN(SUBSTITUTE(SUBSTITUTE(SUBSTITUTE(SUBSTITUTE(TRIM($H818),"/",","),";",","),"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818),"/",","),";",",")," ","")&amp;",")))&lt;&gt;(LEN(SUBSTITUTE(SUBSTITUTE(SUBSTITUTE(TRIM($H818),"/",","),";",",")," ",""))-LEN(SUBSTITUTE(SUBSTITUTE(SUBSTITUTE(SUBSTITUTE(TRIM($H818),"/",","),";",",")," ",""),",",""))+1),"Genre di luar daftar",""))),IF($I818="","Nama Channel kosong",""),IF($J818="","Link Channel kosong",IF(ISERROR(SEARCH("youtu",$J818)),"Link Channel bukan youtube","")),IF($K818="","Link Video kosong",IF(ISERROR(SEARCH("youtu",$K818)),"Link Video bukan youtube","")),IF($L818="","Tgl Dibuat kosong",IF(NOT(ISNUMBER($L818)),"Tgl Dibuat bukan tanggal","")),IF(AND($M818&lt;&gt;"",NOT(ISNUMBER($M818))),"Tgl Publish bukan tanggal",""),IF(AND(ISNUMBER($L818),ISNUMBER($M818),$M818&lt;$L818),"Tgl Publish &lt; Tgl buat",""),IF(TRIM($N818)="","Status kosong",IF(ISERROR(MATCH(TRIM($N818),{"Draft","Menunggu Review","Revisi","Terjadwal","Upload","Publish","Published","Batal"},0)),"Status di luar daftar","")))),""))</f>
        <v/>
      </c>
      <c r="S818" s="17">
        <f>IF(AND($A818&lt;&gt;"",$C818&lt;&gt;""),IF(COUNTIFS($A$2:$A$1000,$A818,$C$2:$C$1000,$C818)&gt;1,"DUPLICAT",""),"")</f>
        <v/>
      </c>
    </row>
    <row r="819">
      <c r="A819" s="12" t="n"/>
      <c r="B819" s="12" t="n"/>
      <c r="C819" s="12" t="n"/>
      <c r="D819" s="13" t="n"/>
      <c r="E819" s="12" t="n"/>
      <c r="F819" s="14" t="n"/>
      <c r="G819" s="12" t="n"/>
      <c r="H819" s="12" t="n"/>
      <c r="I819" s="12" t="n"/>
      <c r="J819" s="14" t="n"/>
      <c r="K819" s="14" t="n"/>
      <c r="L819" s="15" t="n"/>
      <c r="M819" s="15" t="n"/>
      <c r="N819" s="12" t="n"/>
      <c r="O819" s="12" t="n"/>
      <c r="P819" s="16">
        <f>IF(AND(ISNUMBER($L819),ISNUMBER($M819)),MAX(0,$M819-$L819),"")</f>
        <v/>
      </c>
      <c r="Q819" s="16">
        <f>IF(ISNUMBER($D819),MAX(0,TODAY()-$D819),"")</f>
        <v/>
      </c>
      <c r="R819" s="14">
        <f>IF(COUNTA($A819:$O819)=0,"",IFERROR(TRIM(TEXTJOIN(" | ",TRUE,IF($A819="","PC kosong",""),IF($C819="","Worker ID kosong",""),IF($D819="","Update Date kosong",IF(NOT(ISNUMBER($D819)),"Update Date bukan tanggal","")),IF($E819="","Song ID YT kosong",""),IF($F819="","Judul kosong",""),IF(TRIM($G819)="","",IF(ISERROR(MATCH(TRIM($G819),{"TuneCore","DistroKid","TooLost","SoundOn","Ditto","Believe","CD Baby","Amuse","Symphonic Distribution","ONErpm","RouteNote","LANDR","Horus Music","Indie"},0)),"Aggregator di luar daftar","")),IF(TRIM($H819)="","Genre kosong",IF((LEN(SUBSTITUTE(SUBSTITUTE(SUBSTITUTE(TRIM($H819),"/",","),";",",")," ",""))-LEN(SUBSTITUTE(SUBSTITUTE(SUBSTITUTE(SUBSTITUTE(TRIM($H819),"/",","),";",","),"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819),"/",","),";",",")," ","")&amp;",")))&lt;&gt;(LEN(SUBSTITUTE(SUBSTITUTE(SUBSTITUTE(TRIM($H819),"/",","),";",",")," ",""))-LEN(SUBSTITUTE(SUBSTITUTE(SUBSTITUTE(SUBSTITUTE(TRIM($H819),"/",","),";",",")," ",""),",",""))+1),"Genre di luar daftar",""))),IF($I819="","Nama Channel kosong",""),IF($J819="","Link Channel kosong",IF(ISERROR(SEARCH("youtu",$J819)),"Link Channel bukan youtube","")),IF($K819="","Link Video kosong",IF(ISERROR(SEARCH("youtu",$K819)),"Link Video bukan youtube","")),IF($L819="","Tgl Dibuat kosong",IF(NOT(ISNUMBER($L819)),"Tgl Dibuat bukan tanggal","")),IF(AND($M819&lt;&gt;"",NOT(ISNUMBER($M819))),"Tgl Publish bukan tanggal",""),IF(AND(ISNUMBER($L819),ISNUMBER($M819),$M819&lt;$L819),"Tgl Publish &lt; Tgl buat",""),IF(TRIM($N819)="","Status kosong",IF(ISERROR(MATCH(TRIM($N819),{"Draft","Menunggu Review","Revisi","Terjadwal","Upload","Publish","Published","Batal"},0)),"Status di luar daftar","")))),""))</f>
        <v/>
      </c>
      <c r="S819" s="12">
        <f>IF(AND($A819&lt;&gt;"",$C819&lt;&gt;""),IF(COUNTIFS($A$2:$A$1000,$A819,$C$2:$C$1000,$C819)&gt;1,"DUPLICAT",""),"")</f>
        <v/>
      </c>
    </row>
    <row r="820">
      <c r="A820" s="17" t="n"/>
      <c r="B820" s="17" t="n"/>
      <c r="C820" s="17" t="n"/>
      <c r="D820" s="18" t="n"/>
      <c r="E820" s="17" t="n"/>
      <c r="F820" s="19" t="n"/>
      <c r="G820" s="17" t="n"/>
      <c r="H820" s="17" t="n"/>
      <c r="I820" s="17" t="n"/>
      <c r="J820" s="19" t="n"/>
      <c r="K820" s="19" t="n"/>
      <c r="L820" s="20" t="n"/>
      <c r="M820" s="20" t="n"/>
      <c r="N820" s="17" t="n"/>
      <c r="O820" s="17" t="n"/>
      <c r="P820" s="21">
        <f>IF(AND(ISNUMBER($L820),ISNUMBER($M820)),MAX(0,$M820-$L820),"")</f>
        <v/>
      </c>
      <c r="Q820" s="21">
        <f>IF(ISNUMBER($D820),MAX(0,TODAY()-$D820),"")</f>
        <v/>
      </c>
      <c r="R820" s="19">
        <f>IF(COUNTA($A820:$O820)=0,"",IFERROR(TRIM(TEXTJOIN(" | ",TRUE,IF($A820="","PC kosong",""),IF($C820="","Worker ID kosong",""),IF($D820="","Update Date kosong",IF(NOT(ISNUMBER($D820)),"Update Date bukan tanggal","")),IF($E820="","Song ID YT kosong",""),IF($F820="","Judul kosong",""),IF(TRIM($G820)="","",IF(ISERROR(MATCH(TRIM($G820),{"TuneCore","DistroKid","TooLost","SoundOn","Ditto","Believe","CD Baby","Amuse","Symphonic Distribution","ONErpm","RouteNote","LANDR","Horus Music","Indie"},0)),"Aggregator di luar daftar","")),IF(TRIM($H820)="","Genre kosong",IF((LEN(SUBSTITUTE(SUBSTITUTE(SUBSTITUTE(TRIM($H820),"/",","),";",",")," ",""))-LEN(SUBSTITUTE(SUBSTITUTE(SUBSTITUTE(SUBSTITUTE(TRIM($H820),"/",","),";",","),"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820),"/",","),";",",")," ","")&amp;",")))&lt;&gt;(LEN(SUBSTITUTE(SUBSTITUTE(SUBSTITUTE(TRIM($H820),"/",","),";",",")," ",""))-LEN(SUBSTITUTE(SUBSTITUTE(SUBSTITUTE(SUBSTITUTE(TRIM($H820),"/",","),";",",")," ",""),",",""))+1),"Genre di luar daftar",""))),IF($I820="","Nama Channel kosong",""),IF($J820="","Link Channel kosong",IF(ISERROR(SEARCH("youtu",$J820)),"Link Channel bukan youtube","")),IF($K820="","Link Video kosong",IF(ISERROR(SEARCH("youtu",$K820)),"Link Video bukan youtube","")),IF($L820="","Tgl Dibuat kosong",IF(NOT(ISNUMBER($L820)),"Tgl Dibuat bukan tanggal","")),IF(AND($M820&lt;&gt;"",NOT(ISNUMBER($M820))),"Tgl Publish bukan tanggal",""),IF(AND(ISNUMBER($L820),ISNUMBER($M820),$M820&lt;$L820),"Tgl Publish &lt; Tgl buat",""),IF(TRIM($N820)="","Status kosong",IF(ISERROR(MATCH(TRIM($N820),{"Draft","Menunggu Review","Revisi","Terjadwal","Upload","Publish","Published","Batal"},0)),"Status di luar daftar","")))),""))</f>
        <v/>
      </c>
      <c r="S820" s="17">
        <f>IF(AND($A820&lt;&gt;"",$C820&lt;&gt;""),IF(COUNTIFS($A$2:$A$1000,$A820,$C$2:$C$1000,$C820)&gt;1,"DUPLICAT",""),"")</f>
        <v/>
      </c>
    </row>
    <row r="821">
      <c r="A821" s="12" t="n"/>
      <c r="B821" s="12" t="n"/>
      <c r="C821" s="12" t="n"/>
      <c r="D821" s="13" t="n"/>
      <c r="E821" s="12" t="n"/>
      <c r="F821" s="14" t="n"/>
      <c r="G821" s="12" t="n"/>
      <c r="H821" s="12" t="n"/>
      <c r="I821" s="12" t="n"/>
      <c r="J821" s="14" t="n"/>
      <c r="K821" s="14" t="n"/>
      <c r="L821" s="15" t="n"/>
      <c r="M821" s="15" t="n"/>
      <c r="N821" s="12" t="n"/>
      <c r="O821" s="12" t="n"/>
      <c r="P821" s="16">
        <f>IF(AND(ISNUMBER($L821),ISNUMBER($M821)),MAX(0,$M821-$L821),"")</f>
        <v/>
      </c>
      <c r="Q821" s="16">
        <f>IF(ISNUMBER($D821),MAX(0,TODAY()-$D821),"")</f>
        <v/>
      </c>
      <c r="R821" s="14">
        <f>IF(COUNTA($A821:$O821)=0,"",IFERROR(TRIM(TEXTJOIN(" | ",TRUE,IF($A821="","PC kosong",""),IF($C821="","Worker ID kosong",""),IF($D821="","Update Date kosong",IF(NOT(ISNUMBER($D821)),"Update Date bukan tanggal","")),IF($E821="","Song ID YT kosong",""),IF($F821="","Judul kosong",""),IF(TRIM($G821)="","",IF(ISERROR(MATCH(TRIM($G821),{"TuneCore","DistroKid","TooLost","SoundOn","Ditto","Believe","CD Baby","Amuse","Symphonic Distribution","ONErpm","RouteNote","LANDR","Horus Music","Indie"},0)),"Aggregator di luar daftar","")),IF(TRIM($H821)="","Genre kosong",IF((LEN(SUBSTITUTE(SUBSTITUTE(SUBSTITUTE(TRIM($H821),"/",","),";",",")," ",""))-LEN(SUBSTITUTE(SUBSTITUTE(SUBSTITUTE(SUBSTITUTE(TRIM($H821),"/",","),";",","),"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821),"/",","),";",",")," ","")&amp;",")))&lt;&gt;(LEN(SUBSTITUTE(SUBSTITUTE(SUBSTITUTE(TRIM($H821),"/",","),";",",")," ",""))-LEN(SUBSTITUTE(SUBSTITUTE(SUBSTITUTE(SUBSTITUTE(TRIM($H821),"/",","),";",",")," ",""),",",""))+1),"Genre di luar daftar",""))),IF($I821="","Nama Channel kosong",""),IF($J821="","Link Channel kosong",IF(ISERROR(SEARCH("youtu",$J821)),"Link Channel bukan youtube","")),IF($K821="","Link Video kosong",IF(ISERROR(SEARCH("youtu",$K821)),"Link Video bukan youtube","")),IF($L821="","Tgl Dibuat kosong",IF(NOT(ISNUMBER($L821)),"Tgl Dibuat bukan tanggal","")),IF(AND($M821&lt;&gt;"",NOT(ISNUMBER($M821))),"Tgl Publish bukan tanggal",""),IF(AND(ISNUMBER($L821),ISNUMBER($M821),$M821&lt;$L821),"Tgl Publish &lt; Tgl buat",""),IF(TRIM($N821)="","Status kosong",IF(ISERROR(MATCH(TRIM($N821),{"Draft","Menunggu Review","Revisi","Terjadwal","Upload","Publish","Published","Batal"},0)),"Status di luar daftar","")))),""))</f>
        <v/>
      </c>
      <c r="S821" s="12">
        <f>IF(AND($A821&lt;&gt;"",$C821&lt;&gt;""),IF(COUNTIFS($A$2:$A$1000,$A821,$C$2:$C$1000,$C821)&gt;1,"DUPLICAT",""),"")</f>
        <v/>
      </c>
    </row>
    <row r="822">
      <c r="A822" s="17" t="n"/>
      <c r="B822" s="17" t="n"/>
      <c r="C822" s="17" t="n"/>
      <c r="D822" s="18" t="n"/>
      <c r="E822" s="17" t="n"/>
      <c r="F822" s="19" t="n"/>
      <c r="G822" s="17" t="n"/>
      <c r="H822" s="17" t="n"/>
      <c r="I822" s="17" t="n"/>
      <c r="J822" s="19" t="n"/>
      <c r="K822" s="19" t="n"/>
      <c r="L822" s="20" t="n"/>
      <c r="M822" s="20" t="n"/>
      <c r="N822" s="17" t="n"/>
      <c r="O822" s="17" t="n"/>
      <c r="P822" s="21">
        <f>IF(AND(ISNUMBER($L822),ISNUMBER($M822)),MAX(0,$M822-$L822),"")</f>
        <v/>
      </c>
      <c r="Q822" s="21">
        <f>IF(ISNUMBER($D822),MAX(0,TODAY()-$D822),"")</f>
        <v/>
      </c>
      <c r="R822" s="19">
        <f>IF(COUNTA($A822:$O822)=0,"",IFERROR(TRIM(TEXTJOIN(" | ",TRUE,IF($A822="","PC kosong",""),IF($C822="","Worker ID kosong",""),IF($D822="","Update Date kosong",IF(NOT(ISNUMBER($D822)),"Update Date bukan tanggal","")),IF($E822="","Song ID YT kosong",""),IF($F822="","Judul kosong",""),IF(TRIM($G822)="","",IF(ISERROR(MATCH(TRIM($G822),{"TuneCore","DistroKid","TooLost","SoundOn","Ditto","Believe","CD Baby","Amuse","Symphonic Distribution","ONErpm","RouteNote","LANDR","Horus Music","Indie"},0)),"Aggregator di luar daftar","")),IF(TRIM($H822)="","Genre kosong",IF((LEN(SUBSTITUTE(SUBSTITUTE(SUBSTITUTE(TRIM($H822),"/",","),";",",")," ",""))-LEN(SUBSTITUTE(SUBSTITUTE(SUBSTITUTE(SUBSTITUTE(TRIM($H822),"/",","),";",","),"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822),"/",","),";",",")," ","")&amp;",")))&lt;&gt;(LEN(SUBSTITUTE(SUBSTITUTE(SUBSTITUTE(TRIM($H822),"/",","),";",",")," ",""))-LEN(SUBSTITUTE(SUBSTITUTE(SUBSTITUTE(SUBSTITUTE(TRIM($H822),"/",","),";",",")," ",""),",",""))+1),"Genre di luar daftar",""))),IF($I822="","Nama Channel kosong",""),IF($J822="","Link Channel kosong",IF(ISERROR(SEARCH("youtu",$J822)),"Link Channel bukan youtube","")),IF($K822="","Link Video kosong",IF(ISERROR(SEARCH("youtu",$K822)),"Link Video bukan youtube","")),IF($L822="","Tgl Dibuat kosong",IF(NOT(ISNUMBER($L822)),"Tgl Dibuat bukan tanggal","")),IF(AND($M822&lt;&gt;"",NOT(ISNUMBER($M822))),"Tgl Publish bukan tanggal",""),IF(AND(ISNUMBER($L822),ISNUMBER($M822),$M822&lt;$L822),"Tgl Publish &lt; Tgl buat",""),IF(TRIM($N822)="","Status kosong",IF(ISERROR(MATCH(TRIM($N822),{"Draft","Menunggu Review","Revisi","Terjadwal","Upload","Publish","Published","Batal"},0)),"Status di luar daftar","")))),""))</f>
        <v/>
      </c>
      <c r="S822" s="17">
        <f>IF(AND($A822&lt;&gt;"",$C822&lt;&gt;""),IF(COUNTIFS($A$2:$A$1000,$A822,$C$2:$C$1000,$C822)&gt;1,"DUPLICAT",""),"")</f>
        <v/>
      </c>
    </row>
    <row r="823">
      <c r="A823" s="12" t="n"/>
      <c r="B823" s="12" t="n"/>
      <c r="C823" s="12" t="n"/>
      <c r="D823" s="13" t="n"/>
      <c r="E823" s="12" t="n"/>
      <c r="F823" s="14" t="n"/>
      <c r="G823" s="12" t="n"/>
      <c r="H823" s="12" t="n"/>
      <c r="I823" s="12" t="n"/>
      <c r="J823" s="14" t="n"/>
      <c r="K823" s="14" t="n"/>
      <c r="L823" s="15" t="n"/>
      <c r="M823" s="15" t="n"/>
      <c r="N823" s="12" t="n"/>
      <c r="O823" s="12" t="n"/>
      <c r="P823" s="16">
        <f>IF(AND(ISNUMBER($L823),ISNUMBER($M823)),MAX(0,$M823-$L823),"")</f>
        <v/>
      </c>
      <c r="Q823" s="16">
        <f>IF(ISNUMBER($D823),MAX(0,TODAY()-$D823),"")</f>
        <v/>
      </c>
      <c r="R823" s="14">
        <f>IF(COUNTA($A823:$O823)=0,"",IFERROR(TRIM(TEXTJOIN(" | ",TRUE,IF($A823="","PC kosong",""),IF($C823="","Worker ID kosong",""),IF($D823="","Update Date kosong",IF(NOT(ISNUMBER($D823)),"Update Date bukan tanggal","")),IF($E823="","Song ID YT kosong",""),IF($F823="","Judul kosong",""),IF(TRIM($G823)="","",IF(ISERROR(MATCH(TRIM($G823),{"TuneCore","DistroKid","TooLost","SoundOn","Ditto","Believe","CD Baby","Amuse","Symphonic Distribution","ONErpm","RouteNote","LANDR","Horus Music","Indie"},0)),"Aggregator di luar daftar","")),IF(TRIM($H823)="","Genre kosong",IF((LEN(SUBSTITUTE(SUBSTITUTE(SUBSTITUTE(TRIM($H823),"/",","),";",",")," ",""))-LEN(SUBSTITUTE(SUBSTITUTE(SUBSTITUTE(SUBSTITUTE(TRIM($H823),"/",","),";",","),"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823),"/",","),";",",")," ","")&amp;",")))&lt;&gt;(LEN(SUBSTITUTE(SUBSTITUTE(SUBSTITUTE(TRIM($H823),"/",","),";",",")," ",""))-LEN(SUBSTITUTE(SUBSTITUTE(SUBSTITUTE(SUBSTITUTE(TRIM($H823),"/",","),";",",")," ",""),",",""))+1),"Genre di luar daftar",""))),IF($I823="","Nama Channel kosong",""),IF($J823="","Link Channel kosong",IF(ISERROR(SEARCH("youtu",$J823)),"Link Channel bukan youtube","")),IF($K823="","Link Video kosong",IF(ISERROR(SEARCH("youtu",$K823)),"Link Video bukan youtube","")),IF($L823="","Tgl Dibuat kosong",IF(NOT(ISNUMBER($L823)),"Tgl Dibuat bukan tanggal","")),IF(AND($M823&lt;&gt;"",NOT(ISNUMBER($M823))),"Tgl Publish bukan tanggal",""),IF(AND(ISNUMBER($L823),ISNUMBER($M823),$M823&lt;$L823),"Tgl Publish &lt; Tgl buat",""),IF(TRIM($N823)="","Status kosong",IF(ISERROR(MATCH(TRIM($N823),{"Draft","Menunggu Review","Revisi","Terjadwal","Upload","Publish","Published","Batal"},0)),"Status di luar daftar","")))),""))</f>
        <v/>
      </c>
      <c r="S823" s="12">
        <f>IF(AND($A823&lt;&gt;"",$C823&lt;&gt;""),IF(COUNTIFS($A$2:$A$1000,$A823,$C$2:$C$1000,$C823)&gt;1,"DUPLICAT",""),"")</f>
        <v/>
      </c>
    </row>
    <row r="824">
      <c r="A824" s="17" t="n"/>
      <c r="B824" s="17" t="n"/>
      <c r="C824" s="17" t="n"/>
      <c r="D824" s="18" t="n"/>
      <c r="E824" s="17" t="n"/>
      <c r="F824" s="19" t="n"/>
      <c r="G824" s="17" t="n"/>
      <c r="H824" s="17" t="n"/>
      <c r="I824" s="17" t="n"/>
      <c r="J824" s="19" t="n"/>
      <c r="K824" s="19" t="n"/>
      <c r="L824" s="20" t="n"/>
      <c r="M824" s="20" t="n"/>
      <c r="N824" s="17" t="n"/>
      <c r="O824" s="17" t="n"/>
      <c r="P824" s="21">
        <f>IF(AND(ISNUMBER($L824),ISNUMBER($M824)),MAX(0,$M824-$L824),"")</f>
        <v/>
      </c>
      <c r="Q824" s="21">
        <f>IF(ISNUMBER($D824),MAX(0,TODAY()-$D824),"")</f>
        <v/>
      </c>
      <c r="R824" s="19">
        <f>IF(COUNTA($A824:$O824)=0,"",IFERROR(TRIM(TEXTJOIN(" | ",TRUE,IF($A824="","PC kosong",""),IF($C824="","Worker ID kosong",""),IF($D824="","Update Date kosong",IF(NOT(ISNUMBER($D824)),"Update Date bukan tanggal","")),IF($E824="","Song ID YT kosong",""),IF($F824="","Judul kosong",""),IF(TRIM($G824)="","",IF(ISERROR(MATCH(TRIM($G824),{"TuneCore","DistroKid","TooLost","SoundOn","Ditto","Believe","CD Baby","Amuse","Symphonic Distribution","ONErpm","RouteNote","LANDR","Horus Music","Indie"},0)),"Aggregator di luar daftar","")),IF(TRIM($H824)="","Genre kosong",IF((LEN(SUBSTITUTE(SUBSTITUTE(SUBSTITUTE(TRIM($H824),"/",","),";",",")," ",""))-LEN(SUBSTITUTE(SUBSTITUTE(SUBSTITUTE(SUBSTITUTE(TRIM($H824),"/",","),";",","),"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824),"/",","),";",",")," ","")&amp;",")))&lt;&gt;(LEN(SUBSTITUTE(SUBSTITUTE(SUBSTITUTE(TRIM($H824),"/",","),";",",")," ",""))-LEN(SUBSTITUTE(SUBSTITUTE(SUBSTITUTE(SUBSTITUTE(TRIM($H824),"/",","),";",",")," ",""),",",""))+1),"Genre di luar daftar",""))),IF($I824="","Nama Channel kosong",""),IF($J824="","Link Channel kosong",IF(ISERROR(SEARCH("youtu",$J824)),"Link Channel bukan youtube","")),IF($K824="","Link Video kosong",IF(ISERROR(SEARCH("youtu",$K824)),"Link Video bukan youtube","")),IF($L824="","Tgl Dibuat kosong",IF(NOT(ISNUMBER($L824)),"Tgl Dibuat bukan tanggal","")),IF(AND($M824&lt;&gt;"",NOT(ISNUMBER($M824))),"Tgl Publish bukan tanggal",""),IF(AND(ISNUMBER($L824),ISNUMBER($M824),$M824&lt;$L824),"Tgl Publish &lt; Tgl buat",""),IF(TRIM($N824)="","Status kosong",IF(ISERROR(MATCH(TRIM($N824),{"Draft","Menunggu Review","Revisi","Terjadwal","Upload","Publish","Published","Batal"},0)),"Status di luar daftar","")))),""))</f>
        <v/>
      </c>
      <c r="S824" s="17">
        <f>IF(AND($A824&lt;&gt;"",$C824&lt;&gt;""),IF(COUNTIFS($A$2:$A$1000,$A824,$C$2:$C$1000,$C824)&gt;1,"DUPLICAT",""),"")</f>
        <v/>
      </c>
    </row>
    <row r="825">
      <c r="A825" s="12" t="n"/>
      <c r="B825" s="12" t="n"/>
      <c r="C825" s="12" t="n"/>
      <c r="D825" s="13" t="n"/>
      <c r="E825" s="12" t="n"/>
      <c r="F825" s="14" t="n"/>
      <c r="G825" s="12" t="n"/>
      <c r="H825" s="12" t="n"/>
      <c r="I825" s="12" t="n"/>
      <c r="J825" s="14" t="n"/>
      <c r="K825" s="14" t="n"/>
      <c r="L825" s="15" t="n"/>
      <c r="M825" s="15" t="n"/>
      <c r="N825" s="12" t="n"/>
      <c r="O825" s="12" t="n"/>
      <c r="P825" s="16">
        <f>IF(AND(ISNUMBER($L825),ISNUMBER($M825)),MAX(0,$M825-$L825),"")</f>
        <v/>
      </c>
      <c r="Q825" s="16">
        <f>IF(ISNUMBER($D825),MAX(0,TODAY()-$D825),"")</f>
        <v/>
      </c>
      <c r="R825" s="14">
        <f>IF(COUNTA($A825:$O825)=0,"",IFERROR(TRIM(TEXTJOIN(" | ",TRUE,IF($A825="","PC kosong",""),IF($C825="","Worker ID kosong",""),IF($D825="","Update Date kosong",IF(NOT(ISNUMBER($D825)),"Update Date bukan tanggal","")),IF($E825="","Song ID YT kosong",""),IF($F825="","Judul kosong",""),IF(TRIM($G825)="","",IF(ISERROR(MATCH(TRIM($G825),{"TuneCore","DistroKid","TooLost","SoundOn","Ditto","Believe","CD Baby","Amuse","Symphonic Distribution","ONErpm","RouteNote","LANDR","Horus Music","Indie"},0)),"Aggregator di luar daftar","")),IF(TRIM($H825)="","Genre kosong",IF((LEN(SUBSTITUTE(SUBSTITUTE(SUBSTITUTE(TRIM($H825),"/",","),";",",")," ",""))-LEN(SUBSTITUTE(SUBSTITUTE(SUBSTITUTE(SUBSTITUTE(TRIM($H825),"/",","),";",","),"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825),"/",","),";",",")," ","")&amp;",")))&lt;&gt;(LEN(SUBSTITUTE(SUBSTITUTE(SUBSTITUTE(TRIM($H825),"/",","),";",",")," ",""))-LEN(SUBSTITUTE(SUBSTITUTE(SUBSTITUTE(SUBSTITUTE(TRIM($H825),"/",","),";",",")," ",""),",",""))+1),"Genre di luar daftar",""))),IF($I825="","Nama Channel kosong",""),IF($J825="","Link Channel kosong",IF(ISERROR(SEARCH("youtu",$J825)),"Link Channel bukan youtube","")),IF($K825="","Link Video kosong",IF(ISERROR(SEARCH("youtu",$K825)),"Link Video bukan youtube","")),IF($L825="","Tgl Dibuat kosong",IF(NOT(ISNUMBER($L825)),"Tgl Dibuat bukan tanggal","")),IF(AND($M825&lt;&gt;"",NOT(ISNUMBER($M825))),"Tgl Publish bukan tanggal",""),IF(AND(ISNUMBER($L825),ISNUMBER($M825),$M825&lt;$L825),"Tgl Publish &lt; Tgl buat",""),IF(TRIM($N825)="","Status kosong",IF(ISERROR(MATCH(TRIM($N825),{"Draft","Menunggu Review","Revisi","Terjadwal","Upload","Publish","Published","Batal"},0)),"Status di luar daftar","")))),""))</f>
        <v/>
      </c>
      <c r="S825" s="12">
        <f>IF(AND($A825&lt;&gt;"",$C825&lt;&gt;""),IF(COUNTIFS($A$2:$A$1000,$A825,$C$2:$C$1000,$C825)&gt;1,"DUPLICAT",""),"")</f>
        <v/>
      </c>
    </row>
    <row r="826">
      <c r="A826" s="17" t="n"/>
      <c r="B826" s="17" t="n"/>
      <c r="C826" s="17" t="n"/>
      <c r="D826" s="18" t="n"/>
      <c r="E826" s="17" t="n"/>
      <c r="F826" s="19" t="n"/>
      <c r="G826" s="17" t="n"/>
      <c r="H826" s="17" t="n"/>
      <c r="I826" s="17" t="n"/>
      <c r="J826" s="19" t="n"/>
      <c r="K826" s="19" t="n"/>
      <c r="L826" s="20" t="n"/>
      <c r="M826" s="20" t="n"/>
      <c r="N826" s="17" t="n"/>
      <c r="O826" s="17" t="n"/>
      <c r="P826" s="21">
        <f>IF(AND(ISNUMBER($L826),ISNUMBER($M826)),MAX(0,$M826-$L826),"")</f>
        <v/>
      </c>
      <c r="Q826" s="21">
        <f>IF(ISNUMBER($D826),MAX(0,TODAY()-$D826),"")</f>
        <v/>
      </c>
      <c r="R826" s="19">
        <f>IF(COUNTA($A826:$O826)=0,"",IFERROR(TRIM(TEXTJOIN(" | ",TRUE,IF($A826="","PC kosong",""),IF($C826="","Worker ID kosong",""),IF($D826="","Update Date kosong",IF(NOT(ISNUMBER($D826)),"Update Date bukan tanggal","")),IF($E826="","Song ID YT kosong",""),IF($F826="","Judul kosong",""),IF(TRIM($G826)="","",IF(ISERROR(MATCH(TRIM($G826),{"TuneCore","DistroKid","TooLost","SoundOn","Ditto","Believe","CD Baby","Amuse","Symphonic Distribution","ONErpm","RouteNote","LANDR","Horus Music","Indie"},0)),"Aggregator di luar daftar","")),IF(TRIM($H826)="","Genre kosong",IF((LEN(SUBSTITUTE(SUBSTITUTE(SUBSTITUTE(TRIM($H826),"/",","),";",",")," ",""))-LEN(SUBSTITUTE(SUBSTITUTE(SUBSTITUTE(SUBSTITUTE(TRIM($H826),"/",","),";",","),"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826),"/",","),";",",")," ","")&amp;",")))&lt;&gt;(LEN(SUBSTITUTE(SUBSTITUTE(SUBSTITUTE(TRIM($H826),"/",","),";",",")," ",""))-LEN(SUBSTITUTE(SUBSTITUTE(SUBSTITUTE(SUBSTITUTE(TRIM($H826),"/",","),";",",")," ",""),",",""))+1),"Genre di luar daftar",""))),IF($I826="","Nama Channel kosong",""),IF($J826="","Link Channel kosong",IF(ISERROR(SEARCH("youtu",$J826)),"Link Channel bukan youtube","")),IF($K826="","Link Video kosong",IF(ISERROR(SEARCH("youtu",$K826)),"Link Video bukan youtube","")),IF($L826="","Tgl Dibuat kosong",IF(NOT(ISNUMBER($L826)),"Tgl Dibuat bukan tanggal","")),IF(AND($M826&lt;&gt;"",NOT(ISNUMBER($M826))),"Tgl Publish bukan tanggal",""),IF(AND(ISNUMBER($L826),ISNUMBER($M826),$M826&lt;$L826),"Tgl Publish &lt; Tgl buat",""),IF(TRIM($N826)="","Status kosong",IF(ISERROR(MATCH(TRIM($N826),{"Draft","Menunggu Review","Revisi","Terjadwal","Upload","Publish","Published","Batal"},0)),"Status di luar daftar","")))),""))</f>
        <v/>
      </c>
      <c r="S826" s="17">
        <f>IF(AND($A826&lt;&gt;"",$C826&lt;&gt;""),IF(COUNTIFS($A$2:$A$1000,$A826,$C$2:$C$1000,$C826)&gt;1,"DUPLICAT",""),"")</f>
        <v/>
      </c>
    </row>
    <row r="827">
      <c r="A827" s="12" t="n"/>
      <c r="B827" s="12" t="n"/>
      <c r="C827" s="12" t="n"/>
      <c r="D827" s="13" t="n"/>
      <c r="E827" s="12" t="n"/>
      <c r="F827" s="14" t="n"/>
      <c r="G827" s="12" t="n"/>
      <c r="H827" s="12" t="n"/>
      <c r="I827" s="12" t="n"/>
      <c r="J827" s="14" t="n"/>
      <c r="K827" s="14" t="n"/>
      <c r="L827" s="15" t="n"/>
      <c r="M827" s="15" t="n"/>
      <c r="N827" s="12" t="n"/>
      <c r="O827" s="12" t="n"/>
      <c r="P827" s="16">
        <f>IF(AND(ISNUMBER($L827),ISNUMBER($M827)),MAX(0,$M827-$L827),"")</f>
        <v/>
      </c>
      <c r="Q827" s="16">
        <f>IF(ISNUMBER($D827),MAX(0,TODAY()-$D827),"")</f>
        <v/>
      </c>
      <c r="R827" s="14">
        <f>IF(COUNTA($A827:$O827)=0,"",IFERROR(TRIM(TEXTJOIN(" | ",TRUE,IF($A827="","PC kosong",""),IF($C827="","Worker ID kosong",""),IF($D827="","Update Date kosong",IF(NOT(ISNUMBER($D827)),"Update Date bukan tanggal","")),IF($E827="","Song ID YT kosong",""),IF($F827="","Judul kosong",""),IF(TRIM($G827)="","",IF(ISERROR(MATCH(TRIM($G827),{"TuneCore","DistroKid","TooLost","SoundOn","Ditto","Believe","CD Baby","Amuse","Symphonic Distribution","ONErpm","RouteNote","LANDR","Horus Music","Indie"},0)),"Aggregator di luar daftar","")),IF(TRIM($H827)="","Genre kosong",IF((LEN(SUBSTITUTE(SUBSTITUTE(SUBSTITUTE(TRIM($H827),"/",","),";",",")," ",""))-LEN(SUBSTITUTE(SUBSTITUTE(SUBSTITUTE(SUBSTITUTE(TRIM($H827),"/",","),";",","),"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827),"/",","),";",",")," ","")&amp;",")))&lt;&gt;(LEN(SUBSTITUTE(SUBSTITUTE(SUBSTITUTE(TRIM($H827),"/",","),";",",")," ",""))-LEN(SUBSTITUTE(SUBSTITUTE(SUBSTITUTE(SUBSTITUTE(TRIM($H827),"/",","),";",",")," ",""),",",""))+1),"Genre di luar daftar",""))),IF($I827="","Nama Channel kosong",""),IF($J827="","Link Channel kosong",IF(ISERROR(SEARCH("youtu",$J827)),"Link Channel bukan youtube","")),IF($K827="","Link Video kosong",IF(ISERROR(SEARCH("youtu",$K827)),"Link Video bukan youtube","")),IF($L827="","Tgl Dibuat kosong",IF(NOT(ISNUMBER($L827)),"Tgl Dibuat bukan tanggal","")),IF(AND($M827&lt;&gt;"",NOT(ISNUMBER($M827))),"Tgl Publish bukan tanggal",""),IF(AND(ISNUMBER($L827),ISNUMBER($M827),$M827&lt;$L827),"Tgl Publish &lt; Tgl buat",""),IF(TRIM($N827)="","Status kosong",IF(ISERROR(MATCH(TRIM($N827),{"Draft","Menunggu Review","Revisi","Terjadwal","Upload","Publish","Published","Batal"},0)),"Status di luar daftar","")))),""))</f>
        <v/>
      </c>
      <c r="S827" s="12">
        <f>IF(AND($A827&lt;&gt;"",$C827&lt;&gt;""),IF(COUNTIFS($A$2:$A$1000,$A827,$C$2:$C$1000,$C827)&gt;1,"DUPLICAT",""),"")</f>
        <v/>
      </c>
    </row>
    <row r="828">
      <c r="A828" s="17" t="n"/>
      <c r="B828" s="17" t="n"/>
      <c r="C828" s="17" t="n"/>
      <c r="D828" s="18" t="n"/>
      <c r="E828" s="17" t="n"/>
      <c r="F828" s="19" t="n"/>
      <c r="G828" s="17" t="n"/>
      <c r="H828" s="17" t="n"/>
      <c r="I828" s="17" t="n"/>
      <c r="J828" s="19" t="n"/>
      <c r="K828" s="19" t="n"/>
      <c r="L828" s="20" t="n"/>
      <c r="M828" s="20" t="n"/>
      <c r="N828" s="17" t="n"/>
      <c r="O828" s="17" t="n"/>
      <c r="P828" s="21">
        <f>IF(AND(ISNUMBER($L828),ISNUMBER($M828)),MAX(0,$M828-$L828),"")</f>
        <v/>
      </c>
      <c r="Q828" s="21">
        <f>IF(ISNUMBER($D828),MAX(0,TODAY()-$D828),"")</f>
        <v/>
      </c>
      <c r="R828" s="19">
        <f>IF(COUNTA($A828:$O828)=0,"",IFERROR(TRIM(TEXTJOIN(" | ",TRUE,IF($A828="","PC kosong",""),IF($C828="","Worker ID kosong",""),IF($D828="","Update Date kosong",IF(NOT(ISNUMBER($D828)),"Update Date bukan tanggal","")),IF($E828="","Song ID YT kosong",""),IF($F828="","Judul kosong",""),IF(TRIM($G828)="","",IF(ISERROR(MATCH(TRIM($G828),{"TuneCore","DistroKid","TooLost","SoundOn","Ditto","Believe","CD Baby","Amuse","Symphonic Distribution","ONErpm","RouteNote","LANDR","Horus Music","Indie"},0)),"Aggregator di luar daftar","")),IF(TRIM($H828)="","Genre kosong",IF((LEN(SUBSTITUTE(SUBSTITUTE(SUBSTITUTE(TRIM($H828),"/",","),";",",")," ",""))-LEN(SUBSTITUTE(SUBSTITUTE(SUBSTITUTE(SUBSTITUTE(TRIM($H828),"/",","),";",","),"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828),"/",","),";",",")," ","")&amp;",")))&lt;&gt;(LEN(SUBSTITUTE(SUBSTITUTE(SUBSTITUTE(TRIM($H828),"/",","),";",",")," ",""))-LEN(SUBSTITUTE(SUBSTITUTE(SUBSTITUTE(SUBSTITUTE(TRIM($H828),"/",","),";",",")," ",""),",",""))+1),"Genre di luar daftar",""))),IF($I828="","Nama Channel kosong",""),IF($J828="","Link Channel kosong",IF(ISERROR(SEARCH("youtu",$J828)),"Link Channel bukan youtube","")),IF($K828="","Link Video kosong",IF(ISERROR(SEARCH("youtu",$K828)),"Link Video bukan youtube","")),IF($L828="","Tgl Dibuat kosong",IF(NOT(ISNUMBER($L828)),"Tgl Dibuat bukan tanggal","")),IF(AND($M828&lt;&gt;"",NOT(ISNUMBER($M828))),"Tgl Publish bukan tanggal",""),IF(AND(ISNUMBER($L828),ISNUMBER($M828),$M828&lt;$L828),"Tgl Publish &lt; Tgl buat",""),IF(TRIM($N828)="","Status kosong",IF(ISERROR(MATCH(TRIM($N828),{"Draft","Menunggu Review","Revisi","Terjadwal","Upload","Publish","Published","Batal"},0)),"Status di luar daftar","")))),""))</f>
        <v/>
      </c>
      <c r="S828" s="17">
        <f>IF(AND($A828&lt;&gt;"",$C828&lt;&gt;""),IF(COUNTIFS($A$2:$A$1000,$A828,$C$2:$C$1000,$C828)&gt;1,"DUPLICAT",""),"")</f>
        <v/>
      </c>
    </row>
    <row r="829">
      <c r="A829" s="12" t="n"/>
      <c r="B829" s="12" t="n"/>
      <c r="C829" s="12" t="n"/>
      <c r="D829" s="13" t="n"/>
      <c r="E829" s="12" t="n"/>
      <c r="F829" s="14" t="n"/>
      <c r="G829" s="12" t="n"/>
      <c r="H829" s="12" t="n"/>
      <c r="I829" s="12" t="n"/>
      <c r="J829" s="14" t="n"/>
      <c r="K829" s="14" t="n"/>
      <c r="L829" s="15" t="n"/>
      <c r="M829" s="15" t="n"/>
      <c r="N829" s="12" t="n"/>
      <c r="O829" s="12" t="n"/>
      <c r="P829" s="16">
        <f>IF(AND(ISNUMBER($L829),ISNUMBER($M829)),MAX(0,$M829-$L829),"")</f>
        <v/>
      </c>
      <c r="Q829" s="16">
        <f>IF(ISNUMBER($D829),MAX(0,TODAY()-$D829),"")</f>
        <v/>
      </c>
      <c r="R829" s="14">
        <f>IF(COUNTA($A829:$O829)=0,"",IFERROR(TRIM(TEXTJOIN(" | ",TRUE,IF($A829="","PC kosong",""),IF($C829="","Worker ID kosong",""),IF($D829="","Update Date kosong",IF(NOT(ISNUMBER($D829)),"Update Date bukan tanggal","")),IF($E829="","Song ID YT kosong",""),IF($F829="","Judul kosong",""),IF(TRIM($G829)="","",IF(ISERROR(MATCH(TRIM($G829),{"TuneCore","DistroKid","TooLost","SoundOn","Ditto","Believe","CD Baby","Amuse","Symphonic Distribution","ONErpm","RouteNote","LANDR","Horus Music","Indie"},0)),"Aggregator di luar daftar","")),IF(TRIM($H829)="","Genre kosong",IF((LEN(SUBSTITUTE(SUBSTITUTE(SUBSTITUTE(TRIM($H829),"/",","),";",",")," ",""))-LEN(SUBSTITUTE(SUBSTITUTE(SUBSTITUTE(SUBSTITUTE(TRIM($H829),"/",","),";",","),"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829),"/",","),";",",")," ","")&amp;",")))&lt;&gt;(LEN(SUBSTITUTE(SUBSTITUTE(SUBSTITUTE(TRIM($H829),"/",","),";",",")," ",""))-LEN(SUBSTITUTE(SUBSTITUTE(SUBSTITUTE(SUBSTITUTE(TRIM($H829),"/",","),";",",")," ",""),",",""))+1),"Genre di luar daftar",""))),IF($I829="","Nama Channel kosong",""),IF($J829="","Link Channel kosong",IF(ISERROR(SEARCH("youtu",$J829)),"Link Channel bukan youtube","")),IF($K829="","Link Video kosong",IF(ISERROR(SEARCH("youtu",$K829)),"Link Video bukan youtube","")),IF($L829="","Tgl Dibuat kosong",IF(NOT(ISNUMBER($L829)),"Tgl Dibuat bukan tanggal","")),IF(AND($M829&lt;&gt;"",NOT(ISNUMBER($M829))),"Tgl Publish bukan tanggal",""),IF(AND(ISNUMBER($L829),ISNUMBER($M829),$M829&lt;$L829),"Tgl Publish &lt; Tgl buat",""),IF(TRIM($N829)="","Status kosong",IF(ISERROR(MATCH(TRIM($N829),{"Draft","Menunggu Review","Revisi","Terjadwal","Upload","Publish","Published","Batal"},0)),"Status di luar daftar","")))),""))</f>
        <v/>
      </c>
      <c r="S829" s="12">
        <f>IF(AND($A829&lt;&gt;"",$C829&lt;&gt;""),IF(COUNTIFS($A$2:$A$1000,$A829,$C$2:$C$1000,$C829)&gt;1,"DUPLICAT",""),"")</f>
        <v/>
      </c>
    </row>
    <row r="830">
      <c r="A830" s="17" t="n"/>
      <c r="B830" s="17" t="n"/>
      <c r="C830" s="17" t="n"/>
      <c r="D830" s="18" t="n"/>
      <c r="E830" s="17" t="n"/>
      <c r="F830" s="19" t="n"/>
      <c r="G830" s="17" t="n"/>
      <c r="H830" s="17" t="n"/>
      <c r="I830" s="17" t="n"/>
      <c r="J830" s="19" t="n"/>
      <c r="K830" s="19" t="n"/>
      <c r="L830" s="20" t="n"/>
      <c r="M830" s="20" t="n"/>
      <c r="N830" s="17" t="n"/>
      <c r="O830" s="17" t="n"/>
      <c r="P830" s="21">
        <f>IF(AND(ISNUMBER($L830),ISNUMBER($M830)),MAX(0,$M830-$L830),"")</f>
        <v/>
      </c>
      <c r="Q830" s="21">
        <f>IF(ISNUMBER($D830),MAX(0,TODAY()-$D830),"")</f>
        <v/>
      </c>
      <c r="R830" s="19">
        <f>IF(COUNTA($A830:$O830)=0,"",IFERROR(TRIM(TEXTJOIN(" | ",TRUE,IF($A830="","PC kosong",""),IF($C830="","Worker ID kosong",""),IF($D830="","Update Date kosong",IF(NOT(ISNUMBER($D830)),"Update Date bukan tanggal","")),IF($E830="","Song ID YT kosong",""),IF($F830="","Judul kosong",""),IF(TRIM($G830)="","",IF(ISERROR(MATCH(TRIM($G830),{"TuneCore","DistroKid","TooLost","SoundOn","Ditto","Believe","CD Baby","Amuse","Symphonic Distribution","ONErpm","RouteNote","LANDR","Horus Music","Indie"},0)),"Aggregator di luar daftar","")),IF(TRIM($H830)="","Genre kosong",IF((LEN(SUBSTITUTE(SUBSTITUTE(SUBSTITUTE(TRIM($H830),"/",","),";",",")," ",""))-LEN(SUBSTITUTE(SUBSTITUTE(SUBSTITUTE(SUBSTITUTE(TRIM($H830),"/",","),";",","),"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830),"/",","),";",",")," ","")&amp;",")))&lt;&gt;(LEN(SUBSTITUTE(SUBSTITUTE(SUBSTITUTE(TRIM($H830),"/",","),";",",")," ",""))-LEN(SUBSTITUTE(SUBSTITUTE(SUBSTITUTE(SUBSTITUTE(TRIM($H830),"/",","),";",",")," ",""),",",""))+1),"Genre di luar daftar",""))),IF($I830="","Nama Channel kosong",""),IF($J830="","Link Channel kosong",IF(ISERROR(SEARCH("youtu",$J830)),"Link Channel bukan youtube","")),IF($K830="","Link Video kosong",IF(ISERROR(SEARCH("youtu",$K830)),"Link Video bukan youtube","")),IF($L830="","Tgl Dibuat kosong",IF(NOT(ISNUMBER($L830)),"Tgl Dibuat bukan tanggal","")),IF(AND($M830&lt;&gt;"",NOT(ISNUMBER($M830))),"Tgl Publish bukan tanggal",""),IF(AND(ISNUMBER($L830),ISNUMBER($M830),$M830&lt;$L830),"Tgl Publish &lt; Tgl buat",""),IF(TRIM($N830)="","Status kosong",IF(ISERROR(MATCH(TRIM($N830),{"Draft","Menunggu Review","Revisi","Terjadwal","Upload","Publish","Published","Batal"},0)),"Status di luar daftar","")))),""))</f>
        <v/>
      </c>
      <c r="S830" s="17">
        <f>IF(AND($A830&lt;&gt;"",$C830&lt;&gt;""),IF(COUNTIFS($A$2:$A$1000,$A830,$C$2:$C$1000,$C830)&gt;1,"DUPLICAT",""),"")</f>
        <v/>
      </c>
    </row>
    <row r="831">
      <c r="A831" s="12" t="n"/>
      <c r="B831" s="12" t="n"/>
      <c r="C831" s="12" t="n"/>
      <c r="D831" s="13" t="n"/>
      <c r="E831" s="12" t="n"/>
      <c r="F831" s="14" t="n"/>
      <c r="G831" s="12" t="n"/>
      <c r="H831" s="12" t="n"/>
      <c r="I831" s="12" t="n"/>
      <c r="J831" s="14" t="n"/>
      <c r="K831" s="14" t="n"/>
      <c r="L831" s="15" t="n"/>
      <c r="M831" s="15" t="n"/>
      <c r="N831" s="12" t="n"/>
      <c r="O831" s="12" t="n"/>
      <c r="P831" s="16">
        <f>IF(AND(ISNUMBER($L831),ISNUMBER($M831)),MAX(0,$M831-$L831),"")</f>
        <v/>
      </c>
      <c r="Q831" s="16">
        <f>IF(ISNUMBER($D831),MAX(0,TODAY()-$D831),"")</f>
        <v/>
      </c>
      <c r="R831" s="14">
        <f>IF(COUNTA($A831:$O831)=0,"",IFERROR(TRIM(TEXTJOIN(" | ",TRUE,IF($A831="","PC kosong",""),IF($C831="","Worker ID kosong",""),IF($D831="","Update Date kosong",IF(NOT(ISNUMBER($D831)),"Update Date bukan tanggal","")),IF($E831="","Song ID YT kosong",""),IF($F831="","Judul kosong",""),IF(TRIM($G831)="","",IF(ISERROR(MATCH(TRIM($G831),{"TuneCore","DistroKid","TooLost","SoundOn","Ditto","Believe","CD Baby","Amuse","Symphonic Distribution","ONErpm","RouteNote","LANDR","Horus Music","Indie"},0)),"Aggregator di luar daftar","")),IF(TRIM($H831)="","Genre kosong",IF((LEN(SUBSTITUTE(SUBSTITUTE(SUBSTITUTE(TRIM($H831),"/",","),";",",")," ",""))-LEN(SUBSTITUTE(SUBSTITUTE(SUBSTITUTE(SUBSTITUTE(TRIM($H831),"/",","),";",","),"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831),"/",","),";",",")," ","")&amp;",")))&lt;&gt;(LEN(SUBSTITUTE(SUBSTITUTE(SUBSTITUTE(TRIM($H831),"/",","),";",",")," ",""))-LEN(SUBSTITUTE(SUBSTITUTE(SUBSTITUTE(SUBSTITUTE(TRIM($H831),"/",","),";",",")," ",""),",",""))+1),"Genre di luar daftar",""))),IF($I831="","Nama Channel kosong",""),IF($J831="","Link Channel kosong",IF(ISERROR(SEARCH("youtu",$J831)),"Link Channel bukan youtube","")),IF($K831="","Link Video kosong",IF(ISERROR(SEARCH("youtu",$K831)),"Link Video bukan youtube","")),IF($L831="","Tgl Dibuat kosong",IF(NOT(ISNUMBER($L831)),"Tgl Dibuat bukan tanggal","")),IF(AND($M831&lt;&gt;"",NOT(ISNUMBER($M831))),"Tgl Publish bukan tanggal",""),IF(AND(ISNUMBER($L831),ISNUMBER($M831),$M831&lt;$L831),"Tgl Publish &lt; Tgl buat",""),IF(TRIM($N831)="","Status kosong",IF(ISERROR(MATCH(TRIM($N831),{"Draft","Menunggu Review","Revisi","Terjadwal","Upload","Publish","Published","Batal"},0)),"Status di luar daftar","")))),""))</f>
        <v/>
      </c>
      <c r="S831" s="12">
        <f>IF(AND($A831&lt;&gt;"",$C831&lt;&gt;""),IF(COUNTIFS($A$2:$A$1000,$A831,$C$2:$C$1000,$C831)&gt;1,"DUPLICAT",""),"")</f>
        <v/>
      </c>
    </row>
    <row r="832">
      <c r="A832" s="17" t="n"/>
      <c r="B832" s="17" t="n"/>
      <c r="C832" s="17" t="n"/>
      <c r="D832" s="18" t="n"/>
      <c r="E832" s="17" t="n"/>
      <c r="F832" s="19" t="n"/>
      <c r="G832" s="17" t="n"/>
      <c r="H832" s="17" t="n"/>
      <c r="I832" s="17" t="n"/>
      <c r="J832" s="19" t="n"/>
      <c r="K832" s="19" t="n"/>
      <c r="L832" s="20" t="n"/>
      <c r="M832" s="20" t="n"/>
      <c r="N832" s="17" t="n"/>
      <c r="O832" s="17" t="n"/>
      <c r="P832" s="21">
        <f>IF(AND(ISNUMBER($L832),ISNUMBER($M832)),MAX(0,$M832-$L832),"")</f>
        <v/>
      </c>
      <c r="Q832" s="21">
        <f>IF(ISNUMBER($D832),MAX(0,TODAY()-$D832),"")</f>
        <v/>
      </c>
      <c r="R832" s="19">
        <f>IF(COUNTA($A832:$O832)=0,"",IFERROR(TRIM(TEXTJOIN(" | ",TRUE,IF($A832="","PC kosong",""),IF($C832="","Worker ID kosong",""),IF($D832="","Update Date kosong",IF(NOT(ISNUMBER($D832)),"Update Date bukan tanggal","")),IF($E832="","Song ID YT kosong",""),IF($F832="","Judul kosong",""),IF(TRIM($G832)="","",IF(ISERROR(MATCH(TRIM($G832),{"TuneCore","DistroKid","TooLost","SoundOn","Ditto","Believe","CD Baby","Amuse","Symphonic Distribution","ONErpm","RouteNote","LANDR","Horus Music","Indie"},0)),"Aggregator di luar daftar","")),IF(TRIM($H832)="","Genre kosong",IF((LEN(SUBSTITUTE(SUBSTITUTE(SUBSTITUTE(TRIM($H832),"/",","),";",",")," ",""))-LEN(SUBSTITUTE(SUBSTITUTE(SUBSTITUTE(SUBSTITUTE(TRIM($H832),"/",","),";",","),"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832),"/",","),";",",")," ","")&amp;",")))&lt;&gt;(LEN(SUBSTITUTE(SUBSTITUTE(SUBSTITUTE(TRIM($H832),"/",","),";",",")," ",""))-LEN(SUBSTITUTE(SUBSTITUTE(SUBSTITUTE(SUBSTITUTE(TRIM($H832),"/",","),";",",")," ",""),",",""))+1),"Genre di luar daftar",""))),IF($I832="","Nama Channel kosong",""),IF($J832="","Link Channel kosong",IF(ISERROR(SEARCH("youtu",$J832)),"Link Channel bukan youtube","")),IF($K832="","Link Video kosong",IF(ISERROR(SEARCH("youtu",$K832)),"Link Video bukan youtube","")),IF($L832="","Tgl Dibuat kosong",IF(NOT(ISNUMBER($L832)),"Tgl Dibuat bukan tanggal","")),IF(AND($M832&lt;&gt;"",NOT(ISNUMBER($M832))),"Tgl Publish bukan tanggal",""),IF(AND(ISNUMBER($L832),ISNUMBER($M832),$M832&lt;$L832),"Tgl Publish &lt; Tgl buat",""),IF(TRIM($N832)="","Status kosong",IF(ISERROR(MATCH(TRIM($N832),{"Draft","Menunggu Review","Revisi","Terjadwal","Upload","Publish","Published","Batal"},0)),"Status di luar daftar","")))),""))</f>
        <v/>
      </c>
      <c r="S832" s="17">
        <f>IF(AND($A832&lt;&gt;"",$C832&lt;&gt;""),IF(COUNTIFS($A$2:$A$1000,$A832,$C$2:$C$1000,$C832)&gt;1,"DUPLICAT",""),"")</f>
        <v/>
      </c>
    </row>
    <row r="833">
      <c r="A833" s="12" t="n"/>
      <c r="B833" s="12" t="n"/>
      <c r="C833" s="12" t="n"/>
      <c r="D833" s="13" t="n"/>
      <c r="E833" s="12" t="n"/>
      <c r="F833" s="14" t="n"/>
      <c r="G833" s="12" t="n"/>
      <c r="H833" s="12" t="n"/>
      <c r="I833" s="12" t="n"/>
      <c r="J833" s="14" t="n"/>
      <c r="K833" s="14" t="n"/>
      <c r="L833" s="15" t="n"/>
      <c r="M833" s="15" t="n"/>
      <c r="N833" s="12" t="n"/>
      <c r="O833" s="12" t="n"/>
      <c r="P833" s="16">
        <f>IF(AND(ISNUMBER($L833),ISNUMBER($M833)),MAX(0,$M833-$L833),"")</f>
        <v/>
      </c>
      <c r="Q833" s="16">
        <f>IF(ISNUMBER($D833),MAX(0,TODAY()-$D833),"")</f>
        <v/>
      </c>
      <c r="R833" s="14">
        <f>IF(COUNTA($A833:$O833)=0,"",IFERROR(TRIM(TEXTJOIN(" | ",TRUE,IF($A833="","PC kosong",""),IF($C833="","Worker ID kosong",""),IF($D833="","Update Date kosong",IF(NOT(ISNUMBER($D833)),"Update Date bukan tanggal","")),IF($E833="","Song ID YT kosong",""),IF($F833="","Judul kosong",""),IF(TRIM($G833)="","",IF(ISERROR(MATCH(TRIM($G833),{"TuneCore","DistroKid","TooLost","SoundOn","Ditto","Believe","CD Baby","Amuse","Symphonic Distribution","ONErpm","RouteNote","LANDR","Horus Music","Indie"},0)),"Aggregator di luar daftar","")),IF(TRIM($H833)="","Genre kosong",IF((LEN(SUBSTITUTE(SUBSTITUTE(SUBSTITUTE(TRIM($H833),"/",","),";",",")," ",""))-LEN(SUBSTITUTE(SUBSTITUTE(SUBSTITUTE(SUBSTITUTE(TRIM($H833),"/",","),";",","),"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833),"/",","),";",",")," ","")&amp;",")))&lt;&gt;(LEN(SUBSTITUTE(SUBSTITUTE(SUBSTITUTE(TRIM($H833),"/",","),";",",")," ",""))-LEN(SUBSTITUTE(SUBSTITUTE(SUBSTITUTE(SUBSTITUTE(TRIM($H833),"/",","),";",",")," ",""),",",""))+1),"Genre di luar daftar",""))),IF($I833="","Nama Channel kosong",""),IF($J833="","Link Channel kosong",IF(ISERROR(SEARCH("youtu",$J833)),"Link Channel bukan youtube","")),IF($K833="","Link Video kosong",IF(ISERROR(SEARCH("youtu",$K833)),"Link Video bukan youtube","")),IF($L833="","Tgl Dibuat kosong",IF(NOT(ISNUMBER($L833)),"Tgl Dibuat bukan tanggal","")),IF(AND($M833&lt;&gt;"",NOT(ISNUMBER($M833))),"Tgl Publish bukan tanggal",""),IF(AND(ISNUMBER($L833),ISNUMBER($M833),$M833&lt;$L833),"Tgl Publish &lt; Tgl buat",""),IF(TRIM($N833)="","Status kosong",IF(ISERROR(MATCH(TRIM($N833),{"Draft","Menunggu Review","Revisi","Terjadwal","Upload","Publish","Published","Batal"},0)),"Status di luar daftar","")))),""))</f>
        <v/>
      </c>
      <c r="S833" s="12">
        <f>IF(AND($A833&lt;&gt;"",$C833&lt;&gt;""),IF(COUNTIFS($A$2:$A$1000,$A833,$C$2:$C$1000,$C833)&gt;1,"DUPLICAT",""),"")</f>
        <v/>
      </c>
    </row>
    <row r="834">
      <c r="A834" s="17" t="n"/>
      <c r="B834" s="17" t="n"/>
      <c r="C834" s="17" t="n"/>
      <c r="D834" s="18" t="n"/>
      <c r="E834" s="17" t="n"/>
      <c r="F834" s="19" t="n"/>
      <c r="G834" s="17" t="n"/>
      <c r="H834" s="17" t="n"/>
      <c r="I834" s="17" t="n"/>
      <c r="J834" s="19" t="n"/>
      <c r="K834" s="19" t="n"/>
      <c r="L834" s="20" t="n"/>
      <c r="M834" s="20" t="n"/>
      <c r="N834" s="17" t="n"/>
      <c r="O834" s="17" t="n"/>
      <c r="P834" s="21">
        <f>IF(AND(ISNUMBER($L834),ISNUMBER($M834)),MAX(0,$M834-$L834),"")</f>
        <v/>
      </c>
      <c r="Q834" s="21">
        <f>IF(ISNUMBER($D834),MAX(0,TODAY()-$D834),"")</f>
        <v/>
      </c>
      <c r="R834" s="19">
        <f>IF(COUNTA($A834:$O834)=0,"",IFERROR(TRIM(TEXTJOIN(" | ",TRUE,IF($A834="","PC kosong",""),IF($C834="","Worker ID kosong",""),IF($D834="","Update Date kosong",IF(NOT(ISNUMBER($D834)),"Update Date bukan tanggal","")),IF($E834="","Song ID YT kosong",""),IF($F834="","Judul kosong",""),IF(TRIM($G834)="","",IF(ISERROR(MATCH(TRIM($G834),{"TuneCore","DistroKid","TooLost","SoundOn","Ditto","Believe","CD Baby","Amuse","Symphonic Distribution","ONErpm","RouteNote","LANDR","Horus Music","Indie"},0)),"Aggregator di luar daftar","")),IF(TRIM($H834)="","Genre kosong",IF((LEN(SUBSTITUTE(SUBSTITUTE(SUBSTITUTE(TRIM($H834),"/",","),";",",")," ",""))-LEN(SUBSTITUTE(SUBSTITUTE(SUBSTITUTE(SUBSTITUTE(TRIM($H834),"/",","),";",","),"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834),"/",","),";",",")," ","")&amp;",")))&lt;&gt;(LEN(SUBSTITUTE(SUBSTITUTE(SUBSTITUTE(TRIM($H834),"/",","),";",",")," ",""))-LEN(SUBSTITUTE(SUBSTITUTE(SUBSTITUTE(SUBSTITUTE(TRIM($H834),"/",","),";",",")," ",""),",",""))+1),"Genre di luar daftar",""))),IF($I834="","Nama Channel kosong",""),IF($J834="","Link Channel kosong",IF(ISERROR(SEARCH("youtu",$J834)),"Link Channel bukan youtube","")),IF($K834="","Link Video kosong",IF(ISERROR(SEARCH("youtu",$K834)),"Link Video bukan youtube","")),IF($L834="","Tgl Dibuat kosong",IF(NOT(ISNUMBER($L834)),"Tgl Dibuat bukan tanggal","")),IF(AND($M834&lt;&gt;"",NOT(ISNUMBER($M834))),"Tgl Publish bukan tanggal",""),IF(AND(ISNUMBER($L834),ISNUMBER($M834),$M834&lt;$L834),"Tgl Publish &lt; Tgl buat",""),IF(TRIM($N834)="","Status kosong",IF(ISERROR(MATCH(TRIM($N834),{"Draft","Menunggu Review","Revisi","Terjadwal","Upload","Publish","Published","Batal"},0)),"Status di luar daftar","")))),""))</f>
        <v/>
      </c>
      <c r="S834" s="17">
        <f>IF(AND($A834&lt;&gt;"",$C834&lt;&gt;""),IF(COUNTIFS($A$2:$A$1000,$A834,$C$2:$C$1000,$C834)&gt;1,"DUPLICAT",""),"")</f>
        <v/>
      </c>
    </row>
    <row r="835">
      <c r="A835" s="12" t="n"/>
      <c r="B835" s="12" t="n"/>
      <c r="C835" s="12" t="n"/>
      <c r="D835" s="13" t="n"/>
      <c r="E835" s="12" t="n"/>
      <c r="F835" s="14" t="n"/>
      <c r="G835" s="12" t="n"/>
      <c r="H835" s="12" t="n"/>
      <c r="I835" s="12" t="n"/>
      <c r="J835" s="14" t="n"/>
      <c r="K835" s="14" t="n"/>
      <c r="L835" s="15" t="n"/>
      <c r="M835" s="15" t="n"/>
      <c r="N835" s="12" t="n"/>
      <c r="O835" s="12" t="n"/>
      <c r="P835" s="16">
        <f>IF(AND(ISNUMBER($L835),ISNUMBER($M835)),MAX(0,$M835-$L835),"")</f>
        <v/>
      </c>
      <c r="Q835" s="16">
        <f>IF(ISNUMBER($D835),MAX(0,TODAY()-$D835),"")</f>
        <v/>
      </c>
      <c r="R835" s="14">
        <f>IF(COUNTA($A835:$O835)=0,"",IFERROR(TRIM(TEXTJOIN(" | ",TRUE,IF($A835="","PC kosong",""),IF($C835="","Worker ID kosong",""),IF($D835="","Update Date kosong",IF(NOT(ISNUMBER($D835)),"Update Date bukan tanggal","")),IF($E835="","Song ID YT kosong",""),IF($F835="","Judul kosong",""),IF(TRIM($G835)="","",IF(ISERROR(MATCH(TRIM($G835),{"TuneCore","DistroKid","TooLost","SoundOn","Ditto","Believe","CD Baby","Amuse","Symphonic Distribution","ONErpm","RouteNote","LANDR","Horus Music","Indie"},0)),"Aggregator di luar daftar","")),IF(TRIM($H835)="","Genre kosong",IF((LEN(SUBSTITUTE(SUBSTITUTE(SUBSTITUTE(TRIM($H835),"/",","),";",",")," ",""))-LEN(SUBSTITUTE(SUBSTITUTE(SUBSTITUTE(SUBSTITUTE(TRIM($H835),"/",","),";",","),"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835),"/",","),";",",")," ","")&amp;",")))&lt;&gt;(LEN(SUBSTITUTE(SUBSTITUTE(SUBSTITUTE(TRIM($H835),"/",","),";",",")," ",""))-LEN(SUBSTITUTE(SUBSTITUTE(SUBSTITUTE(SUBSTITUTE(TRIM($H835),"/",","),";",",")," ",""),",",""))+1),"Genre di luar daftar",""))),IF($I835="","Nama Channel kosong",""),IF($J835="","Link Channel kosong",IF(ISERROR(SEARCH("youtu",$J835)),"Link Channel bukan youtube","")),IF($K835="","Link Video kosong",IF(ISERROR(SEARCH("youtu",$K835)),"Link Video bukan youtube","")),IF($L835="","Tgl Dibuat kosong",IF(NOT(ISNUMBER($L835)),"Tgl Dibuat bukan tanggal","")),IF(AND($M835&lt;&gt;"",NOT(ISNUMBER($M835))),"Tgl Publish bukan tanggal",""),IF(AND(ISNUMBER($L835),ISNUMBER($M835),$M835&lt;$L835),"Tgl Publish &lt; Tgl buat",""),IF(TRIM($N835)="","Status kosong",IF(ISERROR(MATCH(TRIM($N835),{"Draft","Menunggu Review","Revisi","Terjadwal","Upload","Publish","Published","Batal"},0)),"Status di luar daftar","")))),""))</f>
        <v/>
      </c>
      <c r="S835" s="12">
        <f>IF(AND($A835&lt;&gt;"",$C835&lt;&gt;""),IF(COUNTIFS($A$2:$A$1000,$A835,$C$2:$C$1000,$C835)&gt;1,"DUPLICAT",""),"")</f>
        <v/>
      </c>
    </row>
    <row r="836">
      <c r="A836" s="17" t="n"/>
      <c r="B836" s="17" t="n"/>
      <c r="C836" s="17" t="n"/>
      <c r="D836" s="18" t="n"/>
      <c r="E836" s="17" t="n"/>
      <c r="F836" s="19" t="n"/>
      <c r="G836" s="17" t="n"/>
      <c r="H836" s="17" t="n"/>
      <c r="I836" s="17" t="n"/>
      <c r="J836" s="19" t="n"/>
      <c r="K836" s="19" t="n"/>
      <c r="L836" s="20" t="n"/>
      <c r="M836" s="20" t="n"/>
      <c r="N836" s="17" t="n"/>
      <c r="O836" s="17" t="n"/>
      <c r="P836" s="21">
        <f>IF(AND(ISNUMBER($L836),ISNUMBER($M836)),MAX(0,$M836-$L836),"")</f>
        <v/>
      </c>
      <c r="Q836" s="21">
        <f>IF(ISNUMBER($D836),MAX(0,TODAY()-$D836),"")</f>
        <v/>
      </c>
      <c r="R836" s="19">
        <f>IF(COUNTA($A836:$O836)=0,"",IFERROR(TRIM(TEXTJOIN(" | ",TRUE,IF($A836="","PC kosong",""),IF($C836="","Worker ID kosong",""),IF($D836="","Update Date kosong",IF(NOT(ISNUMBER($D836)),"Update Date bukan tanggal","")),IF($E836="","Song ID YT kosong",""),IF($F836="","Judul kosong",""),IF(TRIM($G836)="","",IF(ISERROR(MATCH(TRIM($G836),{"TuneCore","DistroKid","TooLost","SoundOn","Ditto","Believe","CD Baby","Amuse","Symphonic Distribution","ONErpm","RouteNote","LANDR","Horus Music","Indie"},0)),"Aggregator di luar daftar","")),IF(TRIM($H836)="","Genre kosong",IF((LEN(SUBSTITUTE(SUBSTITUTE(SUBSTITUTE(TRIM($H836),"/",","),";",",")," ",""))-LEN(SUBSTITUTE(SUBSTITUTE(SUBSTITUTE(SUBSTITUTE(TRIM($H836),"/",","),";",","),"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836),"/",","),";",",")," ","")&amp;",")))&lt;&gt;(LEN(SUBSTITUTE(SUBSTITUTE(SUBSTITUTE(TRIM($H836),"/",","),";",",")," ",""))-LEN(SUBSTITUTE(SUBSTITUTE(SUBSTITUTE(SUBSTITUTE(TRIM($H836),"/",","),";",",")," ",""),",",""))+1),"Genre di luar daftar",""))),IF($I836="","Nama Channel kosong",""),IF($J836="","Link Channel kosong",IF(ISERROR(SEARCH("youtu",$J836)),"Link Channel bukan youtube","")),IF($K836="","Link Video kosong",IF(ISERROR(SEARCH("youtu",$K836)),"Link Video bukan youtube","")),IF($L836="","Tgl Dibuat kosong",IF(NOT(ISNUMBER($L836)),"Tgl Dibuat bukan tanggal","")),IF(AND($M836&lt;&gt;"",NOT(ISNUMBER($M836))),"Tgl Publish bukan tanggal",""),IF(AND(ISNUMBER($L836),ISNUMBER($M836),$M836&lt;$L836),"Tgl Publish &lt; Tgl buat",""),IF(TRIM($N836)="","Status kosong",IF(ISERROR(MATCH(TRIM($N836),{"Draft","Menunggu Review","Revisi","Terjadwal","Upload","Publish","Published","Batal"},0)),"Status di luar daftar","")))),""))</f>
        <v/>
      </c>
      <c r="S836" s="17">
        <f>IF(AND($A836&lt;&gt;"",$C836&lt;&gt;""),IF(COUNTIFS($A$2:$A$1000,$A836,$C$2:$C$1000,$C836)&gt;1,"DUPLICAT",""),"")</f>
        <v/>
      </c>
    </row>
    <row r="837">
      <c r="A837" s="12" t="n"/>
      <c r="B837" s="12" t="n"/>
      <c r="C837" s="12" t="n"/>
      <c r="D837" s="13" t="n"/>
      <c r="E837" s="12" t="n"/>
      <c r="F837" s="14" t="n"/>
      <c r="G837" s="12" t="n"/>
      <c r="H837" s="12" t="n"/>
      <c r="I837" s="12" t="n"/>
      <c r="J837" s="14" t="n"/>
      <c r="K837" s="14" t="n"/>
      <c r="L837" s="15" t="n"/>
      <c r="M837" s="15" t="n"/>
      <c r="N837" s="12" t="n"/>
      <c r="O837" s="12" t="n"/>
      <c r="P837" s="16">
        <f>IF(AND(ISNUMBER($L837),ISNUMBER($M837)),MAX(0,$M837-$L837),"")</f>
        <v/>
      </c>
      <c r="Q837" s="16">
        <f>IF(ISNUMBER($D837),MAX(0,TODAY()-$D837),"")</f>
        <v/>
      </c>
      <c r="R837" s="14">
        <f>IF(COUNTA($A837:$O837)=0,"",IFERROR(TRIM(TEXTJOIN(" | ",TRUE,IF($A837="","PC kosong",""),IF($C837="","Worker ID kosong",""),IF($D837="","Update Date kosong",IF(NOT(ISNUMBER($D837)),"Update Date bukan tanggal","")),IF($E837="","Song ID YT kosong",""),IF($F837="","Judul kosong",""),IF(TRIM($G837)="","",IF(ISERROR(MATCH(TRIM($G837),{"TuneCore","DistroKid","TooLost","SoundOn","Ditto","Believe","CD Baby","Amuse","Symphonic Distribution","ONErpm","RouteNote","LANDR","Horus Music","Indie"},0)),"Aggregator di luar daftar","")),IF(TRIM($H837)="","Genre kosong",IF((LEN(SUBSTITUTE(SUBSTITUTE(SUBSTITUTE(TRIM($H837),"/",","),";",",")," ",""))-LEN(SUBSTITUTE(SUBSTITUTE(SUBSTITUTE(SUBSTITUTE(TRIM($H837),"/",","),";",","),"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837),"/",","),";",",")," ","")&amp;",")))&lt;&gt;(LEN(SUBSTITUTE(SUBSTITUTE(SUBSTITUTE(TRIM($H837),"/",","),";",",")," ",""))-LEN(SUBSTITUTE(SUBSTITUTE(SUBSTITUTE(SUBSTITUTE(TRIM($H837),"/",","),";",",")," ",""),",",""))+1),"Genre di luar daftar",""))),IF($I837="","Nama Channel kosong",""),IF($J837="","Link Channel kosong",IF(ISERROR(SEARCH("youtu",$J837)),"Link Channel bukan youtube","")),IF($K837="","Link Video kosong",IF(ISERROR(SEARCH("youtu",$K837)),"Link Video bukan youtube","")),IF($L837="","Tgl Dibuat kosong",IF(NOT(ISNUMBER($L837)),"Tgl Dibuat bukan tanggal","")),IF(AND($M837&lt;&gt;"",NOT(ISNUMBER($M837))),"Tgl Publish bukan tanggal",""),IF(AND(ISNUMBER($L837),ISNUMBER($M837),$M837&lt;$L837),"Tgl Publish &lt; Tgl buat",""),IF(TRIM($N837)="","Status kosong",IF(ISERROR(MATCH(TRIM($N837),{"Draft","Menunggu Review","Revisi","Terjadwal","Upload","Publish","Published","Batal"},0)),"Status di luar daftar","")))),""))</f>
        <v/>
      </c>
      <c r="S837" s="12">
        <f>IF(AND($A837&lt;&gt;"",$C837&lt;&gt;""),IF(COUNTIFS($A$2:$A$1000,$A837,$C$2:$C$1000,$C837)&gt;1,"DUPLICAT",""),"")</f>
        <v/>
      </c>
    </row>
    <row r="838">
      <c r="A838" s="17" t="n"/>
      <c r="B838" s="17" t="n"/>
      <c r="C838" s="17" t="n"/>
      <c r="D838" s="18" t="n"/>
      <c r="E838" s="17" t="n"/>
      <c r="F838" s="19" t="n"/>
      <c r="G838" s="17" t="n"/>
      <c r="H838" s="17" t="n"/>
      <c r="I838" s="17" t="n"/>
      <c r="J838" s="19" t="n"/>
      <c r="K838" s="19" t="n"/>
      <c r="L838" s="20" t="n"/>
      <c r="M838" s="20" t="n"/>
      <c r="N838" s="17" t="n"/>
      <c r="O838" s="17" t="n"/>
      <c r="P838" s="21">
        <f>IF(AND(ISNUMBER($L838),ISNUMBER($M838)),MAX(0,$M838-$L838),"")</f>
        <v/>
      </c>
      <c r="Q838" s="21">
        <f>IF(ISNUMBER($D838),MAX(0,TODAY()-$D838),"")</f>
        <v/>
      </c>
      <c r="R838" s="19">
        <f>IF(COUNTA($A838:$O838)=0,"",IFERROR(TRIM(TEXTJOIN(" | ",TRUE,IF($A838="","PC kosong",""),IF($C838="","Worker ID kosong",""),IF($D838="","Update Date kosong",IF(NOT(ISNUMBER($D838)),"Update Date bukan tanggal","")),IF($E838="","Song ID YT kosong",""),IF($F838="","Judul kosong",""),IF(TRIM($G838)="","",IF(ISERROR(MATCH(TRIM($G838),{"TuneCore","DistroKid","TooLost","SoundOn","Ditto","Believe","CD Baby","Amuse","Symphonic Distribution","ONErpm","RouteNote","LANDR","Horus Music","Indie"},0)),"Aggregator di luar daftar","")),IF(TRIM($H838)="","Genre kosong",IF((LEN(SUBSTITUTE(SUBSTITUTE(SUBSTITUTE(TRIM($H838),"/",","),";",",")," ",""))-LEN(SUBSTITUTE(SUBSTITUTE(SUBSTITUTE(SUBSTITUTE(TRIM($H838),"/",","),";",","),"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838),"/",","),";",",")," ","")&amp;",")))&lt;&gt;(LEN(SUBSTITUTE(SUBSTITUTE(SUBSTITUTE(TRIM($H838),"/",","),";",",")," ",""))-LEN(SUBSTITUTE(SUBSTITUTE(SUBSTITUTE(SUBSTITUTE(TRIM($H838),"/",","),";",",")," ",""),",",""))+1),"Genre di luar daftar",""))),IF($I838="","Nama Channel kosong",""),IF($J838="","Link Channel kosong",IF(ISERROR(SEARCH("youtu",$J838)),"Link Channel bukan youtube","")),IF($K838="","Link Video kosong",IF(ISERROR(SEARCH("youtu",$K838)),"Link Video bukan youtube","")),IF($L838="","Tgl Dibuat kosong",IF(NOT(ISNUMBER($L838)),"Tgl Dibuat bukan tanggal","")),IF(AND($M838&lt;&gt;"",NOT(ISNUMBER($M838))),"Tgl Publish bukan tanggal",""),IF(AND(ISNUMBER($L838),ISNUMBER($M838),$M838&lt;$L838),"Tgl Publish &lt; Tgl buat",""),IF(TRIM($N838)="","Status kosong",IF(ISERROR(MATCH(TRIM($N838),{"Draft","Menunggu Review","Revisi","Terjadwal","Upload","Publish","Published","Batal"},0)),"Status di luar daftar","")))),""))</f>
        <v/>
      </c>
      <c r="S838" s="17">
        <f>IF(AND($A838&lt;&gt;"",$C838&lt;&gt;""),IF(COUNTIFS($A$2:$A$1000,$A838,$C$2:$C$1000,$C838)&gt;1,"DUPLICAT",""),"")</f>
        <v/>
      </c>
    </row>
    <row r="839">
      <c r="A839" s="12" t="n"/>
      <c r="B839" s="12" t="n"/>
      <c r="C839" s="12" t="n"/>
      <c r="D839" s="13" t="n"/>
      <c r="E839" s="12" t="n"/>
      <c r="F839" s="14" t="n"/>
      <c r="G839" s="12" t="n"/>
      <c r="H839" s="12" t="n"/>
      <c r="I839" s="12" t="n"/>
      <c r="J839" s="14" t="n"/>
      <c r="K839" s="14" t="n"/>
      <c r="L839" s="15" t="n"/>
      <c r="M839" s="15" t="n"/>
      <c r="N839" s="12" t="n"/>
      <c r="O839" s="12" t="n"/>
      <c r="P839" s="16">
        <f>IF(AND(ISNUMBER($L839),ISNUMBER($M839)),MAX(0,$M839-$L839),"")</f>
        <v/>
      </c>
      <c r="Q839" s="16">
        <f>IF(ISNUMBER($D839),MAX(0,TODAY()-$D839),"")</f>
        <v/>
      </c>
      <c r="R839" s="14">
        <f>IF(COUNTA($A839:$O839)=0,"",IFERROR(TRIM(TEXTJOIN(" | ",TRUE,IF($A839="","PC kosong",""),IF($C839="","Worker ID kosong",""),IF($D839="","Update Date kosong",IF(NOT(ISNUMBER($D839)),"Update Date bukan tanggal","")),IF($E839="","Song ID YT kosong",""),IF($F839="","Judul kosong",""),IF(TRIM($G839)="","",IF(ISERROR(MATCH(TRIM($G839),{"TuneCore","DistroKid","TooLost","SoundOn","Ditto","Believe","CD Baby","Amuse","Symphonic Distribution","ONErpm","RouteNote","LANDR","Horus Music","Indie"},0)),"Aggregator di luar daftar","")),IF(TRIM($H839)="","Genre kosong",IF((LEN(SUBSTITUTE(SUBSTITUTE(SUBSTITUTE(TRIM($H839),"/",","),";",",")," ",""))-LEN(SUBSTITUTE(SUBSTITUTE(SUBSTITUTE(SUBSTITUTE(TRIM($H839),"/",","),";",","),"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839),"/",","),";",",")," ","")&amp;",")))&lt;&gt;(LEN(SUBSTITUTE(SUBSTITUTE(SUBSTITUTE(TRIM($H839),"/",","),";",",")," ",""))-LEN(SUBSTITUTE(SUBSTITUTE(SUBSTITUTE(SUBSTITUTE(TRIM($H839),"/",","),";",",")," ",""),",",""))+1),"Genre di luar daftar",""))),IF($I839="","Nama Channel kosong",""),IF($J839="","Link Channel kosong",IF(ISERROR(SEARCH("youtu",$J839)),"Link Channel bukan youtube","")),IF($K839="","Link Video kosong",IF(ISERROR(SEARCH("youtu",$K839)),"Link Video bukan youtube","")),IF($L839="","Tgl Dibuat kosong",IF(NOT(ISNUMBER($L839)),"Tgl Dibuat bukan tanggal","")),IF(AND($M839&lt;&gt;"",NOT(ISNUMBER($M839))),"Tgl Publish bukan tanggal",""),IF(AND(ISNUMBER($L839),ISNUMBER($M839),$M839&lt;$L839),"Tgl Publish &lt; Tgl buat",""),IF(TRIM($N839)="","Status kosong",IF(ISERROR(MATCH(TRIM($N839),{"Draft","Menunggu Review","Revisi","Terjadwal","Upload","Publish","Published","Batal"},0)),"Status di luar daftar","")))),""))</f>
        <v/>
      </c>
      <c r="S839" s="12">
        <f>IF(AND($A839&lt;&gt;"",$C839&lt;&gt;""),IF(COUNTIFS($A$2:$A$1000,$A839,$C$2:$C$1000,$C839)&gt;1,"DUPLICAT",""),"")</f>
        <v/>
      </c>
    </row>
    <row r="840">
      <c r="A840" s="17" t="n"/>
      <c r="B840" s="17" t="n"/>
      <c r="C840" s="17" t="n"/>
      <c r="D840" s="18" t="n"/>
      <c r="E840" s="17" t="n"/>
      <c r="F840" s="19" t="n"/>
      <c r="G840" s="17" t="n"/>
      <c r="H840" s="17" t="n"/>
      <c r="I840" s="17" t="n"/>
      <c r="J840" s="19" t="n"/>
      <c r="K840" s="19" t="n"/>
      <c r="L840" s="20" t="n"/>
      <c r="M840" s="20" t="n"/>
      <c r="N840" s="17" t="n"/>
      <c r="O840" s="17" t="n"/>
      <c r="P840" s="21">
        <f>IF(AND(ISNUMBER($L840),ISNUMBER($M840)),MAX(0,$M840-$L840),"")</f>
        <v/>
      </c>
      <c r="Q840" s="21">
        <f>IF(ISNUMBER($D840),MAX(0,TODAY()-$D840),"")</f>
        <v/>
      </c>
      <c r="R840" s="19">
        <f>IF(COUNTA($A840:$O840)=0,"",IFERROR(TRIM(TEXTJOIN(" | ",TRUE,IF($A840="","PC kosong",""),IF($C840="","Worker ID kosong",""),IF($D840="","Update Date kosong",IF(NOT(ISNUMBER($D840)),"Update Date bukan tanggal","")),IF($E840="","Song ID YT kosong",""),IF($F840="","Judul kosong",""),IF(TRIM($G840)="","",IF(ISERROR(MATCH(TRIM($G840),{"TuneCore","DistroKid","TooLost","SoundOn","Ditto","Believe","CD Baby","Amuse","Symphonic Distribution","ONErpm","RouteNote","LANDR","Horus Music","Indie"},0)),"Aggregator di luar daftar","")),IF(TRIM($H840)="","Genre kosong",IF((LEN(SUBSTITUTE(SUBSTITUTE(SUBSTITUTE(TRIM($H840),"/",","),";",",")," ",""))-LEN(SUBSTITUTE(SUBSTITUTE(SUBSTITUTE(SUBSTITUTE(TRIM($H840),"/",","),";",","),"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840),"/",","),";",",")," ","")&amp;",")))&lt;&gt;(LEN(SUBSTITUTE(SUBSTITUTE(SUBSTITUTE(TRIM($H840),"/",","),";",",")," ",""))-LEN(SUBSTITUTE(SUBSTITUTE(SUBSTITUTE(SUBSTITUTE(TRIM($H840),"/",","),";",",")," ",""),",",""))+1),"Genre di luar daftar",""))),IF($I840="","Nama Channel kosong",""),IF($J840="","Link Channel kosong",IF(ISERROR(SEARCH("youtu",$J840)),"Link Channel bukan youtube","")),IF($K840="","Link Video kosong",IF(ISERROR(SEARCH("youtu",$K840)),"Link Video bukan youtube","")),IF($L840="","Tgl Dibuat kosong",IF(NOT(ISNUMBER($L840)),"Tgl Dibuat bukan tanggal","")),IF(AND($M840&lt;&gt;"",NOT(ISNUMBER($M840))),"Tgl Publish bukan tanggal",""),IF(AND(ISNUMBER($L840),ISNUMBER($M840),$M840&lt;$L840),"Tgl Publish &lt; Tgl buat",""),IF(TRIM($N840)="","Status kosong",IF(ISERROR(MATCH(TRIM($N840),{"Draft","Menunggu Review","Revisi","Terjadwal","Upload","Publish","Published","Batal"},0)),"Status di luar daftar","")))),""))</f>
        <v/>
      </c>
      <c r="S840" s="17">
        <f>IF(AND($A840&lt;&gt;"",$C840&lt;&gt;""),IF(COUNTIFS($A$2:$A$1000,$A840,$C$2:$C$1000,$C840)&gt;1,"DUPLICAT",""),"")</f>
        <v/>
      </c>
    </row>
    <row r="841">
      <c r="A841" s="12" t="n"/>
      <c r="B841" s="12" t="n"/>
      <c r="C841" s="12" t="n"/>
      <c r="D841" s="13" t="n"/>
      <c r="E841" s="12" t="n"/>
      <c r="F841" s="14" t="n"/>
      <c r="G841" s="12" t="n"/>
      <c r="H841" s="12" t="n"/>
      <c r="I841" s="12" t="n"/>
      <c r="J841" s="14" t="n"/>
      <c r="K841" s="14" t="n"/>
      <c r="L841" s="15" t="n"/>
      <c r="M841" s="15" t="n"/>
      <c r="N841" s="12" t="n"/>
      <c r="O841" s="12" t="n"/>
      <c r="P841" s="16">
        <f>IF(AND(ISNUMBER($L841),ISNUMBER($M841)),MAX(0,$M841-$L841),"")</f>
        <v/>
      </c>
      <c r="Q841" s="16">
        <f>IF(ISNUMBER($D841),MAX(0,TODAY()-$D841),"")</f>
        <v/>
      </c>
      <c r="R841" s="14">
        <f>IF(COUNTA($A841:$O841)=0,"",IFERROR(TRIM(TEXTJOIN(" | ",TRUE,IF($A841="","PC kosong",""),IF($C841="","Worker ID kosong",""),IF($D841="","Update Date kosong",IF(NOT(ISNUMBER($D841)),"Update Date bukan tanggal","")),IF($E841="","Song ID YT kosong",""),IF($F841="","Judul kosong",""),IF(TRIM($G841)="","",IF(ISERROR(MATCH(TRIM($G841),{"TuneCore","DistroKid","TooLost","SoundOn","Ditto","Believe","CD Baby","Amuse","Symphonic Distribution","ONErpm","RouteNote","LANDR","Horus Music","Indie"},0)),"Aggregator di luar daftar","")),IF(TRIM($H841)="","Genre kosong",IF((LEN(SUBSTITUTE(SUBSTITUTE(SUBSTITUTE(TRIM($H841),"/",","),";",",")," ",""))-LEN(SUBSTITUTE(SUBSTITUTE(SUBSTITUTE(SUBSTITUTE(TRIM($H841),"/",","),";",","),"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841),"/",","),";",",")," ","")&amp;",")))&lt;&gt;(LEN(SUBSTITUTE(SUBSTITUTE(SUBSTITUTE(TRIM($H841),"/",","),";",",")," ",""))-LEN(SUBSTITUTE(SUBSTITUTE(SUBSTITUTE(SUBSTITUTE(TRIM($H841),"/",","),";",",")," ",""),",",""))+1),"Genre di luar daftar",""))),IF($I841="","Nama Channel kosong",""),IF($J841="","Link Channel kosong",IF(ISERROR(SEARCH("youtu",$J841)),"Link Channel bukan youtube","")),IF($K841="","Link Video kosong",IF(ISERROR(SEARCH("youtu",$K841)),"Link Video bukan youtube","")),IF($L841="","Tgl Dibuat kosong",IF(NOT(ISNUMBER($L841)),"Tgl Dibuat bukan tanggal","")),IF(AND($M841&lt;&gt;"",NOT(ISNUMBER($M841))),"Tgl Publish bukan tanggal",""),IF(AND(ISNUMBER($L841),ISNUMBER($M841),$M841&lt;$L841),"Tgl Publish &lt; Tgl buat",""),IF(TRIM($N841)="","Status kosong",IF(ISERROR(MATCH(TRIM($N841),{"Draft","Menunggu Review","Revisi","Terjadwal","Upload","Publish","Published","Batal"},0)),"Status di luar daftar","")))),""))</f>
        <v/>
      </c>
      <c r="S841" s="12">
        <f>IF(AND($A841&lt;&gt;"",$C841&lt;&gt;""),IF(COUNTIFS($A$2:$A$1000,$A841,$C$2:$C$1000,$C841)&gt;1,"DUPLICAT",""),"")</f>
        <v/>
      </c>
    </row>
    <row r="842">
      <c r="A842" s="17" t="n"/>
      <c r="B842" s="17" t="n"/>
      <c r="C842" s="17" t="n"/>
      <c r="D842" s="18" t="n"/>
      <c r="E842" s="17" t="n"/>
      <c r="F842" s="19" t="n"/>
      <c r="G842" s="17" t="n"/>
      <c r="H842" s="17" t="n"/>
      <c r="I842" s="17" t="n"/>
      <c r="J842" s="19" t="n"/>
      <c r="K842" s="19" t="n"/>
      <c r="L842" s="20" t="n"/>
      <c r="M842" s="20" t="n"/>
      <c r="N842" s="17" t="n"/>
      <c r="O842" s="17" t="n"/>
      <c r="P842" s="21">
        <f>IF(AND(ISNUMBER($L842),ISNUMBER($M842)),MAX(0,$M842-$L842),"")</f>
        <v/>
      </c>
      <c r="Q842" s="21">
        <f>IF(ISNUMBER($D842),MAX(0,TODAY()-$D842),"")</f>
        <v/>
      </c>
      <c r="R842" s="19">
        <f>IF(COUNTA($A842:$O842)=0,"",IFERROR(TRIM(TEXTJOIN(" | ",TRUE,IF($A842="","PC kosong",""),IF($C842="","Worker ID kosong",""),IF($D842="","Update Date kosong",IF(NOT(ISNUMBER($D842)),"Update Date bukan tanggal","")),IF($E842="","Song ID YT kosong",""),IF($F842="","Judul kosong",""),IF(TRIM($G842)="","",IF(ISERROR(MATCH(TRIM($G842),{"TuneCore","DistroKid","TooLost","SoundOn","Ditto","Believe","CD Baby","Amuse","Symphonic Distribution","ONErpm","RouteNote","LANDR","Horus Music","Indie"},0)),"Aggregator di luar daftar","")),IF(TRIM($H842)="","Genre kosong",IF((LEN(SUBSTITUTE(SUBSTITUTE(SUBSTITUTE(TRIM($H842),"/",","),";",",")," ",""))-LEN(SUBSTITUTE(SUBSTITUTE(SUBSTITUTE(SUBSTITUTE(TRIM($H842),"/",","),";",","),"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842),"/",","),";",",")," ","")&amp;",")))&lt;&gt;(LEN(SUBSTITUTE(SUBSTITUTE(SUBSTITUTE(TRIM($H842),"/",","),";",",")," ",""))-LEN(SUBSTITUTE(SUBSTITUTE(SUBSTITUTE(SUBSTITUTE(TRIM($H842),"/",","),";",",")," ",""),",",""))+1),"Genre di luar daftar",""))),IF($I842="","Nama Channel kosong",""),IF($J842="","Link Channel kosong",IF(ISERROR(SEARCH("youtu",$J842)),"Link Channel bukan youtube","")),IF($K842="","Link Video kosong",IF(ISERROR(SEARCH("youtu",$K842)),"Link Video bukan youtube","")),IF($L842="","Tgl Dibuat kosong",IF(NOT(ISNUMBER($L842)),"Tgl Dibuat bukan tanggal","")),IF(AND($M842&lt;&gt;"",NOT(ISNUMBER($M842))),"Tgl Publish bukan tanggal",""),IF(AND(ISNUMBER($L842),ISNUMBER($M842),$M842&lt;$L842),"Tgl Publish &lt; Tgl buat",""),IF(TRIM($N842)="","Status kosong",IF(ISERROR(MATCH(TRIM($N842),{"Draft","Menunggu Review","Revisi","Terjadwal","Upload","Publish","Published","Batal"},0)),"Status di luar daftar","")))),""))</f>
        <v/>
      </c>
      <c r="S842" s="17">
        <f>IF(AND($A842&lt;&gt;"",$C842&lt;&gt;""),IF(COUNTIFS($A$2:$A$1000,$A842,$C$2:$C$1000,$C842)&gt;1,"DUPLICAT",""),"")</f>
        <v/>
      </c>
    </row>
    <row r="843">
      <c r="A843" s="12" t="n"/>
      <c r="B843" s="12" t="n"/>
      <c r="C843" s="12" t="n"/>
      <c r="D843" s="13" t="n"/>
      <c r="E843" s="12" t="n"/>
      <c r="F843" s="14" t="n"/>
      <c r="G843" s="12" t="n"/>
      <c r="H843" s="12" t="n"/>
      <c r="I843" s="12" t="n"/>
      <c r="J843" s="14" t="n"/>
      <c r="K843" s="14" t="n"/>
      <c r="L843" s="15" t="n"/>
      <c r="M843" s="15" t="n"/>
      <c r="N843" s="12" t="n"/>
      <c r="O843" s="12" t="n"/>
      <c r="P843" s="16">
        <f>IF(AND(ISNUMBER($L843),ISNUMBER($M843)),MAX(0,$M843-$L843),"")</f>
        <v/>
      </c>
      <c r="Q843" s="16">
        <f>IF(ISNUMBER($D843),MAX(0,TODAY()-$D843),"")</f>
        <v/>
      </c>
      <c r="R843" s="14">
        <f>IF(COUNTA($A843:$O843)=0,"",IFERROR(TRIM(TEXTJOIN(" | ",TRUE,IF($A843="","PC kosong",""),IF($C843="","Worker ID kosong",""),IF($D843="","Update Date kosong",IF(NOT(ISNUMBER($D843)),"Update Date bukan tanggal","")),IF($E843="","Song ID YT kosong",""),IF($F843="","Judul kosong",""),IF(TRIM($G843)="","",IF(ISERROR(MATCH(TRIM($G843),{"TuneCore","DistroKid","TooLost","SoundOn","Ditto","Believe","CD Baby","Amuse","Symphonic Distribution","ONErpm","RouteNote","LANDR","Horus Music","Indie"},0)),"Aggregator di luar daftar","")),IF(TRIM($H843)="","Genre kosong",IF((LEN(SUBSTITUTE(SUBSTITUTE(SUBSTITUTE(TRIM($H843),"/",","),";",",")," ",""))-LEN(SUBSTITUTE(SUBSTITUTE(SUBSTITUTE(SUBSTITUTE(TRIM($H843),"/",","),";",","),"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843),"/",","),";",",")," ","")&amp;",")))&lt;&gt;(LEN(SUBSTITUTE(SUBSTITUTE(SUBSTITUTE(TRIM($H843),"/",","),";",",")," ",""))-LEN(SUBSTITUTE(SUBSTITUTE(SUBSTITUTE(SUBSTITUTE(TRIM($H843),"/",","),";",",")," ",""),",",""))+1),"Genre di luar daftar",""))),IF($I843="","Nama Channel kosong",""),IF($J843="","Link Channel kosong",IF(ISERROR(SEARCH("youtu",$J843)),"Link Channel bukan youtube","")),IF($K843="","Link Video kosong",IF(ISERROR(SEARCH("youtu",$K843)),"Link Video bukan youtube","")),IF($L843="","Tgl Dibuat kosong",IF(NOT(ISNUMBER($L843)),"Tgl Dibuat bukan tanggal","")),IF(AND($M843&lt;&gt;"",NOT(ISNUMBER($M843))),"Tgl Publish bukan tanggal",""),IF(AND(ISNUMBER($L843),ISNUMBER($M843),$M843&lt;$L843),"Tgl Publish &lt; Tgl buat",""),IF(TRIM($N843)="","Status kosong",IF(ISERROR(MATCH(TRIM($N843),{"Draft","Menunggu Review","Revisi","Terjadwal","Upload","Publish","Published","Batal"},0)),"Status di luar daftar","")))),""))</f>
        <v/>
      </c>
      <c r="S843" s="12">
        <f>IF(AND($A843&lt;&gt;"",$C843&lt;&gt;""),IF(COUNTIFS($A$2:$A$1000,$A843,$C$2:$C$1000,$C843)&gt;1,"DUPLICAT",""),"")</f>
        <v/>
      </c>
    </row>
    <row r="844">
      <c r="A844" s="17" t="n"/>
      <c r="B844" s="17" t="n"/>
      <c r="C844" s="17" t="n"/>
      <c r="D844" s="18" t="n"/>
      <c r="E844" s="17" t="n"/>
      <c r="F844" s="19" t="n"/>
      <c r="G844" s="17" t="n"/>
      <c r="H844" s="17" t="n"/>
      <c r="I844" s="17" t="n"/>
      <c r="J844" s="19" t="n"/>
      <c r="K844" s="19" t="n"/>
      <c r="L844" s="20" t="n"/>
      <c r="M844" s="20" t="n"/>
      <c r="N844" s="17" t="n"/>
      <c r="O844" s="17" t="n"/>
      <c r="P844" s="21">
        <f>IF(AND(ISNUMBER($L844),ISNUMBER($M844)),MAX(0,$M844-$L844),"")</f>
        <v/>
      </c>
      <c r="Q844" s="21">
        <f>IF(ISNUMBER($D844),MAX(0,TODAY()-$D844),"")</f>
        <v/>
      </c>
      <c r="R844" s="19">
        <f>IF(COUNTA($A844:$O844)=0,"",IFERROR(TRIM(TEXTJOIN(" | ",TRUE,IF($A844="","PC kosong",""),IF($C844="","Worker ID kosong",""),IF($D844="","Update Date kosong",IF(NOT(ISNUMBER($D844)),"Update Date bukan tanggal","")),IF($E844="","Song ID YT kosong",""),IF($F844="","Judul kosong",""),IF(TRIM($G844)="","",IF(ISERROR(MATCH(TRIM($G844),{"TuneCore","DistroKid","TooLost","SoundOn","Ditto","Believe","CD Baby","Amuse","Symphonic Distribution","ONErpm","RouteNote","LANDR","Horus Music","Indie"},0)),"Aggregator di luar daftar","")),IF(TRIM($H844)="","Genre kosong",IF((LEN(SUBSTITUTE(SUBSTITUTE(SUBSTITUTE(TRIM($H844),"/",","),";",",")," ",""))-LEN(SUBSTITUTE(SUBSTITUTE(SUBSTITUTE(SUBSTITUTE(TRIM($H844),"/",","),";",","),"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844),"/",","),";",",")," ","")&amp;",")))&lt;&gt;(LEN(SUBSTITUTE(SUBSTITUTE(SUBSTITUTE(TRIM($H844),"/",","),";",",")," ",""))-LEN(SUBSTITUTE(SUBSTITUTE(SUBSTITUTE(SUBSTITUTE(TRIM($H844),"/",","),";",",")," ",""),",",""))+1),"Genre di luar daftar",""))),IF($I844="","Nama Channel kosong",""),IF($J844="","Link Channel kosong",IF(ISERROR(SEARCH("youtu",$J844)),"Link Channel bukan youtube","")),IF($K844="","Link Video kosong",IF(ISERROR(SEARCH("youtu",$K844)),"Link Video bukan youtube","")),IF($L844="","Tgl Dibuat kosong",IF(NOT(ISNUMBER($L844)),"Tgl Dibuat bukan tanggal","")),IF(AND($M844&lt;&gt;"",NOT(ISNUMBER($M844))),"Tgl Publish bukan tanggal",""),IF(AND(ISNUMBER($L844),ISNUMBER($M844),$M844&lt;$L844),"Tgl Publish &lt; Tgl buat",""),IF(TRIM($N844)="","Status kosong",IF(ISERROR(MATCH(TRIM($N844),{"Draft","Menunggu Review","Revisi","Terjadwal","Upload","Publish","Published","Batal"},0)),"Status di luar daftar","")))),""))</f>
        <v/>
      </c>
      <c r="S844" s="17">
        <f>IF(AND($A844&lt;&gt;"",$C844&lt;&gt;""),IF(COUNTIFS($A$2:$A$1000,$A844,$C$2:$C$1000,$C844)&gt;1,"DUPLICAT",""),"")</f>
        <v/>
      </c>
    </row>
    <row r="845">
      <c r="A845" s="12" t="n"/>
      <c r="B845" s="12" t="n"/>
      <c r="C845" s="12" t="n"/>
      <c r="D845" s="13" t="n"/>
      <c r="E845" s="12" t="n"/>
      <c r="F845" s="14" t="n"/>
      <c r="G845" s="12" t="n"/>
      <c r="H845" s="12" t="n"/>
      <c r="I845" s="12" t="n"/>
      <c r="J845" s="14" t="n"/>
      <c r="K845" s="14" t="n"/>
      <c r="L845" s="15" t="n"/>
      <c r="M845" s="15" t="n"/>
      <c r="N845" s="12" t="n"/>
      <c r="O845" s="12" t="n"/>
      <c r="P845" s="16">
        <f>IF(AND(ISNUMBER($L845),ISNUMBER($M845)),MAX(0,$M845-$L845),"")</f>
        <v/>
      </c>
      <c r="Q845" s="16">
        <f>IF(ISNUMBER($D845),MAX(0,TODAY()-$D845),"")</f>
        <v/>
      </c>
      <c r="R845" s="14">
        <f>IF(COUNTA($A845:$O845)=0,"",IFERROR(TRIM(TEXTJOIN(" | ",TRUE,IF($A845="","PC kosong",""),IF($C845="","Worker ID kosong",""),IF($D845="","Update Date kosong",IF(NOT(ISNUMBER($D845)),"Update Date bukan tanggal","")),IF($E845="","Song ID YT kosong",""),IF($F845="","Judul kosong",""),IF(TRIM($G845)="","",IF(ISERROR(MATCH(TRIM($G845),{"TuneCore","DistroKid","TooLost","SoundOn","Ditto","Believe","CD Baby","Amuse","Symphonic Distribution","ONErpm","RouteNote","LANDR","Horus Music","Indie"},0)),"Aggregator di luar daftar","")),IF(TRIM($H845)="","Genre kosong",IF((LEN(SUBSTITUTE(SUBSTITUTE(SUBSTITUTE(TRIM($H845),"/",","),";",",")," ",""))-LEN(SUBSTITUTE(SUBSTITUTE(SUBSTITUTE(SUBSTITUTE(TRIM($H845),"/",","),";",","),"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845),"/",","),";",",")," ","")&amp;",")))&lt;&gt;(LEN(SUBSTITUTE(SUBSTITUTE(SUBSTITUTE(TRIM($H845),"/",","),";",",")," ",""))-LEN(SUBSTITUTE(SUBSTITUTE(SUBSTITUTE(SUBSTITUTE(TRIM($H845),"/",","),";",",")," ",""),",",""))+1),"Genre di luar daftar",""))),IF($I845="","Nama Channel kosong",""),IF($J845="","Link Channel kosong",IF(ISERROR(SEARCH("youtu",$J845)),"Link Channel bukan youtube","")),IF($K845="","Link Video kosong",IF(ISERROR(SEARCH("youtu",$K845)),"Link Video bukan youtube","")),IF($L845="","Tgl Dibuat kosong",IF(NOT(ISNUMBER($L845)),"Tgl Dibuat bukan tanggal","")),IF(AND($M845&lt;&gt;"",NOT(ISNUMBER($M845))),"Tgl Publish bukan tanggal",""),IF(AND(ISNUMBER($L845),ISNUMBER($M845),$M845&lt;$L845),"Tgl Publish &lt; Tgl buat",""),IF(TRIM($N845)="","Status kosong",IF(ISERROR(MATCH(TRIM($N845),{"Draft","Menunggu Review","Revisi","Terjadwal","Upload","Publish","Published","Batal"},0)),"Status di luar daftar","")))),""))</f>
        <v/>
      </c>
      <c r="S845" s="12">
        <f>IF(AND($A845&lt;&gt;"",$C845&lt;&gt;""),IF(COUNTIFS($A$2:$A$1000,$A845,$C$2:$C$1000,$C845)&gt;1,"DUPLICAT",""),"")</f>
        <v/>
      </c>
    </row>
    <row r="846">
      <c r="A846" s="17" t="n"/>
      <c r="B846" s="17" t="n"/>
      <c r="C846" s="17" t="n"/>
      <c r="D846" s="18" t="n"/>
      <c r="E846" s="17" t="n"/>
      <c r="F846" s="19" t="n"/>
      <c r="G846" s="17" t="n"/>
      <c r="H846" s="17" t="n"/>
      <c r="I846" s="17" t="n"/>
      <c r="J846" s="19" t="n"/>
      <c r="K846" s="19" t="n"/>
      <c r="L846" s="20" t="n"/>
      <c r="M846" s="20" t="n"/>
      <c r="N846" s="17" t="n"/>
      <c r="O846" s="17" t="n"/>
      <c r="P846" s="21">
        <f>IF(AND(ISNUMBER($L846),ISNUMBER($M846)),MAX(0,$M846-$L846),"")</f>
        <v/>
      </c>
      <c r="Q846" s="21">
        <f>IF(ISNUMBER($D846),MAX(0,TODAY()-$D846),"")</f>
        <v/>
      </c>
      <c r="R846" s="19">
        <f>IF(COUNTA($A846:$O846)=0,"",IFERROR(TRIM(TEXTJOIN(" | ",TRUE,IF($A846="","PC kosong",""),IF($C846="","Worker ID kosong",""),IF($D846="","Update Date kosong",IF(NOT(ISNUMBER($D846)),"Update Date bukan tanggal","")),IF($E846="","Song ID YT kosong",""),IF($F846="","Judul kosong",""),IF(TRIM($G846)="","",IF(ISERROR(MATCH(TRIM($G846),{"TuneCore","DistroKid","TooLost","SoundOn","Ditto","Believe","CD Baby","Amuse","Symphonic Distribution","ONErpm","RouteNote","LANDR","Horus Music","Indie"},0)),"Aggregator di luar daftar","")),IF(TRIM($H846)="","Genre kosong",IF((LEN(SUBSTITUTE(SUBSTITUTE(SUBSTITUTE(TRIM($H846),"/",","),";",",")," ",""))-LEN(SUBSTITUTE(SUBSTITUTE(SUBSTITUTE(SUBSTITUTE(TRIM($H846),"/",","),";",","),"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846),"/",","),";",",")," ","")&amp;",")))&lt;&gt;(LEN(SUBSTITUTE(SUBSTITUTE(SUBSTITUTE(TRIM($H846),"/",","),";",",")," ",""))-LEN(SUBSTITUTE(SUBSTITUTE(SUBSTITUTE(SUBSTITUTE(TRIM($H846),"/",","),";",",")," ",""),",",""))+1),"Genre di luar daftar",""))),IF($I846="","Nama Channel kosong",""),IF($J846="","Link Channel kosong",IF(ISERROR(SEARCH("youtu",$J846)),"Link Channel bukan youtube","")),IF($K846="","Link Video kosong",IF(ISERROR(SEARCH("youtu",$K846)),"Link Video bukan youtube","")),IF($L846="","Tgl Dibuat kosong",IF(NOT(ISNUMBER($L846)),"Tgl Dibuat bukan tanggal","")),IF(AND($M846&lt;&gt;"",NOT(ISNUMBER($M846))),"Tgl Publish bukan tanggal",""),IF(AND(ISNUMBER($L846),ISNUMBER($M846),$M846&lt;$L846),"Tgl Publish &lt; Tgl buat",""),IF(TRIM($N846)="","Status kosong",IF(ISERROR(MATCH(TRIM($N846),{"Draft","Menunggu Review","Revisi","Terjadwal","Upload","Publish","Published","Batal"},0)),"Status di luar daftar","")))),""))</f>
        <v/>
      </c>
      <c r="S846" s="17">
        <f>IF(AND($A846&lt;&gt;"",$C846&lt;&gt;""),IF(COUNTIFS($A$2:$A$1000,$A846,$C$2:$C$1000,$C846)&gt;1,"DUPLICAT",""),"")</f>
        <v/>
      </c>
    </row>
    <row r="847">
      <c r="A847" s="12" t="n"/>
      <c r="B847" s="12" t="n"/>
      <c r="C847" s="12" t="n"/>
      <c r="D847" s="13" t="n"/>
      <c r="E847" s="12" t="n"/>
      <c r="F847" s="14" t="n"/>
      <c r="G847" s="12" t="n"/>
      <c r="H847" s="12" t="n"/>
      <c r="I847" s="12" t="n"/>
      <c r="J847" s="14" t="n"/>
      <c r="K847" s="14" t="n"/>
      <c r="L847" s="15" t="n"/>
      <c r="M847" s="15" t="n"/>
      <c r="N847" s="12" t="n"/>
      <c r="O847" s="12" t="n"/>
      <c r="P847" s="16">
        <f>IF(AND(ISNUMBER($L847),ISNUMBER($M847)),MAX(0,$M847-$L847),"")</f>
        <v/>
      </c>
      <c r="Q847" s="16">
        <f>IF(ISNUMBER($D847),MAX(0,TODAY()-$D847),"")</f>
        <v/>
      </c>
      <c r="R847" s="14">
        <f>IF(COUNTA($A847:$O847)=0,"",IFERROR(TRIM(TEXTJOIN(" | ",TRUE,IF($A847="","PC kosong",""),IF($C847="","Worker ID kosong",""),IF($D847="","Update Date kosong",IF(NOT(ISNUMBER($D847)),"Update Date bukan tanggal","")),IF($E847="","Song ID YT kosong",""),IF($F847="","Judul kosong",""),IF(TRIM($G847)="","",IF(ISERROR(MATCH(TRIM($G847),{"TuneCore","DistroKid","TooLost","SoundOn","Ditto","Believe","CD Baby","Amuse","Symphonic Distribution","ONErpm","RouteNote","LANDR","Horus Music","Indie"},0)),"Aggregator di luar daftar","")),IF(TRIM($H847)="","Genre kosong",IF((LEN(SUBSTITUTE(SUBSTITUTE(SUBSTITUTE(TRIM($H847),"/",","),";",",")," ",""))-LEN(SUBSTITUTE(SUBSTITUTE(SUBSTITUTE(SUBSTITUTE(TRIM($H847),"/",","),";",","),"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847),"/",","),";",",")," ","")&amp;",")))&lt;&gt;(LEN(SUBSTITUTE(SUBSTITUTE(SUBSTITUTE(TRIM($H847),"/",","),";",",")," ",""))-LEN(SUBSTITUTE(SUBSTITUTE(SUBSTITUTE(SUBSTITUTE(TRIM($H847),"/",","),";",",")," ",""),",",""))+1),"Genre di luar daftar",""))),IF($I847="","Nama Channel kosong",""),IF($J847="","Link Channel kosong",IF(ISERROR(SEARCH("youtu",$J847)),"Link Channel bukan youtube","")),IF($K847="","Link Video kosong",IF(ISERROR(SEARCH("youtu",$K847)),"Link Video bukan youtube","")),IF($L847="","Tgl Dibuat kosong",IF(NOT(ISNUMBER($L847)),"Tgl Dibuat bukan tanggal","")),IF(AND($M847&lt;&gt;"",NOT(ISNUMBER($M847))),"Tgl Publish bukan tanggal",""),IF(AND(ISNUMBER($L847),ISNUMBER($M847),$M847&lt;$L847),"Tgl Publish &lt; Tgl buat",""),IF(TRIM($N847)="","Status kosong",IF(ISERROR(MATCH(TRIM($N847),{"Draft","Menunggu Review","Revisi","Terjadwal","Upload","Publish","Published","Batal"},0)),"Status di luar daftar","")))),""))</f>
        <v/>
      </c>
      <c r="S847" s="12">
        <f>IF(AND($A847&lt;&gt;"",$C847&lt;&gt;""),IF(COUNTIFS($A$2:$A$1000,$A847,$C$2:$C$1000,$C847)&gt;1,"DUPLICAT",""),"")</f>
        <v/>
      </c>
    </row>
    <row r="848">
      <c r="A848" s="17" t="n"/>
      <c r="B848" s="17" t="n"/>
      <c r="C848" s="17" t="n"/>
      <c r="D848" s="18" t="n"/>
      <c r="E848" s="17" t="n"/>
      <c r="F848" s="19" t="n"/>
      <c r="G848" s="17" t="n"/>
      <c r="H848" s="17" t="n"/>
      <c r="I848" s="17" t="n"/>
      <c r="J848" s="19" t="n"/>
      <c r="K848" s="19" t="n"/>
      <c r="L848" s="20" t="n"/>
      <c r="M848" s="20" t="n"/>
      <c r="N848" s="17" t="n"/>
      <c r="O848" s="17" t="n"/>
      <c r="P848" s="21">
        <f>IF(AND(ISNUMBER($L848),ISNUMBER($M848)),MAX(0,$M848-$L848),"")</f>
        <v/>
      </c>
      <c r="Q848" s="21">
        <f>IF(ISNUMBER($D848),MAX(0,TODAY()-$D848),"")</f>
        <v/>
      </c>
      <c r="R848" s="19">
        <f>IF(COUNTA($A848:$O848)=0,"",IFERROR(TRIM(TEXTJOIN(" | ",TRUE,IF($A848="","PC kosong",""),IF($C848="","Worker ID kosong",""),IF($D848="","Update Date kosong",IF(NOT(ISNUMBER($D848)),"Update Date bukan tanggal","")),IF($E848="","Song ID YT kosong",""),IF($F848="","Judul kosong",""),IF(TRIM($G848)="","",IF(ISERROR(MATCH(TRIM($G848),{"TuneCore","DistroKid","TooLost","SoundOn","Ditto","Believe","CD Baby","Amuse","Symphonic Distribution","ONErpm","RouteNote","LANDR","Horus Music","Indie"},0)),"Aggregator di luar daftar","")),IF(TRIM($H848)="","Genre kosong",IF((LEN(SUBSTITUTE(SUBSTITUTE(SUBSTITUTE(TRIM($H848),"/",","),";",",")," ",""))-LEN(SUBSTITUTE(SUBSTITUTE(SUBSTITUTE(SUBSTITUTE(TRIM($H848),"/",","),";",","),"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848),"/",","),";",",")," ","")&amp;",")))&lt;&gt;(LEN(SUBSTITUTE(SUBSTITUTE(SUBSTITUTE(TRIM($H848),"/",","),";",",")," ",""))-LEN(SUBSTITUTE(SUBSTITUTE(SUBSTITUTE(SUBSTITUTE(TRIM($H848),"/",","),";",",")," ",""),",",""))+1),"Genre di luar daftar",""))),IF($I848="","Nama Channel kosong",""),IF($J848="","Link Channel kosong",IF(ISERROR(SEARCH("youtu",$J848)),"Link Channel bukan youtube","")),IF($K848="","Link Video kosong",IF(ISERROR(SEARCH("youtu",$K848)),"Link Video bukan youtube","")),IF($L848="","Tgl Dibuat kosong",IF(NOT(ISNUMBER($L848)),"Tgl Dibuat bukan tanggal","")),IF(AND($M848&lt;&gt;"",NOT(ISNUMBER($M848))),"Tgl Publish bukan tanggal",""),IF(AND(ISNUMBER($L848),ISNUMBER($M848),$M848&lt;$L848),"Tgl Publish &lt; Tgl buat",""),IF(TRIM($N848)="","Status kosong",IF(ISERROR(MATCH(TRIM($N848),{"Draft","Menunggu Review","Revisi","Terjadwal","Upload","Publish","Published","Batal"},0)),"Status di luar daftar","")))),""))</f>
        <v/>
      </c>
      <c r="S848" s="17">
        <f>IF(AND($A848&lt;&gt;"",$C848&lt;&gt;""),IF(COUNTIFS($A$2:$A$1000,$A848,$C$2:$C$1000,$C848)&gt;1,"DUPLICAT",""),"")</f>
        <v/>
      </c>
    </row>
    <row r="849">
      <c r="A849" s="12" t="n"/>
      <c r="B849" s="12" t="n"/>
      <c r="C849" s="12" t="n"/>
      <c r="D849" s="13" t="n"/>
      <c r="E849" s="12" t="n"/>
      <c r="F849" s="14" t="n"/>
      <c r="G849" s="12" t="n"/>
      <c r="H849" s="12" t="n"/>
      <c r="I849" s="12" t="n"/>
      <c r="J849" s="14" t="n"/>
      <c r="K849" s="14" t="n"/>
      <c r="L849" s="15" t="n"/>
      <c r="M849" s="15" t="n"/>
      <c r="N849" s="12" t="n"/>
      <c r="O849" s="12" t="n"/>
      <c r="P849" s="16">
        <f>IF(AND(ISNUMBER($L849),ISNUMBER($M849)),MAX(0,$M849-$L849),"")</f>
        <v/>
      </c>
      <c r="Q849" s="16">
        <f>IF(ISNUMBER($D849),MAX(0,TODAY()-$D849),"")</f>
        <v/>
      </c>
      <c r="R849" s="14">
        <f>IF(COUNTA($A849:$O849)=0,"",IFERROR(TRIM(TEXTJOIN(" | ",TRUE,IF($A849="","PC kosong",""),IF($C849="","Worker ID kosong",""),IF($D849="","Update Date kosong",IF(NOT(ISNUMBER($D849)),"Update Date bukan tanggal","")),IF($E849="","Song ID YT kosong",""),IF($F849="","Judul kosong",""),IF(TRIM($G849)="","",IF(ISERROR(MATCH(TRIM($G849),{"TuneCore","DistroKid","TooLost","SoundOn","Ditto","Believe","CD Baby","Amuse","Symphonic Distribution","ONErpm","RouteNote","LANDR","Horus Music","Indie"},0)),"Aggregator di luar daftar","")),IF(TRIM($H849)="","Genre kosong",IF((LEN(SUBSTITUTE(SUBSTITUTE(SUBSTITUTE(TRIM($H849),"/",","),";",",")," ",""))-LEN(SUBSTITUTE(SUBSTITUTE(SUBSTITUTE(SUBSTITUTE(TRIM($H849),"/",","),";",","),"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849),"/",","),";",",")," ","")&amp;",")))&lt;&gt;(LEN(SUBSTITUTE(SUBSTITUTE(SUBSTITUTE(TRIM($H849),"/",","),";",",")," ",""))-LEN(SUBSTITUTE(SUBSTITUTE(SUBSTITUTE(SUBSTITUTE(TRIM($H849),"/",","),";",",")," ",""),",",""))+1),"Genre di luar daftar",""))),IF($I849="","Nama Channel kosong",""),IF($J849="","Link Channel kosong",IF(ISERROR(SEARCH("youtu",$J849)),"Link Channel bukan youtube","")),IF($K849="","Link Video kosong",IF(ISERROR(SEARCH("youtu",$K849)),"Link Video bukan youtube","")),IF($L849="","Tgl Dibuat kosong",IF(NOT(ISNUMBER($L849)),"Tgl Dibuat bukan tanggal","")),IF(AND($M849&lt;&gt;"",NOT(ISNUMBER($M849))),"Tgl Publish bukan tanggal",""),IF(AND(ISNUMBER($L849),ISNUMBER($M849),$M849&lt;$L849),"Tgl Publish &lt; Tgl buat",""),IF(TRIM($N849)="","Status kosong",IF(ISERROR(MATCH(TRIM($N849),{"Draft","Menunggu Review","Revisi","Terjadwal","Upload","Publish","Published","Batal"},0)),"Status di luar daftar","")))),""))</f>
        <v/>
      </c>
      <c r="S849" s="12">
        <f>IF(AND($A849&lt;&gt;"",$C849&lt;&gt;""),IF(COUNTIFS($A$2:$A$1000,$A849,$C$2:$C$1000,$C849)&gt;1,"DUPLICAT",""),"")</f>
        <v/>
      </c>
    </row>
    <row r="850">
      <c r="A850" s="17" t="n"/>
      <c r="B850" s="17" t="n"/>
      <c r="C850" s="17" t="n"/>
      <c r="D850" s="18" t="n"/>
      <c r="E850" s="17" t="n"/>
      <c r="F850" s="19" t="n"/>
      <c r="G850" s="17" t="n"/>
      <c r="H850" s="17" t="n"/>
      <c r="I850" s="17" t="n"/>
      <c r="J850" s="19" t="n"/>
      <c r="K850" s="19" t="n"/>
      <c r="L850" s="20" t="n"/>
      <c r="M850" s="20" t="n"/>
      <c r="N850" s="17" t="n"/>
      <c r="O850" s="17" t="n"/>
      <c r="P850" s="21">
        <f>IF(AND(ISNUMBER($L850),ISNUMBER($M850)),MAX(0,$M850-$L850),"")</f>
        <v/>
      </c>
      <c r="Q850" s="21">
        <f>IF(ISNUMBER($D850),MAX(0,TODAY()-$D850),"")</f>
        <v/>
      </c>
      <c r="R850" s="19">
        <f>IF(COUNTA($A850:$O850)=0,"",IFERROR(TRIM(TEXTJOIN(" | ",TRUE,IF($A850="","PC kosong",""),IF($C850="","Worker ID kosong",""),IF($D850="","Update Date kosong",IF(NOT(ISNUMBER($D850)),"Update Date bukan tanggal","")),IF($E850="","Song ID YT kosong",""),IF($F850="","Judul kosong",""),IF(TRIM($G850)="","",IF(ISERROR(MATCH(TRIM($G850),{"TuneCore","DistroKid","TooLost","SoundOn","Ditto","Believe","CD Baby","Amuse","Symphonic Distribution","ONErpm","RouteNote","LANDR","Horus Music","Indie"},0)),"Aggregator di luar daftar","")),IF(TRIM($H850)="","Genre kosong",IF((LEN(SUBSTITUTE(SUBSTITUTE(SUBSTITUTE(TRIM($H850),"/",","),";",",")," ",""))-LEN(SUBSTITUTE(SUBSTITUTE(SUBSTITUTE(SUBSTITUTE(TRIM($H850),"/",","),";",","),"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850),"/",","),";",",")," ","")&amp;",")))&lt;&gt;(LEN(SUBSTITUTE(SUBSTITUTE(SUBSTITUTE(TRIM($H850),"/",","),";",",")," ",""))-LEN(SUBSTITUTE(SUBSTITUTE(SUBSTITUTE(SUBSTITUTE(TRIM($H850),"/",","),";",",")," ",""),",",""))+1),"Genre di luar daftar",""))),IF($I850="","Nama Channel kosong",""),IF($J850="","Link Channel kosong",IF(ISERROR(SEARCH("youtu",$J850)),"Link Channel bukan youtube","")),IF($K850="","Link Video kosong",IF(ISERROR(SEARCH("youtu",$K850)),"Link Video bukan youtube","")),IF($L850="","Tgl Dibuat kosong",IF(NOT(ISNUMBER($L850)),"Tgl Dibuat bukan tanggal","")),IF(AND($M850&lt;&gt;"",NOT(ISNUMBER($M850))),"Tgl Publish bukan tanggal",""),IF(AND(ISNUMBER($L850),ISNUMBER($M850),$M850&lt;$L850),"Tgl Publish &lt; Tgl buat",""),IF(TRIM($N850)="","Status kosong",IF(ISERROR(MATCH(TRIM($N850),{"Draft","Menunggu Review","Revisi","Terjadwal","Upload","Publish","Published","Batal"},0)),"Status di luar daftar","")))),""))</f>
        <v/>
      </c>
      <c r="S850" s="17">
        <f>IF(AND($A850&lt;&gt;"",$C850&lt;&gt;""),IF(COUNTIFS($A$2:$A$1000,$A850,$C$2:$C$1000,$C850)&gt;1,"DUPLICAT",""),"")</f>
        <v/>
      </c>
    </row>
    <row r="851">
      <c r="A851" s="12" t="n"/>
      <c r="B851" s="12" t="n"/>
      <c r="C851" s="12" t="n"/>
      <c r="D851" s="13" t="n"/>
      <c r="E851" s="12" t="n"/>
      <c r="F851" s="14" t="n"/>
      <c r="G851" s="12" t="n"/>
      <c r="H851" s="12" t="n"/>
      <c r="I851" s="12" t="n"/>
      <c r="J851" s="14" t="n"/>
      <c r="K851" s="14" t="n"/>
      <c r="L851" s="15" t="n"/>
      <c r="M851" s="15" t="n"/>
      <c r="N851" s="12" t="n"/>
      <c r="O851" s="12" t="n"/>
      <c r="P851" s="16">
        <f>IF(AND(ISNUMBER($L851),ISNUMBER($M851)),MAX(0,$M851-$L851),"")</f>
        <v/>
      </c>
      <c r="Q851" s="16">
        <f>IF(ISNUMBER($D851),MAX(0,TODAY()-$D851),"")</f>
        <v/>
      </c>
      <c r="R851" s="14">
        <f>IF(COUNTA($A851:$O851)=0,"",IFERROR(TRIM(TEXTJOIN(" | ",TRUE,IF($A851="","PC kosong",""),IF($C851="","Worker ID kosong",""),IF($D851="","Update Date kosong",IF(NOT(ISNUMBER($D851)),"Update Date bukan tanggal","")),IF($E851="","Song ID YT kosong",""),IF($F851="","Judul kosong",""),IF(TRIM($G851)="","",IF(ISERROR(MATCH(TRIM($G851),{"TuneCore","DistroKid","TooLost","SoundOn","Ditto","Believe","CD Baby","Amuse","Symphonic Distribution","ONErpm","RouteNote","LANDR","Horus Music","Indie"},0)),"Aggregator di luar daftar","")),IF(TRIM($H851)="","Genre kosong",IF((LEN(SUBSTITUTE(SUBSTITUTE(SUBSTITUTE(TRIM($H851),"/",","),";",",")," ",""))-LEN(SUBSTITUTE(SUBSTITUTE(SUBSTITUTE(SUBSTITUTE(TRIM($H851),"/",","),";",","),"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851),"/",","),";",",")," ","")&amp;",")))&lt;&gt;(LEN(SUBSTITUTE(SUBSTITUTE(SUBSTITUTE(TRIM($H851),"/",","),";",",")," ",""))-LEN(SUBSTITUTE(SUBSTITUTE(SUBSTITUTE(SUBSTITUTE(TRIM($H851),"/",","),";",",")," ",""),",",""))+1),"Genre di luar daftar",""))),IF($I851="","Nama Channel kosong",""),IF($J851="","Link Channel kosong",IF(ISERROR(SEARCH("youtu",$J851)),"Link Channel bukan youtube","")),IF($K851="","Link Video kosong",IF(ISERROR(SEARCH("youtu",$K851)),"Link Video bukan youtube","")),IF($L851="","Tgl Dibuat kosong",IF(NOT(ISNUMBER($L851)),"Tgl Dibuat bukan tanggal","")),IF(AND($M851&lt;&gt;"",NOT(ISNUMBER($M851))),"Tgl Publish bukan tanggal",""),IF(AND(ISNUMBER($L851),ISNUMBER($M851),$M851&lt;$L851),"Tgl Publish &lt; Tgl buat",""),IF(TRIM($N851)="","Status kosong",IF(ISERROR(MATCH(TRIM($N851),{"Draft","Menunggu Review","Revisi","Terjadwal","Upload","Publish","Published","Batal"},0)),"Status di luar daftar","")))),""))</f>
        <v/>
      </c>
      <c r="S851" s="12">
        <f>IF(AND($A851&lt;&gt;"",$C851&lt;&gt;""),IF(COUNTIFS($A$2:$A$1000,$A851,$C$2:$C$1000,$C851)&gt;1,"DUPLICAT",""),"")</f>
        <v/>
      </c>
    </row>
    <row r="852">
      <c r="A852" s="17" t="n"/>
      <c r="B852" s="17" t="n"/>
      <c r="C852" s="17" t="n"/>
      <c r="D852" s="18" t="n"/>
      <c r="E852" s="17" t="n"/>
      <c r="F852" s="19" t="n"/>
      <c r="G852" s="17" t="n"/>
      <c r="H852" s="17" t="n"/>
      <c r="I852" s="17" t="n"/>
      <c r="J852" s="19" t="n"/>
      <c r="K852" s="19" t="n"/>
      <c r="L852" s="20" t="n"/>
      <c r="M852" s="20" t="n"/>
      <c r="N852" s="17" t="n"/>
      <c r="O852" s="17" t="n"/>
      <c r="P852" s="21">
        <f>IF(AND(ISNUMBER($L852),ISNUMBER($M852)),MAX(0,$M852-$L852),"")</f>
        <v/>
      </c>
      <c r="Q852" s="21">
        <f>IF(ISNUMBER($D852),MAX(0,TODAY()-$D852),"")</f>
        <v/>
      </c>
      <c r="R852" s="19">
        <f>IF(COUNTA($A852:$O852)=0,"",IFERROR(TRIM(TEXTJOIN(" | ",TRUE,IF($A852="","PC kosong",""),IF($C852="","Worker ID kosong",""),IF($D852="","Update Date kosong",IF(NOT(ISNUMBER($D852)),"Update Date bukan tanggal","")),IF($E852="","Song ID YT kosong",""),IF($F852="","Judul kosong",""),IF(TRIM($G852)="","",IF(ISERROR(MATCH(TRIM($G852),{"TuneCore","DistroKid","TooLost","SoundOn","Ditto","Believe","CD Baby","Amuse","Symphonic Distribution","ONErpm","RouteNote","LANDR","Horus Music","Indie"},0)),"Aggregator di luar daftar","")),IF(TRIM($H852)="","Genre kosong",IF((LEN(SUBSTITUTE(SUBSTITUTE(SUBSTITUTE(TRIM($H852),"/",","),";",",")," ",""))-LEN(SUBSTITUTE(SUBSTITUTE(SUBSTITUTE(SUBSTITUTE(TRIM($H852),"/",","),";",","),"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852),"/",","),";",",")," ","")&amp;",")))&lt;&gt;(LEN(SUBSTITUTE(SUBSTITUTE(SUBSTITUTE(TRIM($H852),"/",","),";",",")," ",""))-LEN(SUBSTITUTE(SUBSTITUTE(SUBSTITUTE(SUBSTITUTE(TRIM($H852),"/",","),";",",")," ",""),",",""))+1),"Genre di luar daftar",""))),IF($I852="","Nama Channel kosong",""),IF($J852="","Link Channel kosong",IF(ISERROR(SEARCH("youtu",$J852)),"Link Channel bukan youtube","")),IF($K852="","Link Video kosong",IF(ISERROR(SEARCH("youtu",$K852)),"Link Video bukan youtube","")),IF($L852="","Tgl Dibuat kosong",IF(NOT(ISNUMBER($L852)),"Tgl Dibuat bukan tanggal","")),IF(AND($M852&lt;&gt;"",NOT(ISNUMBER($M852))),"Tgl Publish bukan tanggal",""),IF(AND(ISNUMBER($L852),ISNUMBER($M852),$M852&lt;$L852),"Tgl Publish &lt; Tgl buat",""),IF(TRIM($N852)="","Status kosong",IF(ISERROR(MATCH(TRIM($N852),{"Draft","Menunggu Review","Revisi","Terjadwal","Upload","Publish","Published","Batal"},0)),"Status di luar daftar","")))),""))</f>
        <v/>
      </c>
      <c r="S852" s="17">
        <f>IF(AND($A852&lt;&gt;"",$C852&lt;&gt;""),IF(COUNTIFS($A$2:$A$1000,$A852,$C$2:$C$1000,$C852)&gt;1,"DUPLICAT",""),"")</f>
        <v/>
      </c>
    </row>
    <row r="853">
      <c r="A853" s="12" t="n"/>
      <c r="B853" s="12" t="n"/>
      <c r="C853" s="12" t="n"/>
      <c r="D853" s="13" t="n"/>
      <c r="E853" s="12" t="n"/>
      <c r="F853" s="14" t="n"/>
      <c r="G853" s="12" t="n"/>
      <c r="H853" s="12" t="n"/>
      <c r="I853" s="12" t="n"/>
      <c r="J853" s="14" t="n"/>
      <c r="K853" s="14" t="n"/>
      <c r="L853" s="15" t="n"/>
      <c r="M853" s="15" t="n"/>
      <c r="N853" s="12" t="n"/>
      <c r="O853" s="12" t="n"/>
      <c r="P853" s="16">
        <f>IF(AND(ISNUMBER($L853),ISNUMBER($M853)),MAX(0,$M853-$L853),"")</f>
        <v/>
      </c>
      <c r="Q853" s="16">
        <f>IF(ISNUMBER($D853),MAX(0,TODAY()-$D853),"")</f>
        <v/>
      </c>
      <c r="R853" s="14">
        <f>IF(COUNTA($A853:$O853)=0,"",IFERROR(TRIM(TEXTJOIN(" | ",TRUE,IF($A853="","PC kosong",""),IF($C853="","Worker ID kosong",""),IF($D853="","Update Date kosong",IF(NOT(ISNUMBER($D853)),"Update Date bukan tanggal","")),IF($E853="","Song ID YT kosong",""),IF($F853="","Judul kosong",""),IF(TRIM($G853)="","",IF(ISERROR(MATCH(TRIM($G853),{"TuneCore","DistroKid","TooLost","SoundOn","Ditto","Believe","CD Baby","Amuse","Symphonic Distribution","ONErpm","RouteNote","LANDR","Horus Music","Indie"},0)),"Aggregator di luar daftar","")),IF(TRIM($H853)="","Genre kosong",IF((LEN(SUBSTITUTE(SUBSTITUTE(SUBSTITUTE(TRIM($H853),"/",","),";",",")," ",""))-LEN(SUBSTITUTE(SUBSTITUTE(SUBSTITUTE(SUBSTITUTE(TRIM($H853),"/",","),";",","),"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853),"/",","),";",",")," ","")&amp;",")))&lt;&gt;(LEN(SUBSTITUTE(SUBSTITUTE(SUBSTITUTE(TRIM($H853),"/",","),";",",")," ",""))-LEN(SUBSTITUTE(SUBSTITUTE(SUBSTITUTE(SUBSTITUTE(TRIM($H853),"/",","),";",",")," ",""),",",""))+1),"Genre di luar daftar",""))),IF($I853="","Nama Channel kosong",""),IF($J853="","Link Channel kosong",IF(ISERROR(SEARCH("youtu",$J853)),"Link Channel bukan youtube","")),IF($K853="","Link Video kosong",IF(ISERROR(SEARCH("youtu",$K853)),"Link Video bukan youtube","")),IF($L853="","Tgl Dibuat kosong",IF(NOT(ISNUMBER($L853)),"Tgl Dibuat bukan tanggal","")),IF(AND($M853&lt;&gt;"",NOT(ISNUMBER($M853))),"Tgl Publish bukan tanggal",""),IF(AND(ISNUMBER($L853),ISNUMBER($M853),$M853&lt;$L853),"Tgl Publish &lt; Tgl buat",""),IF(TRIM($N853)="","Status kosong",IF(ISERROR(MATCH(TRIM($N853),{"Draft","Menunggu Review","Revisi","Terjadwal","Upload","Publish","Published","Batal"},0)),"Status di luar daftar","")))),""))</f>
        <v/>
      </c>
      <c r="S853" s="12">
        <f>IF(AND($A853&lt;&gt;"",$C853&lt;&gt;""),IF(COUNTIFS($A$2:$A$1000,$A853,$C$2:$C$1000,$C853)&gt;1,"DUPLICAT",""),"")</f>
        <v/>
      </c>
    </row>
    <row r="854">
      <c r="A854" s="17" t="n"/>
      <c r="B854" s="17" t="n"/>
      <c r="C854" s="17" t="n"/>
      <c r="D854" s="18" t="n"/>
      <c r="E854" s="17" t="n"/>
      <c r="F854" s="19" t="n"/>
      <c r="G854" s="17" t="n"/>
      <c r="H854" s="17" t="n"/>
      <c r="I854" s="17" t="n"/>
      <c r="J854" s="19" t="n"/>
      <c r="K854" s="19" t="n"/>
      <c r="L854" s="20" t="n"/>
      <c r="M854" s="20" t="n"/>
      <c r="N854" s="17" t="n"/>
      <c r="O854" s="17" t="n"/>
      <c r="P854" s="21">
        <f>IF(AND(ISNUMBER($L854),ISNUMBER($M854)),MAX(0,$M854-$L854),"")</f>
        <v/>
      </c>
      <c r="Q854" s="21">
        <f>IF(ISNUMBER($D854),MAX(0,TODAY()-$D854),"")</f>
        <v/>
      </c>
      <c r="R854" s="19">
        <f>IF(COUNTA($A854:$O854)=0,"",IFERROR(TRIM(TEXTJOIN(" | ",TRUE,IF($A854="","PC kosong",""),IF($C854="","Worker ID kosong",""),IF($D854="","Update Date kosong",IF(NOT(ISNUMBER($D854)),"Update Date bukan tanggal","")),IF($E854="","Song ID YT kosong",""),IF($F854="","Judul kosong",""),IF(TRIM($G854)="","",IF(ISERROR(MATCH(TRIM($G854),{"TuneCore","DistroKid","TooLost","SoundOn","Ditto","Believe","CD Baby","Amuse","Symphonic Distribution","ONErpm","RouteNote","LANDR","Horus Music","Indie"},0)),"Aggregator di luar daftar","")),IF(TRIM($H854)="","Genre kosong",IF((LEN(SUBSTITUTE(SUBSTITUTE(SUBSTITUTE(TRIM($H854),"/",","),";",",")," ",""))-LEN(SUBSTITUTE(SUBSTITUTE(SUBSTITUTE(SUBSTITUTE(TRIM($H854),"/",","),";",","),"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854),"/",","),";",",")," ","")&amp;",")))&lt;&gt;(LEN(SUBSTITUTE(SUBSTITUTE(SUBSTITUTE(TRIM($H854),"/",","),";",",")," ",""))-LEN(SUBSTITUTE(SUBSTITUTE(SUBSTITUTE(SUBSTITUTE(TRIM($H854),"/",","),";",",")," ",""),",",""))+1),"Genre di luar daftar",""))),IF($I854="","Nama Channel kosong",""),IF($J854="","Link Channel kosong",IF(ISERROR(SEARCH("youtu",$J854)),"Link Channel bukan youtube","")),IF($K854="","Link Video kosong",IF(ISERROR(SEARCH("youtu",$K854)),"Link Video bukan youtube","")),IF($L854="","Tgl Dibuat kosong",IF(NOT(ISNUMBER($L854)),"Tgl Dibuat bukan tanggal","")),IF(AND($M854&lt;&gt;"",NOT(ISNUMBER($M854))),"Tgl Publish bukan tanggal",""),IF(AND(ISNUMBER($L854),ISNUMBER($M854),$M854&lt;$L854),"Tgl Publish &lt; Tgl buat",""),IF(TRIM($N854)="","Status kosong",IF(ISERROR(MATCH(TRIM($N854),{"Draft","Menunggu Review","Revisi","Terjadwal","Upload","Publish","Published","Batal"},0)),"Status di luar daftar","")))),""))</f>
        <v/>
      </c>
      <c r="S854" s="17">
        <f>IF(AND($A854&lt;&gt;"",$C854&lt;&gt;""),IF(COUNTIFS($A$2:$A$1000,$A854,$C$2:$C$1000,$C854)&gt;1,"DUPLICAT",""),"")</f>
        <v/>
      </c>
    </row>
    <row r="855">
      <c r="A855" s="12" t="n"/>
      <c r="B855" s="12" t="n"/>
      <c r="C855" s="12" t="n"/>
      <c r="D855" s="13" t="n"/>
      <c r="E855" s="12" t="n"/>
      <c r="F855" s="14" t="n"/>
      <c r="G855" s="12" t="n"/>
      <c r="H855" s="12" t="n"/>
      <c r="I855" s="12" t="n"/>
      <c r="J855" s="14" t="n"/>
      <c r="K855" s="14" t="n"/>
      <c r="L855" s="15" t="n"/>
      <c r="M855" s="15" t="n"/>
      <c r="N855" s="12" t="n"/>
      <c r="O855" s="12" t="n"/>
      <c r="P855" s="16">
        <f>IF(AND(ISNUMBER($L855),ISNUMBER($M855)),MAX(0,$M855-$L855),"")</f>
        <v/>
      </c>
      <c r="Q855" s="16">
        <f>IF(ISNUMBER($D855),MAX(0,TODAY()-$D855),"")</f>
        <v/>
      </c>
      <c r="R855" s="14">
        <f>IF(COUNTA($A855:$O855)=0,"",IFERROR(TRIM(TEXTJOIN(" | ",TRUE,IF($A855="","PC kosong",""),IF($C855="","Worker ID kosong",""),IF($D855="","Update Date kosong",IF(NOT(ISNUMBER($D855)),"Update Date bukan tanggal","")),IF($E855="","Song ID YT kosong",""),IF($F855="","Judul kosong",""),IF(TRIM($G855)="","",IF(ISERROR(MATCH(TRIM($G855),{"TuneCore","DistroKid","TooLost","SoundOn","Ditto","Believe","CD Baby","Amuse","Symphonic Distribution","ONErpm","RouteNote","LANDR","Horus Music","Indie"},0)),"Aggregator di luar daftar","")),IF(TRIM($H855)="","Genre kosong",IF((LEN(SUBSTITUTE(SUBSTITUTE(SUBSTITUTE(TRIM($H855),"/",","),";",",")," ",""))-LEN(SUBSTITUTE(SUBSTITUTE(SUBSTITUTE(SUBSTITUTE(TRIM($H855),"/",","),";",","),"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855),"/",","),";",",")," ","")&amp;",")))&lt;&gt;(LEN(SUBSTITUTE(SUBSTITUTE(SUBSTITUTE(TRIM($H855),"/",","),";",",")," ",""))-LEN(SUBSTITUTE(SUBSTITUTE(SUBSTITUTE(SUBSTITUTE(TRIM($H855),"/",","),";",",")," ",""),",",""))+1),"Genre di luar daftar",""))),IF($I855="","Nama Channel kosong",""),IF($J855="","Link Channel kosong",IF(ISERROR(SEARCH("youtu",$J855)),"Link Channel bukan youtube","")),IF($K855="","Link Video kosong",IF(ISERROR(SEARCH("youtu",$K855)),"Link Video bukan youtube","")),IF($L855="","Tgl Dibuat kosong",IF(NOT(ISNUMBER($L855)),"Tgl Dibuat bukan tanggal","")),IF(AND($M855&lt;&gt;"",NOT(ISNUMBER($M855))),"Tgl Publish bukan tanggal",""),IF(AND(ISNUMBER($L855),ISNUMBER($M855),$M855&lt;$L855),"Tgl Publish &lt; Tgl buat",""),IF(TRIM($N855)="","Status kosong",IF(ISERROR(MATCH(TRIM($N855),{"Draft","Menunggu Review","Revisi","Terjadwal","Upload","Publish","Published","Batal"},0)),"Status di luar daftar","")))),""))</f>
        <v/>
      </c>
      <c r="S855" s="12">
        <f>IF(AND($A855&lt;&gt;"",$C855&lt;&gt;""),IF(COUNTIFS($A$2:$A$1000,$A855,$C$2:$C$1000,$C855)&gt;1,"DUPLICAT",""),"")</f>
        <v/>
      </c>
    </row>
    <row r="856">
      <c r="A856" s="17" t="n"/>
      <c r="B856" s="17" t="n"/>
      <c r="C856" s="17" t="n"/>
      <c r="D856" s="18" t="n"/>
      <c r="E856" s="17" t="n"/>
      <c r="F856" s="19" t="n"/>
      <c r="G856" s="17" t="n"/>
      <c r="H856" s="17" t="n"/>
      <c r="I856" s="17" t="n"/>
      <c r="J856" s="19" t="n"/>
      <c r="K856" s="19" t="n"/>
      <c r="L856" s="20" t="n"/>
      <c r="M856" s="20" t="n"/>
      <c r="N856" s="17" t="n"/>
      <c r="O856" s="17" t="n"/>
      <c r="P856" s="21">
        <f>IF(AND(ISNUMBER($L856),ISNUMBER($M856)),MAX(0,$M856-$L856),"")</f>
        <v/>
      </c>
      <c r="Q856" s="21">
        <f>IF(ISNUMBER($D856),MAX(0,TODAY()-$D856),"")</f>
        <v/>
      </c>
      <c r="R856" s="19">
        <f>IF(COUNTA($A856:$O856)=0,"",IFERROR(TRIM(TEXTJOIN(" | ",TRUE,IF($A856="","PC kosong",""),IF($C856="","Worker ID kosong",""),IF($D856="","Update Date kosong",IF(NOT(ISNUMBER($D856)),"Update Date bukan tanggal","")),IF($E856="","Song ID YT kosong",""),IF($F856="","Judul kosong",""),IF(TRIM($G856)="","",IF(ISERROR(MATCH(TRIM($G856),{"TuneCore","DistroKid","TooLost","SoundOn","Ditto","Believe","CD Baby","Amuse","Symphonic Distribution","ONErpm","RouteNote","LANDR","Horus Music","Indie"},0)),"Aggregator di luar daftar","")),IF(TRIM($H856)="","Genre kosong",IF((LEN(SUBSTITUTE(SUBSTITUTE(SUBSTITUTE(TRIM($H856),"/",","),";",",")," ",""))-LEN(SUBSTITUTE(SUBSTITUTE(SUBSTITUTE(SUBSTITUTE(TRIM($H856),"/",","),";",","),"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856),"/",","),";",",")," ","")&amp;",")))&lt;&gt;(LEN(SUBSTITUTE(SUBSTITUTE(SUBSTITUTE(TRIM($H856),"/",","),";",",")," ",""))-LEN(SUBSTITUTE(SUBSTITUTE(SUBSTITUTE(SUBSTITUTE(TRIM($H856),"/",","),";",",")," ",""),",",""))+1),"Genre di luar daftar",""))),IF($I856="","Nama Channel kosong",""),IF($J856="","Link Channel kosong",IF(ISERROR(SEARCH("youtu",$J856)),"Link Channel bukan youtube","")),IF($K856="","Link Video kosong",IF(ISERROR(SEARCH("youtu",$K856)),"Link Video bukan youtube","")),IF($L856="","Tgl Dibuat kosong",IF(NOT(ISNUMBER($L856)),"Tgl Dibuat bukan tanggal","")),IF(AND($M856&lt;&gt;"",NOT(ISNUMBER($M856))),"Tgl Publish bukan tanggal",""),IF(AND(ISNUMBER($L856),ISNUMBER($M856),$M856&lt;$L856),"Tgl Publish &lt; Tgl buat",""),IF(TRIM($N856)="","Status kosong",IF(ISERROR(MATCH(TRIM($N856),{"Draft","Menunggu Review","Revisi","Terjadwal","Upload","Publish","Published","Batal"},0)),"Status di luar daftar","")))),""))</f>
        <v/>
      </c>
      <c r="S856" s="17">
        <f>IF(AND($A856&lt;&gt;"",$C856&lt;&gt;""),IF(COUNTIFS($A$2:$A$1000,$A856,$C$2:$C$1000,$C856)&gt;1,"DUPLICAT",""),"")</f>
        <v/>
      </c>
    </row>
    <row r="857">
      <c r="A857" s="12" t="n"/>
      <c r="B857" s="12" t="n"/>
      <c r="C857" s="12" t="n"/>
      <c r="D857" s="13" t="n"/>
      <c r="E857" s="12" t="n"/>
      <c r="F857" s="14" t="n"/>
      <c r="G857" s="12" t="n"/>
      <c r="H857" s="12" t="n"/>
      <c r="I857" s="12" t="n"/>
      <c r="J857" s="14" t="n"/>
      <c r="K857" s="14" t="n"/>
      <c r="L857" s="15" t="n"/>
      <c r="M857" s="15" t="n"/>
      <c r="N857" s="12" t="n"/>
      <c r="O857" s="12" t="n"/>
      <c r="P857" s="16">
        <f>IF(AND(ISNUMBER($L857),ISNUMBER($M857)),MAX(0,$M857-$L857),"")</f>
        <v/>
      </c>
      <c r="Q857" s="16">
        <f>IF(ISNUMBER($D857),MAX(0,TODAY()-$D857),"")</f>
        <v/>
      </c>
      <c r="R857" s="14">
        <f>IF(COUNTA($A857:$O857)=0,"",IFERROR(TRIM(TEXTJOIN(" | ",TRUE,IF($A857="","PC kosong",""),IF($C857="","Worker ID kosong",""),IF($D857="","Update Date kosong",IF(NOT(ISNUMBER($D857)),"Update Date bukan tanggal","")),IF($E857="","Song ID YT kosong",""),IF($F857="","Judul kosong",""),IF(TRIM($G857)="","",IF(ISERROR(MATCH(TRIM($G857),{"TuneCore","DistroKid","TooLost","SoundOn","Ditto","Believe","CD Baby","Amuse","Symphonic Distribution","ONErpm","RouteNote","LANDR","Horus Music","Indie"},0)),"Aggregator di luar daftar","")),IF(TRIM($H857)="","Genre kosong",IF((LEN(SUBSTITUTE(SUBSTITUTE(SUBSTITUTE(TRIM($H857),"/",","),";",",")," ",""))-LEN(SUBSTITUTE(SUBSTITUTE(SUBSTITUTE(SUBSTITUTE(TRIM($H857),"/",","),";",","),"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857),"/",","),";",",")," ","")&amp;",")))&lt;&gt;(LEN(SUBSTITUTE(SUBSTITUTE(SUBSTITUTE(TRIM($H857),"/",","),";",",")," ",""))-LEN(SUBSTITUTE(SUBSTITUTE(SUBSTITUTE(SUBSTITUTE(TRIM($H857),"/",","),";",",")," ",""),",",""))+1),"Genre di luar daftar",""))),IF($I857="","Nama Channel kosong",""),IF($J857="","Link Channel kosong",IF(ISERROR(SEARCH("youtu",$J857)),"Link Channel bukan youtube","")),IF($K857="","Link Video kosong",IF(ISERROR(SEARCH("youtu",$K857)),"Link Video bukan youtube","")),IF($L857="","Tgl Dibuat kosong",IF(NOT(ISNUMBER($L857)),"Tgl Dibuat bukan tanggal","")),IF(AND($M857&lt;&gt;"",NOT(ISNUMBER($M857))),"Tgl Publish bukan tanggal",""),IF(AND(ISNUMBER($L857),ISNUMBER($M857),$M857&lt;$L857),"Tgl Publish &lt; Tgl buat",""),IF(TRIM($N857)="","Status kosong",IF(ISERROR(MATCH(TRIM($N857),{"Draft","Menunggu Review","Revisi","Terjadwal","Upload","Publish","Published","Batal"},0)),"Status di luar daftar","")))),""))</f>
        <v/>
      </c>
      <c r="S857" s="12">
        <f>IF(AND($A857&lt;&gt;"",$C857&lt;&gt;""),IF(COUNTIFS($A$2:$A$1000,$A857,$C$2:$C$1000,$C857)&gt;1,"DUPLICAT",""),"")</f>
        <v/>
      </c>
    </row>
    <row r="858">
      <c r="A858" s="17" t="n"/>
      <c r="B858" s="17" t="n"/>
      <c r="C858" s="17" t="n"/>
      <c r="D858" s="18" t="n"/>
      <c r="E858" s="17" t="n"/>
      <c r="F858" s="19" t="n"/>
      <c r="G858" s="17" t="n"/>
      <c r="H858" s="17" t="n"/>
      <c r="I858" s="17" t="n"/>
      <c r="J858" s="19" t="n"/>
      <c r="K858" s="19" t="n"/>
      <c r="L858" s="20" t="n"/>
      <c r="M858" s="20" t="n"/>
      <c r="N858" s="17" t="n"/>
      <c r="O858" s="17" t="n"/>
      <c r="P858" s="21">
        <f>IF(AND(ISNUMBER($L858),ISNUMBER($M858)),MAX(0,$M858-$L858),"")</f>
        <v/>
      </c>
      <c r="Q858" s="21">
        <f>IF(ISNUMBER($D858),MAX(0,TODAY()-$D858),"")</f>
        <v/>
      </c>
      <c r="R858" s="19">
        <f>IF(COUNTA($A858:$O858)=0,"",IFERROR(TRIM(TEXTJOIN(" | ",TRUE,IF($A858="","PC kosong",""),IF($C858="","Worker ID kosong",""),IF($D858="","Update Date kosong",IF(NOT(ISNUMBER($D858)),"Update Date bukan tanggal","")),IF($E858="","Song ID YT kosong",""),IF($F858="","Judul kosong",""),IF(TRIM($G858)="","",IF(ISERROR(MATCH(TRIM($G858),{"TuneCore","DistroKid","TooLost","SoundOn","Ditto","Believe","CD Baby","Amuse","Symphonic Distribution","ONErpm","RouteNote","LANDR","Horus Music","Indie"},0)),"Aggregator di luar daftar","")),IF(TRIM($H858)="","Genre kosong",IF((LEN(SUBSTITUTE(SUBSTITUTE(SUBSTITUTE(TRIM($H858),"/",","),";",",")," ",""))-LEN(SUBSTITUTE(SUBSTITUTE(SUBSTITUTE(SUBSTITUTE(TRIM($H858),"/",","),";",","),"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858),"/",","),";",",")," ","")&amp;",")))&lt;&gt;(LEN(SUBSTITUTE(SUBSTITUTE(SUBSTITUTE(TRIM($H858),"/",","),";",",")," ",""))-LEN(SUBSTITUTE(SUBSTITUTE(SUBSTITUTE(SUBSTITUTE(TRIM($H858),"/",","),";",",")," ",""),",",""))+1),"Genre di luar daftar",""))),IF($I858="","Nama Channel kosong",""),IF($J858="","Link Channel kosong",IF(ISERROR(SEARCH("youtu",$J858)),"Link Channel bukan youtube","")),IF($K858="","Link Video kosong",IF(ISERROR(SEARCH("youtu",$K858)),"Link Video bukan youtube","")),IF($L858="","Tgl Dibuat kosong",IF(NOT(ISNUMBER($L858)),"Tgl Dibuat bukan tanggal","")),IF(AND($M858&lt;&gt;"",NOT(ISNUMBER($M858))),"Tgl Publish bukan tanggal",""),IF(AND(ISNUMBER($L858),ISNUMBER($M858),$M858&lt;$L858),"Tgl Publish &lt; Tgl buat",""),IF(TRIM($N858)="","Status kosong",IF(ISERROR(MATCH(TRIM($N858),{"Draft","Menunggu Review","Revisi","Terjadwal","Upload","Publish","Published","Batal"},0)),"Status di luar daftar","")))),""))</f>
        <v/>
      </c>
      <c r="S858" s="17">
        <f>IF(AND($A858&lt;&gt;"",$C858&lt;&gt;""),IF(COUNTIFS($A$2:$A$1000,$A858,$C$2:$C$1000,$C858)&gt;1,"DUPLICAT",""),"")</f>
        <v/>
      </c>
    </row>
    <row r="859">
      <c r="A859" s="12" t="n"/>
      <c r="B859" s="12" t="n"/>
      <c r="C859" s="12" t="n"/>
      <c r="D859" s="13" t="n"/>
      <c r="E859" s="12" t="n"/>
      <c r="F859" s="14" t="n"/>
      <c r="G859" s="12" t="n"/>
      <c r="H859" s="12" t="n"/>
      <c r="I859" s="12" t="n"/>
      <c r="J859" s="14" t="n"/>
      <c r="K859" s="14" t="n"/>
      <c r="L859" s="15" t="n"/>
      <c r="M859" s="15" t="n"/>
      <c r="N859" s="12" t="n"/>
      <c r="O859" s="12" t="n"/>
      <c r="P859" s="16">
        <f>IF(AND(ISNUMBER($L859),ISNUMBER($M859)),MAX(0,$M859-$L859),"")</f>
        <v/>
      </c>
      <c r="Q859" s="16">
        <f>IF(ISNUMBER($D859),MAX(0,TODAY()-$D859),"")</f>
        <v/>
      </c>
      <c r="R859" s="14">
        <f>IF(COUNTA($A859:$O859)=0,"",IFERROR(TRIM(TEXTJOIN(" | ",TRUE,IF($A859="","PC kosong",""),IF($C859="","Worker ID kosong",""),IF($D859="","Update Date kosong",IF(NOT(ISNUMBER($D859)),"Update Date bukan tanggal","")),IF($E859="","Song ID YT kosong",""),IF($F859="","Judul kosong",""),IF(TRIM($G859)="","",IF(ISERROR(MATCH(TRIM($G859),{"TuneCore","DistroKid","TooLost","SoundOn","Ditto","Believe","CD Baby","Amuse","Symphonic Distribution","ONErpm","RouteNote","LANDR","Horus Music","Indie"},0)),"Aggregator di luar daftar","")),IF(TRIM($H859)="","Genre kosong",IF((LEN(SUBSTITUTE(SUBSTITUTE(SUBSTITUTE(TRIM($H859),"/",","),";",",")," ",""))-LEN(SUBSTITUTE(SUBSTITUTE(SUBSTITUTE(SUBSTITUTE(TRIM($H859),"/",","),";",","),"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859),"/",","),";",",")," ","")&amp;",")))&lt;&gt;(LEN(SUBSTITUTE(SUBSTITUTE(SUBSTITUTE(TRIM($H859),"/",","),";",",")," ",""))-LEN(SUBSTITUTE(SUBSTITUTE(SUBSTITUTE(SUBSTITUTE(TRIM($H859),"/",","),";",",")," ",""),",",""))+1),"Genre di luar daftar",""))),IF($I859="","Nama Channel kosong",""),IF($J859="","Link Channel kosong",IF(ISERROR(SEARCH("youtu",$J859)),"Link Channel bukan youtube","")),IF($K859="","Link Video kosong",IF(ISERROR(SEARCH("youtu",$K859)),"Link Video bukan youtube","")),IF($L859="","Tgl Dibuat kosong",IF(NOT(ISNUMBER($L859)),"Tgl Dibuat bukan tanggal","")),IF(AND($M859&lt;&gt;"",NOT(ISNUMBER($M859))),"Tgl Publish bukan tanggal",""),IF(AND(ISNUMBER($L859),ISNUMBER($M859),$M859&lt;$L859),"Tgl Publish &lt; Tgl buat",""),IF(TRIM($N859)="","Status kosong",IF(ISERROR(MATCH(TRIM($N859),{"Draft","Menunggu Review","Revisi","Terjadwal","Upload","Publish","Published","Batal"},0)),"Status di luar daftar","")))),""))</f>
        <v/>
      </c>
      <c r="S859" s="12">
        <f>IF(AND($A859&lt;&gt;"",$C859&lt;&gt;""),IF(COUNTIFS($A$2:$A$1000,$A859,$C$2:$C$1000,$C859)&gt;1,"DUPLICAT",""),"")</f>
        <v/>
      </c>
    </row>
    <row r="860">
      <c r="A860" s="17" t="n"/>
      <c r="B860" s="17" t="n"/>
      <c r="C860" s="17" t="n"/>
      <c r="D860" s="18" t="n"/>
      <c r="E860" s="17" t="n"/>
      <c r="F860" s="19" t="n"/>
      <c r="G860" s="17" t="n"/>
      <c r="H860" s="17" t="n"/>
      <c r="I860" s="17" t="n"/>
      <c r="J860" s="19" t="n"/>
      <c r="K860" s="19" t="n"/>
      <c r="L860" s="20" t="n"/>
      <c r="M860" s="20" t="n"/>
      <c r="N860" s="17" t="n"/>
      <c r="O860" s="17" t="n"/>
      <c r="P860" s="21">
        <f>IF(AND(ISNUMBER($L860),ISNUMBER($M860)),MAX(0,$M860-$L860),"")</f>
        <v/>
      </c>
      <c r="Q860" s="21">
        <f>IF(ISNUMBER($D860),MAX(0,TODAY()-$D860),"")</f>
        <v/>
      </c>
      <c r="R860" s="19">
        <f>IF(COUNTA($A860:$O860)=0,"",IFERROR(TRIM(TEXTJOIN(" | ",TRUE,IF($A860="","PC kosong",""),IF($C860="","Worker ID kosong",""),IF($D860="","Update Date kosong",IF(NOT(ISNUMBER($D860)),"Update Date bukan tanggal","")),IF($E860="","Song ID YT kosong",""),IF($F860="","Judul kosong",""),IF(TRIM($G860)="","",IF(ISERROR(MATCH(TRIM($G860),{"TuneCore","DistroKid","TooLost","SoundOn","Ditto","Believe","CD Baby","Amuse","Symphonic Distribution","ONErpm","RouteNote","LANDR","Horus Music","Indie"},0)),"Aggregator di luar daftar","")),IF(TRIM($H860)="","Genre kosong",IF((LEN(SUBSTITUTE(SUBSTITUTE(SUBSTITUTE(TRIM($H860),"/",","),";",",")," ",""))-LEN(SUBSTITUTE(SUBSTITUTE(SUBSTITUTE(SUBSTITUTE(TRIM($H860),"/",","),";",","),"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860),"/",","),";",",")," ","")&amp;",")))&lt;&gt;(LEN(SUBSTITUTE(SUBSTITUTE(SUBSTITUTE(TRIM($H860),"/",","),";",",")," ",""))-LEN(SUBSTITUTE(SUBSTITUTE(SUBSTITUTE(SUBSTITUTE(TRIM($H860),"/",","),";",",")," ",""),",",""))+1),"Genre di luar daftar",""))),IF($I860="","Nama Channel kosong",""),IF($J860="","Link Channel kosong",IF(ISERROR(SEARCH("youtu",$J860)),"Link Channel bukan youtube","")),IF($K860="","Link Video kosong",IF(ISERROR(SEARCH("youtu",$K860)),"Link Video bukan youtube","")),IF($L860="","Tgl Dibuat kosong",IF(NOT(ISNUMBER($L860)),"Tgl Dibuat bukan tanggal","")),IF(AND($M860&lt;&gt;"",NOT(ISNUMBER($M860))),"Tgl Publish bukan tanggal",""),IF(AND(ISNUMBER($L860),ISNUMBER($M860),$M860&lt;$L860),"Tgl Publish &lt; Tgl buat",""),IF(TRIM($N860)="","Status kosong",IF(ISERROR(MATCH(TRIM($N860),{"Draft","Menunggu Review","Revisi","Terjadwal","Upload","Publish","Published","Batal"},0)),"Status di luar daftar","")))),""))</f>
        <v/>
      </c>
      <c r="S860" s="17">
        <f>IF(AND($A860&lt;&gt;"",$C860&lt;&gt;""),IF(COUNTIFS($A$2:$A$1000,$A860,$C$2:$C$1000,$C860)&gt;1,"DUPLICAT",""),"")</f>
        <v/>
      </c>
    </row>
    <row r="861">
      <c r="A861" s="12" t="n"/>
      <c r="B861" s="12" t="n"/>
      <c r="C861" s="12" t="n"/>
      <c r="D861" s="13" t="n"/>
      <c r="E861" s="12" t="n"/>
      <c r="F861" s="14" t="n"/>
      <c r="G861" s="12" t="n"/>
      <c r="H861" s="12" t="n"/>
      <c r="I861" s="12" t="n"/>
      <c r="J861" s="14" t="n"/>
      <c r="K861" s="14" t="n"/>
      <c r="L861" s="15" t="n"/>
      <c r="M861" s="15" t="n"/>
      <c r="N861" s="12" t="n"/>
      <c r="O861" s="12" t="n"/>
      <c r="P861" s="16">
        <f>IF(AND(ISNUMBER($L861),ISNUMBER($M861)),MAX(0,$M861-$L861),"")</f>
        <v/>
      </c>
      <c r="Q861" s="16">
        <f>IF(ISNUMBER($D861),MAX(0,TODAY()-$D861),"")</f>
        <v/>
      </c>
      <c r="R861" s="14">
        <f>IF(COUNTA($A861:$O861)=0,"",IFERROR(TRIM(TEXTJOIN(" | ",TRUE,IF($A861="","PC kosong",""),IF($C861="","Worker ID kosong",""),IF($D861="","Update Date kosong",IF(NOT(ISNUMBER($D861)),"Update Date bukan tanggal","")),IF($E861="","Song ID YT kosong",""),IF($F861="","Judul kosong",""),IF(TRIM($G861)="","",IF(ISERROR(MATCH(TRIM($G861),{"TuneCore","DistroKid","TooLost","SoundOn","Ditto","Believe","CD Baby","Amuse","Symphonic Distribution","ONErpm","RouteNote","LANDR","Horus Music","Indie"},0)),"Aggregator di luar daftar","")),IF(TRIM($H861)="","Genre kosong",IF((LEN(SUBSTITUTE(SUBSTITUTE(SUBSTITUTE(TRIM($H861),"/",","),";",",")," ",""))-LEN(SUBSTITUTE(SUBSTITUTE(SUBSTITUTE(SUBSTITUTE(TRIM($H861),"/",","),";",","),"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861),"/",","),";",",")," ","")&amp;",")))&lt;&gt;(LEN(SUBSTITUTE(SUBSTITUTE(SUBSTITUTE(TRIM($H861),"/",","),";",",")," ",""))-LEN(SUBSTITUTE(SUBSTITUTE(SUBSTITUTE(SUBSTITUTE(TRIM($H861),"/",","),";",",")," ",""),",",""))+1),"Genre di luar daftar",""))),IF($I861="","Nama Channel kosong",""),IF($J861="","Link Channel kosong",IF(ISERROR(SEARCH("youtu",$J861)),"Link Channel bukan youtube","")),IF($K861="","Link Video kosong",IF(ISERROR(SEARCH("youtu",$K861)),"Link Video bukan youtube","")),IF($L861="","Tgl Dibuat kosong",IF(NOT(ISNUMBER($L861)),"Tgl Dibuat bukan tanggal","")),IF(AND($M861&lt;&gt;"",NOT(ISNUMBER($M861))),"Tgl Publish bukan tanggal",""),IF(AND(ISNUMBER($L861),ISNUMBER($M861),$M861&lt;$L861),"Tgl Publish &lt; Tgl buat",""),IF(TRIM($N861)="","Status kosong",IF(ISERROR(MATCH(TRIM($N861),{"Draft","Menunggu Review","Revisi","Terjadwal","Upload","Publish","Published","Batal"},0)),"Status di luar daftar","")))),""))</f>
        <v/>
      </c>
      <c r="S861" s="12">
        <f>IF(AND($A861&lt;&gt;"",$C861&lt;&gt;""),IF(COUNTIFS($A$2:$A$1000,$A861,$C$2:$C$1000,$C861)&gt;1,"DUPLICAT",""),"")</f>
        <v/>
      </c>
    </row>
    <row r="862">
      <c r="A862" s="17" t="n"/>
      <c r="B862" s="17" t="n"/>
      <c r="C862" s="17" t="n"/>
      <c r="D862" s="18" t="n"/>
      <c r="E862" s="17" t="n"/>
      <c r="F862" s="19" t="n"/>
      <c r="G862" s="17" t="n"/>
      <c r="H862" s="17" t="n"/>
      <c r="I862" s="17" t="n"/>
      <c r="J862" s="19" t="n"/>
      <c r="K862" s="19" t="n"/>
      <c r="L862" s="20" t="n"/>
      <c r="M862" s="20" t="n"/>
      <c r="N862" s="17" t="n"/>
      <c r="O862" s="17" t="n"/>
      <c r="P862" s="21">
        <f>IF(AND(ISNUMBER($L862),ISNUMBER($M862)),MAX(0,$M862-$L862),"")</f>
        <v/>
      </c>
      <c r="Q862" s="21">
        <f>IF(ISNUMBER($D862),MAX(0,TODAY()-$D862),"")</f>
        <v/>
      </c>
      <c r="R862" s="19">
        <f>IF(COUNTA($A862:$O862)=0,"",IFERROR(TRIM(TEXTJOIN(" | ",TRUE,IF($A862="","PC kosong",""),IF($C862="","Worker ID kosong",""),IF($D862="","Update Date kosong",IF(NOT(ISNUMBER($D862)),"Update Date bukan tanggal","")),IF($E862="","Song ID YT kosong",""),IF($F862="","Judul kosong",""),IF(TRIM($G862)="","",IF(ISERROR(MATCH(TRIM($G862),{"TuneCore","DistroKid","TooLost","SoundOn","Ditto","Believe","CD Baby","Amuse","Symphonic Distribution","ONErpm","RouteNote","LANDR","Horus Music","Indie"},0)),"Aggregator di luar daftar","")),IF(TRIM($H862)="","Genre kosong",IF((LEN(SUBSTITUTE(SUBSTITUTE(SUBSTITUTE(TRIM($H862),"/",","),";",",")," ",""))-LEN(SUBSTITUTE(SUBSTITUTE(SUBSTITUTE(SUBSTITUTE(TRIM($H862),"/",","),";",","),"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862),"/",","),";",",")," ","")&amp;",")))&lt;&gt;(LEN(SUBSTITUTE(SUBSTITUTE(SUBSTITUTE(TRIM($H862),"/",","),";",",")," ",""))-LEN(SUBSTITUTE(SUBSTITUTE(SUBSTITUTE(SUBSTITUTE(TRIM($H862),"/",","),";",",")," ",""),",",""))+1),"Genre di luar daftar",""))),IF($I862="","Nama Channel kosong",""),IF($J862="","Link Channel kosong",IF(ISERROR(SEARCH("youtu",$J862)),"Link Channel bukan youtube","")),IF($K862="","Link Video kosong",IF(ISERROR(SEARCH("youtu",$K862)),"Link Video bukan youtube","")),IF($L862="","Tgl Dibuat kosong",IF(NOT(ISNUMBER($L862)),"Tgl Dibuat bukan tanggal","")),IF(AND($M862&lt;&gt;"",NOT(ISNUMBER($M862))),"Tgl Publish bukan tanggal",""),IF(AND(ISNUMBER($L862),ISNUMBER($M862),$M862&lt;$L862),"Tgl Publish &lt; Tgl buat",""),IF(TRIM($N862)="","Status kosong",IF(ISERROR(MATCH(TRIM($N862),{"Draft","Menunggu Review","Revisi","Terjadwal","Upload","Publish","Published","Batal"},0)),"Status di luar daftar","")))),""))</f>
        <v/>
      </c>
      <c r="S862" s="17">
        <f>IF(AND($A862&lt;&gt;"",$C862&lt;&gt;""),IF(COUNTIFS($A$2:$A$1000,$A862,$C$2:$C$1000,$C862)&gt;1,"DUPLICAT",""),"")</f>
        <v/>
      </c>
    </row>
    <row r="863">
      <c r="A863" s="12" t="n"/>
      <c r="B863" s="12" t="n"/>
      <c r="C863" s="12" t="n"/>
      <c r="D863" s="13" t="n"/>
      <c r="E863" s="12" t="n"/>
      <c r="F863" s="14" t="n"/>
      <c r="G863" s="12" t="n"/>
      <c r="H863" s="12" t="n"/>
      <c r="I863" s="12" t="n"/>
      <c r="J863" s="14" t="n"/>
      <c r="K863" s="14" t="n"/>
      <c r="L863" s="15" t="n"/>
      <c r="M863" s="15" t="n"/>
      <c r="N863" s="12" t="n"/>
      <c r="O863" s="12" t="n"/>
      <c r="P863" s="16">
        <f>IF(AND(ISNUMBER($L863),ISNUMBER($M863)),MAX(0,$M863-$L863),"")</f>
        <v/>
      </c>
      <c r="Q863" s="16">
        <f>IF(ISNUMBER($D863),MAX(0,TODAY()-$D863),"")</f>
        <v/>
      </c>
      <c r="R863" s="14">
        <f>IF(COUNTA($A863:$O863)=0,"",IFERROR(TRIM(TEXTJOIN(" | ",TRUE,IF($A863="","PC kosong",""),IF($C863="","Worker ID kosong",""),IF($D863="","Update Date kosong",IF(NOT(ISNUMBER($D863)),"Update Date bukan tanggal","")),IF($E863="","Song ID YT kosong",""),IF($F863="","Judul kosong",""),IF(TRIM($G863)="","",IF(ISERROR(MATCH(TRIM($G863),{"TuneCore","DistroKid","TooLost","SoundOn","Ditto","Believe","CD Baby","Amuse","Symphonic Distribution","ONErpm","RouteNote","LANDR","Horus Music","Indie"},0)),"Aggregator di luar daftar","")),IF(TRIM($H863)="","Genre kosong",IF((LEN(SUBSTITUTE(SUBSTITUTE(SUBSTITUTE(TRIM($H863),"/",","),";",",")," ",""))-LEN(SUBSTITUTE(SUBSTITUTE(SUBSTITUTE(SUBSTITUTE(TRIM($H863),"/",","),";",","),"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863),"/",","),";",",")," ","")&amp;",")))&lt;&gt;(LEN(SUBSTITUTE(SUBSTITUTE(SUBSTITUTE(TRIM($H863),"/",","),";",",")," ",""))-LEN(SUBSTITUTE(SUBSTITUTE(SUBSTITUTE(SUBSTITUTE(TRIM($H863),"/",","),";",",")," ",""),",",""))+1),"Genre di luar daftar",""))),IF($I863="","Nama Channel kosong",""),IF($J863="","Link Channel kosong",IF(ISERROR(SEARCH("youtu",$J863)),"Link Channel bukan youtube","")),IF($K863="","Link Video kosong",IF(ISERROR(SEARCH("youtu",$K863)),"Link Video bukan youtube","")),IF($L863="","Tgl Dibuat kosong",IF(NOT(ISNUMBER($L863)),"Tgl Dibuat bukan tanggal","")),IF(AND($M863&lt;&gt;"",NOT(ISNUMBER($M863))),"Tgl Publish bukan tanggal",""),IF(AND(ISNUMBER($L863),ISNUMBER($M863),$M863&lt;$L863),"Tgl Publish &lt; Tgl buat",""),IF(TRIM($N863)="","Status kosong",IF(ISERROR(MATCH(TRIM($N863),{"Draft","Menunggu Review","Revisi","Terjadwal","Upload","Publish","Published","Batal"},0)),"Status di luar daftar","")))),""))</f>
        <v/>
      </c>
      <c r="S863" s="12">
        <f>IF(AND($A863&lt;&gt;"",$C863&lt;&gt;""),IF(COUNTIFS($A$2:$A$1000,$A863,$C$2:$C$1000,$C863)&gt;1,"DUPLICAT",""),"")</f>
        <v/>
      </c>
    </row>
    <row r="864">
      <c r="A864" s="17" t="n"/>
      <c r="B864" s="17" t="n"/>
      <c r="C864" s="17" t="n"/>
      <c r="D864" s="18" t="n"/>
      <c r="E864" s="17" t="n"/>
      <c r="F864" s="19" t="n"/>
      <c r="G864" s="17" t="n"/>
      <c r="H864" s="17" t="n"/>
      <c r="I864" s="17" t="n"/>
      <c r="J864" s="19" t="n"/>
      <c r="K864" s="19" t="n"/>
      <c r="L864" s="20" t="n"/>
      <c r="M864" s="20" t="n"/>
      <c r="N864" s="17" t="n"/>
      <c r="O864" s="17" t="n"/>
      <c r="P864" s="21">
        <f>IF(AND(ISNUMBER($L864),ISNUMBER($M864)),MAX(0,$M864-$L864),"")</f>
        <v/>
      </c>
      <c r="Q864" s="21">
        <f>IF(ISNUMBER($D864),MAX(0,TODAY()-$D864),"")</f>
        <v/>
      </c>
      <c r="R864" s="19">
        <f>IF(COUNTA($A864:$O864)=0,"",IFERROR(TRIM(TEXTJOIN(" | ",TRUE,IF($A864="","PC kosong",""),IF($C864="","Worker ID kosong",""),IF($D864="","Update Date kosong",IF(NOT(ISNUMBER($D864)),"Update Date bukan tanggal","")),IF($E864="","Song ID YT kosong",""),IF($F864="","Judul kosong",""),IF(TRIM($G864)="","",IF(ISERROR(MATCH(TRIM($G864),{"TuneCore","DistroKid","TooLost","SoundOn","Ditto","Believe","CD Baby","Amuse","Symphonic Distribution","ONErpm","RouteNote","LANDR","Horus Music","Indie"},0)),"Aggregator di luar daftar","")),IF(TRIM($H864)="","Genre kosong",IF((LEN(SUBSTITUTE(SUBSTITUTE(SUBSTITUTE(TRIM($H864),"/",","),";",",")," ",""))-LEN(SUBSTITUTE(SUBSTITUTE(SUBSTITUTE(SUBSTITUTE(TRIM($H864),"/",","),";",","),"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864),"/",","),";",",")," ","")&amp;",")))&lt;&gt;(LEN(SUBSTITUTE(SUBSTITUTE(SUBSTITUTE(TRIM($H864),"/",","),";",",")," ",""))-LEN(SUBSTITUTE(SUBSTITUTE(SUBSTITUTE(SUBSTITUTE(TRIM($H864),"/",","),";",",")," ",""),",",""))+1),"Genre di luar daftar",""))),IF($I864="","Nama Channel kosong",""),IF($J864="","Link Channel kosong",IF(ISERROR(SEARCH("youtu",$J864)),"Link Channel bukan youtube","")),IF($K864="","Link Video kosong",IF(ISERROR(SEARCH("youtu",$K864)),"Link Video bukan youtube","")),IF($L864="","Tgl Dibuat kosong",IF(NOT(ISNUMBER($L864)),"Tgl Dibuat bukan tanggal","")),IF(AND($M864&lt;&gt;"",NOT(ISNUMBER($M864))),"Tgl Publish bukan tanggal",""),IF(AND(ISNUMBER($L864),ISNUMBER($M864),$M864&lt;$L864),"Tgl Publish &lt; Tgl buat",""),IF(TRIM($N864)="","Status kosong",IF(ISERROR(MATCH(TRIM($N864),{"Draft","Menunggu Review","Revisi","Terjadwal","Upload","Publish","Published","Batal"},0)),"Status di luar daftar","")))),""))</f>
        <v/>
      </c>
      <c r="S864" s="17">
        <f>IF(AND($A864&lt;&gt;"",$C864&lt;&gt;""),IF(COUNTIFS($A$2:$A$1000,$A864,$C$2:$C$1000,$C864)&gt;1,"DUPLICAT",""),"")</f>
        <v/>
      </c>
    </row>
    <row r="865">
      <c r="A865" s="12" t="n"/>
      <c r="B865" s="12" t="n"/>
      <c r="C865" s="12" t="n"/>
      <c r="D865" s="13" t="n"/>
      <c r="E865" s="12" t="n"/>
      <c r="F865" s="14" t="n"/>
      <c r="G865" s="12" t="n"/>
      <c r="H865" s="12" t="n"/>
      <c r="I865" s="12" t="n"/>
      <c r="J865" s="14" t="n"/>
      <c r="K865" s="14" t="n"/>
      <c r="L865" s="15" t="n"/>
      <c r="M865" s="15" t="n"/>
      <c r="N865" s="12" t="n"/>
      <c r="O865" s="12" t="n"/>
      <c r="P865" s="16">
        <f>IF(AND(ISNUMBER($L865),ISNUMBER($M865)),MAX(0,$M865-$L865),"")</f>
        <v/>
      </c>
      <c r="Q865" s="16">
        <f>IF(ISNUMBER($D865),MAX(0,TODAY()-$D865),"")</f>
        <v/>
      </c>
      <c r="R865" s="14">
        <f>IF(COUNTA($A865:$O865)=0,"",IFERROR(TRIM(TEXTJOIN(" | ",TRUE,IF($A865="","PC kosong",""),IF($C865="","Worker ID kosong",""),IF($D865="","Update Date kosong",IF(NOT(ISNUMBER($D865)),"Update Date bukan tanggal","")),IF($E865="","Song ID YT kosong",""),IF($F865="","Judul kosong",""),IF(TRIM($G865)="","",IF(ISERROR(MATCH(TRIM($G865),{"TuneCore","DistroKid","TooLost","SoundOn","Ditto","Believe","CD Baby","Amuse","Symphonic Distribution","ONErpm","RouteNote","LANDR","Horus Music","Indie"},0)),"Aggregator di luar daftar","")),IF(TRIM($H865)="","Genre kosong",IF((LEN(SUBSTITUTE(SUBSTITUTE(SUBSTITUTE(TRIM($H865),"/",","),";",",")," ",""))-LEN(SUBSTITUTE(SUBSTITUTE(SUBSTITUTE(SUBSTITUTE(TRIM($H865),"/",","),";",","),"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865),"/",","),";",",")," ","")&amp;",")))&lt;&gt;(LEN(SUBSTITUTE(SUBSTITUTE(SUBSTITUTE(TRIM($H865),"/",","),";",",")," ",""))-LEN(SUBSTITUTE(SUBSTITUTE(SUBSTITUTE(SUBSTITUTE(TRIM($H865),"/",","),";",",")," ",""),",",""))+1),"Genre di luar daftar",""))),IF($I865="","Nama Channel kosong",""),IF($J865="","Link Channel kosong",IF(ISERROR(SEARCH("youtu",$J865)),"Link Channel bukan youtube","")),IF($K865="","Link Video kosong",IF(ISERROR(SEARCH("youtu",$K865)),"Link Video bukan youtube","")),IF($L865="","Tgl Dibuat kosong",IF(NOT(ISNUMBER($L865)),"Tgl Dibuat bukan tanggal","")),IF(AND($M865&lt;&gt;"",NOT(ISNUMBER($M865))),"Tgl Publish bukan tanggal",""),IF(AND(ISNUMBER($L865),ISNUMBER($M865),$M865&lt;$L865),"Tgl Publish &lt; Tgl buat",""),IF(TRIM($N865)="","Status kosong",IF(ISERROR(MATCH(TRIM($N865),{"Draft","Menunggu Review","Revisi","Terjadwal","Upload","Publish","Published","Batal"},0)),"Status di luar daftar","")))),""))</f>
        <v/>
      </c>
      <c r="S865" s="12">
        <f>IF(AND($A865&lt;&gt;"",$C865&lt;&gt;""),IF(COUNTIFS($A$2:$A$1000,$A865,$C$2:$C$1000,$C865)&gt;1,"DUPLICAT",""),"")</f>
        <v/>
      </c>
    </row>
    <row r="866">
      <c r="A866" s="17" t="n"/>
      <c r="B866" s="17" t="n"/>
      <c r="C866" s="17" t="n"/>
      <c r="D866" s="18" t="n"/>
      <c r="E866" s="17" t="n"/>
      <c r="F866" s="19" t="n"/>
      <c r="G866" s="17" t="n"/>
      <c r="H866" s="17" t="n"/>
      <c r="I866" s="17" t="n"/>
      <c r="J866" s="19" t="n"/>
      <c r="K866" s="19" t="n"/>
      <c r="L866" s="20" t="n"/>
      <c r="M866" s="20" t="n"/>
      <c r="N866" s="17" t="n"/>
      <c r="O866" s="17" t="n"/>
      <c r="P866" s="21">
        <f>IF(AND(ISNUMBER($L866),ISNUMBER($M866)),MAX(0,$M866-$L866),"")</f>
        <v/>
      </c>
      <c r="Q866" s="21">
        <f>IF(ISNUMBER($D866),MAX(0,TODAY()-$D866),"")</f>
        <v/>
      </c>
      <c r="R866" s="19">
        <f>IF(COUNTA($A866:$O866)=0,"",IFERROR(TRIM(TEXTJOIN(" | ",TRUE,IF($A866="","PC kosong",""),IF($C866="","Worker ID kosong",""),IF($D866="","Update Date kosong",IF(NOT(ISNUMBER($D866)),"Update Date bukan tanggal","")),IF($E866="","Song ID YT kosong",""),IF($F866="","Judul kosong",""),IF(TRIM($G866)="","",IF(ISERROR(MATCH(TRIM($G866),{"TuneCore","DistroKid","TooLost","SoundOn","Ditto","Believe","CD Baby","Amuse","Symphonic Distribution","ONErpm","RouteNote","LANDR","Horus Music","Indie"},0)),"Aggregator di luar daftar","")),IF(TRIM($H866)="","Genre kosong",IF((LEN(SUBSTITUTE(SUBSTITUTE(SUBSTITUTE(TRIM($H866),"/",","),";",",")," ",""))-LEN(SUBSTITUTE(SUBSTITUTE(SUBSTITUTE(SUBSTITUTE(TRIM($H866),"/",","),";",","),"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866),"/",","),";",",")," ","")&amp;",")))&lt;&gt;(LEN(SUBSTITUTE(SUBSTITUTE(SUBSTITUTE(TRIM($H866),"/",","),";",",")," ",""))-LEN(SUBSTITUTE(SUBSTITUTE(SUBSTITUTE(SUBSTITUTE(TRIM($H866),"/",","),";",",")," ",""),",",""))+1),"Genre di luar daftar",""))),IF($I866="","Nama Channel kosong",""),IF($J866="","Link Channel kosong",IF(ISERROR(SEARCH("youtu",$J866)),"Link Channel bukan youtube","")),IF($K866="","Link Video kosong",IF(ISERROR(SEARCH("youtu",$K866)),"Link Video bukan youtube","")),IF($L866="","Tgl Dibuat kosong",IF(NOT(ISNUMBER($L866)),"Tgl Dibuat bukan tanggal","")),IF(AND($M866&lt;&gt;"",NOT(ISNUMBER($M866))),"Tgl Publish bukan tanggal",""),IF(AND(ISNUMBER($L866),ISNUMBER($M866),$M866&lt;$L866),"Tgl Publish &lt; Tgl buat",""),IF(TRIM($N866)="","Status kosong",IF(ISERROR(MATCH(TRIM($N866),{"Draft","Menunggu Review","Revisi","Terjadwal","Upload","Publish","Published","Batal"},0)),"Status di luar daftar","")))),""))</f>
        <v/>
      </c>
      <c r="S866" s="17">
        <f>IF(AND($A866&lt;&gt;"",$C866&lt;&gt;""),IF(COUNTIFS($A$2:$A$1000,$A866,$C$2:$C$1000,$C866)&gt;1,"DUPLICAT",""),"")</f>
        <v/>
      </c>
    </row>
    <row r="867">
      <c r="A867" s="12" t="n"/>
      <c r="B867" s="12" t="n"/>
      <c r="C867" s="12" t="n"/>
      <c r="D867" s="13" t="n"/>
      <c r="E867" s="12" t="n"/>
      <c r="F867" s="14" t="n"/>
      <c r="G867" s="12" t="n"/>
      <c r="H867" s="12" t="n"/>
      <c r="I867" s="12" t="n"/>
      <c r="J867" s="14" t="n"/>
      <c r="K867" s="14" t="n"/>
      <c r="L867" s="15" t="n"/>
      <c r="M867" s="15" t="n"/>
      <c r="N867" s="12" t="n"/>
      <c r="O867" s="12" t="n"/>
      <c r="P867" s="16">
        <f>IF(AND(ISNUMBER($L867),ISNUMBER($M867)),MAX(0,$M867-$L867),"")</f>
        <v/>
      </c>
      <c r="Q867" s="16">
        <f>IF(ISNUMBER($D867),MAX(0,TODAY()-$D867),"")</f>
        <v/>
      </c>
      <c r="R867" s="14">
        <f>IF(COUNTA($A867:$O867)=0,"",IFERROR(TRIM(TEXTJOIN(" | ",TRUE,IF($A867="","PC kosong",""),IF($C867="","Worker ID kosong",""),IF($D867="","Update Date kosong",IF(NOT(ISNUMBER($D867)),"Update Date bukan tanggal","")),IF($E867="","Song ID YT kosong",""),IF($F867="","Judul kosong",""),IF(TRIM($G867)="","",IF(ISERROR(MATCH(TRIM($G867),{"TuneCore","DistroKid","TooLost","SoundOn","Ditto","Believe","CD Baby","Amuse","Symphonic Distribution","ONErpm","RouteNote","LANDR","Horus Music","Indie"},0)),"Aggregator di luar daftar","")),IF(TRIM($H867)="","Genre kosong",IF((LEN(SUBSTITUTE(SUBSTITUTE(SUBSTITUTE(TRIM($H867),"/",","),";",",")," ",""))-LEN(SUBSTITUTE(SUBSTITUTE(SUBSTITUTE(SUBSTITUTE(TRIM($H867),"/",","),";",","),"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867),"/",","),";",",")," ","")&amp;",")))&lt;&gt;(LEN(SUBSTITUTE(SUBSTITUTE(SUBSTITUTE(TRIM($H867),"/",","),";",",")," ",""))-LEN(SUBSTITUTE(SUBSTITUTE(SUBSTITUTE(SUBSTITUTE(TRIM($H867),"/",","),";",",")," ",""),",",""))+1),"Genre di luar daftar",""))),IF($I867="","Nama Channel kosong",""),IF($J867="","Link Channel kosong",IF(ISERROR(SEARCH("youtu",$J867)),"Link Channel bukan youtube","")),IF($K867="","Link Video kosong",IF(ISERROR(SEARCH("youtu",$K867)),"Link Video bukan youtube","")),IF($L867="","Tgl Dibuat kosong",IF(NOT(ISNUMBER($L867)),"Tgl Dibuat bukan tanggal","")),IF(AND($M867&lt;&gt;"",NOT(ISNUMBER($M867))),"Tgl Publish bukan tanggal",""),IF(AND(ISNUMBER($L867),ISNUMBER($M867),$M867&lt;$L867),"Tgl Publish &lt; Tgl buat",""),IF(TRIM($N867)="","Status kosong",IF(ISERROR(MATCH(TRIM($N867),{"Draft","Menunggu Review","Revisi","Terjadwal","Upload","Publish","Published","Batal"},0)),"Status di luar daftar","")))),""))</f>
        <v/>
      </c>
      <c r="S867" s="12">
        <f>IF(AND($A867&lt;&gt;"",$C867&lt;&gt;""),IF(COUNTIFS($A$2:$A$1000,$A867,$C$2:$C$1000,$C867)&gt;1,"DUPLICAT",""),"")</f>
        <v/>
      </c>
    </row>
    <row r="868">
      <c r="A868" s="17" t="n"/>
      <c r="B868" s="17" t="n"/>
      <c r="C868" s="17" t="n"/>
      <c r="D868" s="18" t="n"/>
      <c r="E868" s="17" t="n"/>
      <c r="F868" s="19" t="n"/>
      <c r="G868" s="17" t="n"/>
      <c r="H868" s="17" t="n"/>
      <c r="I868" s="17" t="n"/>
      <c r="J868" s="19" t="n"/>
      <c r="K868" s="19" t="n"/>
      <c r="L868" s="20" t="n"/>
      <c r="M868" s="20" t="n"/>
      <c r="N868" s="17" t="n"/>
      <c r="O868" s="17" t="n"/>
      <c r="P868" s="21">
        <f>IF(AND(ISNUMBER($L868),ISNUMBER($M868)),MAX(0,$M868-$L868),"")</f>
        <v/>
      </c>
      <c r="Q868" s="21">
        <f>IF(ISNUMBER($D868),MAX(0,TODAY()-$D868),"")</f>
        <v/>
      </c>
      <c r="R868" s="19">
        <f>IF(COUNTA($A868:$O868)=0,"",IFERROR(TRIM(TEXTJOIN(" | ",TRUE,IF($A868="","PC kosong",""),IF($C868="","Worker ID kosong",""),IF($D868="","Update Date kosong",IF(NOT(ISNUMBER($D868)),"Update Date bukan tanggal","")),IF($E868="","Song ID YT kosong",""),IF($F868="","Judul kosong",""),IF(TRIM($G868)="","",IF(ISERROR(MATCH(TRIM($G868),{"TuneCore","DistroKid","TooLost","SoundOn","Ditto","Believe","CD Baby","Amuse","Symphonic Distribution","ONErpm","RouteNote","LANDR","Horus Music","Indie"},0)),"Aggregator di luar daftar","")),IF(TRIM($H868)="","Genre kosong",IF((LEN(SUBSTITUTE(SUBSTITUTE(SUBSTITUTE(TRIM($H868),"/",","),";",",")," ",""))-LEN(SUBSTITUTE(SUBSTITUTE(SUBSTITUTE(SUBSTITUTE(TRIM($H868),"/",","),";",","),"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868),"/",","),";",",")," ","")&amp;",")))&lt;&gt;(LEN(SUBSTITUTE(SUBSTITUTE(SUBSTITUTE(TRIM($H868),"/",","),";",",")," ",""))-LEN(SUBSTITUTE(SUBSTITUTE(SUBSTITUTE(SUBSTITUTE(TRIM($H868),"/",","),";",",")," ",""),",",""))+1),"Genre di luar daftar",""))),IF($I868="","Nama Channel kosong",""),IF($J868="","Link Channel kosong",IF(ISERROR(SEARCH("youtu",$J868)),"Link Channel bukan youtube","")),IF($K868="","Link Video kosong",IF(ISERROR(SEARCH("youtu",$K868)),"Link Video bukan youtube","")),IF($L868="","Tgl Dibuat kosong",IF(NOT(ISNUMBER($L868)),"Tgl Dibuat bukan tanggal","")),IF(AND($M868&lt;&gt;"",NOT(ISNUMBER($M868))),"Tgl Publish bukan tanggal",""),IF(AND(ISNUMBER($L868),ISNUMBER($M868),$M868&lt;$L868),"Tgl Publish &lt; Tgl buat",""),IF(TRIM($N868)="","Status kosong",IF(ISERROR(MATCH(TRIM($N868),{"Draft","Menunggu Review","Revisi","Terjadwal","Upload","Publish","Published","Batal"},0)),"Status di luar daftar","")))),""))</f>
        <v/>
      </c>
      <c r="S868" s="17">
        <f>IF(AND($A868&lt;&gt;"",$C868&lt;&gt;""),IF(COUNTIFS($A$2:$A$1000,$A868,$C$2:$C$1000,$C868)&gt;1,"DUPLICAT",""),"")</f>
        <v/>
      </c>
    </row>
    <row r="869">
      <c r="A869" s="12" t="n"/>
      <c r="B869" s="12" t="n"/>
      <c r="C869" s="12" t="n"/>
      <c r="D869" s="13" t="n"/>
      <c r="E869" s="12" t="n"/>
      <c r="F869" s="14" t="n"/>
      <c r="G869" s="12" t="n"/>
      <c r="H869" s="12" t="n"/>
      <c r="I869" s="12" t="n"/>
      <c r="J869" s="14" t="n"/>
      <c r="K869" s="14" t="n"/>
      <c r="L869" s="15" t="n"/>
      <c r="M869" s="15" t="n"/>
      <c r="N869" s="12" t="n"/>
      <c r="O869" s="12" t="n"/>
      <c r="P869" s="16">
        <f>IF(AND(ISNUMBER($L869),ISNUMBER($M869)),MAX(0,$M869-$L869),"")</f>
        <v/>
      </c>
      <c r="Q869" s="16">
        <f>IF(ISNUMBER($D869),MAX(0,TODAY()-$D869),"")</f>
        <v/>
      </c>
      <c r="R869" s="14">
        <f>IF(COUNTA($A869:$O869)=0,"",IFERROR(TRIM(TEXTJOIN(" | ",TRUE,IF($A869="","PC kosong",""),IF($C869="","Worker ID kosong",""),IF($D869="","Update Date kosong",IF(NOT(ISNUMBER($D869)),"Update Date bukan tanggal","")),IF($E869="","Song ID YT kosong",""),IF($F869="","Judul kosong",""),IF(TRIM($G869)="","",IF(ISERROR(MATCH(TRIM($G869),{"TuneCore","DistroKid","TooLost","SoundOn","Ditto","Believe","CD Baby","Amuse","Symphonic Distribution","ONErpm","RouteNote","LANDR","Horus Music","Indie"},0)),"Aggregator di luar daftar","")),IF(TRIM($H869)="","Genre kosong",IF((LEN(SUBSTITUTE(SUBSTITUTE(SUBSTITUTE(TRIM($H869),"/",","),";",",")," ",""))-LEN(SUBSTITUTE(SUBSTITUTE(SUBSTITUTE(SUBSTITUTE(TRIM($H869),"/",","),";",","),"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869),"/",","),";",",")," ","")&amp;",")))&lt;&gt;(LEN(SUBSTITUTE(SUBSTITUTE(SUBSTITUTE(TRIM($H869),"/",","),";",",")," ",""))-LEN(SUBSTITUTE(SUBSTITUTE(SUBSTITUTE(SUBSTITUTE(TRIM($H869),"/",","),";",",")," ",""),",",""))+1),"Genre di luar daftar",""))),IF($I869="","Nama Channel kosong",""),IF($J869="","Link Channel kosong",IF(ISERROR(SEARCH("youtu",$J869)),"Link Channel bukan youtube","")),IF($K869="","Link Video kosong",IF(ISERROR(SEARCH("youtu",$K869)),"Link Video bukan youtube","")),IF($L869="","Tgl Dibuat kosong",IF(NOT(ISNUMBER($L869)),"Tgl Dibuat bukan tanggal","")),IF(AND($M869&lt;&gt;"",NOT(ISNUMBER($M869))),"Tgl Publish bukan tanggal",""),IF(AND(ISNUMBER($L869),ISNUMBER($M869),$M869&lt;$L869),"Tgl Publish &lt; Tgl buat",""),IF(TRIM($N869)="","Status kosong",IF(ISERROR(MATCH(TRIM($N869),{"Draft","Menunggu Review","Revisi","Terjadwal","Upload","Publish","Published","Batal"},0)),"Status di luar daftar","")))),""))</f>
        <v/>
      </c>
      <c r="S869" s="12">
        <f>IF(AND($A869&lt;&gt;"",$C869&lt;&gt;""),IF(COUNTIFS($A$2:$A$1000,$A869,$C$2:$C$1000,$C869)&gt;1,"DUPLICAT",""),"")</f>
        <v/>
      </c>
    </row>
    <row r="870">
      <c r="A870" s="17" t="n"/>
      <c r="B870" s="17" t="n"/>
      <c r="C870" s="17" t="n"/>
      <c r="D870" s="18" t="n"/>
      <c r="E870" s="17" t="n"/>
      <c r="F870" s="19" t="n"/>
      <c r="G870" s="17" t="n"/>
      <c r="H870" s="17" t="n"/>
      <c r="I870" s="17" t="n"/>
      <c r="J870" s="19" t="n"/>
      <c r="K870" s="19" t="n"/>
      <c r="L870" s="20" t="n"/>
      <c r="M870" s="20" t="n"/>
      <c r="N870" s="17" t="n"/>
      <c r="O870" s="17" t="n"/>
      <c r="P870" s="21">
        <f>IF(AND(ISNUMBER($L870),ISNUMBER($M870)),MAX(0,$M870-$L870),"")</f>
        <v/>
      </c>
      <c r="Q870" s="21">
        <f>IF(ISNUMBER($D870),MAX(0,TODAY()-$D870),"")</f>
        <v/>
      </c>
      <c r="R870" s="19">
        <f>IF(COUNTA($A870:$O870)=0,"",IFERROR(TRIM(TEXTJOIN(" | ",TRUE,IF($A870="","PC kosong",""),IF($C870="","Worker ID kosong",""),IF($D870="","Update Date kosong",IF(NOT(ISNUMBER($D870)),"Update Date bukan tanggal","")),IF($E870="","Song ID YT kosong",""),IF($F870="","Judul kosong",""),IF(TRIM($G870)="","",IF(ISERROR(MATCH(TRIM($G870),{"TuneCore","DistroKid","TooLost","SoundOn","Ditto","Believe","CD Baby","Amuse","Symphonic Distribution","ONErpm","RouteNote","LANDR","Horus Music","Indie"},0)),"Aggregator di luar daftar","")),IF(TRIM($H870)="","Genre kosong",IF((LEN(SUBSTITUTE(SUBSTITUTE(SUBSTITUTE(TRIM($H870),"/",","),";",",")," ",""))-LEN(SUBSTITUTE(SUBSTITUTE(SUBSTITUTE(SUBSTITUTE(TRIM($H870),"/",","),";",","),"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870),"/",","),";",",")," ","")&amp;",")))&lt;&gt;(LEN(SUBSTITUTE(SUBSTITUTE(SUBSTITUTE(TRIM($H870),"/",","),";",",")," ",""))-LEN(SUBSTITUTE(SUBSTITUTE(SUBSTITUTE(SUBSTITUTE(TRIM($H870),"/",","),";",",")," ",""),",",""))+1),"Genre di luar daftar",""))),IF($I870="","Nama Channel kosong",""),IF($J870="","Link Channel kosong",IF(ISERROR(SEARCH("youtu",$J870)),"Link Channel bukan youtube","")),IF($K870="","Link Video kosong",IF(ISERROR(SEARCH("youtu",$K870)),"Link Video bukan youtube","")),IF($L870="","Tgl Dibuat kosong",IF(NOT(ISNUMBER($L870)),"Tgl Dibuat bukan tanggal","")),IF(AND($M870&lt;&gt;"",NOT(ISNUMBER($M870))),"Tgl Publish bukan tanggal",""),IF(AND(ISNUMBER($L870),ISNUMBER($M870),$M870&lt;$L870),"Tgl Publish &lt; Tgl buat",""),IF(TRIM($N870)="","Status kosong",IF(ISERROR(MATCH(TRIM($N870),{"Draft","Menunggu Review","Revisi","Terjadwal","Upload","Publish","Published","Batal"},0)),"Status di luar daftar","")))),""))</f>
        <v/>
      </c>
      <c r="S870" s="17">
        <f>IF(AND($A870&lt;&gt;"",$C870&lt;&gt;""),IF(COUNTIFS($A$2:$A$1000,$A870,$C$2:$C$1000,$C870)&gt;1,"DUPLICAT",""),"")</f>
        <v/>
      </c>
    </row>
    <row r="871">
      <c r="A871" s="12" t="n"/>
      <c r="B871" s="12" t="n"/>
      <c r="C871" s="12" t="n"/>
      <c r="D871" s="13" t="n"/>
      <c r="E871" s="12" t="n"/>
      <c r="F871" s="14" t="n"/>
      <c r="G871" s="12" t="n"/>
      <c r="H871" s="12" t="n"/>
      <c r="I871" s="12" t="n"/>
      <c r="J871" s="14" t="n"/>
      <c r="K871" s="14" t="n"/>
      <c r="L871" s="15" t="n"/>
      <c r="M871" s="15" t="n"/>
      <c r="N871" s="12" t="n"/>
      <c r="O871" s="12" t="n"/>
      <c r="P871" s="16">
        <f>IF(AND(ISNUMBER($L871),ISNUMBER($M871)),MAX(0,$M871-$L871),"")</f>
        <v/>
      </c>
      <c r="Q871" s="16">
        <f>IF(ISNUMBER($D871),MAX(0,TODAY()-$D871),"")</f>
        <v/>
      </c>
      <c r="R871" s="14">
        <f>IF(COUNTA($A871:$O871)=0,"",IFERROR(TRIM(TEXTJOIN(" | ",TRUE,IF($A871="","PC kosong",""),IF($C871="","Worker ID kosong",""),IF($D871="","Update Date kosong",IF(NOT(ISNUMBER($D871)),"Update Date bukan tanggal","")),IF($E871="","Song ID YT kosong",""),IF($F871="","Judul kosong",""),IF(TRIM($G871)="","",IF(ISERROR(MATCH(TRIM($G871),{"TuneCore","DistroKid","TooLost","SoundOn","Ditto","Believe","CD Baby","Amuse","Symphonic Distribution","ONErpm","RouteNote","LANDR","Horus Music","Indie"},0)),"Aggregator di luar daftar","")),IF(TRIM($H871)="","Genre kosong",IF((LEN(SUBSTITUTE(SUBSTITUTE(SUBSTITUTE(TRIM($H871),"/",","),";",",")," ",""))-LEN(SUBSTITUTE(SUBSTITUTE(SUBSTITUTE(SUBSTITUTE(TRIM($H871),"/",","),";",","),"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871),"/",","),";",",")," ","")&amp;",")))&lt;&gt;(LEN(SUBSTITUTE(SUBSTITUTE(SUBSTITUTE(TRIM($H871),"/",","),";",",")," ",""))-LEN(SUBSTITUTE(SUBSTITUTE(SUBSTITUTE(SUBSTITUTE(TRIM($H871),"/",","),";",",")," ",""),",",""))+1),"Genre di luar daftar",""))),IF($I871="","Nama Channel kosong",""),IF($J871="","Link Channel kosong",IF(ISERROR(SEARCH("youtu",$J871)),"Link Channel bukan youtube","")),IF($K871="","Link Video kosong",IF(ISERROR(SEARCH("youtu",$K871)),"Link Video bukan youtube","")),IF($L871="","Tgl Dibuat kosong",IF(NOT(ISNUMBER($L871)),"Tgl Dibuat bukan tanggal","")),IF(AND($M871&lt;&gt;"",NOT(ISNUMBER($M871))),"Tgl Publish bukan tanggal",""),IF(AND(ISNUMBER($L871),ISNUMBER($M871),$M871&lt;$L871),"Tgl Publish &lt; Tgl buat",""),IF(TRIM($N871)="","Status kosong",IF(ISERROR(MATCH(TRIM($N871),{"Draft","Menunggu Review","Revisi","Terjadwal","Upload","Publish","Published","Batal"},0)),"Status di luar daftar","")))),""))</f>
        <v/>
      </c>
      <c r="S871" s="12">
        <f>IF(AND($A871&lt;&gt;"",$C871&lt;&gt;""),IF(COUNTIFS($A$2:$A$1000,$A871,$C$2:$C$1000,$C871)&gt;1,"DUPLICAT",""),"")</f>
        <v/>
      </c>
    </row>
    <row r="872">
      <c r="A872" s="17" t="n"/>
      <c r="B872" s="17" t="n"/>
      <c r="C872" s="17" t="n"/>
      <c r="D872" s="18" t="n"/>
      <c r="E872" s="17" t="n"/>
      <c r="F872" s="19" t="n"/>
      <c r="G872" s="17" t="n"/>
      <c r="H872" s="17" t="n"/>
      <c r="I872" s="17" t="n"/>
      <c r="J872" s="19" t="n"/>
      <c r="K872" s="19" t="n"/>
      <c r="L872" s="20" t="n"/>
      <c r="M872" s="20" t="n"/>
      <c r="N872" s="17" t="n"/>
      <c r="O872" s="17" t="n"/>
      <c r="P872" s="21">
        <f>IF(AND(ISNUMBER($L872),ISNUMBER($M872)),MAX(0,$M872-$L872),"")</f>
        <v/>
      </c>
      <c r="Q872" s="21">
        <f>IF(ISNUMBER($D872),MAX(0,TODAY()-$D872),"")</f>
        <v/>
      </c>
      <c r="R872" s="19">
        <f>IF(COUNTA($A872:$O872)=0,"",IFERROR(TRIM(TEXTJOIN(" | ",TRUE,IF($A872="","PC kosong",""),IF($C872="","Worker ID kosong",""),IF($D872="","Update Date kosong",IF(NOT(ISNUMBER($D872)),"Update Date bukan tanggal","")),IF($E872="","Song ID YT kosong",""),IF($F872="","Judul kosong",""),IF(TRIM($G872)="","",IF(ISERROR(MATCH(TRIM($G872),{"TuneCore","DistroKid","TooLost","SoundOn","Ditto","Believe","CD Baby","Amuse","Symphonic Distribution","ONErpm","RouteNote","LANDR","Horus Music","Indie"},0)),"Aggregator di luar daftar","")),IF(TRIM($H872)="","Genre kosong",IF((LEN(SUBSTITUTE(SUBSTITUTE(SUBSTITUTE(TRIM($H872),"/",","),";",",")," ",""))-LEN(SUBSTITUTE(SUBSTITUTE(SUBSTITUTE(SUBSTITUTE(TRIM($H872),"/",","),";",","),"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872),"/",","),";",",")," ","")&amp;",")))&lt;&gt;(LEN(SUBSTITUTE(SUBSTITUTE(SUBSTITUTE(TRIM($H872),"/",","),";",",")," ",""))-LEN(SUBSTITUTE(SUBSTITUTE(SUBSTITUTE(SUBSTITUTE(TRIM($H872),"/",","),";",",")," ",""),",",""))+1),"Genre di luar daftar",""))),IF($I872="","Nama Channel kosong",""),IF($J872="","Link Channel kosong",IF(ISERROR(SEARCH("youtu",$J872)),"Link Channel bukan youtube","")),IF($K872="","Link Video kosong",IF(ISERROR(SEARCH("youtu",$K872)),"Link Video bukan youtube","")),IF($L872="","Tgl Dibuat kosong",IF(NOT(ISNUMBER($L872)),"Tgl Dibuat bukan tanggal","")),IF(AND($M872&lt;&gt;"",NOT(ISNUMBER($M872))),"Tgl Publish bukan tanggal",""),IF(AND(ISNUMBER($L872),ISNUMBER($M872),$M872&lt;$L872),"Tgl Publish &lt; Tgl buat",""),IF(TRIM($N872)="","Status kosong",IF(ISERROR(MATCH(TRIM($N872),{"Draft","Menunggu Review","Revisi","Terjadwal","Upload","Publish","Published","Batal"},0)),"Status di luar daftar","")))),""))</f>
        <v/>
      </c>
      <c r="S872" s="17">
        <f>IF(AND($A872&lt;&gt;"",$C872&lt;&gt;""),IF(COUNTIFS($A$2:$A$1000,$A872,$C$2:$C$1000,$C872)&gt;1,"DUPLICAT",""),"")</f>
        <v/>
      </c>
    </row>
    <row r="873">
      <c r="A873" s="12" t="n"/>
      <c r="B873" s="12" t="n"/>
      <c r="C873" s="12" t="n"/>
      <c r="D873" s="13" t="n"/>
      <c r="E873" s="12" t="n"/>
      <c r="F873" s="14" t="n"/>
      <c r="G873" s="12" t="n"/>
      <c r="H873" s="12" t="n"/>
      <c r="I873" s="12" t="n"/>
      <c r="J873" s="14" t="n"/>
      <c r="K873" s="14" t="n"/>
      <c r="L873" s="15" t="n"/>
      <c r="M873" s="15" t="n"/>
      <c r="N873" s="12" t="n"/>
      <c r="O873" s="12" t="n"/>
      <c r="P873" s="16">
        <f>IF(AND(ISNUMBER($L873),ISNUMBER($M873)),MAX(0,$M873-$L873),"")</f>
        <v/>
      </c>
      <c r="Q873" s="16">
        <f>IF(ISNUMBER($D873),MAX(0,TODAY()-$D873),"")</f>
        <v/>
      </c>
      <c r="R873" s="14">
        <f>IF(COUNTA($A873:$O873)=0,"",IFERROR(TRIM(TEXTJOIN(" | ",TRUE,IF($A873="","PC kosong",""),IF($C873="","Worker ID kosong",""),IF($D873="","Update Date kosong",IF(NOT(ISNUMBER($D873)),"Update Date bukan tanggal","")),IF($E873="","Song ID YT kosong",""),IF($F873="","Judul kosong",""),IF(TRIM($G873)="","",IF(ISERROR(MATCH(TRIM($G873),{"TuneCore","DistroKid","TooLost","SoundOn","Ditto","Believe","CD Baby","Amuse","Symphonic Distribution","ONErpm","RouteNote","LANDR","Horus Music","Indie"},0)),"Aggregator di luar daftar","")),IF(TRIM($H873)="","Genre kosong",IF((LEN(SUBSTITUTE(SUBSTITUTE(SUBSTITUTE(TRIM($H873),"/",","),";",",")," ",""))-LEN(SUBSTITUTE(SUBSTITUTE(SUBSTITUTE(SUBSTITUTE(TRIM($H873),"/",","),";",","),"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873),"/",","),";",",")," ","")&amp;",")))&lt;&gt;(LEN(SUBSTITUTE(SUBSTITUTE(SUBSTITUTE(TRIM($H873),"/",","),";",",")," ",""))-LEN(SUBSTITUTE(SUBSTITUTE(SUBSTITUTE(SUBSTITUTE(TRIM($H873),"/",","),";",",")," ",""),",",""))+1),"Genre di luar daftar",""))),IF($I873="","Nama Channel kosong",""),IF($J873="","Link Channel kosong",IF(ISERROR(SEARCH("youtu",$J873)),"Link Channel bukan youtube","")),IF($K873="","Link Video kosong",IF(ISERROR(SEARCH("youtu",$K873)),"Link Video bukan youtube","")),IF($L873="","Tgl Dibuat kosong",IF(NOT(ISNUMBER($L873)),"Tgl Dibuat bukan tanggal","")),IF(AND($M873&lt;&gt;"",NOT(ISNUMBER($M873))),"Tgl Publish bukan tanggal",""),IF(AND(ISNUMBER($L873),ISNUMBER($M873),$M873&lt;$L873),"Tgl Publish &lt; Tgl buat",""),IF(TRIM($N873)="","Status kosong",IF(ISERROR(MATCH(TRIM($N873),{"Draft","Menunggu Review","Revisi","Terjadwal","Upload","Publish","Published","Batal"},0)),"Status di luar daftar","")))),""))</f>
        <v/>
      </c>
      <c r="S873" s="12">
        <f>IF(AND($A873&lt;&gt;"",$C873&lt;&gt;""),IF(COUNTIFS($A$2:$A$1000,$A873,$C$2:$C$1000,$C873)&gt;1,"DUPLICAT",""),"")</f>
        <v/>
      </c>
    </row>
    <row r="874">
      <c r="A874" s="17" t="n"/>
      <c r="B874" s="17" t="n"/>
      <c r="C874" s="17" t="n"/>
      <c r="D874" s="18" t="n"/>
      <c r="E874" s="17" t="n"/>
      <c r="F874" s="19" t="n"/>
      <c r="G874" s="17" t="n"/>
      <c r="H874" s="17" t="n"/>
      <c r="I874" s="17" t="n"/>
      <c r="J874" s="19" t="n"/>
      <c r="K874" s="19" t="n"/>
      <c r="L874" s="20" t="n"/>
      <c r="M874" s="20" t="n"/>
      <c r="N874" s="17" t="n"/>
      <c r="O874" s="17" t="n"/>
      <c r="P874" s="21">
        <f>IF(AND(ISNUMBER($L874),ISNUMBER($M874)),MAX(0,$M874-$L874),"")</f>
        <v/>
      </c>
      <c r="Q874" s="21">
        <f>IF(ISNUMBER($D874),MAX(0,TODAY()-$D874),"")</f>
        <v/>
      </c>
      <c r="R874" s="19">
        <f>IF(COUNTA($A874:$O874)=0,"",IFERROR(TRIM(TEXTJOIN(" | ",TRUE,IF($A874="","PC kosong",""),IF($C874="","Worker ID kosong",""),IF($D874="","Update Date kosong",IF(NOT(ISNUMBER($D874)),"Update Date bukan tanggal","")),IF($E874="","Song ID YT kosong",""),IF($F874="","Judul kosong",""),IF(TRIM($G874)="","",IF(ISERROR(MATCH(TRIM($G874),{"TuneCore","DistroKid","TooLost","SoundOn","Ditto","Believe","CD Baby","Amuse","Symphonic Distribution","ONErpm","RouteNote","LANDR","Horus Music","Indie"},0)),"Aggregator di luar daftar","")),IF(TRIM($H874)="","Genre kosong",IF((LEN(SUBSTITUTE(SUBSTITUTE(SUBSTITUTE(TRIM($H874),"/",","),";",",")," ",""))-LEN(SUBSTITUTE(SUBSTITUTE(SUBSTITUTE(SUBSTITUTE(TRIM($H874),"/",","),";",","),"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874),"/",","),";",",")," ","")&amp;",")))&lt;&gt;(LEN(SUBSTITUTE(SUBSTITUTE(SUBSTITUTE(TRIM($H874),"/",","),";",",")," ",""))-LEN(SUBSTITUTE(SUBSTITUTE(SUBSTITUTE(SUBSTITUTE(TRIM($H874),"/",","),";",",")," ",""),",",""))+1),"Genre di luar daftar",""))),IF($I874="","Nama Channel kosong",""),IF($J874="","Link Channel kosong",IF(ISERROR(SEARCH("youtu",$J874)),"Link Channel bukan youtube","")),IF($K874="","Link Video kosong",IF(ISERROR(SEARCH("youtu",$K874)),"Link Video bukan youtube","")),IF($L874="","Tgl Dibuat kosong",IF(NOT(ISNUMBER($L874)),"Tgl Dibuat bukan tanggal","")),IF(AND($M874&lt;&gt;"",NOT(ISNUMBER($M874))),"Tgl Publish bukan tanggal",""),IF(AND(ISNUMBER($L874),ISNUMBER($M874),$M874&lt;$L874),"Tgl Publish &lt; Tgl buat",""),IF(TRIM($N874)="","Status kosong",IF(ISERROR(MATCH(TRIM($N874),{"Draft","Menunggu Review","Revisi","Terjadwal","Upload","Publish","Published","Batal"},0)),"Status di luar daftar","")))),""))</f>
        <v/>
      </c>
      <c r="S874" s="17">
        <f>IF(AND($A874&lt;&gt;"",$C874&lt;&gt;""),IF(COUNTIFS($A$2:$A$1000,$A874,$C$2:$C$1000,$C874)&gt;1,"DUPLICAT",""),"")</f>
        <v/>
      </c>
    </row>
    <row r="875">
      <c r="A875" s="12" t="n"/>
      <c r="B875" s="12" t="n"/>
      <c r="C875" s="12" t="n"/>
      <c r="D875" s="13" t="n"/>
      <c r="E875" s="12" t="n"/>
      <c r="F875" s="14" t="n"/>
      <c r="G875" s="12" t="n"/>
      <c r="H875" s="12" t="n"/>
      <c r="I875" s="12" t="n"/>
      <c r="J875" s="14" t="n"/>
      <c r="K875" s="14" t="n"/>
      <c r="L875" s="15" t="n"/>
      <c r="M875" s="15" t="n"/>
      <c r="N875" s="12" t="n"/>
      <c r="O875" s="12" t="n"/>
      <c r="P875" s="16">
        <f>IF(AND(ISNUMBER($L875),ISNUMBER($M875)),MAX(0,$M875-$L875),"")</f>
        <v/>
      </c>
      <c r="Q875" s="16">
        <f>IF(ISNUMBER($D875),MAX(0,TODAY()-$D875),"")</f>
        <v/>
      </c>
      <c r="R875" s="14">
        <f>IF(COUNTA($A875:$O875)=0,"",IFERROR(TRIM(TEXTJOIN(" | ",TRUE,IF($A875="","PC kosong",""),IF($C875="","Worker ID kosong",""),IF($D875="","Update Date kosong",IF(NOT(ISNUMBER($D875)),"Update Date bukan tanggal","")),IF($E875="","Song ID YT kosong",""),IF($F875="","Judul kosong",""),IF(TRIM($G875)="","",IF(ISERROR(MATCH(TRIM($G875),{"TuneCore","DistroKid","TooLost","SoundOn","Ditto","Believe","CD Baby","Amuse","Symphonic Distribution","ONErpm","RouteNote","LANDR","Horus Music","Indie"},0)),"Aggregator di luar daftar","")),IF(TRIM($H875)="","Genre kosong",IF((LEN(SUBSTITUTE(SUBSTITUTE(SUBSTITUTE(TRIM($H875),"/",","),";",",")," ",""))-LEN(SUBSTITUTE(SUBSTITUTE(SUBSTITUTE(SUBSTITUTE(TRIM($H875),"/",","),";",","),"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875),"/",","),";",",")," ","")&amp;",")))&lt;&gt;(LEN(SUBSTITUTE(SUBSTITUTE(SUBSTITUTE(TRIM($H875),"/",","),";",",")," ",""))-LEN(SUBSTITUTE(SUBSTITUTE(SUBSTITUTE(SUBSTITUTE(TRIM($H875),"/",","),";",",")," ",""),",",""))+1),"Genre di luar daftar",""))),IF($I875="","Nama Channel kosong",""),IF($J875="","Link Channel kosong",IF(ISERROR(SEARCH("youtu",$J875)),"Link Channel bukan youtube","")),IF($K875="","Link Video kosong",IF(ISERROR(SEARCH("youtu",$K875)),"Link Video bukan youtube","")),IF($L875="","Tgl Dibuat kosong",IF(NOT(ISNUMBER($L875)),"Tgl Dibuat bukan tanggal","")),IF(AND($M875&lt;&gt;"",NOT(ISNUMBER($M875))),"Tgl Publish bukan tanggal",""),IF(AND(ISNUMBER($L875),ISNUMBER($M875),$M875&lt;$L875),"Tgl Publish &lt; Tgl buat",""),IF(TRIM($N875)="","Status kosong",IF(ISERROR(MATCH(TRIM($N875),{"Draft","Menunggu Review","Revisi","Terjadwal","Upload","Publish","Published","Batal"},0)),"Status di luar daftar","")))),""))</f>
        <v/>
      </c>
      <c r="S875" s="12">
        <f>IF(AND($A875&lt;&gt;"",$C875&lt;&gt;""),IF(COUNTIFS($A$2:$A$1000,$A875,$C$2:$C$1000,$C875)&gt;1,"DUPLICAT",""),"")</f>
        <v/>
      </c>
    </row>
    <row r="876">
      <c r="A876" s="17" t="n"/>
      <c r="B876" s="17" t="n"/>
      <c r="C876" s="17" t="n"/>
      <c r="D876" s="18" t="n"/>
      <c r="E876" s="17" t="n"/>
      <c r="F876" s="19" t="n"/>
      <c r="G876" s="17" t="n"/>
      <c r="H876" s="17" t="n"/>
      <c r="I876" s="17" t="n"/>
      <c r="J876" s="19" t="n"/>
      <c r="K876" s="19" t="n"/>
      <c r="L876" s="20" t="n"/>
      <c r="M876" s="20" t="n"/>
      <c r="N876" s="17" t="n"/>
      <c r="O876" s="17" t="n"/>
      <c r="P876" s="21">
        <f>IF(AND(ISNUMBER($L876),ISNUMBER($M876)),MAX(0,$M876-$L876),"")</f>
        <v/>
      </c>
      <c r="Q876" s="21">
        <f>IF(ISNUMBER($D876),MAX(0,TODAY()-$D876),"")</f>
        <v/>
      </c>
      <c r="R876" s="19">
        <f>IF(COUNTA($A876:$O876)=0,"",IFERROR(TRIM(TEXTJOIN(" | ",TRUE,IF($A876="","PC kosong",""),IF($C876="","Worker ID kosong",""),IF($D876="","Update Date kosong",IF(NOT(ISNUMBER($D876)),"Update Date bukan tanggal","")),IF($E876="","Song ID YT kosong",""),IF($F876="","Judul kosong",""),IF(TRIM($G876)="","",IF(ISERROR(MATCH(TRIM($G876),{"TuneCore","DistroKid","TooLost","SoundOn","Ditto","Believe","CD Baby","Amuse","Symphonic Distribution","ONErpm","RouteNote","LANDR","Horus Music","Indie"},0)),"Aggregator di luar daftar","")),IF(TRIM($H876)="","Genre kosong",IF((LEN(SUBSTITUTE(SUBSTITUTE(SUBSTITUTE(TRIM($H876),"/",","),";",",")," ",""))-LEN(SUBSTITUTE(SUBSTITUTE(SUBSTITUTE(SUBSTITUTE(TRIM($H876),"/",","),";",","),"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876),"/",","),";",",")," ","")&amp;",")))&lt;&gt;(LEN(SUBSTITUTE(SUBSTITUTE(SUBSTITUTE(TRIM($H876),"/",","),";",",")," ",""))-LEN(SUBSTITUTE(SUBSTITUTE(SUBSTITUTE(SUBSTITUTE(TRIM($H876),"/",","),";",",")," ",""),",",""))+1),"Genre di luar daftar",""))),IF($I876="","Nama Channel kosong",""),IF($J876="","Link Channel kosong",IF(ISERROR(SEARCH("youtu",$J876)),"Link Channel bukan youtube","")),IF($K876="","Link Video kosong",IF(ISERROR(SEARCH("youtu",$K876)),"Link Video bukan youtube","")),IF($L876="","Tgl Dibuat kosong",IF(NOT(ISNUMBER($L876)),"Tgl Dibuat bukan tanggal","")),IF(AND($M876&lt;&gt;"",NOT(ISNUMBER($M876))),"Tgl Publish bukan tanggal",""),IF(AND(ISNUMBER($L876),ISNUMBER($M876),$M876&lt;$L876),"Tgl Publish &lt; Tgl buat",""),IF(TRIM($N876)="","Status kosong",IF(ISERROR(MATCH(TRIM($N876),{"Draft","Menunggu Review","Revisi","Terjadwal","Upload","Publish","Published","Batal"},0)),"Status di luar daftar","")))),""))</f>
        <v/>
      </c>
      <c r="S876" s="17">
        <f>IF(AND($A876&lt;&gt;"",$C876&lt;&gt;""),IF(COUNTIFS($A$2:$A$1000,$A876,$C$2:$C$1000,$C876)&gt;1,"DUPLICAT",""),"")</f>
        <v/>
      </c>
    </row>
    <row r="877">
      <c r="A877" s="12" t="n"/>
      <c r="B877" s="12" t="n"/>
      <c r="C877" s="12" t="n"/>
      <c r="D877" s="13" t="n"/>
      <c r="E877" s="12" t="n"/>
      <c r="F877" s="14" t="n"/>
      <c r="G877" s="12" t="n"/>
      <c r="H877" s="12" t="n"/>
      <c r="I877" s="12" t="n"/>
      <c r="J877" s="14" t="n"/>
      <c r="K877" s="14" t="n"/>
      <c r="L877" s="15" t="n"/>
      <c r="M877" s="15" t="n"/>
      <c r="N877" s="12" t="n"/>
      <c r="O877" s="12" t="n"/>
      <c r="P877" s="16">
        <f>IF(AND(ISNUMBER($L877),ISNUMBER($M877)),MAX(0,$M877-$L877),"")</f>
        <v/>
      </c>
      <c r="Q877" s="16">
        <f>IF(ISNUMBER($D877),MAX(0,TODAY()-$D877),"")</f>
        <v/>
      </c>
      <c r="R877" s="14">
        <f>IF(COUNTA($A877:$O877)=0,"",IFERROR(TRIM(TEXTJOIN(" | ",TRUE,IF($A877="","PC kosong",""),IF($C877="","Worker ID kosong",""),IF($D877="","Update Date kosong",IF(NOT(ISNUMBER($D877)),"Update Date bukan tanggal","")),IF($E877="","Song ID YT kosong",""),IF($F877="","Judul kosong",""),IF(TRIM($G877)="","",IF(ISERROR(MATCH(TRIM($G877),{"TuneCore","DistroKid","TooLost","SoundOn","Ditto","Believe","CD Baby","Amuse","Symphonic Distribution","ONErpm","RouteNote","LANDR","Horus Music","Indie"},0)),"Aggregator di luar daftar","")),IF(TRIM($H877)="","Genre kosong",IF((LEN(SUBSTITUTE(SUBSTITUTE(SUBSTITUTE(TRIM($H877),"/",","),";",",")," ",""))-LEN(SUBSTITUTE(SUBSTITUTE(SUBSTITUTE(SUBSTITUTE(TRIM($H877),"/",","),";",","),"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877),"/",","),";",",")," ","")&amp;",")))&lt;&gt;(LEN(SUBSTITUTE(SUBSTITUTE(SUBSTITUTE(TRIM($H877),"/",","),";",",")," ",""))-LEN(SUBSTITUTE(SUBSTITUTE(SUBSTITUTE(SUBSTITUTE(TRIM($H877),"/",","),";",",")," ",""),",",""))+1),"Genre di luar daftar",""))),IF($I877="","Nama Channel kosong",""),IF($J877="","Link Channel kosong",IF(ISERROR(SEARCH("youtu",$J877)),"Link Channel bukan youtube","")),IF($K877="","Link Video kosong",IF(ISERROR(SEARCH("youtu",$K877)),"Link Video bukan youtube","")),IF($L877="","Tgl Dibuat kosong",IF(NOT(ISNUMBER($L877)),"Tgl Dibuat bukan tanggal","")),IF(AND($M877&lt;&gt;"",NOT(ISNUMBER($M877))),"Tgl Publish bukan tanggal",""),IF(AND(ISNUMBER($L877),ISNUMBER($M877),$M877&lt;$L877),"Tgl Publish &lt; Tgl buat",""),IF(TRIM($N877)="","Status kosong",IF(ISERROR(MATCH(TRIM($N877),{"Draft","Menunggu Review","Revisi","Terjadwal","Upload","Publish","Published","Batal"},0)),"Status di luar daftar","")))),""))</f>
        <v/>
      </c>
      <c r="S877" s="12">
        <f>IF(AND($A877&lt;&gt;"",$C877&lt;&gt;""),IF(COUNTIFS($A$2:$A$1000,$A877,$C$2:$C$1000,$C877)&gt;1,"DUPLICAT",""),"")</f>
        <v/>
      </c>
    </row>
    <row r="878">
      <c r="A878" s="17" t="n"/>
      <c r="B878" s="17" t="n"/>
      <c r="C878" s="17" t="n"/>
      <c r="D878" s="18" t="n"/>
      <c r="E878" s="17" t="n"/>
      <c r="F878" s="19" t="n"/>
      <c r="G878" s="17" t="n"/>
      <c r="H878" s="17" t="n"/>
      <c r="I878" s="17" t="n"/>
      <c r="J878" s="19" t="n"/>
      <c r="K878" s="19" t="n"/>
      <c r="L878" s="20" t="n"/>
      <c r="M878" s="20" t="n"/>
      <c r="N878" s="17" t="n"/>
      <c r="O878" s="17" t="n"/>
      <c r="P878" s="21">
        <f>IF(AND(ISNUMBER($L878),ISNUMBER($M878)),MAX(0,$M878-$L878),"")</f>
        <v/>
      </c>
      <c r="Q878" s="21">
        <f>IF(ISNUMBER($D878),MAX(0,TODAY()-$D878),"")</f>
        <v/>
      </c>
      <c r="R878" s="19">
        <f>IF(COUNTA($A878:$O878)=0,"",IFERROR(TRIM(TEXTJOIN(" | ",TRUE,IF($A878="","PC kosong",""),IF($C878="","Worker ID kosong",""),IF($D878="","Update Date kosong",IF(NOT(ISNUMBER($D878)),"Update Date bukan tanggal","")),IF($E878="","Song ID YT kosong",""),IF($F878="","Judul kosong",""),IF(TRIM($G878)="","",IF(ISERROR(MATCH(TRIM($G878),{"TuneCore","DistroKid","TooLost","SoundOn","Ditto","Believe","CD Baby","Amuse","Symphonic Distribution","ONErpm","RouteNote","LANDR","Horus Music","Indie"},0)),"Aggregator di luar daftar","")),IF(TRIM($H878)="","Genre kosong",IF((LEN(SUBSTITUTE(SUBSTITUTE(SUBSTITUTE(TRIM($H878),"/",","),";",",")," ",""))-LEN(SUBSTITUTE(SUBSTITUTE(SUBSTITUTE(SUBSTITUTE(TRIM($H878),"/",","),";",","),"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878),"/",","),";",",")," ","")&amp;",")))&lt;&gt;(LEN(SUBSTITUTE(SUBSTITUTE(SUBSTITUTE(TRIM($H878),"/",","),";",",")," ",""))-LEN(SUBSTITUTE(SUBSTITUTE(SUBSTITUTE(SUBSTITUTE(TRIM($H878),"/",","),";",",")," ",""),",",""))+1),"Genre di luar daftar",""))),IF($I878="","Nama Channel kosong",""),IF($J878="","Link Channel kosong",IF(ISERROR(SEARCH("youtu",$J878)),"Link Channel bukan youtube","")),IF($K878="","Link Video kosong",IF(ISERROR(SEARCH("youtu",$K878)),"Link Video bukan youtube","")),IF($L878="","Tgl Dibuat kosong",IF(NOT(ISNUMBER($L878)),"Tgl Dibuat bukan tanggal","")),IF(AND($M878&lt;&gt;"",NOT(ISNUMBER($M878))),"Tgl Publish bukan tanggal",""),IF(AND(ISNUMBER($L878),ISNUMBER($M878),$M878&lt;$L878),"Tgl Publish &lt; Tgl buat",""),IF(TRIM($N878)="","Status kosong",IF(ISERROR(MATCH(TRIM($N878),{"Draft","Menunggu Review","Revisi","Terjadwal","Upload","Publish","Published","Batal"},0)),"Status di luar daftar","")))),""))</f>
        <v/>
      </c>
      <c r="S878" s="17">
        <f>IF(AND($A878&lt;&gt;"",$C878&lt;&gt;""),IF(COUNTIFS($A$2:$A$1000,$A878,$C$2:$C$1000,$C878)&gt;1,"DUPLICAT",""),"")</f>
        <v/>
      </c>
    </row>
    <row r="879">
      <c r="A879" s="12" t="n"/>
      <c r="B879" s="12" t="n"/>
      <c r="C879" s="12" t="n"/>
      <c r="D879" s="13" t="n"/>
      <c r="E879" s="12" t="n"/>
      <c r="F879" s="14" t="n"/>
      <c r="G879" s="12" t="n"/>
      <c r="H879" s="12" t="n"/>
      <c r="I879" s="12" t="n"/>
      <c r="J879" s="14" t="n"/>
      <c r="K879" s="14" t="n"/>
      <c r="L879" s="15" t="n"/>
      <c r="M879" s="15" t="n"/>
      <c r="N879" s="12" t="n"/>
      <c r="O879" s="12" t="n"/>
      <c r="P879" s="16">
        <f>IF(AND(ISNUMBER($L879),ISNUMBER($M879)),MAX(0,$M879-$L879),"")</f>
        <v/>
      </c>
      <c r="Q879" s="16">
        <f>IF(ISNUMBER($D879),MAX(0,TODAY()-$D879),"")</f>
        <v/>
      </c>
      <c r="R879" s="14">
        <f>IF(COUNTA($A879:$O879)=0,"",IFERROR(TRIM(TEXTJOIN(" | ",TRUE,IF($A879="","PC kosong",""),IF($C879="","Worker ID kosong",""),IF($D879="","Update Date kosong",IF(NOT(ISNUMBER($D879)),"Update Date bukan tanggal","")),IF($E879="","Song ID YT kosong",""),IF($F879="","Judul kosong",""),IF(TRIM($G879)="","",IF(ISERROR(MATCH(TRIM($G879),{"TuneCore","DistroKid","TooLost","SoundOn","Ditto","Believe","CD Baby","Amuse","Symphonic Distribution","ONErpm","RouteNote","LANDR","Horus Music","Indie"},0)),"Aggregator di luar daftar","")),IF(TRIM($H879)="","Genre kosong",IF((LEN(SUBSTITUTE(SUBSTITUTE(SUBSTITUTE(TRIM($H879),"/",","),";",",")," ",""))-LEN(SUBSTITUTE(SUBSTITUTE(SUBSTITUTE(SUBSTITUTE(TRIM($H879),"/",","),";",","),"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879),"/",","),";",",")," ","")&amp;",")))&lt;&gt;(LEN(SUBSTITUTE(SUBSTITUTE(SUBSTITUTE(TRIM($H879),"/",","),";",",")," ",""))-LEN(SUBSTITUTE(SUBSTITUTE(SUBSTITUTE(SUBSTITUTE(TRIM($H879),"/",","),";",",")," ",""),",",""))+1),"Genre di luar daftar",""))),IF($I879="","Nama Channel kosong",""),IF($J879="","Link Channel kosong",IF(ISERROR(SEARCH("youtu",$J879)),"Link Channel bukan youtube","")),IF($K879="","Link Video kosong",IF(ISERROR(SEARCH("youtu",$K879)),"Link Video bukan youtube","")),IF($L879="","Tgl Dibuat kosong",IF(NOT(ISNUMBER($L879)),"Tgl Dibuat bukan tanggal","")),IF(AND($M879&lt;&gt;"",NOT(ISNUMBER($M879))),"Tgl Publish bukan tanggal",""),IF(AND(ISNUMBER($L879),ISNUMBER($M879),$M879&lt;$L879),"Tgl Publish &lt; Tgl buat",""),IF(TRIM($N879)="","Status kosong",IF(ISERROR(MATCH(TRIM($N879),{"Draft","Menunggu Review","Revisi","Terjadwal","Upload","Publish","Published","Batal"},0)),"Status di luar daftar","")))),""))</f>
        <v/>
      </c>
      <c r="S879" s="12">
        <f>IF(AND($A879&lt;&gt;"",$C879&lt;&gt;""),IF(COUNTIFS($A$2:$A$1000,$A879,$C$2:$C$1000,$C879)&gt;1,"DUPLICAT",""),"")</f>
        <v/>
      </c>
    </row>
    <row r="880">
      <c r="A880" s="17" t="n"/>
      <c r="B880" s="17" t="n"/>
      <c r="C880" s="17" t="n"/>
      <c r="D880" s="18" t="n"/>
      <c r="E880" s="17" t="n"/>
      <c r="F880" s="19" t="n"/>
      <c r="G880" s="17" t="n"/>
      <c r="H880" s="17" t="n"/>
      <c r="I880" s="17" t="n"/>
      <c r="J880" s="19" t="n"/>
      <c r="K880" s="19" t="n"/>
      <c r="L880" s="20" t="n"/>
      <c r="M880" s="20" t="n"/>
      <c r="N880" s="17" t="n"/>
      <c r="O880" s="17" t="n"/>
      <c r="P880" s="21">
        <f>IF(AND(ISNUMBER($L880),ISNUMBER($M880)),MAX(0,$M880-$L880),"")</f>
        <v/>
      </c>
      <c r="Q880" s="21">
        <f>IF(ISNUMBER($D880),MAX(0,TODAY()-$D880),"")</f>
        <v/>
      </c>
      <c r="R880" s="19">
        <f>IF(COUNTA($A880:$O880)=0,"",IFERROR(TRIM(TEXTJOIN(" | ",TRUE,IF($A880="","PC kosong",""),IF($C880="","Worker ID kosong",""),IF($D880="","Update Date kosong",IF(NOT(ISNUMBER($D880)),"Update Date bukan tanggal","")),IF($E880="","Song ID YT kosong",""),IF($F880="","Judul kosong",""),IF(TRIM($G880)="","",IF(ISERROR(MATCH(TRIM($G880),{"TuneCore","DistroKid","TooLost","SoundOn","Ditto","Believe","CD Baby","Amuse","Symphonic Distribution","ONErpm","RouteNote","LANDR","Horus Music","Indie"},0)),"Aggregator di luar daftar","")),IF(TRIM($H880)="","Genre kosong",IF((LEN(SUBSTITUTE(SUBSTITUTE(SUBSTITUTE(TRIM($H880),"/",","),";",",")," ",""))-LEN(SUBSTITUTE(SUBSTITUTE(SUBSTITUTE(SUBSTITUTE(TRIM($H880),"/",","),";",","),"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880),"/",","),";",",")," ","")&amp;",")))&lt;&gt;(LEN(SUBSTITUTE(SUBSTITUTE(SUBSTITUTE(TRIM($H880),"/",","),";",",")," ",""))-LEN(SUBSTITUTE(SUBSTITUTE(SUBSTITUTE(SUBSTITUTE(TRIM($H880),"/",","),";",",")," ",""),",",""))+1),"Genre di luar daftar",""))),IF($I880="","Nama Channel kosong",""),IF($J880="","Link Channel kosong",IF(ISERROR(SEARCH("youtu",$J880)),"Link Channel bukan youtube","")),IF($K880="","Link Video kosong",IF(ISERROR(SEARCH("youtu",$K880)),"Link Video bukan youtube","")),IF($L880="","Tgl Dibuat kosong",IF(NOT(ISNUMBER($L880)),"Tgl Dibuat bukan tanggal","")),IF(AND($M880&lt;&gt;"",NOT(ISNUMBER($M880))),"Tgl Publish bukan tanggal",""),IF(AND(ISNUMBER($L880),ISNUMBER($M880),$M880&lt;$L880),"Tgl Publish &lt; Tgl buat",""),IF(TRIM($N880)="","Status kosong",IF(ISERROR(MATCH(TRIM($N880),{"Draft","Menunggu Review","Revisi","Terjadwal","Upload","Publish","Published","Batal"},0)),"Status di luar daftar","")))),""))</f>
        <v/>
      </c>
      <c r="S880" s="17">
        <f>IF(AND($A880&lt;&gt;"",$C880&lt;&gt;""),IF(COUNTIFS($A$2:$A$1000,$A880,$C$2:$C$1000,$C880)&gt;1,"DUPLICAT",""),"")</f>
        <v/>
      </c>
    </row>
    <row r="881">
      <c r="A881" s="12" t="n"/>
      <c r="B881" s="12" t="n"/>
      <c r="C881" s="12" t="n"/>
      <c r="D881" s="13" t="n"/>
      <c r="E881" s="12" t="n"/>
      <c r="F881" s="14" t="n"/>
      <c r="G881" s="12" t="n"/>
      <c r="H881" s="12" t="n"/>
      <c r="I881" s="12" t="n"/>
      <c r="J881" s="14" t="n"/>
      <c r="K881" s="14" t="n"/>
      <c r="L881" s="15" t="n"/>
      <c r="M881" s="15" t="n"/>
      <c r="N881" s="12" t="n"/>
      <c r="O881" s="12" t="n"/>
      <c r="P881" s="16">
        <f>IF(AND(ISNUMBER($L881),ISNUMBER($M881)),MAX(0,$M881-$L881),"")</f>
        <v/>
      </c>
      <c r="Q881" s="16">
        <f>IF(ISNUMBER($D881),MAX(0,TODAY()-$D881),"")</f>
        <v/>
      </c>
      <c r="R881" s="14">
        <f>IF(COUNTA($A881:$O881)=0,"",IFERROR(TRIM(TEXTJOIN(" | ",TRUE,IF($A881="","PC kosong",""),IF($C881="","Worker ID kosong",""),IF($D881="","Update Date kosong",IF(NOT(ISNUMBER($D881)),"Update Date bukan tanggal","")),IF($E881="","Song ID YT kosong",""),IF($F881="","Judul kosong",""),IF(TRIM($G881)="","",IF(ISERROR(MATCH(TRIM($G881),{"TuneCore","DistroKid","TooLost","SoundOn","Ditto","Believe","CD Baby","Amuse","Symphonic Distribution","ONErpm","RouteNote","LANDR","Horus Music","Indie"},0)),"Aggregator di luar daftar","")),IF(TRIM($H881)="","Genre kosong",IF((LEN(SUBSTITUTE(SUBSTITUTE(SUBSTITUTE(TRIM($H881),"/",","),";",",")," ",""))-LEN(SUBSTITUTE(SUBSTITUTE(SUBSTITUTE(SUBSTITUTE(TRIM($H881),"/",","),";",","),"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881),"/",","),";",",")," ","")&amp;",")))&lt;&gt;(LEN(SUBSTITUTE(SUBSTITUTE(SUBSTITUTE(TRIM($H881),"/",","),";",",")," ",""))-LEN(SUBSTITUTE(SUBSTITUTE(SUBSTITUTE(SUBSTITUTE(TRIM($H881),"/",","),";",",")," ",""),",",""))+1),"Genre di luar daftar",""))),IF($I881="","Nama Channel kosong",""),IF($J881="","Link Channel kosong",IF(ISERROR(SEARCH("youtu",$J881)),"Link Channel bukan youtube","")),IF($K881="","Link Video kosong",IF(ISERROR(SEARCH("youtu",$K881)),"Link Video bukan youtube","")),IF($L881="","Tgl Dibuat kosong",IF(NOT(ISNUMBER($L881)),"Tgl Dibuat bukan tanggal","")),IF(AND($M881&lt;&gt;"",NOT(ISNUMBER($M881))),"Tgl Publish bukan tanggal",""),IF(AND(ISNUMBER($L881),ISNUMBER($M881),$M881&lt;$L881),"Tgl Publish &lt; Tgl buat",""),IF(TRIM($N881)="","Status kosong",IF(ISERROR(MATCH(TRIM($N881),{"Draft","Menunggu Review","Revisi","Terjadwal","Upload","Publish","Published","Batal"},0)),"Status di luar daftar","")))),""))</f>
        <v/>
      </c>
      <c r="S881" s="12">
        <f>IF(AND($A881&lt;&gt;"",$C881&lt;&gt;""),IF(COUNTIFS($A$2:$A$1000,$A881,$C$2:$C$1000,$C881)&gt;1,"DUPLICAT",""),"")</f>
        <v/>
      </c>
    </row>
    <row r="882">
      <c r="A882" s="17" t="n"/>
      <c r="B882" s="17" t="n"/>
      <c r="C882" s="17" t="n"/>
      <c r="D882" s="18" t="n"/>
      <c r="E882" s="17" t="n"/>
      <c r="F882" s="19" t="n"/>
      <c r="G882" s="17" t="n"/>
      <c r="H882" s="17" t="n"/>
      <c r="I882" s="17" t="n"/>
      <c r="J882" s="19" t="n"/>
      <c r="K882" s="19" t="n"/>
      <c r="L882" s="20" t="n"/>
      <c r="M882" s="20" t="n"/>
      <c r="N882" s="17" t="n"/>
      <c r="O882" s="17" t="n"/>
      <c r="P882" s="21">
        <f>IF(AND(ISNUMBER($L882),ISNUMBER($M882)),MAX(0,$M882-$L882),"")</f>
        <v/>
      </c>
      <c r="Q882" s="21">
        <f>IF(ISNUMBER($D882),MAX(0,TODAY()-$D882),"")</f>
        <v/>
      </c>
      <c r="R882" s="19">
        <f>IF(COUNTA($A882:$O882)=0,"",IFERROR(TRIM(TEXTJOIN(" | ",TRUE,IF($A882="","PC kosong",""),IF($C882="","Worker ID kosong",""),IF($D882="","Update Date kosong",IF(NOT(ISNUMBER($D882)),"Update Date bukan tanggal","")),IF($E882="","Song ID YT kosong",""),IF($F882="","Judul kosong",""),IF(TRIM($G882)="","",IF(ISERROR(MATCH(TRIM($G882),{"TuneCore","DistroKid","TooLost","SoundOn","Ditto","Believe","CD Baby","Amuse","Symphonic Distribution","ONErpm","RouteNote","LANDR","Horus Music","Indie"},0)),"Aggregator di luar daftar","")),IF(TRIM($H882)="","Genre kosong",IF((LEN(SUBSTITUTE(SUBSTITUTE(SUBSTITUTE(TRIM($H882),"/",","),";",",")," ",""))-LEN(SUBSTITUTE(SUBSTITUTE(SUBSTITUTE(SUBSTITUTE(TRIM($H882),"/",","),";",","),"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882),"/",","),";",",")," ","")&amp;",")))&lt;&gt;(LEN(SUBSTITUTE(SUBSTITUTE(SUBSTITUTE(TRIM($H882),"/",","),";",",")," ",""))-LEN(SUBSTITUTE(SUBSTITUTE(SUBSTITUTE(SUBSTITUTE(TRIM($H882),"/",","),";",",")," ",""),",",""))+1),"Genre di luar daftar",""))),IF($I882="","Nama Channel kosong",""),IF($J882="","Link Channel kosong",IF(ISERROR(SEARCH("youtu",$J882)),"Link Channel bukan youtube","")),IF($K882="","Link Video kosong",IF(ISERROR(SEARCH("youtu",$K882)),"Link Video bukan youtube","")),IF($L882="","Tgl Dibuat kosong",IF(NOT(ISNUMBER($L882)),"Tgl Dibuat bukan tanggal","")),IF(AND($M882&lt;&gt;"",NOT(ISNUMBER($M882))),"Tgl Publish bukan tanggal",""),IF(AND(ISNUMBER($L882),ISNUMBER($M882),$M882&lt;$L882),"Tgl Publish &lt; Tgl buat",""),IF(TRIM($N882)="","Status kosong",IF(ISERROR(MATCH(TRIM($N882),{"Draft","Menunggu Review","Revisi","Terjadwal","Upload","Publish","Published","Batal"},0)),"Status di luar daftar","")))),""))</f>
        <v/>
      </c>
      <c r="S882" s="17">
        <f>IF(AND($A882&lt;&gt;"",$C882&lt;&gt;""),IF(COUNTIFS($A$2:$A$1000,$A882,$C$2:$C$1000,$C882)&gt;1,"DUPLICAT",""),"")</f>
        <v/>
      </c>
    </row>
    <row r="883">
      <c r="A883" s="12" t="n"/>
      <c r="B883" s="12" t="n"/>
      <c r="C883" s="12" t="n"/>
      <c r="D883" s="13" t="n"/>
      <c r="E883" s="12" t="n"/>
      <c r="F883" s="14" t="n"/>
      <c r="G883" s="12" t="n"/>
      <c r="H883" s="12" t="n"/>
      <c r="I883" s="12" t="n"/>
      <c r="J883" s="14" t="n"/>
      <c r="K883" s="14" t="n"/>
      <c r="L883" s="15" t="n"/>
      <c r="M883" s="15" t="n"/>
      <c r="N883" s="12" t="n"/>
      <c r="O883" s="12" t="n"/>
      <c r="P883" s="16">
        <f>IF(AND(ISNUMBER($L883),ISNUMBER($M883)),MAX(0,$M883-$L883),"")</f>
        <v/>
      </c>
      <c r="Q883" s="16">
        <f>IF(ISNUMBER($D883),MAX(0,TODAY()-$D883),"")</f>
        <v/>
      </c>
      <c r="R883" s="14">
        <f>IF(COUNTA($A883:$O883)=0,"",IFERROR(TRIM(TEXTJOIN(" | ",TRUE,IF($A883="","PC kosong",""),IF($C883="","Worker ID kosong",""),IF($D883="","Update Date kosong",IF(NOT(ISNUMBER($D883)),"Update Date bukan tanggal","")),IF($E883="","Song ID YT kosong",""),IF($F883="","Judul kosong",""),IF(TRIM($G883)="","",IF(ISERROR(MATCH(TRIM($G883),{"TuneCore","DistroKid","TooLost","SoundOn","Ditto","Believe","CD Baby","Amuse","Symphonic Distribution","ONErpm","RouteNote","LANDR","Horus Music","Indie"},0)),"Aggregator di luar daftar","")),IF(TRIM($H883)="","Genre kosong",IF((LEN(SUBSTITUTE(SUBSTITUTE(SUBSTITUTE(TRIM($H883),"/",","),";",",")," ",""))-LEN(SUBSTITUTE(SUBSTITUTE(SUBSTITUTE(SUBSTITUTE(TRIM($H883),"/",","),";",","),"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883),"/",","),";",",")," ","")&amp;",")))&lt;&gt;(LEN(SUBSTITUTE(SUBSTITUTE(SUBSTITUTE(TRIM($H883),"/",","),";",",")," ",""))-LEN(SUBSTITUTE(SUBSTITUTE(SUBSTITUTE(SUBSTITUTE(TRIM($H883),"/",","),";",",")," ",""),",",""))+1),"Genre di luar daftar",""))),IF($I883="","Nama Channel kosong",""),IF($J883="","Link Channel kosong",IF(ISERROR(SEARCH("youtu",$J883)),"Link Channel bukan youtube","")),IF($K883="","Link Video kosong",IF(ISERROR(SEARCH("youtu",$K883)),"Link Video bukan youtube","")),IF($L883="","Tgl Dibuat kosong",IF(NOT(ISNUMBER($L883)),"Tgl Dibuat bukan tanggal","")),IF(AND($M883&lt;&gt;"",NOT(ISNUMBER($M883))),"Tgl Publish bukan tanggal",""),IF(AND(ISNUMBER($L883),ISNUMBER($M883),$M883&lt;$L883),"Tgl Publish &lt; Tgl buat",""),IF(TRIM($N883)="","Status kosong",IF(ISERROR(MATCH(TRIM($N883),{"Draft","Menunggu Review","Revisi","Terjadwal","Upload","Publish","Published","Batal"},0)),"Status di luar daftar","")))),""))</f>
        <v/>
      </c>
      <c r="S883" s="12">
        <f>IF(AND($A883&lt;&gt;"",$C883&lt;&gt;""),IF(COUNTIFS($A$2:$A$1000,$A883,$C$2:$C$1000,$C883)&gt;1,"DUPLICAT",""),"")</f>
        <v/>
      </c>
    </row>
    <row r="884">
      <c r="A884" s="17" t="n"/>
      <c r="B884" s="17" t="n"/>
      <c r="C884" s="17" t="n"/>
      <c r="D884" s="18" t="n"/>
      <c r="E884" s="17" t="n"/>
      <c r="F884" s="19" t="n"/>
      <c r="G884" s="17" t="n"/>
      <c r="H884" s="17" t="n"/>
      <c r="I884" s="17" t="n"/>
      <c r="J884" s="19" t="n"/>
      <c r="K884" s="19" t="n"/>
      <c r="L884" s="20" t="n"/>
      <c r="M884" s="20" t="n"/>
      <c r="N884" s="17" t="n"/>
      <c r="O884" s="17" t="n"/>
      <c r="P884" s="21">
        <f>IF(AND(ISNUMBER($L884),ISNUMBER($M884)),MAX(0,$M884-$L884),"")</f>
        <v/>
      </c>
      <c r="Q884" s="21">
        <f>IF(ISNUMBER($D884),MAX(0,TODAY()-$D884),"")</f>
        <v/>
      </c>
      <c r="R884" s="19">
        <f>IF(COUNTA($A884:$O884)=0,"",IFERROR(TRIM(TEXTJOIN(" | ",TRUE,IF($A884="","PC kosong",""),IF($C884="","Worker ID kosong",""),IF($D884="","Update Date kosong",IF(NOT(ISNUMBER($D884)),"Update Date bukan tanggal","")),IF($E884="","Song ID YT kosong",""),IF($F884="","Judul kosong",""),IF(TRIM($G884)="","",IF(ISERROR(MATCH(TRIM($G884),{"TuneCore","DistroKid","TooLost","SoundOn","Ditto","Believe","CD Baby","Amuse","Symphonic Distribution","ONErpm","RouteNote","LANDR","Horus Music","Indie"},0)),"Aggregator di luar daftar","")),IF(TRIM($H884)="","Genre kosong",IF((LEN(SUBSTITUTE(SUBSTITUTE(SUBSTITUTE(TRIM($H884),"/",","),";",",")," ",""))-LEN(SUBSTITUTE(SUBSTITUTE(SUBSTITUTE(SUBSTITUTE(TRIM($H884),"/",","),";",","),"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884),"/",","),";",",")," ","")&amp;",")))&lt;&gt;(LEN(SUBSTITUTE(SUBSTITUTE(SUBSTITUTE(TRIM($H884),"/",","),";",",")," ",""))-LEN(SUBSTITUTE(SUBSTITUTE(SUBSTITUTE(SUBSTITUTE(TRIM($H884),"/",","),";",",")," ",""),",",""))+1),"Genre di luar daftar",""))),IF($I884="","Nama Channel kosong",""),IF($J884="","Link Channel kosong",IF(ISERROR(SEARCH("youtu",$J884)),"Link Channel bukan youtube","")),IF($K884="","Link Video kosong",IF(ISERROR(SEARCH("youtu",$K884)),"Link Video bukan youtube","")),IF($L884="","Tgl Dibuat kosong",IF(NOT(ISNUMBER($L884)),"Tgl Dibuat bukan tanggal","")),IF(AND($M884&lt;&gt;"",NOT(ISNUMBER($M884))),"Tgl Publish bukan tanggal",""),IF(AND(ISNUMBER($L884),ISNUMBER($M884),$M884&lt;$L884),"Tgl Publish &lt; Tgl buat",""),IF(TRIM($N884)="","Status kosong",IF(ISERROR(MATCH(TRIM($N884),{"Draft","Menunggu Review","Revisi","Terjadwal","Upload","Publish","Published","Batal"},0)),"Status di luar daftar","")))),""))</f>
        <v/>
      </c>
      <c r="S884" s="17">
        <f>IF(AND($A884&lt;&gt;"",$C884&lt;&gt;""),IF(COUNTIFS($A$2:$A$1000,$A884,$C$2:$C$1000,$C884)&gt;1,"DUPLICAT",""),"")</f>
        <v/>
      </c>
    </row>
    <row r="885">
      <c r="A885" s="12" t="n"/>
      <c r="B885" s="12" t="n"/>
      <c r="C885" s="12" t="n"/>
      <c r="D885" s="13" t="n"/>
      <c r="E885" s="12" t="n"/>
      <c r="F885" s="14" t="n"/>
      <c r="G885" s="12" t="n"/>
      <c r="H885" s="12" t="n"/>
      <c r="I885" s="12" t="n"/>
      <c r="J885" s="14" t="n"/>
      <c r="K885" s="14" t="n"/>
      <c r="L885" s="15" t="n"/>
      <c r="M885" s="15" t="n"/>
      <c r="N885" s="12" t="n"/>
      <c r="O885" s="12" t="n"/>
      <c r="P885" s="16">
        <f>IF(AND(ISNUMBER($L885),ISNUMBER($M885)),MAX(0,$M885-$L885),"")</f>
        <v/>
      </c>
      <c r="Q885" s="16">
        <f>IF(ISNUMBER($D885),MAX(0,TODAY()-$D885),"")</f>
        <v/>
      </c>
      <c r="R885" s="14">
        <f>IF(COUNTA($A885:$O885)=0,"",IFERROR(TRIM(TEXTJOIN(" | ",TRUE,IF($A885="","PC kosong",""),IF($C885="","Worker ID kosong",""),IF($D885="","Update Date kosong",IF(NOT(ISNUMBER($D885)),"Update Date bukan tanggal","")),IF($E885="","Song ID YT kosong",""),IF($F885="","Judul kosong",""),IF(TRIM($G885)="","",IF(ISERROR(MATCH(TRIM($G885),{"TuneCore","DistroKid","TooLost","SoundOn","Ditto","Believe","CD Baby","Amuse","Symphonic Distribution","ONErpm","RouteNote","LANDR","Horus Music","Indie"},0)),"Aggregator di luar daftar","")),IF(TRIM($H885)="","Genre kosong",IF((LEN(SUBSTITUTE(SUBSTITUTE(SUBSTITUTE(TRIM($H885),"/",","),";",",")," ",""))-LEN(SUBSTITUTE(SUBSTITUTE(SUBSTITUTE(SUBSTITUTE(TRIM($H885),"/",","),";",","),"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885),"/",","),";",",")," ","")&amp;",")))&lt;&gt;(LEN(SUBSTITUTE(SUBSTITUTE(SUBSTITUTE(TRIM($H885),"/",","),";",",")," ",""))-LEN(SUBSTITUTE(SUBSTITUTE(SUBSTITUTE(SUBSTITUTE(TRIM($H885),"/",","),";",",")," ",""),",",""))+1),"Genre di luar daftar",""))),IF($I885="","Nama Channel kosong",""),IF($J885="","Link Channel kosong",IF(ISERROR(SEARCH("youtu",$J885)),"Link Channel bukan youtube","")),IF($K885="","Link Video kosong",IF(ISERROR(SEARCH("youtu",$K885)),"Link Video bukan youtube","")),IF($L885="","Tgl Dibuat kosong",IF(NOT(ISNUMBER($L885)),"Tgl Dibuat bukan tanggal","")),IF(AND($M885&lt;&gt;"",NOT(ISNUMBER($M885))),"Tgl Publish bukan tanggal",""),IF(AND(ISNUMBER($L885),ISNUMBER($M885),$M885&lt;$L885),"Tgl Publish &lt; Tgl buat",""),IF(TRIM($N885)="","Status kosong",IF(ISERROR(MATCH(TRIM($N885),{"Draft","Menunggu Review","Revisi","Terjadwal","Upload","Publish","Published","Batal"},0)),"Status di luar daftar","")))),""))</f>
        <v/>
      </c>
      <c r="S885" s="12">
        <f>IF(AND($A885&lt;&gt;"",$C885&lt;&gt;""),IF(COUNTIFS($A$2:$A$1000,$A885,$C$2:$C$1000,$C885)&gt;1,"DUPLICAT",""),"")</f>
        <v/>
      </c>
    </row>
    <row r="886">
      <c r="A886" s="17" t="n"/>
      <c r="B886" s="17" t="n"/>
      <c r="C886" s="17" t="n"/>
      <c r="D886" s="18" t="n"/>
      <c r="E886" s="17" t="n"/>
      <c r="F886" s="19" t="n"/>
      <c r="G886" s="17" t="n"/>
      <c r="H886" s="17" t="n"/>
      <c r="I886" s="17" t="n"/>
      <c r="J886" s="19" t="n"/>
      <c r="K886" s="19" t="n"/>
      <c r="L886" s="20" t="n"/>
      <c r="M886" s="20" t="n"/>
      <c r="N886" s="17" t="n"/>
      <c r="O886" s="17" t="n"/>
      <c r="P886" s="21">
        <f>IF(AND(ISNUMBER($L886),ISNUMBER($M886)),MAX(0,$M886-$L886),"")</f>
        <v/>
      </c>
      <c r="Q886" s="21">
        <f>IF(ISNUMBER($D886),MAX(0,TODAY()-$D886),"")</f>
        <v/>
      </c>
      <c r="R886" s="19">
        <f>IF(COUNTA($A886:$O886)=0,"",IFERROR(TRIM(TEXTJOIN(" | ",TRUE,IF($A886="","PC kosong",""),IF($C886="","Worker ID kosong",""),IF($D886="","Update Date kosong",IF(NOT(ISNUMBER($D886)),"Update Date bukan tanggal","")),IF($E886="","Song ID YT kosong",""),IF($F886="","Judul kosong",""),IF(TRIM($G886)="","",IF(ISERROR(MATCH(TRIM($G886),{"TuneCore","DistroKid","TooLost","SoundOn","Ditto","Believe","CD Baby","Amuse","Symphonic Distribution","ONErpm","RouteNote","LANDR","Horus Music","Indie"},0)),"Aggregator di luar daftar","")),IF(TRIM($H886)="","Genre kosong",IF((LEN(SUBSTITUTE(SUBSTITUTE(SUBSTITUTE(TRIM($H886),"/",","),";",",")," ",""))-LEN(SUBSTITUTE(SUBSTITUTE(SUBSTITUTE(SUBSTITUTE(TRIM($H886),"/",","),";",","),"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886),"/",","),";",",")," ","")&amp;",")))&lt;&gt;(LEN(SUBSTITUTE(SUBSTITUTE(SUBSTITUTE(TRIM($H886),"/",","),";",",")," ",""))-LEN(SUBSTITUTE(SUBSTITUTE(SUBSTITUTE(SUBSTITUTE(TRIM($H886),"/",","),";",",")," ",""),",",""))+1),"Genre di luar daftar",""))),IF($I886="","Nama Channel kosong",""),IF($J886="","Link Channel kosong",IF(ISERROR(SEARCH("youtu",$J886)),"Link Channel bukan youtube","")),IF($K886="","Link Video kosong",IF(ISERROR(SEARCH("youtu",$K886)),"Link Video bukan youtube","")),IF($L886="","Tgl Dibuat kosong",IF(NOT(ISNUMBER($L886)),"Tgl Dibuat bukan tanggal","")),IF(AND($M886&lt;&gt;"",NOT(ISNUMBER($M886))),"Tgl Publish bukan tanggal",""),IF(AND(ISNUMBER($L886),ISNUMBER($M886),$M886&lt;$L886),"Tgl Publish &lt; Tgl buat",""),IF(TRIM($N886)="","Status kosong",IF(ISERROR(MATCH(TRIM($N886),{"Draft","Menunggu Review","Revisi","Terjadwal","Upload","Publish","Published","Batal"},0)),"Status di luar daftar","")))),""))</f>
        <v/>
      </c>
      <c r="S886" s="17">
        <f>IF(AND($A886&lt;&gt;"",$C886&lt;&gt;""),IF(COUNTIFS($A$2:$A$1000,$A886,$C$2:$C$1000,$C886)&gt;1,"DUPLICAT",""),"")</f>
        <v/>
      </c>
    </row>
    <row r="887">
      <c r="A887" s="12" t="n"/>
      <c r="B887" s="12" t="n"/>
      <c r="C887" s="12" t="n"/>
      <c r="D887" s="13" t="n"/>
      <c r="E887" s="12" t="n"/>
      <c r="F887" s="14" t="n"/>
      <c r="G887" s="12" t="n"/>
      <c r="H887" s="12" t="n"/>
      <c r="I887" s="12" t="n"/>
      <c r="J887" s="14" t="n"/>
      <c r="K887" s="14" t="n"/>
      <c r="L887" s="15" t="n"/>
      <c r="M887" s="15" t="n"/>
      <c r="N887" s="12" t="n"/>
      <c r="O887" s="12" t="n"/>
      <c r="P887" s="16">
        <f>IF(AND(ISNUMBER($L887),ISNUMBER($M887)),MAX(0,$M887-$L887),"")</f>
        <v/>
      </c>
      <c r="Q887" s="16">
        <f>IF(ISNUMBER($D887),MAX(0,TODAY()-$D887),"")</f>
        <v/>
      </c>
      <c r="R887" s="14">
        <f>IF(COUNTA($A887:$O887)=0,"",IFERROR(TRIM(TEXTJOIN(" | ",TRUE,IF($A887="","PC kosong",""),IF($C887="","Worker ID kosong",""),IF($D887="","Update Date kosong",IF(NOT(ISNUMBER($D887)),"Update Date bukan tanggal","")),IF($E887="","Song ID YT kosong",""),IF($F887="","Judul kosong",""),IF(TRIM($G887)="","",IF(ISERROR(MATCH(TRIM($G887),{"TuneCore","DistroKid","TooLost","SoundOn","Ditto","Believe","CD Baby","Amuse","Symphonic Distribution","ONErpm","RouteNote","LANDR","Horus Music","Indie"},0)),"Aggregator di luar daftar","")),IF(TRIM($H887)="","Genre kosong",IF((LEN(SUBSTITUTE(SUBSTITUTE(SUBSTITUTE(TRIM($H887),"/",","),";",",")," ",""))-LEN(SUBSTITUTE(SUBSTITUTE(SUBSTITUTE(SUBSTITUTE(TRIM($H887),"/",","),";",","),"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887),"/",","),";",",")," ","")&amp;",")))&lt;&gt;(LEN(SUBSTITUTE(SUBSTITUTE(SUBSTITUTE(TRIM($H887),"/",","),";",",")," ",""))-LEN(SUBSTITUTE(SUBSTITUTE(SUBSTITUTE(SUBSTITUTE(TRIM($H887),"/",","),";",",")," ",""),",",""))+1),"Genre di luar daftar",""))),IF($I887="","Nama Channel kosong",""),IF($J887="","Link Channel kosong",IF(ISERROR(SEARCH("youtu",$J887)),"Link Channel bukan youtube","")),IF($K887="","Link Video kosong",IF(ISERROR(SEARCH("youtu",$K887)),"Link Video bukan youtube","")),IF($L887="","Tgl Dibuat kosong",IF(NOT(ISNUMBER($L887)),"Tgl Dibuat bukan tanggal","")),IF(AND($M887&lt;&gt;"",NOT(ISNUMBER($M887))),"Tgl Publish bukan tanggal",""),IF(AND(ISNUMBER($L887),ISNUMBER($M887),$M887&lt;$L887),"Tgl Publish &lt; Tgl buat",""),IF(TRIM($N887)="","Status kosong",IF(ISERROR(MATCH(TRIM($N887),{"Draft","Menunggu Review","Revisi","Terjadwal","Upload","Publish","Published","Batal"},0)),"Status di luar daftar","")))),""))</f>
        <v/>
      </c>
      <c r="S887" s="12">
        <f>IF(AND($A887&lt;&gt;"",$C887&lt;&gt;""),IF(COUNTIFS($A$2:$A$1000,$A887,$C$2:$C$1000,$C887)&gt;1,"DUPLICAT",""),"")</f>
        <v/>
      </c>
    </row>
    <row r="888">
      <c r="A888" s="17" t="n"/>
      <c r="B888" s="17" t="n"/>
      <c r="C888" s="17" t="n"/>
      <c r="D888" s="18" t="n"/>
      <c r="E888" s="17" t="n"/>
      <c r="F888" s="19" t="n"/>
      <c r="G888" s="17" t="n"/>
      <c r="H888" s="17" t="n"/>
      <c r="I888" s="17" t="n"/>
      <c r="J888" s="19" t="n"/>
      <c r="K888" s="19" t="n"/>
      <c r="L888" s="20" t="n"/>
      <c r="M888" s="20" t="n"/>
      <c r="N888" s="17" t="n"/>
      <c r="O888" s="17" t="n"/>
      <c r="P888" s="21">
        <f>IF(AND(ISNUMBER($L888),ISNUMBER($M888)),MAX(0,$M888-$L888),"")</f>
        <v/>
      </c>
      <c r="Q888" s="21">
        <f>IF(ISNUMBER($D888),MAX(0,TODAY()-$D888),"")</f>
        <v/>
      </c>
      <c r="R888" s="19">
        <f>IF(COUNTA($A888:$O888)=0,"",IFERROR(TRIM(TEXTJOIN(" | ",TRUE,IF($A888="","PC kosong",""),IF($C888="","Worker ID kosong",""),IF($D888="","Update Date kosong",IF(NOT(ISNUMBER($D888)),"Update Date bukan tanggal","")),IF($E888="","Song ID YT kosong",""),IF($F888="","Judul kosong",""),IF(TRIM($G888)="","",IF(ISERROR(MATCH(TRIM($G888),{"TuneCore","DistroKid","TooLost","SoundOn","Ditto","Believe","CD Baby","Amuse","Symphonic Distribution","ONErpm","RouteNote","LANDR","Horus Music","Indie"},0)),"Aggregator di luar daftar","")),IF(TRIM($H888)="","Genre kosong",IF((LEN(SUBSTITUTE(SUBSTITUTE(SUBSTITUTE(TRIM($H888),"/",","),";",",")," ",""))-LEN(SUBSTITUTE(SUBSTITUTE(SUBSTITUTE(SUBSTITUTE(TRIM($H888),"/",","),";",","),"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888),"/",","),";",",")," ","")&amp;",")))&lt;&gt;(LEN(SUBSTITUTE(SUBSTITUTE(SUBSTITUTE(TRIM($H888),"/",","),";",",")," ",""))-LEN(SUBSTITUTE(SUBSTITUTE(SUBSTITUTE(SUBSTITUTE(TRIM($H888),"/",","),";",",")," ",""),",",""))+1),"Genre di luar daftar",""))),IF($I888="","Nama Channel kosong",""),IF($J888="","Link Channel kosong",IF(ISERROR(SEARCH("youtu",$J888)),"Link Channel bukan youtube","")),IF($K888="","Link Video kosong",IF(ISERROR(SEARCH("youtu",$K888)),"Link Video bukan youtube","")),IF($L888="","Tgl Dibuat kosong",IF(NOT(ISNUMBER($L888)),"Tgl Dibuat bukan tanggal","")),IF(AND($M888&lt;&gt;"",NOT(ISNUMBER($M888))),"Tgl Publish bukan tanggal",""),IF(AND(ISNUMBER($L888),ISNUMBER($M888),$M888&lt;$L888),"Tgl Publish &lt; Tgl buat",""),IF(TRIM($N888)="","Status kosong",IF(ISERROR(MATCH(TRIM($N888),{"Draft","Menunggu Review","Revisi","Terjadwal","Upload","Publish","Published","Batal"},0)),"Status di luar daftar","")))),""))</f>
        <v/>
      </c>
      <c r="S888" s="17">
        <f>IF(AND($A888&lt;&gt;"",$C888&lt;&gt;""),IF(COUNTIFS($A$2:$A$1000,$A888,$C$2:$C$1000,$C888)&gt;1,"DUPLICAT",""),"")</f>
        <v/>
      </c>
    </row>
    <row r="889">
      <c r="A889" s="12" t="n"/>
      <c r="B889" s="12" t="n"/>
      <c r="C889" s="12" t="n"/>
      <c r="D889" s="13" t="n"/>
      <c r="E889" s="12" t="n"/>
      <c r="F889" s="14" t="n"/>
      <c r="G889" s="12" t="n"/>
      <c r="H889" s="12" t="n"/>
      <c r="I889" s="12" t="n"/>
      <c r="J889" s="14" t="n"/>
      <c r="K889" s="14" t="n"/>
      <c r="L889" s="15" t="n"/>
      <c r="M889" s="15" t="n"/>
      <c r="N889" s="12" t="n"/>
      <c r="O889" s="12" t="n"/>
      <c r="P889" s="16">
        <f>IF(AND(ISNUMBER($L889),ISNUMBER($M889)),MAX(0,$M889-$L889),"")</f>
        <v/>
      </c>
      <c r="Q889" s="16">
        <f>IF(ISNUMBER($D889),MAX(0,TODAY()-$D889),"")</f>
        <v/>
      </c>
      <c r="R889" s="14">
        <f>IF(COUNTA($A889:$O889)=0,"",IFERROR(TRIM(TEXTJOIN(" | ",TRUE,IF($A889="","PC kosong",""),IF($C889="","Worker ID kosong",""),IF($D889="","Update Date kosong",IF(NOT(ISNUMBER($D889)),"Update Date bukan tanggal","")),IF($E889="","Song ID YT kosong",""),IF($F889="","Judul kosong",""),IF(TRIM($G889)="","",IF(ISERROR(MATCH(TRIM($G889),{"TuneCore","DistroKid","TooLost","SoundOn","Ditto","Believe","CD Baby","Amuse","Symphonic Distribution","ONErpm","RouteNote","LANDR","Horus Music","Indie"},0)),"Aggregator di luar daftar","")),IF(TRIM($H889)="","Genre kosong",IF((LEN(SUBSTITUTE(SUBSTITUTE(SUBSTITUTE(TRIM($H889),"/",","),";",",")," ",""))-LEN(SUBSTITUTE(SUBSTITUTE(SUBSTITUTE(SUBSTITUTE(TRIM($H889),"/",","),";",","),"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889),"/",","),";",",")," ","")&amp;",")))&lt;&gt;(LEN(SUBSTITUTE(SUBSTITUTE(SUBSTITUTE(TRIM($H889),"/",","),";",",")," ",""))-LEN(SUBSTITUTE(SUBSTITUTE(SUBSTITUTE(SUBSTITUTE(TRIM($H889),"/",","),";",",")," ",""),",",""))+1),"Genre di luar daftar",""))),IF($I889="","Nama Channel kosong",""),IF($J889="","Link Channel kosong",IF(ISERROR(SEARCH("youtu",$J889)),"Link Channel bukan youtube","")),IF($K889="","Link Video kosong",IF(ISERROR(SEARCH("youtu",$K889)),"Link Video bukan youtube","")),IF($L889="","Tgl Dibuat kosong",IF(NOT(ISNUMBER($L889)),"Tgl Dibuat bukan tanggal","")),IF(AND($M889&lt;&gt;"",NOT(ISNUMBER($M889))),"Tgl Publish bukan tanggal",""),IF(AND(ISNUMBER($L889),ISNUMBER($M889),$M889&lt;$L889),"Tgl Publish &lt; Tgl buat",""),IF(TRIM($N889)="","Status kosong",IF(ISERROR(MATCH(TRIM($N889),{"Draft","Menunggu Review","Revisi","Terjadwal","Upload","Publish","Published","Batal"},0)),"Status di luar daftar","")))),""))</f>
        <v/>
      </c>
      <c r="S889" s="12">
        <f>IF(AND($A889&lt;&gt;"",$C889&lt;&gt;""),IF(COUNTIFS($A$2:$A$1000,$A889,$C$2:$C$1000,$C889)&gt;1,"DUPLICAT",""),"")</f>
        <v/>
      </c>
    </row>
    <row r="890">
      <c r="A890" s="17" t="n"/>
      <c r="B890" s="17" t="n"/>
      <c r="C890" s="17" t="n"/>
      <c r="D890" s="18" t="n"/>
      <c r="E890" s="17" t="n"/>
      <c r="F890" s="19" t="n"/>
      <c r="G890" s="17" t="n"/>
      <c r="H890" s="17" t="n"/>
      <c r="I890" s="17" t="n"/>
      <c r="J890" s="19" t="n"/>
      <c r="K890" s="19" t="n"/>
      <c r="L890" s="20" t="n"/>
      <c r="M890" s="20" t="n"/>
      <c r="N890" s="17" t="n"/>
      <c r="O890" s="17" t="n"/>
      <c r="P890" s="21">
        <f>IF(AND(ISNUMBER($L890),ISNUMBER($M890)),MAX(0,$M890-$L890),"")</f>
        <v/>
      </c>
      <c r="Q890" s="21">
        <f>IF(ISNUMBER($D890),MAX(0,TODAY()-$D890),"")</f>
        <v/>
      </c>
      <c r="R890" s="19">
        <f>IF(COUNTA($A890:$O890)=0,"",IFERROR(TRIM(TEXTJOIN(" | ",TRUE,IF($A890="","PC kosong",""),IF($C890="","Worker ID kosong",""),IF($D890="","Update Date kosong",IF(NOT(ISNUMBER($D890)),"Update Date bukan tanggal","")),IF($E890="","Song ID YT kosong",""),IF($F890="","Judul kosong",""),IF(TRIM($G890)="","",IF(ISERROR(MATCH(TRIM($G890),{"TuneCore","DistroKid","TooLost","SoundOn","Ditto","Believe","CD Baby","Amuse","Symphonic Distribution","ONErpm","RouteNote","LANDR","Horus Music","Indie"},0)),"Aggregator di luar daftar","")),IF(TRIM($H890)="","Genre kosong",IF((LEN(SUBSTITUTE(SUBSTITUTE(SUBSTITUTE(TRIM($H890),"/",","),";",",")," ",""))-LEN(SUBSTITUTE(SUBSTITUTE(SUBSTITUTE(SUBSTITUTE(TRIM($H890),"/",","),";",","),"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890),"/",","),";",",")," ","")&amp;",")))&lt;&gt;(LEN(SUBSTITUTE(SUBSTITUTE(SUBSTITUTE(TRIM($H890),"/",","),";",",")," ",""))-LEN(SUBSTITUTE(SUBSTITUTE(SUBSTITUTE(SUBSTITUTE(TRIM($H890),"/",","),";",",")," ",""),",",""))+1),"Genre di luar daftar",""))),IF($I890="","Nama Channel kosong",""),IF($J890="","Link Channel kosong",IF(ISERROR(SEARCH("youtu",$J890)),"Link Channel bukan youtube","")),IF($K890="","Link Video kosong",IF(ISERROR(SEARCH("youtu",$K890)),"Link Video bukan youtube","")),IF($L890="","Tgl Dibuat kosong",IF(NOT(ISNUMBER($L890)),"Tgl Dibuat bukan tanggal","")),IF(AND($M890&lt;&gt;"",NOT(ISNUMBER($M890))),"Tgl Publish bukan tanggal",""),IF(AND(ISNUMBER($L890),ISNUMBER($M890),$M890&lt;$L890),"Tgl Publish &lt; Tgl buat",""),IF(TRIM($N890)="","Status kosong",IF(ISERROR(MATCH(TRIM($N890),{"Draft","Menunggu Review","Revisi","Terjadwal","Upload","Publish","Published","Batal"},0)),"Status di luar daftar","")))),""))</f>
        <v/>
      </c>
      <c r="S890" s="17">
        <f>IF(AND($A890&lt;&gt;"",$C890&lt;&gt;""),IF(COUNTIFS($A$2:$A$1000,$A890,$C$2:$C$1000,$C890)&gt;1,"DUPLICAT",""),"")</f>
        <v/>
      </c>
    </row>
    <row r="891">
      <c r="A891" s="12" t="n"/>
      <c r="B891" s="12" t="n"/>
      <c r="C891" s="12" t="n"/>
      <c r="D891" s="13" t="n"/>
      <c r="E891" s="12" t="n"/>
      <c r="F891" s="14" t="n"/>
      <c r="G891" s="12" t="n"/>
      <c r="H891" s="12" t="n"/>
      <c r="I891" s="12" t="n"/>
      <c r="J891" s="14" t="n"/>
      <c r="K891" s="14" t="n"/>
      <c r="L891" s="15" t="n"/>
      <c r="M891" s="15" t="n"/>
      <c r="N891" s="12" t="n"/>
      <c r="O891" s="12" t="n"/>
      <c r="P891" s="16">
        <f>IF(AND(ISNUMBER($L891),ISNUMBER($M891)),MAX(0,$M891-$L891),"")</f>
        <v/>
      </c>
      <c r="Q891" s="16">
        <f>IF(ISNUMBER($D891),MAX(0,TODAY()-$D891),"")</f>
        <v/>
      </c>
      <c r="R891" s="14">
        <f>IF(COUNTA($A891:$O891)=0,"",IFERROR(TRIM(TEXTJOIN(" | ",TRUE,IF($A891="","PC kosong",""),IF($C891="","Worker ID kosong",""),IF($D891="","Update Date kosong",IF(NOT(ISNUMBER($D891)),"Update Date bukan tanggal","")),IF($E891="","Song ID YT kosong",""),IF($F891="","Judul kosong",""),IF(TRIM($G891)="","",IF(ISERROR(MATCH(TRIM($G891),{"TuneCore","DistroKid","TooLost","SoundOn","Ditto","Believe","CD Baby","Amuse","Symphonic Distribution","ONErpm","RouteNote","LANDR","Horus Music","Indie"},0)),"Aggregator di luar daftar","")),IF(TRIM($H891)="","Genre kosong",IF((LEN(SUBSTITUTE(SUBSTITUTE(SUBSTITUTE(TRIM($H891),"/",","),";",",")," ",""))-LEN(SUBSTITUTE(SUBSTITUTE(SUBSTITUTE(SUBSTITUTE(TRIM($H891),"/",","),";",","),"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891),"/",","),";",",")," ","")&amp;",")))&lt;&gt;(LEN(SUBSTITUTE(SUBSTITUTE(SUBSTITUTE(TRIM($H891),"/",","),";",",")," ",""))-LEN(SUBSTITUTE(SUBSTITUTE(SUBSTITUTE(SUBSTITUTE(TRIM($H891),"/",","),";",",")," ",""),",",""))+1),"Genre di luar daftar",""))),IF($I891="","Nama Channel kosong",""),IF($J891="","Link Channel kosong",IF(ISERROR(SEARCH("youtu",$J891)),"Link Channel bukan youtube","")),IF($K891="","Link Video kosong",IF(ISERROR(SEARCH("youtu",$K891)),"Link Video bukan youtube","")),IF($L891="","Tgl Dibuat kosong",IF(NOT(ISNUMBER($L891)),"Tgl Dibuat bukan tanggal","")),IF(AND($M891&lt;&gt;"",NOT(ISNUMBER($M891))),"Tgl Publish bukan tanggal",""),IF(AND(ISNUMBER($L891),ISNUMBER($M891),$M891&lt;$L891),"Tgl Publish &lt; Tgl buat",""),IF(TRIM($N891)="","Status kosong",IF(ISERROR(MATCH(TRIM($N891),{"Draft","Menunggu Review","Revisi","Terjadwal","Upload","Publish","Published","Batal"},0)),"Status di luar daftar","")))),""))</f>
        <v/>
      </c>
      <c r="S891" s="12">
        <f>IF(AND($A891&lt;&gt;"",$C891&lt;&gt;""),IF(COUNTIFS($A$2:$A$1000,$A891,$C$2:$C$1000,$C891)&gt;1,"DUPLICAT",""),"")</f>
        <v/>
      </c>
    </row>
    <row r="892">
      <c r="A892" s="17" t="n"/>
      <c r="B892" s="17" t="n"/>
      <c r="C892" s="17" t="n"/>
      <c r="D892" s="18" t="n"/>
      <c r="E892" s="17" t="n"/>
      <c r="F892" s="19" t="n"/>
      <c r="G892" s="17" t="n"/>
      <c r="H892" s="17" t="n"/>
      <c r="I892" s="17" t="n"/>
      <c r="J892" s="19" t="n"/>
      <c r="K892" s="19" t="n"/>
      <c r="L892" s="20" t="n"/>
      <c r="M892" s="20" t="n"/>
      <c r="N892" s="17" t="n"/>
      <c r="O892" s="17" t="n"/>
      <c r="P892" s="21">
        <f>IF(AND(ISNUMBER($L892),ISNUMBER($M892)),MAX(0,$M892-$L892),"")</f>
        <v/>
      </c>
      <c r="Q892" s="21">
        <f>IF(ISNUMBER($D892),MAX(0,TODAY()-$D892),"")</f>
        <v/>
      </c>
      <c r="R892" s="19">
        <f>IF(COUNTA($A892:$O892)=0,"",IFERROR(TRIM(TEXTJOIN(" | ",TRUE,IF($A892="","PC kosong",""),IF($C892="","Worker ID kosong",""),IF($D892="","Update Date kosong",IF(NOT(ISNUMBER($D892)),"Update Date bukan tanggal","")),IF($E892="","Song ID YT kosong",""),IF($F892="","Judul kosong",""),IF(TRIM($G892)="","",IF(ISERROR(MATCH(TRIM($G892),{"TuneCore","DistroKid","TooLost","SoundOn","Ditto","Believe","CD Baby","Amuse","Symphonic Distribution","ONErpm","RouteNote","LANDR","Horus Music","Indie"},0)),"Aggregator di luar daftar","")),IF(TRIM($H892)="","Genre kosong",IF((LEN(SUBSTITUTE(SUBSTITUTE(SUBSTITUTE(TRIM($H892),"/",","),";",",")," ",""))-LEN(SUBSTITUTE(SUBSTITUTE(SUBSTITUTE(SUBSTITUTE(TRIM($H892),"/",","),";",","),"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892),"/",","),";",",")," ","")&amp;",")))&lt;&gt;(LEN(SUBSTITUTE(SUBSTITUTE(SUBSTITUTE(TRIM($H892),"/",","),";",",")," ",""))-LEN(SUBSTITUTE(SUBSTITUTE(SUBSTITUTE(SUBSTITUTE(TRIM($H892),"/",","),";",",")," ",""),",",""))+1),"Genre di luar daftar",""))),IF($I892="","Nama Channel kosong",""),IF($J892="","Link Channel kosong",IF(ISERROR(SEARCH("youtu",$J892)),"Link Channel bukan youtube","")),IF($K892="","Link Video kosong",IF(ISERROR(SEARCH("youtu",$K892)),"Link Video bukan youtube","")),IF($L892="","Tgl Dibuat kosong",IF(NOT(ISNUMBER($L892)),"Tgl Dibuat bukan tanggal","")),IF(AND($M892&lt;&gt;"",NOT(ISNUMBER($M892))),"Tgl Publish bukan tanggal",""),IF(AND(ISNUMBER($L892),ISNUMBER($M892),$M892&lt;$L892),"Tgl Publish &lt; Tgl buat",""),IF(TRIM($N892)="","Status kosong",IF(ISERROR(MATCH(TRIM($N892),{"Draft","Menunggu Review","Revisi","Terjadwal","Upload","Publish","Published","Batal"},0)),"Status di luar daftar","")))),""))</f>
        <v/>
      </c>
      <c r="S892" s="17">
        <f>IF(AND($A892&lt;&gt;"",$C892&lt;&gt;""),IF(COUNTIFS($A$2:$A$1000,$A892,$C$2:$C$1000,$C892)&gt;1,"DUPLICAT",""),"")</f>
        <v/>
      </c>
    </row>
    <row r="893">
      <c r="A893" s="12" t="n"/>
      <c r="B893" s="12" t="n"/>
      <c r="C893" s="12" t="n"/>
      <c r="D893" s="13" t="n"/>
      <c r="E893" s="12" t="n"/>
      <c r="F893" s="14" t="n"/>
      <c r="G893" s="12" t="n"/>
      <c r="H893" s="12" t="n"/>
      <c r="I893" s="12" t="n"/>
      <c r="J893" s="14" t="n"/>
      <c r="K893" s="14" t="n"/>
      <c r="L893" s="15" t="n"/>
      <c r="M893" s="15" t="n"/>
      <c r="N893" s="12" t="n"/>
      <c r="O893" s="12" t="n"/>
      <c r="P893" s="16">
        <f>IF(AND(ISNUMBER($L893),ISNUMBER($M893)),MAX(0,$M893-$L893),"")</f>
        <v/>
      </c>
      <c r="Q893" s="16">
        <f>IF(ISNUMBER($D893),MAX(0,TODAY()-$D893),"")</f>
        <v/>
      </c>
      <c r="R893" s="14">
        <f>IF(COUNTA($A893:$O893)=0,"",IFERROR(TRIM(TEXTJOIN(" | ",TRUE,IF($A893="","PC kosong",""),IF($C893="","Worker ID kosong",""),IF($D893="","Update Date kosong",IF(NOT(ISNUMBER($D893)),"Update Date bukan tanggal","")),IF($E893="","Song ID YT kosong",""),IF($F893="","Judul kosong",""),IF(TRIM($G893)="","",IF(ISERROR(MATCH(TRIM($G893),{"TuneCore","DistroKid","TooLost","SoundOn","Ditto","Believe","CD Baby","Amuse","Symphonic Distribution","ONErpm","RouteNote","LANDR","Horus Music","Indie"},0)),"Aggregator di luar daftar","")),IF(TRIM($H893)="","Genre kosong",IF((LEN(SUBSTITUTE(SUBSTITUTE(SUBSTITUTE(TRIM($H893),"/",","),";",",")," ",""))-LEN(SUBSTITUTE(SUBSTITUTE(SUBSTITUTE(SUBSTITUTE(TRIM($H893),"/",","),";",","),"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893),"/",","),";",",")," ","")&amp;",")))&lt;&gt;(LEN(SUBSTITUTE(SUBSTITUTE(SUBSTITUTE(TRIM($H893),"/",","),";",",")," ",""))-LEN(SUBSTITUTE(SUBSTITUTE(SUBSTITUTE(SUBSTITUTE(TRIM($H893),"/",","),";",",")," ",""),",",""))+1),"Genre di luar daftar",""))),IF($I893="","Nama Channel kosong",""),IF($J893="","Link Channel kosong",IF(ISERROR(SEARCH("youtu",$J893)),"Link Channel bukan youtube","")),IF($K893="","Link Video kosong",IF(ISERROR(SEARCH("youtu",$K893)),"Link Video bukan youtube","")),IF($L893="","Tgl Dibuat kosong",IF(NOT(ISNUMBER($L893)),"Tgl Dibuat bukan tanggal","")),IF(AND($M893&lt;&gt;"",NOT(ISNUMBER($M893))),"Tgl Publish bukan tanggal",""),IF(AND(ISNUMBER($L893),ISNUMBER($M893),$M893&lt;$L893),"Tgl Publish &lt; Tgl buat",""),IF(TRIM($N893)="","Status kosong",IF(ISERROR(MATCH(TRIM($N893),{"Draft","Menunggu Review","Revisi","Terjadwal","Upload","Publish","Published","Batal"},0)),"Status di luar daftar","")))),""))</f>
        <v/>
      </c>
      <c r="S893" s="12">
        <f>IF(AND($A893&lt;&gt;"",$C893&lt;&gt;""),IF(COUNTIFS($A$2:$A$1000,$A893,$C$2:$C$1000,$C893)&gt;1,"DUPLICAT",""),"")</f>
        <v/>
      </c>
    </row>
    <row r="894">
      <c r="A894" s="17" t="n"/>
      <c r="B894" s="17" t="n"/>
      <c r="C894" s="17" t="n"/>
      <c r="D894" s="18" t="n"/>
      <c r="E894" s="17" t="n"/>
      <c r="F894" s="19" t="n"/>
      <c r="G894" s="17" t="n"/>
      <c r="H894" s="17" t="n"/>
      <c r="I894" s="17" t="n"/>
      <c r="J894" s="19" t="n"/>
      <c r="K894" s="19" t="n"/>
      <c r="L894" s="20" t="n"/>
      <c r="M894" s="20" t="n"/>
      <c r="N894" s="17" t="n"/>
      <c r="O894" s="17" t="n"/>
      <c r="P894" s="21">
        <f>IF(AND(ISNUMBER($L894),ISNUMBER($M894)),MAX(0,$M894-$L894),"")</f>
        <v/>
      </c>
      <c r="Q894" s="21">
        <f>IF(ISNUMBER($D894),MAX(0,TODAY()-$D894),"")</f>
        <v/>
      </c>
      <c r="R894" s="19">
        <f>IF(COUNTA($A894:$O894)=0,"",IFERROR(TRIM(TEXTJOIN(" | ",TRUE,IF($A894="","PC kosong",""),IF($C894="","Worker ID kosong",""),IF($D894="","Update Date kosong",IF(NOT(ISNUMBER($D894)),"Update Date bukan tanggal","")),IF($E894="","Song ID YT kosong",""),IF($F894="","Judul kosong",""),IF(TRIM($G894)="","",IF(ISERROR(MATCH(TRIM($G894),{"TuneCore","DistroKid","TooLost","SoundOn","Ditto","Believe","CD Baby","Amuse","Symphonic Distribution","ONErpm","RouteNote","LANDR","Horus Music","Indie"},0)),"Aggregator di luar daftar","")),IF(TRIM($H894)="","Genre kosong",IF((LEN(SUBSTITUTE(SUBSTITUTE(SUBSTITUTE(TRIM($H894),"/",","),";",",")," ",""))-LEN(SUBSTITUTE(SUBSTITUTE(SUBSTITUTE(SUBSTITUTE(TRIM($H894),"/",","),";",","),"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894),"/",","),";",",")," ","")&amp;",")))&lt;&gt;(LEN(SUBSTITUTE(SUBSTITUTE(SUBSTITUTE(TRIM($H894),"/",","),";",",")," ",""))-LEN(SUBSTITUTE(SUBSTITUTE(SUBSTITUTE(SUBSTITUTE(TRIM($H894),"/",","),";",",")," ",""),",",""))+1),"Genre di luar daftar",""))),IF($I894="","Nama Channel kosong",""),IF($J894="","Link Channel kosong",IF(ISERROR(SEARCH("youtu",$J894)),"Link Channel bukan youtube","")),IF($K894="","Link Video kosong",IF(ISERROR(SEARCH("youtu",$K894)),"Link Video bukan youtube","")),IF($L894="","Tgl Dibuat kosong",IF(NOT(ISNUMBER($L894)),"Tgl Dibuat bukan tanggal","")),IF(AND($M894&lt;&gt;"",NOT(ISNUMBER($M894))),"Tgl Publish bukan tanggal",""),IF(AND(ISNUMBER($L894),ISNUMBER($M894),$M894&lt;$L894),"Tgl Publish &lt; Tgl buat",""),IF(TRIM($N894)="","Status kosong",IF(ISERROR(MATCH(TRIM($N894),{"Draft","Menunggu Review","Revisi","Terjadwal","Upload","Publish","Published","Batal"},0)),"Status di luar daftar","")))),""))</f>
        <v/>
      </c>
      <c r="S894" s="17">
        <f>IF(AND($A894&lt;&gt;"",$C894&lt;&gt;""),IF(COUNTIFS($A$2:$A$1000,$A894,$C$2:$C$1000,$C894)&gt;1,"DUPLICAT",""),"")</f>
        <v/>
      </c>
    </row>
    <row r="895">
      <c r="A895" s="12" t="n"/>
      <c r="B895" s="12" t="n"/>
      <c r="C895" s="12" t="n"/>
      <c r="D895" s="13" t="n"/>
      <c r="E895" s="12" t="n"/>
      <c r="F895" s="14" t="n"/>
      <c r="G895" s="12" t="n"/>
      <c r="H895" s="12" t="n"/>
      <c r="I895" s="12" t="n"/>
      <c r="J895" s="14" t="n"/>
      <c r="K895" s="14" t="n"/>
      <c r="L895" s="15" t="n"/>
      <c r="M895" s="15" t="n"/>
      <c r="N895" s="12" t="n"/>
      <c r="O895" s="12" t="n"/>
      <c r="P895" s="16">
        <f>IF(AND(ISNUMBER($L895),ISNUMBER($M895)),MAX(0,$M895-$L895),"")</f>
        <v/>
      </c>
      <c r="Q895" s="16">
        <f>IF(ISNUMBER($D895),MAX(0,TODAY()-$D895),"")</f>
        <v/>
      </c>
      <c r="R895" s="14">
        <f>IF(COUNTA($A895:$O895)=0,"",IFERROR(TRIM(TEXTJOIN(" | ",TRUE,IF($A895="","PC kosong",""),IF($C895="","Worker ID kosong",""),IF($D895="","Update Date kosong",IF(NOT(ISNUMBER($D895)),"Update Date bukan tanggal","")),IF($E895="","Song ID YT kosong",""),IF($F895="","Judul kosong",""),IF(TRIM($G895)="","",IF(ISERROR(MATCH(TRIM($G895),{"TuneCore","DistroKid","TooLost","SoundOn","Ditto","Believe","CD Baby","Amuse","Symphonic Distribution","ONErpm","RouteNote","LANDR","Horus Music","Indie"},0)),"Aggregator di luar daftar","")),IF(TRIM($H895)="","Genre kosong",IF((LEN(SUBSTITUTE(SUBSTITUTE(SUBSTITUTE(TRIM($H895),"/",","),";",",")," ",""))-LEN(SUBSTITUTE(SUBSTITUTE(SUBSTITUTE(SUBSTITUTE(TRIM($H895),"/",","),";",","),"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895),"/",","),";",",")," ","")&amp;",")))&lt;&gt;(LEN(SUBSTITUTE(SUBSTITUTE(SUBSTITUTE(TRIM($H895),"/",","),";",",")," ",""))-LEN(SUBSTITUTE(SUBSTITUTE(SUBSTITUTE(SUBSTITUTE(TRIM($H895),"/",","),";",",")," ",""),",",""))+1),"Genre di luar daftar",""))),IF($I895="","Nama Channel kosong",""),IF($J895="","Link Channel kosong",IF(ISERROR(SEARCH("youtu",$J895)),"Link Channel bukan youtube","")),IF($K895="","Link Video kosong",IF(ISERROR(SEARCH("youtu",$K895)),"Link Video bukan youtube","")),IF($L895="","Tgl Dibuat kosong",IF(NOT(ISNUMBER($L895)),"Tgl Dibuat bukan tanggal","")),IF(AND($M895&lt;&gt;"",NOT(ISNUMBER($M895))),"Tgl Publish bukan tanggal",""),IF(AND(ISNUMBER($L895),ISNUMBER($M895),$M895&lt;$L895),"Tgl Publish &lt; Tgl buat",""),IF(TRIM($N895)="","Status kosong",IF(ISERROR(MATCH(TRIM($N895),{"Draft","Menunggu Review","Revisi","Terjadwal","Upload","Publish","Published","Batal"},0)),"Status di luar daftar","")))),""))</f>
        <v/>
      </c>
      <c r="S895" s="12">
        <f>IF(AND($A895&lt;&gt;"",$C895&lt;&gt;""),IF(COUNTIFS($A$2:$A$1000,$A895,$C$2:$C$1000,$C895)&gt;1,"DUPLICAT",""),"")</f>
        <v/>
      </c>
    </row>
    <row r="896">
      <c r="A896" s="17" t="n"/>
      <c r="B896" s="17" t="n"/>
      <c r="C896" s="17" t="n"/>
      <c r="D896" s="18" t="n"/>
      <c r="E896" s="17" t="n"/>
      <c r="F896" s="19" t="n"/>
      <c r="G896" s="17" t="n"/>
      <c r="H896" s="17" t="n"/>
      <c r="I896" s="17" t="n"/>
      <c r="J896" s="19" t="n"/>
      <c r="K896" s="19" t="n"/>
      <c r="L896" s="20" t="n"/>
      <c r="M896" s="20" t="n"/>
      <c r="N896" s="17" t="n"/>
      <c r="O896" s="17" t="n"/>
      <c r="P896" s="21">
        <f>IF(AND(ISNUMBER($L896),ISNUMBER($M896)),MAX(0,$M896-$L896),"")</f>
        <v/>
      </c>
      <c r="Q896" s="21">
        <f>IF(ISNUMBER($D896),MAX(0,TODAY()-$D896),"")</f>
        <v/>
      </c>
      <c r="R896" s="19">
        <f>IF(COUNTA($A896:$O896)=0,"",IFERROR(TRIM(TEXTJOIN(" | ",TRUE,IF($A896="","PC kosong",""),IF($C896="","Worker ID kosong",""),IF($D896="","Update Date kosong",IF(NOT(ISNUMBER($D896)),"Update Date bukan tanggal","")),IF($E896="","Song ID YT kosong",""),IF($F896="","Judul kosong",""),IF(TRIM($G896)="","",IF(ISERROR(MATCH(TRIM($G896),{"TuneCore","DistroKid","TooLost","SoundOn","Ditto","Believe","CD Baby","Amuse","Symphonic Distribution","ONErpm","RouteNote","LANDR","Horus Music","Indie"},0)),"Aggregator di luar daftar","")),IF(TRIM($H896)="","Genre kosong",IF((LEN(SUBSTITUTE(SUBSTITUTE(SUBSTITUTE(TRIM($H896),"/",","),";",",")," ",""))-LEN(SUBSTITUTE(SUBSTITUTE(SUBSTITUTE(SUBSTITUTE(TRIM($H896),"/",","),";",","),"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896),"/",","),";",",")," ","")&amp;",")))&lt;&gt;(LEN(SUBSTITUTE(SUBSTITUTE(SUBSTITUTE(TRIM($H896),"/",","),";",",")," ",""))-LEN(SUBSTITUTE(SUBSTITUTE(SUBSTITUTE(SUBSTITUTE(TRIM($H896),"/",","),";",",")," ",""),",",""))+1),"Genre di luar daftar",""))),IF($I896="","Nama Channel kosong",""),IF($J896="","Link Channel kosong",IF(ISERROR(SEARCH("youtu",$J896)),"Link Channel bukan youtube","")),IF($K896="","Link Video kosong",IF(ISERROR(SEARCH("youtu",$K896)),"Link Video bukan youtube","")),IF($L896="","Tgl Dibuat kosong",IF(NOT(ISNUMBER($L896)),"Tgl Dibuat bukan tanggal","")),IF(AND($M896&lt;&gt;"",NOT(ISNUMBER($M896))),"Tgl Publish bukan tanggal",""),IF(AND(ISNUMBER($L896),ISNUMBER($M896),$M896&lt;$L896),"Tgl Publish &lt; Tgl buat",""),IF(TRIM($N896)="","Status kosong",IF(ISERROR(MATCH(TRIM($N896),{"Draft","Menunggu Review","Revisi","Terjadwal","Upload","Publish","Published","Batal"},0)),"Status di luar daftar","")))),""))</f>
        <v/>
      </c>
      <c r="S896" s="17">
        <f>IF(AND($A896&lt;&gt;"",$C896&lt;&gt;""),IF(COUNTIFS($A$2:$A$1000,$A896,$C$2:$C$1000,$C896)&gt;1,"DUPLICAT",""),"")</f>
        <v/>
      </c>
    </row>
    <row r="897">
      <c r="A897" s="12" t="n"/>
      <c r="B897" s="12" t="n"/>
      <c r="C897" s="12" t="n"/>
      <c r="D897" s="13" t="n"/>
      <c r="E897" s="12" t="n"/>
      <c r="F897" s="14" t="n"/>
      <c r="G897" s="12" t="n"/>
      <c r="H897" s="12" t="n"/>
      <c r="I897" s="12" t="n"/>
      <c r="J897" s="14" t="n"/>
      <c r="K897" s="14" t="n"/>
      <c r="L897" s="15" t="n"/>
      <c r="M897" s="15" t="n"/>
      <c r="N897" s="12" t="n"/>
      <c r="O897" s="12" t="n"/>
      <c r="P897" s="16">
        <f>IF(AND(ISNUMBER($L897),ISNUMBER($M897)),MAX(0,$M897-$L897),"")</f>
        <v/>
      </c>
      <c r="Q897" s="16">
        <f>IF(ISNUMBER($D897),MAX(0,TODAY()-$D897),"")</f>
        <v/>
      </c>
      <c r="R897" s="14">
        <f>IF(COUNTA($A897:$O897)=0,"",IFERROR(TRIM(TEXTJOIN(" | ",TRUE,IF($A897="","PC kosong",""),IF($C897="","Worker ID kosong",""),IF($D897="","Update Date kosong",IF(NOT(ISNUMBER($D897)),"Update Date bukan tanggal","")),IF($E897="","Song ID YT kosong",""),IF($F897="","Judul kosong",""),IF(TRIM($G897)="","",IF(ISERROR(MATCH(TRIM($G897),{"TuneCore","DistroKid","TooLost","SoundOn","Ditto","Believe","CD Baby","Amuse","Symphonic Distribution","ONErpm","RouteNote","LANDR","Horus Music","Indie"},0)),"Aggregator di luar daftar","")),IF(TRIM($H897)="","Genre kosong",IF((LEN(SUBSTITUTE(SUBSTITUTE(SUBSTITUTE(TRIM($H897),"/",","),";",",")," ",""))-LEN(SUBSTITUTE(SUBSTITUTE(SUBSTITUTE(SUBSTITUTE(TRIM($H897),"/",","),";",","),"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897),"/",","),";",",")," ","")&amp;",")))&lt;&gt;(LEN(SUBSTITUTE(SUBSTITUTE(SUBSTITUTE(TRIM($H897),"/",","),";",",")," ",""))-LEN(SUBSTITUTE(SUBSTITUTE(SUBSTITUTE(SUBSTITUTE(TRIM($H897),"/",","),";",",")," ",""),",",""))+1),"Genre di luar daftar",""))),IF($I897="","Nama Channel kosong",""),IF($J897="","Link Channel kosong",IF(ISERROR(SEARCH("youtu",$J897)),"Link Channel bukan youtube","")),IF($K897="","Link Video kosong",IF(ISERROR(SEARCH("youtu",$K897)),"Link Video bukan youtube","")),IF($L897="","Tgl Dibuat kosong",IF(NOT(ISNUMBER($L897)),"Tgl Dibuat bukan tanggal","")),IF(AND($M897&lt;&gt;"",NOT(ISNUMBER($M897))),"Tgl Publish bukan tanggal",""),IF(AND(ISNUMBER($L897),ISNUMBER($M897),$M897&lt;$L897),"Tgl Publish &lt; Tgl buat",""),IF(TRIM($N897)="","Status kosong",IF(ISERROR(MATCH(TRIM($N897),{"Draft","Menunggu Review","Revisi","Terjadwal","Upload","Publish","Published","Batal"},0)),"Status di luar daftar","")))),""))</f>
        <v/>
      </c>
      <c r="S897" s="12">
        <f>IF(AND($A897&lt;&gt;"",$C897&lt;&gt;""),IF(COUNTIFS($A$2:$A$1000,$A897,$C$2:$C$1000,$C897)&gt;1,"DUPLICAT",""),"")</f>
        <v/>
      </c>
    </row>
    <row r="898">
      <c r="A898" s="17" t="n"/>
      <c r="B898" s="17" t="n"/>
      <c r="C898" s="17" t="n"/>
      <c r="D898" s="18" t="n"/>
      <c r="E898" s="17" t="n"/>
      <c r="F898" s="19" t="n"/>
      <c r="G898" s="17" t="n"/>
      <c r="H898" s="17" t="n"/>
      <c r="I898" s="17" t="n"/>
      <c r="J898" s="19" t="n"/>
      <c r="K898" s="19" t="n"/>
      <c r="L898" s="20" t="n"/>
      <c r="M898" s="20" t="n"/>
      <c r="N898" s="17" t="n"/>
      <c r="O898" s="17" t="n"/>
      <c r="P898" s="21">
        <f>IF(AND(ISNUMBER($L898),ISNUMBER($M898)),MAX(0,$M898-$L898),"")</f>
        <v/>
      </c>
      <c r="Q898" s="21">
        <f>IF(ISNUMBER($D898),MAX(0,TODAY()-$D898),"")</f>
        <v/>
      </c>
      <c r="R898" s="19">
        <f>IF(COUNTA($A898:$O898)=0,"",IFERROR(TRIM(TEXTJOIN(" | ",TRUE,IF($A898="","PC kosong",""),IF($C898="","Worker ID kosong",""),IF($D898="","Update Date kosong",IF(NOT(ISNUMBER($D898)),"Update Date bukan tanggal","")),IF($E898="","Song ID YT kosong",""),IF($F898="","Judul kosong",""),IF(TRIM($G898)="","",IF(ISERROR(MATCH(TRIM($G898),{"TuneCore","DistroKid","TooLost","SoundOn","Ditto","Believe","CD Baby","Amuse","Symphonic Distribution","ONErpm","RouteNote","LANDR","Horus Music","Indie"},0)),"Aggregator di luar daftar","")),IF(TRIM($H898)="","Genre kosong",IF((LEN(SUBSTITUTE(SUBSTITUTE(SUBSTITUTE(TRIM($H898),"/",","),";",",")," ",""))-LEN(SUBSTITUTE(SUBSTITUTE(SUBSTITUTE(SUBSTITUTE(TRIM($H898),"/",","),";",","),"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898),"/",","),";",",")," ","")&amp;",")))&lt;&gt;(LEN(SUBSTITUTE(SUBSTITUTE(SUBSTITUTE(TRIM($H898),"/",","),";",",")," ",""))-LEN(SUBSTITUTE(SUBSTITUTE(SUBSTITUTE(SUBSTITUTE(TRIM($H898),"/",","),";",",")," ",""),",",""))+1),"Genre di luar daftar",""))),IF($I898="","Nama Channel kosong",""),IF($J898="","Link Channel kosong",IF(ISERROR(SEARCH("youtu",$J898)),"Link Channel bukan youtube","")),IF($K898="","Link Video kosong",IF(ISERROR(SEARCH("youtu",$K898)),"Link Video bukan youtube","")),IF($L898="","Tgl Dibuat kosong",IF(NOT(ISNUMBER($L898)),"Tgl Dibuat bukan tanggal","")),IF(AND($M898&lt;&gt;"",NOT(ISNUMBER($M898))),"Tgl Publish bukan tanggal",""),IF(AND(ISNUMBER($L898),ISNUMBER($M898),$M898&lt;$L898),"Tgl Publish &lt; Tgl buat",""),IF(TRIM($N898)="","Status kosong",IF(ISERROR(MATCH(TRIM($N898),{"Draft","Menunggu Review","Revisi","Terjadwal","Upload","Publish","Published","Batal"},0)),"Status di luar daftar","")))),""))</f>
        <v/>
      </c>
      <c r="S898" s="17">
        <f>IF(AND($A898&lt;&gt;"",$C898&lt;&gt;""),IF(COUNTIFS($A$2:$A$1000,$A898,$C$2:$C$1000,$C898)&gt;1,"DUPLICAT",""),"")</f>
        <v/>
      </c>
    </row>
    <row r="899">
      <c r="A899" s="12" t="n"/>
      <c r="B899" s="12" t="n"/>
      <c r="C899" s="12" t="n"/>
      <c r="D899" s="13" t="n"/>
      <c r="E899" s="12" t="n"/>
      <c r="F899" s="14" t="n"/>
      <c r="G899" s="12" t="n"/>
      <c r="H899" s="12" t="n"/>
      <c r="I899" s="12" t="n"/>
      <c r="J899" s="14" t="n"/>
      <c r="K899" s="14" t="n"/>
      <c r="L899" s="15" t="n"/>
      <c r="M899" s="15" t="n"/>
      <c r="N899" s="12" t="n"/>
      <c r="O899" s="12" t="n"/>
      <c r="P899" s="16">
        <f>IF(AND(ISNUMBER($L899),ISNUMBER($M899)),MAX(0,$M899-$L899),"")</f>
        <v/>
      </c>
      <c r="Q899" s="16">
        <f>IF(ISNUMBER($D899),MAX(0,TODAY()-$D899),"")</f>
        <v/>
      </c>
      <c r="R899" s="14">
        <f>IF(COUNTA($A899:$O899)=0,"",IFERROR(TRIM(TEXTJOIN(" | ",TRUE,IF($A899="","PC kosong",""),IF($C899="","Worker ID kosong",""),IF($D899="","Update Date kosong",IF(NOT(ISNUMBER($D899)),"Update Date bukan tanggal","")),IF($E899="","Song ID YT kosong",""),IF($F899="","Judul kosong",""),IF(TRIM($G899)="","",IF(ISERROR(MATCH(TRIM($G899),{"TuneCore","DistroKid","TooLost","SoundOn","Ditto","Believe","CD Baby","Amuse","Symphonic Distribution","ONErpm","RouteNote","LANDR","Horus Music","Indie"},0)),"Aggregator di luar daftar","")),IF(TRIM($H899)="","Genre kosong",IF((LEN(SUBSTITUTE(SUBSTITUTE(SUBSTITUTE(TRIM($H899),"/",","),";",",")," ",""))-LEN(SUBSTITUTE(SUBSTITUTE(SUBSTITUTE(SUBSTITUTE(TRIM($H899),"/",","),";",","),"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899),"/",","),";",",")," ","")&amp;",")))&lt;&gt;(LEN(SUBSTITUTE(SUBSTITUTE(SUBSTITUTE(TRIM($H899),"/",","),";",",")," ",""))-LEN(SUBSTITUTE(SUBSTITUTE(SUBSTITUTE(SUBSTITUTE(TRIM($H899),"/",","),";",",")," ",""),",",""))+1),"Genre di luar daftar",""))),IF($I899="","Nama Channel kosong",""),IF($J899="","Link Channel kosong",IF(ISERROR(SEARCH("youtu",$J899)),"Link Channel bukan youtube","")),IF($K899="","Link Video kosong",IF(ISERROR(SEARCH("youtu",$K899)),"Link Video bukan youtube","")),IF($L899="","Tgl Dibuat kosong",IF(NOT(ISNUMBER($L899)),"Tgl Dibuat bukan tanggal","")),IF(AND($M899&lt;&gt;"",NOT(ISNUMBER($M899))),"Tgl Publish bukan tanggal",""),IF(AND(ISNUMBER($L899),ISNUMBER($M899),$M899&lt;$L899),"Tgl Publish &lt; Tgl buat",""),IF(TRIM($N899)="","Status kosong",IF(ISERROR(MATCH(TRIM($N899),{"Draft","Menunggu Review","Revisi","Terjadwal","Upload","Publish","Published","Batal"},0)),"Status di luar daftar","")))),""))</f>
        <v/>
      </c>
      <c r="S899" s="12">
        <f>IF(AND($A899&lt;&gt;"",$C899&lt;&gt;""),IF(COUNTIFS($A$2:$A$1000,$A899,$C$2:$C$1000,$C899)&gt;1,"DUPLICAT",""),"")</f>
        <v/>
      </c>
    </row>
    <row r="900">
      <c r="A900" s="17" t="n"/>
      <c r="B900" s="17" t="n"/>
      <c r="C900" s="17" t="n"/>
      <c r="D900" s="18" t="n"/>
      <c r="E900" s="17" t="n"/>
      <c r="F900" s="19" t="n"/>
      <c r="G900" s="17" t="n"/>
      <c r="H900" s="17" t="n"/>
      <c r="I900" s="17" t="n"/>
      <c r="J900" s="19" t="n"/>
      <c r="K900" s="19" t="n"/>
      <c r="L900" s="20" t="n"/>
      <c r="M900" s="20" t="n"/>
      <c r="N900" s="17" t="n"/>
      <c r="O900" s="17" t="n"/>
      <c r="P900" s="21">
        <f>IF(AND(ISNUMBER($L900),ISNUMBER($M900)),MAX(0,$M900-$L900),"")</f>
        <v/>
      </c>
      <c r="Q900" s="21">
        <f>IF(ISNUMBER($D900),MAX(0,TODAY()-$D900),"")</f>
        <v/>
      </c>
      <c r="R900" s="19">
        <f>IF(COUNTA($A900:$O900)=0,"",IFERROR(TRIM(TEXTJOIN(" | ",TRUE,IF($A900="","PC kosong",""),IF($C900="","Worker ID kosong",""),IF($D900="","Update Date kosong",IF(NOT(ISNUMBER($D900)),"Update Date bukan tanggal","")),IF($E900="","Song ID YT kosong",""),IF($F900="","Judul kosong",""),IF(TRIM($G900)="","",IF(ISERROR(MATCH(TRIM($G900),{"TuneCore","DistroKid","TooLost","SoundOn","Ditto","Believe","CD Baby","Amuse","Symphonic Distribution","ONErpm","RouteNote","LANDR","Horus Music","Indie"},0)),"Aggregator di luar daftar","")),IF(TRIM($H900)="","Genre kosong",IF((LEN(SUBSTITUTE(SUBSTITUTE(SUBSTITUTE(TRIM($H900),"/",","),";",",")," ",""))-LEN(SUBSTITUTE(SUBSTITUTE(SUBSTITUTE(SUBSTITUTE(TRIM($H900),"/",","),";",","),"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900),"/",","),";",",")," ","")&amp;",")))&lt;&gt;(LEN(SUBSTITUTE(SUBSTITUTE(SUBSTITUTE(TRIM($H900),"/",","),";",",")," ",""))-LEN(SUBSTITUTE(SUBSTITUTE(SUBSTITUTE(SUBSTITUTE(TRIM($H900),"/",","),";",",")," ",""),",",""))+1),"Genre di luar daftar",""))),IF($I900="","Nama Channel kosong",""),IF($J900="","Link Channel kosong",IF(ISERROR(SEARCH("youtu",$J900)),"Link Channel bukan youtube","")),IF($K900="","Link Video kosong",IF(ISERROR(SEARCH("youtu",$K900)),"Link Video bukan youtube","")),IF($L900="","Tgl Dibuat kosong",IF(NOT(ISNUMBER($L900)),"Tgl Dibuat bukan tanggal","")),IF(AND($M900&lt;&gt;"",NOT(ISNUMBER($M900))),"Tgl Publish bukan tanggal",""),IF(AND(ISNUMBER($L900),ISNUMBER($M900),$M900&lt;$L900),"Tgl Publish &lt; Tgl buat",""),IF(TRIM($N900)="","Status kosong",IF(ISERROR(MATCH(TRIM($N900),{"Draft","Menunggu Review","Revisi","Terjadwal","Upload","Publish","Published","Batal"},0)),"Status di luar daftar","")))),""))</f>
        <v/>
      </c>
      <c r="S900" s="17">
        <f>IF(AND($A900&lt;&gt;"",$C900&lt;&gt;""),IF(COUNTIFS($A$2:$A$1000,$A900,$C$2:$C$1000,$C900)&gt;1,"DUPLICAT",""),"")</f>
        <v/>
      </c>
    </row>
    <row r="901">
      <c r="A901" s="12" t="n"/>
      <c r="B901" s="12" t="n"/>
      <c r="C901" s="12" t="n"/>
      <c r="D901" s="13" t="n"/>
      <c r="E901" s="12" t="n"/>
      <c r="F901" s="14" t="n"/>
      <c r="G901" s="12" t="n"/>
      <c r="H901" s="12" t="n"/>
      <c r="I901" s="12" t="n"/>
      <c r="J901" s="14" t="n"/>
      <c r="K901" s="14" t="n"/>
      <c r="L901" s="15" t="n"/>
      <c r="M901" s="15" t="n"/>
      <c r="N901" s="12" t="n"/>
      <c r="O901" s="12" t="n"/>
      <c r="P901" s="16">
        <f>IF(AND(ISNUMBER($L901),ISNUMBER($M901)),MAX(0,$M901-$L901),"")</f>
        <v/>
      </c>
      <c r="Q901" s="16">
        <f>IF(ISNUMBER($D901),MAX(0,TODAY()-$D901),"")</f>
        <v/>
      </c>
      <c r="R901" s="14">
        <f>IF(COUNTA($A901:$O901)=0,"",IFERROR(TRIM(TEXTJOIN(" | ",TRUE,IF($A901="","PC kosong",""),IF($C901="","Worker ID kosong",""),IF($D901="","Update Date kosong",IF(NOT(ISNUMBER($D901)),"Update Date bukan tanggal","")),IF($E901="","Song ID YT kosong",""),IF($F901="","Judul kosong",""),IF(TRIM($G901)="","",IF(ISERROR(MATCH(TRIM($G901),{"TuneCore","DistroKid","TooLost","SoundOn","Ditto","Believe","CD Baby","Amuse","Symphonic Distribution","ONErpm","RouteNote","LANDR","Horus Music","Indie"},0)),"Aggregator di luar daftar","")),IF(TRIM($H901)="","Genre kosong",IF((LEN(SUBSTITUTE(SUBSTITUTE(SUBSTITUTE(TRIM($H901),"/",","),";",",")," ",""))-LEN(SUBSTITUTE(SUBSTITUTE(SUBSTITUTE(SUBSTITUTE(TRIM($H901),"/",","),";",","),"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901),"/",","),";",",")," ","")&amp;",")))&lt;&gt;(LEN(SUBSTITUTE(SUBSTITUTE(SUBSTITUTE(TRIM($H901),"/",","),";",",")," ",""))-LEN(SUBSTITUTE(SUBSTITUTE(SUBSTITUTE(SUBSTITUTE(TRIM($H901),"/",","),";",",")," ",""),",",""))+1),"Genre di luar daftar",""))),IF($I901="","Nama Channel kosong",""),IF($J901="","Link Channel kosong",IF(ISERROR(SEARCH("youtu",$J901)),"Link Channel bukan youtube","")),IF($K901="","Link Video kosong",IF(ISERROR(SEARCH("youtu",$K901)),"Link Video bukan youtube","")),IF($L901="","Tgl Dibuat kosong",IF(NOT(ISNUMBER($L901)),"Tgl Dibuat bukan tanggal","")),IF(AND($M901&lt;&gt;"",NOT(ISNUMBER($M901))),"Tgl Publish bukan tanggal",""),IF(AND(ISNUMBER($L901),ISNUMBER($M901),$M901&lt;$L901),"Tgl Publish &lt; Tgl buat",""),IF(TRIM($N901)="","Status kosong",IF(ISERROR(MATCH(TRIM($N901),{"Draft","Menunggu Review","Revisi","Terjadwal","Upload","Publish","Published","Batal"},0)),"Status di luar daftar","")))),""))</f>
        <v/>
      </c>
      <c r="S901" s="12">
        <f>IF(AND($A901&lt;&gt;"",$C901&lt;&gt;""),IF(COUNTIFS($A$2:$A$1000,$A901,$C$2:$C$1000,$C901)&gt;1,"DUPLICAT",""),"")</f>
        <v/>
      </c>
    </row>
    <row r="902">
      <c r="A902" s="17" t="n"/>
      <c r="B902" s="17" t="n"/>
      <c r="C902" s="17" t="n"/>
      <c r="D902" s="18" t="n"/>
      <c r="E902" s="17" t="n"/>
      <c r="F902" s="19" t="n"/>
      <c r="G902" s="17" t="n"/>
      <c r="H902" s="17" t="n"/>
      <c r="I902" s="17" t="n"/>
      <c r="J902" s="19" t="n"/>
      <c r="K902" s="19" t="n"/>
      <c r="L902" s="20" t="n"/>
      <c r="M902" s="20" t="n"/>
      <c r="N902" s="17" t="n"/>
      <c r="O902" s="17" t="n"/>
      <c r="P902" s="21">
        <f>IF(AND(ISNUMBER($L902),ISNUMBER($M902)),MAX(0,$M902-$L902),"")</f>
        <v/>
      </c>
      <c r="Q902" s="21">
        <f>IF(ISNUMBER($D902),MAX(0,TODAY()-$D902),"")</f>
        <v/>
      </c>
      <c r="R902" s="19">
        <f>IF(COUNTA($A902:$O902)=0,"",IFERROR(TRIM(TEXTJOIN(" | ",TRUE,IF($A902="","PC kosong",""),IF($C902="","Worker ID kosong",""),IF($D902="","Update Date kosong",IF(NOT(ISNUMBER($D902)),"Update Date bukan tanggal","")),IF($E902="","Song ID YT kosong",""),IF($F902="","Judul kosong",""),IF(TRIM($G902)="","",IF(ISERROR(MATCH(TRIM($G902),{"TuneCore","DistroKid","TooLost","SoundOn","Ditto","Believe","CD Baby","Amuse","Symphonic Distribution","ONErpm","RouteNote","LANDR","Horus Music","Indie"},0)),"Aggregator di luar daftar","")),IF(TRIM($H902)="","Genre kosong",IF((LEN(SUBSTITUTE(SUBSTITUTE(SUBSTITUTE(TRIM($H902),"/",","),";",",")," ",""))-LEN(SUBSTITUTE(SUBSTITUTE(SUBSTITUTE(SUBSTITUTE(TRIM($H902),"/",","),";",","),"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902),"/",","),";",",")," ","")&amp;",")))&lt;&gt;(LEN(SUBSTITUTE(SUBSTITUTE(SUBSTITUTE(TRIM($H902),"/",","),";",",")," ",""))-LEN(SUBSTITUTE(SUBSTITUTE(SUBSTITUTE(SUBSTITUTE(TRIM($H902),"/",","),";",",")," ",""),",",""))+1),"Genre di luar daftar",""))),IF($I902="","Nama Channel kosong",""),IF($J902="","Link Channel kosong",IF(ISERROR(SEARCH("youtu",$J902)),"Link Channel bukan youtube","")),IF($K902="","Link Video kosong",IF(ISERROR(SEARCH("youtu",$K902)),"Link Video bukan youtube","")),IF($L902="","Tgl Dibuat kosong",IF(NOT(ISNUMBER($L902)),"Tgl Dibuat bukan tanggal","")),IF(AND($M902&lt;&gt;"",NOT(ISNUMBER($M902))),"Tgl Publish bukan tanggal",""),IF(AND(ISNUMBER($L902),ISNUMBER($M902),$M902&lt;$L902),"Tgl Publish &lt; Tgl buat",""),IF(TRIM($N902)="","Status kosong",IF(ISERROR(MATCH(TRIM($N902),{"Draft","Menunggu Review","Revisi","Terjadwal","Upload","Publish","Published","Batal"},0)),"Status di luar daftar","")))),""))</f>
        <v/>
      </c>
      <c r="S902" s="17">
        <f>IF(AND($A902&lt;&gt;"",$C902&lt;&gt;""),IF(COUNTIFS($A$2:$A$1000,$A902,$C$2:$C$1000,$C902)&gt;1,"DUPLICAT",""),"")</f>
        <v/>
      </c>
    </row>
    <row r="903">
      <c r="A903" s="12" t="n"/>
      <c r="B903" s="12" t="n"/>
      <c r="C903" s="12" t="n"/>
      <c r="D903" s="13" t="n"/>
      <c r="E903" s="12" t="n"/>
      <c r="F903" s="14" t="n"/>
      <c r="G903" s="12" t="n"/>
      <c r="H903" s="12" t="n"/>
      <c r="I903" s="12" t="n"/>
      <c r="J903" s="14" t="n"/>
      <c r="K903" s="14" t="n"/>
      <c r="L903" s="15" t="n"/>
      <c r="M903" s="15" t="n"/>
      <c r="N903" s="12" t="n"/>
      <c r="O903" s="12" t="n"/>
      <c r="P903" s="16">
        <f>IF(AND(ISNUMBER($L903),ISNUMBER($M903)),MAX(0,$M903-$L903),"")</f>
        <v/>
      </c>
      <c r="Q903" s="16">
        <f>IF(ISNUMBER($D903),MAX(0,TODAY()-$D903),"")</f>
        <v/>
      </c>
      <c r="R903" s="14">
        <f>IF(COUNTA($A903:$O903)=0,"",IFERROR(TRIM(TEXTJOIN(" | ",TRUE,IF($A903="","PC kosong",""),IF($C903="","Worker ID kosong",""),IF($D903="","Update Date kosong",IF(NOT(ISNUMBER($D903)),"Update Date bukan tanggal","")),IF($E903="","Song ID YT kosong",""),IF($F903="","Judul kosong",""),IF(TRIM($G903)="","",IF(ISERROR(MATCH(TRIM($G903),{"TuneCore","DistroKid","TooLost","SoundOn","Ditto","Believe","CD Baby","Amuse","Symphonic Distribution","ONErpm","RouteNote","LANDR","Horus Music","Indie"},0)),"Aggregator di luar daftar","")),IF(TRIM($H903)="","Genre kosong",IF((LEN(SUBSTITUTE(SUBSTITUTE(SUBSTITUTE(TRIM($H903),"/",","),";",",")," ",""))-LEN(SUBSTITUTE(SUBSTITUTE(SUBSTITUTE(SUBSTITUTE(TRIM($H903),"/",","),";",","),"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903),"/",","),";",",")," ","")&amp;",")))&lt;&gt;(LEN(SUBSTITUTE(SUBSTITUTE(SUBSTITUTE(TRIM($H903),"/",","),";",",")," ",""))-LEN(SUBSTITUTE(SUBSTITUTE(SUBSTITUTE(SUBSTITUTE(TRIM($H903),"/",","),";",",")," ",""),",",""))+1),"Genre di luar daftar",""))),IF($I903="","Nama Channel kosong",""),IF($J903="","Link Channel kosong",IF(ISERROR(SEARCH("youtu",$J903)),"Link Channel bukan youtube","")),IF($K903="","Link Video kosong",IF(ISERROR(SEARCH("youtu",$K903)),"Link Video bukan youtube","")),IF($L903="","Tgl Dibuat kosong",IF(NOT(ISNUMBER($L903)),"Tgl Dibuat bukan tanggal","")),IF(AND($M903&lt;&gt;"",NOT(ISNUMBER($M903))),"Tgl Publish bukan tanggal",""),IF(AND(ISNUMBER($L903),ISNUMBER($M903),$M903&lt;$L903),"Tgl Publish &lt; Tgl buat",""),IF(TRIM($N903)="","Status kosong",IF(ISERROR(MATCH(TRIM($N903),{"Draft","Menunggu Review","Revisi","Terjadwal","Upload","Publish","Published","Batal"},0)),"Status di luar daftar","")))),""))</f>
        <v/>
      </c>
      <c r="S903" s="12">
        <f>IF(AND($A903&lt;&gt;"",$C903&lt;&gt;""),IF(COUNTIFS($A$2:$A$1000,$A903,$C$2:$C$1000,$C903)&gt;1,"DUPLICAT",""),"")</f>
        <v/>
      </c>
    </row>
    <row r="904">
      <c r="A904" s="17" t="n"/>
      <c r="B904" s="17" t="n"/>
      <c r="C904" s="17" t="n"/>
      <c r="D904" s="18" t="n"/>
      <c r="E904" s="17" t="n"/>
      <c r="F904" s="19" t="n"/>
      <c r="G904" s="17" t="n"/>
      <c r="H904" s="17" t="n"/>
      <c r="I904" s="17" t="n"/>
      <c r="J904" s="19" t="n"/>
      <c r="K904" s="19" t="n"/>
      <c r="L904" s="20" t="n"/>
      <c r="M904" s="20" t="n"/>
      <c r="N904" s="17" t="n"/>
      <c r="O904" s="17" t="n"/>
      <c r="P904" s="21">
        <f>IF(AND(ISNUMBER($L904),ISNUMBER($M904)),MAX(0,$M904-$L904),"")</f>
        <v/>
      </c>
      <c r="Q904" s="21">
        <f>IF(ISNUMBER($D904),MAX(0,TODAY()-$D904),"")</f>
        <v/>
      </c>
      <c r="R904" s="19">
        <f>IF(COUNTA($A904:$O904)=0,"",IFERROR(TRIM(TEXTJOIN(" | ",TRUE,IF($A904="","PC kosong",""),IF($C904="","Worker ID kosong",""),IF($D904="","Update Date kosong",IF(NOT(ISNUMBER($D904)),"Update Date bukan tanggal","")),IF($E904="","Song ID YT kosong",""),IF($F904="","Judul kosong",""),IF(TRIM($G904)="","",IF(ISERROR(MATCH(TRIM($G904),{"TuneCore","DistroKid","TooLost","SoundOn","Ditto","Believe","CD Baby","Amuse","Symphonic Distribution","ONErpm","RouteNote","LANDR","Horus Music","Indie"},0)),"Aggregator di luar daftar","")),IF(TRIM($H904)="","Genre kosong",IF((LEN(SUBSTITUTE(SUBSTITUTE(SUBSTITUTE(TRIM($H904),"/",","),";",",")," ",""))-LEN(SUBSTITUTE(SUBSTITUTE(SUBSTITUTE(SUBSTITUTE(TRIM($H904),"/",","),";",","),"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904),"/",","),";",",")," ","")&amp;",")))&lt;&gt;(LEN(SUBSTITUTE(SUBSTITUTE(SUBSTITUTE(TRIM($H904),"/",","),";",",")," ",""))-LEN(SUBSTITUTE(SUBSTITUTE(SUBSTITUTE(SUBSTITUTE(TRIM($H904),"/",","),";",",")," ",""),",",""))+1),"Genre di luar daftar",""))),IF($I904="","Nama Channel kosong",""),IF($J904="","Link Channel kosong",IF(ISERROR(SEARCH("youtu",$J904)),"Link Channel bukan youtube","")),IF($K904="","Link Video kosong",IF(ISERROR(SEARCH("youtu",$K904)),"Link Video bukan youtube","")),IF($L904="","Tgl Dibuat kosong",IF(NOT(ISNUMBER($L904)),"Tgl Dibuat bukan tanggal","")),IF(AND($M904&lt;&gt;"",NOT(ISNUMBER($M904))),"Tgl Publish bukan tanggal",""),IF(AND(ISNUMBER($L904),ISNUMBER($M904),$M904&lt;$L904),"Tgl Publish &lt; Tgl buat",""),IF(TRIM($N904)="","Status kosong",IF(ISERROR(MATCH(TRIM($N904),{"Draft","Menunggu Review","Revisi","Terjadwal","Upload","Publish","Published","Batal"},0)),"Status di luar daftar","")))),""))</f>
        <v/>
      </c>
      <c r="S904" s="17">
        <f>IF(AND($A904&lt;&gt;"",$C904&lt;&gt;""),IF(COUNTIFS($A$2:$A$1000,$A904,$C$2:$C$1000,$C904)&gt;1,"DUPLICAT",""),"")</f>
        <v/>
      </c>
    </row>
    <row r="905">
      <c r="A905" s="12" t="n"/>
      <c r="B905" s="12" t="n"/>
      <c r="C905" s="12" t="n"/>
      <c r="D905" s="13" t="n"/>
      <c r="E905" s="12" t="n"/>
      <c r="F905" s="14" t="n"/>
      <c r="G905" s="12" t="n"/>
      <c r="H905" s="12" t="n"/>
      <c r="I905" s="12" t="n"/>
      <c r="J905" s="14" t="n"/>
      <c r="K905" s="14" t="n"/>
      <c r="L905" s="15" t="n"/>
      <c r="M905" s="15" t="n"/>
      <c r="N905" s="12" t="n"/>
      <c r="O905" s="12" t="n"/>
      <c r="P905" s="16">
        <f>IF(AND(ISNUMBER($L905),ISNUMBER($M905)),MAX(0,$M905-$L905),"")</f>
        <v/>
      </c>
      <c r="Q905" s="16">
        <f>IF(ISNUMBER($D905),MAX(0,TODAY()-$D905),"")</f>
        <v/>
      </c>
      <c r="R905" s="14">
        <f>IF(COUNTA($A905:$O905)=0,"",IFERROR(TRIM(TEXTJOIN(" | ",TRUE,IF($A905="","PC kosong",""),IF($C905="","Worker ID kosong",""),IF($D905="","Update Date kosong",IF(NOT(ISNUMBER($D905)),"Update Date bukan tanggal","")),IF($E905="","Song ID YT kosong",""),IF($F905="","Judul kosong",""),IF(TRIM($G905)="","",IF(ISERROR(MATCH(TRIM($G905),{"TuneCore","DistroKid","TooLost","SoundOn","Ditto","Believe","CD Baby","Amuse","Symphonic Distribution","ONErpm","RouteNote","LANDR","Horus Music","Indie"},0)),"Aggregator di luar daftar","")),IF(TRIM($H905)="","Genre kosong",IF((LEN(SUBSTITUTE(SUBSTITUTE(SUBSTITUTE(TRIM($H905),"/",","),";",",")," ",""))-LEN(SUBSTITUTE(SUBSTITUTE(SUBSTITUTE(SUBSTITUTE(TRIM($H905),"/",","),";",","),"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905),"/",","),";",",")," ","")&amp;",")))&lt;&gt;(LEN(SUBSTITUTE(SUBSTITUTE(SUBSTITUTE(TRIM($H905),"/",","),";",",")," ",""))-LEN(SUBSTITUTE(SUBSTITUTE(SUBSTITUTE(SUBSTITUTE(TRIM($H905),"/",","),";",",")," ",""),",",""))+1),"Genre di luar daftar",""))),IF($I905="","Nama Channel kosong",""),IF($J905="","Link Channel kosong",IF(ISERROR(SEARCH("youtu",$J905)),"Link Channel bukan youtube","")),IF($K905="","Link Video kosong",IF(ISERROR(SEARCH("youtu",$K905)),"Link Video bukan youtube","")),IF($L905="","Tgl Dibuat kosong",IF(NOT(ISNUMBER($L905)),"Tgl Dibuat bukan tanggal","")),IF(AND($M905&lt;&gt;"",NOT(ISNUMBER($M905))),"Tgl Publish bukan tanggal",""),IF(AND(ISNUMBER($L905),ISNUMBER($M905),$M905&lt;$L905),"Tgl Publish &lt; Tgl buat",""),IF(TRIM($N905)="","Status kosong",IF(ISERROR(MATCH(TRIM($N905),{"Draft","Menunggu Review","Revisi","Terjadwal","Upload","Publish","Published","Batal"},0)),"Status di luar daftar","")))),""))</f>
        <v/>
      </c>
      <c r="S905" s="12">
        <f>IF(AND($A905&lt;&gt;"",$C905&lt;&gt;""),IF(COUNTIFS($A$2:$A$1000,$A905,$C$2:$C$1000,$C905)&gt;1,"DUPLICAT",""),"")</f>
        <v/>
      </c>
    </row>
    <row r="906">
      <c r="A906" s="17" t="n"/>
      <c r="B906" s="17" t="n"/>
      <c r="C906" s="17" t="n"/>
      <c r="D906" s="18" t="n"/>
      <c r="E906" s="17" t="n"/>
      <c r="F906" s="19" t="n"/>
      <c r="G906" s="17" t="n"/>
      <c r="H906" s="17" t="n"/>
      <c r="I906" s="17" t="n"/>
      <c r="J906" s="19" t="n"/>
      <c r="K906" s="19" t="n"/>
      <c r="L906" s="20" t="n"/>
      <c r="M906" s="20" t="n"/>
      <c r="N906" s="17" t="n"/>
      <c r="O906" s="17" t="n"/>
      <c r="P906" s="21">
        <f>IF(AND(ISNUMBER($L906),ISNUMBER($M906)),MAX(0,$M906-$L906),"")</f>
        <v/>
      </c>
      <c r="Q906" s="21">
        <f>IF(ISNUMBER($D906),MAX(0,TODAY()-$D906),"")</f>
        <v/>
      </c>
      <c r="R906" s="19">
        <f>IF(COUNTA($A906:$O906)=0,"",IFERROR(TRIM(TEXTJOIN(" | ",TRUE,IF($A906="","PC kosong",""),IF($C906="","Worker ID kosong",""),IF($D906="","Update Date kosong",IF(NOT(ISNUMBER($D906)),"Update Date bukan tanggal","")),IF($E906="","Song ID YT kosong",""),IF($F906="","Judul kosong",""),IF(TRIM($G906)="","",IF(ISERROR(MATCH(TRIM($G906),{"TuneCore","DistroKid","TooLost","SoundOn","Ditto","Believe","CD Baby","Amuse","Symphonic Distribution","ONErpm","RouteNote","LANDR","Horus Music","Indie"},0)),"Aggregator di luar daftar","")),IF(TRIM($H906)="","Genre kosong",IF((LEN(SUBSTITUTE(SUBSTITUTE(SUBSTITUTE(TRIM($H906),"/",","),";",",")," ",""))-LEN(SUBSTITUTE(SUBSTITUTE(SUBSTITUTE(SUBSTITUTE(TRIM($H906),"/",","),";",","),"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906),"/",","),";",",")," ","")&amp;",")))&lt;&gt;(LEN(SUBSTITUTE(SUBSTITUTE(SUBSTITUTE(TRIM($H906),"/",","),";",",")," ",""))-LEN(SUBSTITUTE(SUBSTITUTE(SUBSTITUTE(SUBSTITUTE(TRIM($H906),"/",","),";",",")," ",""),",",""))+1),"Genre di luar daftar",""))),IF($I906="","Nama Channel kosong",""),IF($J906="","Link Channel kosong",IF(ISERROR(SEARCH("youtu",$J906)),"Link Channel bukan youtube","")),IF($K906="","Link Video kosong",IF(ISERROR(SEARCH("youtu",$K906)),"Link Video bukan youtube","")),IF($L906="","Tgl Dibuat kosong",IF(NOT(ISNUMBER($L906)),"Tgl Dibuat bukan tanggal","")),IF(AND($M906&lt;&gt;"",NOT(ISNUMBER($M906))),"Tgl Publish bukan tanggal",""),IF(AND(ISNUMBER($L906),ISNUMBER($M906),$M906&lt;$L906),"Tgl Publish &lt; Tgl buat",""),IF(TRIM($N906)="","Status kosong",IF(ISERROR(MATCH(TRIM($N906),{"Draft","Menunggu Review","Revisi","Terjadwal","Upload","Publish","Published","Batal"},0)),"Status di luar daftar","")))),""))</f>
        <v/>
      </c>
      <c r="S906" s="17">
        <f>IF(AND($A906&lt;&gt;"",$C906&lt;&gt;""),IF(COUNTIFS($A$2:$A$1000,$A906,$C$2:$C$1000,$C906)&gt;1,"DUPLICAT",""),"")</f>
        <v/>
      </c>
    </row>
    <row r="907">
      <c r="A907" s="12" t="n"/>
      <c r="B907" s="12" t="n"/>
      <c r="C907" s="12" t="n"/>
      <c r="D907" s="13" t="n"/>
      <c r="E907" s="12" t="n"/>
      <c r="F907" s="14" t="n"/>
      <c r="G907" s="12" t="n"/>
      <c r="H907" s="12" t="n"/>
      <c r="I907" s="12" t="n"/>
      <c r="J907" s="14" t="n"/>
      <c r="K907" s="14" t="n"/>
      <c r="L907" s="15" t="n"/>
      <c r="M907" s="15" t="n"/>
      <c r="N907" s="12" t="n"/>
      <c r="O907" s="12" t="n"/>
      <c r="P907" s="16">
        <f>IF(AND(ISNUMBER($L907),ISNUMBER($M907)),MAX(0,$M907-$L907),"")</f>
        <v/>
      </c>
      <c r="Q907" s="16">
        <f>IF(ISNUMBER($D907),MAX(0,TODAY()-$D907),"")</f>
        <v/>
      </c>
      <c r="R907" s="14">
        <f>IF(COUNTA($A907:$O907)=0,"",IFERROR(TRIM(TEXTJOIN(" | ",TRUE,IF($A907="","PC kosong",""),IF($C907="","Worker ID kosong",""),IF($D907="","Update Date kosong",IF(NOT(ISNUMBER($D907)),"Update Date bukan tanggal","")),IF($E907="","Song ID YT kosong",""),IF($F907="","Judul kosong",""),IF(TRIM($G907)="","",IF(ISERROR(MATCH(TRIM($G907),{"TuneCore","DistroKid","TooLost","SoundOn","Ditto","Believe","CD Baby","Amuse","Symphonic Distribution","ONErpm","RouteNote","LANDR","Horus Music","Indie"},0)),"Aggregator di luar daftar","")),IF(TRIM($H907)="","Genre kosong",IF((LEN(SUBSTITUTE(SUBSTITUTE(SUBSTITUTE(TRIM($H907),"/",","),";",",")," ",""))-LEN(SUBSTITUTE(SUBSTITUTE(SUBSTITUTE(SUBSTITUTE(TRIM($H907),"/",","),";",","),"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907),"/",","),";",",")," ","")&amp;",")))&lt;&gt;(LEN(SUBSTITUTE(SUBSTITUTE(SUBSTITUTE(TRIM($H907),"/",","),";",",")," ",""))-LEN(SUBSTITUTE(SUBSTITUTE(SUBSTITUTE(SUBSTITUTE(TRIM($H907),"/",","),";",",")," ",""),",",""))+1),"Genre di luar daftar",""))),IF($I907="","Nama Channel kosong",""),IF($J907="","Link Channel kosong",IF(ISERROR(SEARCH("youtu",$J907)),"Link Channel bukan youtube","")),IF($K907="","Link Video kosong",IF(ISERROR(SEARCH("youtu",$K907)),"Link Video bukan youtube","")),IF($L907="","Tgl Dibuat kosong",IF(NOT(ISNUMBER($L907)),"Tgl Dibuat bukan tanggal","")),IF(AND($M907&lt;&gt;"",NOT(ISNUMBER($M907))),"Tgl Publish bukan tanggal",""),IF(AND(ISNUMBER($L907),ISNUMBER($M907),$M907&lt;$L907),"Tgl Publish &lt; Tgl buat",""),IF(TRIM($N907)="","Status kosong",IF(ISERROR(MATCH(TRIM($N907),{"Draft","Menunggu Review","Revisi","Terjadwal","Upload","Publish","Published","Batal"},0)),"Status di luar daftar","")))),""))</f>
        <v/>
      </c>
      <c r="S907" s="12">
        <f>IF(AND($A907&lt;&gt;"",$C907&lt;&gt;""),IF(COUNTIFS($A$2:$A$1000,$A907,$C$2:$C$1000,$C907)&gt;1,"DUPLICAT",""),"")</f>
        <v/>
      </c>
    </row>
    <row r="908">
      <c r="A908" s="17" t="n"/>
      <c r="B908" s="17" t="n"/>
      <c r="C908" s="17" t="n"/>
      <c r="D908" s="18" t="n"/>
      <c r="E908" s="17" t="n"/>
      <c r="F908" s="19" t="n"/>
      <c r="G908" s="17" t="n"/>
      <c r="H908" s="17" t="n"/>
      <c r="I908" s="17" t="n"/>
      <c r="J908" s="19" t="n"/>
      <c r="K908" s="19" t="n"/>
      <c r="L908" s="20" t="n"/>
      <c r="M908" s="20" t="n"/>
      <c r="N908" s="17" t="n"/>
      <c r="O908" s="17" t="n"/>
      <c r="P908" s="21">
        <f>IF(AND(ISNUMBER($L908),ISNUMBER($M908)),MAX(0,$M908-$L908),"")</f>
        <v/>
      </c>
      <c r="Q908" s="21">
        <f>IF(ISNUMBER($D908),MAX(0,TODAY()-$D908),"")</f>
        <v/>
      </c>
      <c r="R908" s="19">
        <f>IF(COUNTA($A908:$O908)=0,"",IFERROR(TRIM(TEXTJOIN(" | ",TRUE,IF($A908="","PC kosong",""),IF($C908="","Worker ID kosong",""),IF($D908="","Update Date kosong",IF(NOT(ISNUMBER($D908)),"Update Date bukan tanggal","")),IF($E908="","Song ID YT kosong",""),IF($F908="","Judul kosong",""),IF(TRIM($G908)="","",IF(ISERROR(MATCH(TRIM($G908),{"TuneCore","DistroKid","TooLost","SoundOn","Ditto","Believe","CD Baby","Amuse","Symphonic Distribution","ONErpm","RouteNote","LANDR","Horus Music","Indie"},0)),"Aggregator di luar daftar","")),IF(TRIM($H908)="","Genre kosong",IF((LEN(SUBSTITUTE(SUBSTITUTE(SUBSTITUTE(TRIM($H908),"/",","),";",",")," ",""))-LEN(SUBSTITUTE(SUBSTITUTE(SUBSTITUTE(SUBSTITUTE(TRIM($H908),"/",","),";",","),"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908),"/",","),";",",")," ","")&amp;",")))&lt;&gt;(LEN(SUBSTITUTE(SUBSTITUTE(SUBSTITUTE(TRIM($H908),"/",","),";",",")," ",""))-LEN(SUBSTITUTE(SUBSTITUTE(SUBSTITUTE(SUBSTITUTE(TRIM($H908),"/",","),";",",")," ",""),",",""))+1),"Genre di luar daftar",""))),IF($I908="","Nama Channel kosong",""),IF($J908="","Link Channel kosong",IF(ISERROR(SEARCH("youtu",$J908)),"Link Channel bukan youtube","")),IF($K908="","Link Video kosong",IF(ISERROR(SEARCH("youtu",$K908)),"Link Video bukan youtube","")),IF($L908="","Tgl Dibuat kosong",IF(NOT(ISNUMBER($L908)),"Tgl Dibuat bukan tanggal","")),IF(AND($M908&lt;&gt;"",NOT(ISNUMBER($M908))),"Tgl Publish bukan tanggal",""),IF(AND(ISNUMBER($L908),ISNUMBER($M908),$M908&lt;$L908),"Tgl Publish &lt; Tgl buat",""),IF(TRIM($N908)="","Status kosong",IF(ISERROR(MATCH(TRIM($N908),{"Draft","Menunggu Review","Revisi","Terjadwal","Upload","Publish","Published","Batal"},0)),"Status di luar daftar","")))),""))</f>
        <v/>
      </c>
      <c r="S908" s="17">
        <f>IF(AND($A908&lt;&gt;"",$C908&lt;&gt;""),IF(COUNTIFS($A$2:$A$1000,$A908,$C$2:$C$1000,$C908)&gt;1,"DUPLICAT",""),"")</f>
        <v/>
      </c>
    </row>
    <row r="909">
      <c r="A909" s="12" t="n"/>
      <c r="B909" s="12" t="n"/>
      <c r="C909" s="12" t="n"/>
      <c r="D909" s="13" t="n"/>
      <c r="E909" s="12" t="n"/>
      <c r="F909" s="14" t="n"/>
      <c r="G909" s="12" t="n"/>
      <c r="H909" s="12" t="n"/>
      <c r="I909" s="12" t="n"/>
      <c r="J909" s="14" t="n"/>
      <c r="K909" s="14" t="n"/>
      <c r="L909" s="15" t="n"/>
      <c r="M909" s="15" t="n"/>
      <c r="N909" s="12" t="n"/>
      <c r="O909" s="12" t="n"/>
      <c r="P909" s="16">
        <f>IF(AND(ISNUMBER($L909),ISNUMBER($M909)),MAX(0,$M909-$L909),"")</f>
        <v/>
      </c>
      <c r="Q909" s="16">
        <f>IF(ISNUMBER($D909),MAX(0,TODAY()-$D909),"")</f>
        <v/>
      </c>
      <c r="R909" s="14">
        <f>IF(COUNTA($A909:$O909)=0,"",IFERROR(TRIM(TEXTJOIN(" | ",TRUE,IF($A909="","PC kosong",""),IF($C909="","Worker ID kosong",""),IF($D909="","Update Date kosong",IF(NOT(ISNUMBER($D909)),"Update Date bukan tanggal","")),IF($E909="","Song ID YT kosong",""),IF($F909="","Judul kosong",""),IF(TRIM($G909)="","",IF(ISERROR(MATCH(TRIM($G909),{"TuneCore","DistroKid","TooLost","SoundOn","Ditto","Believe","CD Baby","Amuse","Symphonic Distribution","ONErpm","RouteNote","LANDR","Horus Music","Indie"},0)),"Aggregator di luar daftar","")),IF(TRIM($H909)="","Genre kosong",IF((LEN(SUBSTITUTE(SUBSTITUTE(SUBSTITUTE(TRIM($H909),"/",","),";",",")," ",""))-LEN(SUBSTITUTE(SUBSTITUTE(SUBSTITUTE(SUBSTITUTE(TRIM($H909),"/",","),";",","),"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909),"/",","),";",",")," ","")&amp;",")))&lt;&gt;(LEN(SUBSTITUTE(SUBSTITUTE(SUBSTITUTE(TRIM($H909),"/",","),";",",")," ",""))-LEN(SUBSTITUTE(SUBSTITUTE(SUBSTITUTE(SUBSTITUTE(TRIM($H909),"/",","),";",",")," ",""),",",""))+1),"Genre di luar daftar",""))),IF($I909="","Nama Channel kosong",""),IF($J909="","Link Channel kosong",IF(ISERROR(SEARCH("youtu",$J909)),"Link Channel bukan youtube","")),IF($K909="","Link Video kosong",IF(ISERROR(SEARCH("youtu",$K909)),"Link Video bukan youtube","")),IF($L909="","Tgl Dibuat kosong",IF(NOT(ISNUMBER($L909)),"Tgl Dibuat bukan tanggal","")),IF(AND($M909&lt;&gt;"",NOT(ISNUMBER($M909))),"Tgl Publish bukan tanggal",""),IF(AND(ISNUMBER($L909),ISNUMBER($M909),$M909&lt;$L909),"Tgl Publish &lt; Tgl buat",""),IF(TRIM($N909)="","Status kosong",IF(ISERROR(MATCH(TRIM($N909),{"Draft","Menunggu Review","Revisi","Terjadwal","Upload","Publish","Published","Batal"},0)),"Status di luar daftar","")))),""))</f>
        <v/>
      </c>
      <c r="S909" s="12">
        <f>IF(AND($A909&lt;&gt;"",$C909&lt;&gt;""),IF(COUNTIFS($A$2:$A$1000,$A909,$C$2:$C$1000,$C909)&gt;1,"DUPLICAT",""),"")</f>
        <v/>
      </c>
    </row>
    <row r="910">
      <c r="A910" s="17" t="n"/>
      <c r="B910" s="17" t="n"/>
      <c r="C910" s="17" t="n"/>
      <c r="D910" s="18" t="n"/>
      <c r="E910" s="17" t="n"/>
      <c r="F910" s="19" t="n"/>
      <c r="G910" s="17" t="n"/>
      <c r="H910" s="17" t="n"/>
      <c r="I910" s="17" t="n"/>
      <c r="J910" s="19" t="n"/>
      <c r="K910" s="19" t="n"/>
      <c r="L910" s="20" t="n"/>
      <c r="M910" s="20" t="n"/>
      <c r="N910" s="17" t="n"/>
      <c r="O910" s="17" t="n"/>
      <c r="P910" s="21">
        <f>IF(AND(ISNUMBER($L910),ISNUMBER($M910)),MAX(0,$M910-$L910),"")</f>
        <v/>
      </c>
      <c r="Q910" s="21">
        <f>IF(ISNUMBER($D910),MAX(0,TODAY()-$D910),"")</f>
        <v/>
      </c>
      <c r="R910" s="19">
        <f>IF(COUNTA($A910:$O910)=0,"",IFERROR(TRIM(TEXTJOIN(" | ",TRUE,IF($A910="","PC kosong",""),IF($C910="","Worker ID kosong",""),IF($D910="","Update Date kosong",IF(NOT(ISNUMBER($D910)),"Update Date bukan tanggal","")),IF($E910="","Song ID YT kosong",""),IF($F910="","Judul kosong",""),IF(TRIM($G910)="","",IF(ISERROR(MATCH(TRIM($G910),{"TuneCore","DistroKid","TooLost","SoundOn","Ditto","Believe","CD Baby","Amuse","Symphonic Distribution","ONErpm","RouteNote","LANDR","Horus Music","Indie"},0)),"Aggregator di luar daftar","")),IF(TRIM($H910)="","Genre kosong",IF((LEN(SUBSTITUTE(SUBSTITUTE(SUBSTITUTE(TRIM($H910),"/",","),";",",")," ",""))-LEN(SUBSTITUTE(SUBSTITUTE(SUBSTITUTE(SUBSTITUTE(TRIM($H910),"/",","),";",","),"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910),"/",","),";",",")," ","")&amp;",")))&lt;&gt;(LEN(SUBSTITUTE(SUBSTITUTE(SUBSTITUTE(TRIM($H910),"/",","),";",",")," ",""))-LEN(SUBSTITUTE(SUBSTITUTE(SUBSTITUTE(SUBSTITUTE(TRIM($H910),"/",","),";",",")," ",""),",",""))+1),"Genre di luar daftar",""))),IF($I910="","Nama Channel kosong",""),IF($J910="","Link Channel kosong",IF(ISERROR(SEARCH("youtu",$J910)),"Link Channel bukan youtube","")),IF($K910="","Link Video kosong",IF(ISERROR(SEARCH("youtu",$K910)),"Link Video bukan youtube","")),IF($L910="","Tgl Dibuat kosong",IF(NOT(ISNUMBER($L910)),"Tgl Dibuat bukan tanggal","")),IF(AND($M910&lt;&gt;"",NOT(ISNUMBER($M910))),"Tgl Publish bukan tanggal",""),IF(AND(ISNUMBER($L910),ISNUMBER($M910),$M910&lt;$L910),"Tgl Publish &lt; Tgl buat",""),IF(TRIM($N910)="","Status kosong",IF(ISERROR(MATCH(TRIM($N910),{"Draft","Menunggu Review","Revisi","Terjadwal","Upload","Publish","Published","Batal"},0)),"Status di luar daftar","")))),""))</f>
        <v/>
      </c>
      <c r="S910" s="17">
        <f>IF(AND($A910&lt;&gt;"",$C910&lt;&gt;""),IF(COUNTIFS($A$2:$A$1000,$A910,$C$2:$C$1000,$C910)&gt;1,"DUPLICAT",""),"")</f>
        <v/>
      </c>
    </row>
    <row r="911">
      <c r="A911" s="12" t="n"/>
      <c r="B911" s="12" t="n"/>
      <c r="C911" s="12" t="n"/>
      <c r="D911" s="13" t="n"/>
      <c r="E911" s="12" t="n"/>
      <c r="F911" s="14" t="n"/>
      <c r="G911" s="12" t="n"/>
      <c r="H911" s="12" t="n"/>
      <c r="I911" s="12" t="n"/>
      <c r="J911" s="14" t="n"/>
      <c r="K911" s="14" t="n"/>
      <c r="L911" s="15" t="n"/>
      <c r="M911" s="15" t="n"/>
      <c r="N911" s="12" t="n"/>
      <c r="O911" s="12" t="n"/>
      <c r="P911" s="16">
        <f>IF(AND(ISNUMBER($L911),ISNUMBER($M911)),MAX(0,$M911-$L911),"")</f>
        <v/>
      </c>
      <c r="Q911" s="16">
        <f>IF(ISNUMBER($D911),MAX(0,TODAY()-$D911),"")</f>
        <v/>
      </c>
      <c r="R911" s="14">
        <f>IF(COUNTA($A911:$O911)=0,"",IFERROR(TRIM(TEXTJOIN(" | ",TRUE,IF($A911="","PC kosong",""),IF($C911="","Worker ID kosong",""),IF($D911="","Update Date kosong",IF(NOT(ISNUMBER($D911)),"Update Date bukan tanggal","")),IF($E911="","Song ID YT kosong",""),IF($F911="","Judul kosong",""),IF(TRIM($G911)="","",IF(ISERROR(MATCH(TRIM($G911),{"TuneCore","DistroKid","TooLost","SoundOn","Ditto","Believe","CD Baby","Amuse","Symphonic Distribution","ONErpm","RouteNote","LANDR","Horus Music","Indie"},0)),"Aggregator di luar daftar","")),IF(TRIM($H911)="","Genre kosong",IF((LEN(SUBSTITUTE(SUBSTITUTE(SUBSTITUTE(TRIM($H911),"/",","),";",",")," ",""))-LEN(SUBSTITUTE(SUBSTITUTE(SUBSTITUTE(SUBSTITUTE(TRIM($H911),"/",","),";",","),"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911),"/",","),";",",")," ","")&amp;",")))&lt;&gt;(LEN(SUBSTITUTE(SUBSTITUTE(SUBSTITUTE(TRIM($H911),"/",","),";",",")," ",""))-LEN(SUBSTITUTE(SUBSTITUTE(SUBSTITUTE(SUBSTITUTE(TRIM($H911),"/",","),";",",")," ",""),",",""))+1),"Genre di luar daftar",""))),IF($I911="","Nama Channel kosong",""),IF($J911="","Link Channel kosong",IF(ISERROR(SEARCH("youtu",$J911)),"Link Channel bukan youtube","")),IF($K911="","Link Video kosong",IF(ISERROR(SEARCH("youtu",$K911)),"Link Video bukan youtube","")),IF($L911="","Tgl Dibuat kosong",IF(NOT(ISNUMBER($L911)),"Tgl Dibuat bukan tanggal","")),IF(AND($M911&lt;&gt;"",NOT(ISNUMBER($M911))),"Tgl Publish bukan tanggal",""),IF(AND(ISNUMBER($L911),ISNUMBER($M911),$M911&lt;$L911),"Tgl Publish &lt; Tgl buat",""),IF(TRIM($N911)="","Status kosong",IF(ISERROR(MATCH(TRIM($N911),{"Draft","Menunggu Review","Revisi","Terjadwal","Upload","Publish","Published","Batal"},0)),"Status di luar daftar","")))),""))</f>
        <v/>
      </c>
      <c r="S911" s="12">
        <f>IF(AND($A911&lt;&gt;"",$C911&lt;&gt;""),IF(COUNTIFS($A$2:$A$1000,$A911,$C$2:$C$1000,$C911)&gt;1,"DUPLICAT",""),"")</f>
        <v/>
      </c>
    </row>
    <row r="912">
      <c r="A912" s="17" t="n"/>
      <c r="B912" s="17" t="n"/>
      <c r="C912" s="17" t="n"/>
      <c r="D912" s="18" t="n"/>
      <c r="E912" s="17" t="n"/>
      <c r="F912" s="19" t="n"/>
      <c r="G912" s="17" t="n"/>
      <c r="H912" s="17" t="n"/>
      <c r="I912" s="17" t="n"/>
      <c r="J912" s="19" t="n"/>
      <c r="K912" s="19" t="n"/>
      <c r="L912" s="20" t="n"/>
      <c r="M912" s="20" t="n"/>
      <c r="N912" s="17" t="n"/>
      <c r="O912" s="17" t="n"/>
      <c r="P912" s="21">
        <f>IF(AND(ISNUMBER($L912),ISNUMBER($M912)),MAX(0,$M912-$L912),"")</f>
        <v/>
      </c>
      <c r="Q912" s="21">
        <f>IF(ISNUMBER($D912),MAX(0,TODAY()-$D912),"")</f>
        <v/>
      </c>
      <c r="R912" s="19">
        <f>IF(COUNTA($A912:$O912)=0,"",IFERROR(TRIM(TEXTJOIN(" | ",TRUE,IF($A912="","PC kosong",""),IF($C912="","Worker ID kosong",""),IF($D912="","Update Date kosong",IF(NOT(ISNUMBER($D912)),"Update Date bukan tanggal","")),IF($E912="","Song ID YT kosong",""),IF($F912="","Judul kosong",""),IF(TRIM($G912)="","",IF(ISERROR(MATCH(TRIM($G912),{"TuneCore","DistroKid","TooLost","SoundOn","Ditto","Believe","CD Baby","Amuse","Symphonic Distribution","ONErpm","RouteNote","LANDR","Horus Music","Indie"},0)),"Aggregator di luar daftar","")),IF(TRIM($H912)="","Genre kosong",IF((LEN(SUBSTITUTE(SUBSTITUTE(SUBSTITUTE(TRIM($H912),"/",","),";",",")," ",""))-LEN(SUBSTITUTE(SUBSTITUTE(SUBSTITUTE(SUBSTITUTE(TRIM($H912),"/",","),";",","),"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912),"/",","),";",",")," ","")&amp;",")))&lt;&gt;(LEN(SUBSTITUTE(SUBSTITUTE(SUBSTITUTE(TRIM($H912),"/",","),";",",")," ",""))-LEN(SUBSTITUTE(SUBSTITUTE(SUBSTITUTE(SUBSTITUTE(TRIM($H912),"/",","),";",",")," ",""),",",""))+1),"Genre di luar daftar",""))),IF($I912="","Nama Channel kosong",""),IF($J912="","Link Channel kosong",IF(ISERROR(SEARCH("youtu",$J912)),"Link Channel bukan youtube","")),IF($K912="","Link Video kosong",IF(ISERROR(SEARCH("youtu",$K912)),"Link Video bukan youtube","")),IF($L912="","Tgl Dibuat kosong",IF(NOT(ISNUMBER($L912)),"Tgl Dibuat bukan tanggal","")),IF(AND($M912&lt;&gt;"",NOT(ISNUMBER($M912))),"Tgl Publish bukan tanggal",""),IF(AND(ISNUMBER($L912),ISNUMBER($M912),$M912&lt;$L912),"Tgl Publish &lt; Tgl buat",""),IF(TRIM($N912)="","Status kosong",IF(ISERROR(MATCH(TRIM($N912),{"Draft","Menunggu Review","Revisi","Terjadwal","Upload","Publish","Published","Batal"},0)),"Status di luar daftar","")))),""))</f>
        <v/>
      </c>
      <c r="S912" s="17">
        <f>IF(AND($A912&lt;&gt;"",$C912&lt;&gt;""),IF(COUNTIFS($A$2:$A$1000,$A912,$C$2:$C$1000,$C912)&gt;1,"DUPLICAT",""),"")</f>
        <v/>
      </c>
    </row>
    <row r="913">
      <c r="A913" s="12" t="n"/>
      <c r="B913" s="12" t="n"/>
      <c r="C913" s="12" t="n"/>
      <c r="D913" s="13" t="n"/>
      <c r="E913" s="12" t="n"/>
      <c r="F913" s="14" t="n"/>
      <c r="G913" s="12" t="n"/>
      <c r="H913" s="12" t="n"/>
      <c r="I913" s="12" t="n"/>
      <c r="J913" s="14" t="n"/>
      <c r="K913" s="14" t="n"/>
      <c r="L913" s="15" t="n"/>
      <c r="M913" s="15" t="n"/>
      <c r="N913" s="12" t="n"/>
      <c r="O913" s="12" t="n"/>
      <c r="P913" s="16">
        <f>IF(AND(ISNUMBER($L913),ISNUMBER($M913)),MAX(0,$M913-$L913),"")</f>
        <v/>
      </c>
      <c r="Q913" s="16">
        <f>IF(ISNUMBER($D913),MAX(0,TODAY()-$D913),"")</f>
        <v/>
      </c>
      <c r="R913" s="14">
        <f>IF(COUNTA($A913:$O913)=0,"",IFERROR(TRIM(TEXTJOIN(" | ",TRUE,IF($A913="","PC kosong",""),IF($C913="","Worker ID kosong",""),IF($D913="","Update Date kosong",IF(NOT(ISNUMBER($D913)),"Update Date bukan tanggal","")),IF($E913="","Song ID YT kosong",""),IF($F913="","Judul kosong",""),IF(TRIM($G913)="","",IF(ISERROR(MATCH(TRIM($G913),{"TuneCore","DistroKid","TooLost","SoundOn","Ditto","Believe","CD Baby","Amuse","Symphonic Distribution","ONErpm","RouteNote","LANDR","Horus Music","Indie"},0)),"Aggregator di luar daftar","")),IF(TRIM($H913)="","Genre kosong",IF((LEN(SUBSTITUTE(SUBSTITUTE(SUBSTITUTE(TRIM($H913),"/",","),";",",")," ",""))-LEN(SUBSTITUTE(SUBSTITUTE(SUBSTITUTE(SUBSTITUTE(TRIM($H913),"/",","),";",","),"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913),"/",","),";",",")," ","")&amp;",")))&lt;&gt;(LEN(SUBSTITUTE(SUBSTITUTE(SUBSTITUTE(TRIM($H913),"/",","),";",",")," ",""))-LEN(SUBSTITUTE(SUBSTITUTE(SUBSTITUTE(SUBSTITUTE(TRIM($H913),"/",","),";",",")," ",""),",",""))+1),"Genre di luar daftar",""))),IF($I913="","Nama Channel kosong",""),IF($J913="","Link Channel kosong",IF(ISERROR(SEARCH("youtu",$J913)),"Link Channel bukan youtube","")),IF($K913="","Link Video kosong",IF(ISERROR(SEARCH("youtu",$K913)),"Link Video bukan youtube","")),IF($L913="","Tgl Dibuat kosong",IF(NOT(ISNUMBER($L913)),"Tgl Dibuat bukan tanggal","")),IF(AND($M913&lt;&gt;"",NOT(ISNUMBER($M913))),"Tgl Publish bukan tanggal",""),IF(AND(ISNUMBER($L913),ISNUMBER($M913),$M913&lt;$L913),"Tgl Publish &lt; Tgl buat",""),IF(TRIM($N913)="","Status kosong",IF(ISERROR(MATCH(TRIM($N913),{"Draft","Menunggu Review","Revisi","Terjadwal","Upload","Publish","Published","Batal"},0)),"Status di luar daftar","")))),""))</f>
        <v/>
      </c>
      <c r="S913" s="12">
        <f>IF(AND($A913&lt;&gt;"",$C913&lt;&gt;""),IF(COUNTIFS($A$2:$A$1000,$A913,$C$2:$C$1000,$C913)&gt;1,"DUPLICAT",""),"")</f>
        <v/>
      </c>
    </row>
    <row r="914">
      <c r="A914" s="17" t="n"/>
      <c r="B914" s="17" t="n"/>
      <c r="C914" s="17" t="n"/>
      <c r="D914" s="18" t="n"/>
      <c r="E914" s="17" t="n"/>
      <c r="F914" s="19" t="n"/>
      <c r="G914" s="17" t="n"/>
      <c r="H914" s="17" t="n"/>
      <c r="I914" s="17" t="n"/>
      <c r="J914" s="19" t="n"/>
      <c r="K914" s="19" t="n"/>
      <c r="L914" s="20" t="n"/>
      <c r="M914" s="20" t="n"/>
      <c r="N914" s="17" t="n"/>
      <c r="O914" s="17" t="n"/>
      <c r="P914" s="21">
        <f>IF(AND(ISNUMBER($L914),ISNUMBER($M914)),MAX(0,$M914-$L914),"")</f>
        <v/>
      </c>
      <c r="Q914" s="21">
        <f>IF(ISNUMBER($D914),MAX(0,TODAY()-$D914),"")</f>
        <v/>
      </c>
      <c r="R914" s="19">
        <f>IF(COUNTA($A914:$O914)=0,"",IFERROR(TRIM(TEXTJOIN(" | ",TRUE,IF($A914="","PC kosong",""),IF($C914="","Worker ID kosong",""),IF($D914="","Update Date kosong",IF(NOT(ISNUMBER($D914)),"Update Date bukan tanggal","")),IF($E914="","Song ID YT kosong",""),IF($F914="","Judul kosong",""),IF(TRIM($G914)="","",IF(ISERROR(MATCH(TRIM($G914),{"TuneCore","DistroKid","TooLost","SoundOn","Ditto","Believe","CD Baby","Amuse","Symphonic Distribution","ONErpm","RouteNote","LANDR","Horus Music","Indie"},0)),"Aggregator di luar daftar","")),IF(TRIM($H914)="","Genre kosong",IF((LEN(SUBSTITUTE(SUBSTITUTE(SUBSTITUTE(TRIM($H914),"/",","),";",",")," ",""))-LEN(SUBSTITUTE(SUBSTITUTE(SUBSTITUTE(SUBSTITUTE(TRIM($H914),"/",","),";",","),"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914),"/",","),";",",")," ","")&amp;",")))&lt;&gt;(LEN(SUBSTITUTE(SUBSTITUTE(SUBSTITUTE(TRIM($H914),"/",","),";",",")," ",""))-LEN(SUBSTITUTE(SUBSTITUTE(SUBSTITUTE(SUBSTITUTE(TRIM($H914),"/",","),";",",")," ",""),",",""))+1),"Genre di luar daftar",""))),IF($I914="","Nama Channel kosong",""),IF($J914="","Link Channel kosong",IF(ISERROR(SEARCH("youtu",$J914)),"Link Channel bukan youtube","")),IF($K914="","Link Video kosong",IF(ISERROR(SEARCH("youtu",$K914)),"Link Video bukan youtube","")),IF($L914="","Tgl Dibuat kosong",IF(NOT(ISNUMBER($L914)),"Tgl Dibuat bukan tanggal","")),IF(AND($M914&lt;&gt;"",NOT(ISNUMBER($M914))),"Tgl Publish bukan tanggal",""),IF(AND(ISNUMBER($L914),ISNUMBER($M914),$M914&lt;$L914),"Tgl Publish &lt; Tgl buat",""),IF(TRIM($N914)="","Status kosong",IF(ISERROR(MATCH(TRIM($N914),{"Draft","Menunggu Review","Revisi","Terjadwal","Upload","Publish","Published","Batal"},0)),"Status di luar daftar","")))),""))</f>
        <v/>
      </c>
      <c r="S914" s="17">
        <f>IF(AND($A914&lt;&gt;"",$C914&lt;&gt;""),IF(COUNTIFS($A$2:$A$1000,$A914,$C$2:$C$1000,$C914)&gt;1,"DUPLICAT",""),"")</f>
        <v/>
      </c>
    </row>
    <row r="915">
      <c r="A915" s="12" t="n"/>
      <c r="B915" s="12" t="n"/>
      <c r="C915" s="12" t="n"/>
      <c r="D915" s="13" t="n"/>
      <c r="E915" s="12" t="n"/>
      <c r="F915" s="14" t="n"/>
      <c r="G915" s="12" t="n"/>
      <c r="H915" s="12" t="n"/>
      <c r="I915" s="12" t="n"/>
      <c r="J915" s="14" t="n"/>
      <c r="K915" s="14" t="n"/>
      <c r="L915" s="15" t="n"/>
      <c r="M915" s="15" t="n"/>
      <c r="N915" s="12" t="n"/>
      <c r="O915" s="12" t="n"/>
      <c r="P915" s="16">
        <f>IF(AND(ISNUMBER($L915),ISNUMBER($M915)),MAX(0,$M915-$L915),"")</f>
        <v/>
      </c>
      <c r="Q915" s="16">
        <f>IF(ISNUMBER($D915),MAX(0,TODAY()-$D915),"")</f>
        <v/>
      </c>
      <c r="R915" s="14">
        <f>IF(COUNTA($A915:$O915)=0,"",IFERROR(TRIM(TEXTJOIN(" | ",TRUE,IF($A915="","PC kosong",""),IF($C915="","Worker ID kosong",""),IF($D915="","Update Date kosong",IF(NOT(ISNUMBER($D915)),"Update Date bukan tanggal","")),IF($E915="","Song ID YT kosong",""),IF($F915="","Judul kosong",""),IF(TRIM($G915)="","",IF(ISERROR(MATCH(TRIM($G915),{"TuneCore","DistroKid","TooLost","SoundOn","Ditto","Believe","CD Baby","Amuse","Symphonic Distribution","ONErpm","RouteNote","LANDR","Horus Music","Indie"},0)),"Aggregator di luar daftar","")),IF(TRIM($H915)="","Genre kosong",IF((LEN(SUBSTITUTE(SUBSTITUTE(SUBSTITUTE(TRIM($H915),"/",","),";",",")," ",""))-LEN(SUBSTITUTE(SUBSTITUTE(SUBSTITUTE(SUBSTITUTE(TRIM($H915),"/",","),";",","),"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915),"/",","),";",",")," ","")&amp;",")))&lt;&gt;(LEN(SUBSTITUTE(SUBSTITUTE(SUBSTITUTE(TRIM($H915),"/",","),";",",")," ",""))-LEN(SUBSTITUTE(SUBSTITUTE(SUBSTITUTE(SUBSTITUTE(TRIM($H915),"/",","),";",",")," ",""),",",""))+1),"Genre di luar daftar",""))),IF($I915="","Nama Channel kosong",""),IF($J915="","Link Channel kosong",IF(ISERROR(SEARCH("youtu",$J915)),"Link Channel bukan youtube","")),IF($K915="","Link Video kosong",IF(ISERROR(SEARCH("youtu",$K915)),"Link Video bukan youtube","")),IF($L915="","Tgl Dibuat kosong",IF(NOT(ISNUMBER($L915)),"Tgl Dibuat bukan tanggal","")),IF(AND($M915&lt;&gt;"",NOT(ISNUMBER($M915))),"Tgl Publish bukan tanggal",""),IF(AND(ISNUMBER($L915),ISNUMBER($M915),$M915&lt;$L915),"Tgl Publish &lt; Tgl buat",""),IF(TRIM($N915)="","Status kosong",IF(ISERROR(MATCH(TRIM($N915),{"Draft","Menunggu Review","Revisi","Terjadwal","Upload","Publish","Published","Batal"},0)),"Status di luar daftar","")))),""))</f>
        <v/>
      </c>
      <c r="S915" s="12">
        <f>IF(AND($A915&lt;&gt;"",$C915&lt;&gt;""),IF(COUNTIFS($A$2:$A$1000,$A915,$C$2:$C$1000,$C915)&gt;1,"DUPLICAT",""),"")</f>
        <v/>
      </c>
    </row>
    <row r="916">
      <c r="A916" s="17" t="n"/>
      <c r="B916" s="17" t="n"/>
      <c r="C916" s="17" t="n"/>
      <c r="D916" s="18" t="n"/>
      <c r="E916" s="17" t="n"/>
      <c r="F916" s="19" t="n"/>
      <c r="G916" s="17" t="n"/>
      <c r="H916" s="17" t="n"/>
      <c r="I916" s="17" t="n"/>
      <c r="J916" s="19" t="n"/>
      <c r="K916" s="19" t="n"/>
      <c r="L916" s="20" t="n"/>
      <c r="M916" s="20" t="n"/>
      <c r="N916" s="17" t="n"/>
      <c r="O916" s="17" t="n"/>
      <c r="P916" s="21">
        <f>IF(AND(ISNUMBER($L916),ISNUMBER($M916)),MAX(0,$M916-$L916),"")</f>
        <v/>
      </c>
      <c r="Q916" s="21">
        <f>IF(ISNUMBER($D916),MAX(0,TODAY()-$D916),"")</f>
        <v/>
      </c>
      <c r="R916" s="19">
        <f>IF(COUNTA($A916:$O916)=0,"",IFERROR(TRIM(TEXTJOIN(" | ",TRUE,IF($A916="","PC kosong",""),IF($C916="","Worker ID kosong",""),IF($D916="","Update Date kosong",IF(NOT(ISNUMBER($D916)),"Update Date bukan tanggal","")),IF($E916="","Song ID YT kosong",""),IF($F916="","Judul kosong",""),IF(TRIM($G916)="","",IF(ISERROR(MATCH(TRIM($G916),{"TuneCore","DistroKid","TooLost","SoundOn","Ditto","Believe","CD Baby","Amuse","Symphonic Distribution","ONErpm","RouteNote","LANDR","Horus Music","Indie"},0)),"Aggregator di luar daftar","")),IF(TRIM($H916)="","Genre kosong",IF((LEN(SUBSTITUTE(SUBSTITUTE(SUBSTITUTE(TRIM($H916),"/",","),";",",")," ",""))-LEN(SUBSTITUTE(SUBSTITUTE(SUBSTITUTE(SUBSTITUTE(TRIM($H916),"/",","),";",","),"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916),"/",","),";",",")," ","")&amp;",")))&lt;&gt;(LEN(SUBSTITUTE(SUBSTITUTE(SUBSTITUTE(TRIM($H916),"/",","),";",",")," ",""))-LEN(SUBSTITUTE(SUBSTITUTE(SUBSTITUTE(SUBSTITUTE(TRIM($H916),"/",","),";",",")," ",""),",",""))+1),"Genre di luar daftar",""))),IF($I916="","Nama Channel kosong",""),IF($J916="","Link Channel kosong",IF(ISERROR(SEARCH("youtu",$J916)),"Link Channel bukan youtube","")),IF($K916="","Link Video kosong",IF(ISERROR(SEARCH("youtu",$K916)),"Link Video bukan youtube","")),IF($L916="","Tgl Dibuat kosong",IF(NOT(ISNUMBER($L916)),"Tgl Dibuat bukan tanggal","")),IF(AND($M916&lt;&gt;"",NOT(ISNUMBER($M916))),"Tgl Publish bukan tanggal",""),IF(AND(ISNUMBER($L916),ISNUMBER($M916),$M916&lt;$L916),"Tgl Publish &lt; Tgl buat",""),IF(TRIM($N916)="","Status kosong",IF(ISERROR(MATCH(TRIM($N916),{"Draft","Menunggu Review","Revisi","Terjadwal","Upload","Publish","Published","Batal"},0)),"Status di luar daftar","")))),""))</f>
        <v/>
      </c>
      <c r="S916" s="17">
        <f>IF(AND($A916&lt;&gt;"",$C916&lt;&gt;""),IF(COUNTIFS($A$2:$A$1000,$A916,$C$2:$C$1000,$C916)&gt;1,"DUPLICAT",""),"")</f>
        <v/>
      </c>
    </row>
    <row r="917">
      <c r="A917" s="12" t="n"/>
      <c r="B917" s="12" t="n"/>
      <c r="C917" s="12" t="n"/>
      <c r="D917" s="13" t="n"/>
      <c r="E917" s="12" t="n"/>
      <c r="F917" s="14" t="n"/>
      <c r="G917" s="12" t="n"/>
      <c r="H917" s="12" t="n"/>
      <c r="I917" s="12" t="n"/>
      <c r="J917" s="14" t="n"/>
      <c r="K917" s="14" t="n"/>
      <c r="L917" s="15" t="n"/>
      <c r="M917" s="15" t="n"/>
      <c r="N917" s="12" t="n"/>
      <c r="O917" s="12" t="n"/>
      <c r="P917" s="16">
        <f>IF(AND(ISNUMBER($L917),ISNUMBER($M917)),MAX(0,$M917-$L917),"")</f>
        <v/>
      </c>
      <c r="Q917" s="16">
        <f>IF(ISNUMBER($D917),MAX(0,TODAY()-$D917),"")</f>
        <v/>
      </c>
      <c r="R917" s="14">
        <f>IF(COUNTA($A917:$O917)=0,"",IFERROR(TRIM(TEXTJOIN(" | ",TRUE,IF($A917="","PC kosong",""),IF($C917="","Worker ID kosong",""),IF($D917="","Update Date kosong",IF(NOT(ISNUMBER($D917)),"Update Date bukan tanggal","")),IF($E917="","Song ID YT kosong",""),IF($F917="","Judul kosong",""),IF(TRIM($G917)="","",IF(ISERROR(MATCH(TRIM($G917),{"TuneCore","DistroKid","TooLost","SoundOn","Ditto","Believe","CD Baby","Amuse","Symphonic Distribution","ONErpm","RouteNote","LANDR","Horus Music","Indie"},0)),"Aggregator di luar daftar","")),IF(TRIM($H917)="","Genre kosong",IF((LEN(SUBSTITUTE(SUBSTITUTE(SUBSTITUTE(TRIM($H917),"/",","),";",",")," ",""))-LEN(SUBSTITUTE(SUBSTITUTE(SUBSTITUTE(SUBSTITUTE(TRIM($H917),"/",","),";",","),"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917),"/",","),";",",")," ","")&amp;",")))&lt;&gt;(LEN(SUBSTITUTE(SUBSTITUTE(SUBSTITUTE(TRIM($H917),"/",","),";",",")," ",""))-LEN(SUBSTITUTE(SUBSTITUTE(SUBSTITUTE(SUBSTITUTE(TRIM($H917),"/",","),";",",")," ",""),",",""))+1),"Genre di luar daftar",""))),IF($I917="","Nama Channel kosong",""),IF($J917="","Link Channel kosong",IF(ISERROR(SEARCH("youtu",$J917)),"Link Channel bukan youtube","")),IF($K917="","Link Video kosong",IF(ISERROR(SEARCH("youtu",$K917)),"Link Video bukan youtube","")),IF($L917="","Tgl Dibuat kosong",IF(NOT(ISNUMBER($L917)),"Tgl Dibuat bukan tanggal","")),IF(AND($M917&lt;&gt;"",NOT(ISNUMBER($M917))),"Tgl Publish bukan tanggal",""),IF(AND(ISNUMBER($L917),ISNUMBER($M917),$M917&lt;$L917),"Tgl Publish &lt; Tgl buat",""),IF(TRIM($N917)="","Status kosong",IF(ISERROR(MATCH(TRIM($N917),{"Draft","Menunggu Review","Revisi","Terjadwal","Upload","Publish","Published","Batal"},0)),"Status di luar daftar","")))),""))</f>
        <v/>
      </c>
      <c r="S917" s="12">
        <f>IF(AND($A917&lt;&gt;"",$C917&lt;&gt;""),IF(COUNTIFS($A$2:$A$1000,$A917,$C$2:$C$1000,$C917)&gt;1,"DUPLICAT",""),"")</f>
        <v/>
      </c>
    </row>
    <row r="918">
      <c r="A918" s="17" t="n"/>
      <c r="B918" s="17" t="n"/>
      <c r="C918" s="17" t="n"/>
      <c r="D918" s="18" t="n"/>
      <c r="E918" s="17" t="n"/>
      <c r="F918" s="19" t="n"/>
      <c r="G918" s="17" t="n"/>
      <c r="H918" s="17" t="n"/>
      <c r="I918" s="17" t="n"/>
      <c r="J918" s="19" t="n"/>
      <c r="K918" s="19" t="n"/>
      <c r="L918" s="20" t="n"/>
      <c r="M918" s="20" t="n"/>
      <c r="N918" s="17" t="n"/>
      <c r="O918" s="17" t="n"/>
      <c r="P918" s="21">
        <f>IF(AND(ISNUMBER($L918),ISNUMBER($M918)),MAX(0,$M918-$L918),"")</f>
        <v/>
      </c>
      <c r="Q918" s="21">
        <f>IF(ISNUMBER($D918),MAX(0,TODAY()-$D918),"")</f>
        <v/>
      </c>
      <c r="R918" s="19">
        <f>IF(COUNTA($A918:$O918)=0,"",IFERROR(TRIM(TEXTJOIN(" | ",TRUE,IF($A918="","PC kosong",""),IF($C918="","Worker ID kosong",""),IF($D918="","Update Date kosong",IF(NOT(ISNUMBER($D918)),"Update Date bukan tanggal","")),IF($E918="","Song ID YT kosong",""),IF($F918="","Judul kosong",""),IF(TRIM($G918)="","",IF(ISERROR(MATCH(TRIM($G918),{"TuneCore","DistroKid","TooLost","SoundOn","Ditto","Believe","CD Baby","Amuse","Symphonic Distribution","ONErpm","RouteNote","LANDR","Horus Music","Indie"},0)),"Aggregator di luar daftar","")),IF(TRIM($H918)="","Genre kosong",IF((LEN(SUBSTITUTE(SUBSTITUTE(SUBSTITUTE(TRIM($H918),"/",","),";",",")," ",""))-LEN(SUBSTITUTE(SUBSTITUTE(SUBSTITUTE(SUBSTITUTE(TRIM($H918),"/",","),";",","),"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918),"/",","),";",",")," ","")&amp;",")))&lt;&gt;(LEN(SUBSTITUTE(SUBSTITUTE(SUBSTITUTE(TRIM($H918),"/",","),";",",")," ",""))-LEN(SUBSTITUTE(SUBSTITUTE(SUBSTITUTE(SUBSTITUTE(TRIM($H918),"/",","),";",",")," ",""),",",""))+1),"Genre di luar daftar",""))),IF($I918="","Nama Channel kosong",""),IF($J918="","Link Channel kosong",IF(ISERROR(SEARCH("youtu",$J918)),"Link Channel bukan youtube","")),IF($K918="","Link Video kosong",IF(ISERROR(SEARCH("youtu",$K918)),"Link Video bukan youtube","")),IF($L918="","Tgl Dibuat kosong",IF(NOT(ISNUMBER($L918)),"Tgl Dibuat bukan tanggal","")),IF(AND($M918&lt;&gt;"",NOT(ISNUMBER($M918))),"Tgl Publish bukan tanggal",""),IF(AND(ISNUMBER($L918),ISNUMBER($M918),$M918&lt;$L918),"Tgl Publish &lt; Tgl buat",""),IF(TRIM($N918)="","Status kosong",IF(ISERROR(MATCH(TRIM($N918),{"Draft","Menunggu Review","Revisi","Terjadwal","Upload","Publish","Published","Batal"},0)),"Status di luar daftar","")))),""))</f>
        <v/>
      </c>
      <c r="S918" s="17">
        <f>IF(AND($A918&lt;&gt;"",$C918&lt;&gt;""),IF(COUNTIFS($A$2:$A$1000,$A918,$C$2:$C$1000,$C918)&gt;1,"DUPLICAT",""),"")</f>
        <v/>
      </c>
    </row>
    <row r="919">
      <c r="A919" s="12" t="n"/>
      <c r="B919" s="12" t="n"/>
      <c r="C919" s="12" t="n"/>
      <c r="D919" s="13" t="n"/>
      <c r="E919" s="12" t="n"/>
      <c r="F919" s="14" t="n"/>
      <c r="G919" s="12" t="n"/>
      <c r="H919" s="12" t="n"/>
      <c r="I919" s="12" t="n"/>
      <c r="J919" s="14" t="n"/>
      <c r="K919" s="14" t="n"/>
      <c r="L919" s="15" t="n"/>
      <c r="M919" s="15" t="n"/>
      <c r="N919" s="12" t="n"/>
      <c r="O919" s="12" t="n"/>
      <c r="P919" s="16">
        <f>IF(AND(ISNUMBER($L919),ISNUMBER($M919)),MAX(0,$M919-$L919),"")</f>
        <v/>
      </c>
      <c r="Q919" s="16">
        <f>IF(ISNUMBER($D919),MAX(0,TODAY()-$D919),"")</f>
        <v/>
      </c>
      <c r="R919" s="14">
        <f>IF(COUNTA($A919:$O919)=0,"",IFERROR(TRIM(TEXTJOIN(" | ",TRUE,IF($A919="","PC kosong",""),IF($C919="","Worker ID kosong",""),IF($D919="","Update Date kosong",IF(NOT(ISNUMBER($D919)),"Update Date bukan tanggal","")),IF($E919="","Song ID YT kosong",""),IF($F919="","Judul kosong",""),IF(TRIM($G919)="","",IF(ISERROR(MATCH(TRIM($G919),{"TuneCore","DistroKid","TooLost","SoundOn","Ditto","Believe","CD Baby","Amuse","Symphonic Distribution","ONErpm","RouteNote","LANDR","Horus Music","Indie"},0)),"Aggregator di luar daftar","")),IF(TRIM($H919)="","Genre kosong",IF((LEN(SUBSTITUTE(SUBSTITUTE(SUBSTITUTE(TRIM($H919),"/",","),";",",")," ",""))-LEN(SUBSTITUTE(SUBSTITUTE(SUBSTITUTE(SUBSTITUTE(TRIM($H919),"/",","),";",","),"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919),"/",","),";",",")," ","")&amp;",")))&lt;&gt;(LEN(SUBSTITUTE(SUBSTITUTE(SUBSTITUTE(TRIM($H919),"/",","),";",",")," ",""))-LEN(SUBSTITUTE(SUBSTITUTE(SUBSTITUTE(SUBSTITUTE(TRIM($H919),"/",","),";",",")," ",""),",",""))+1),"Genre di luar daftar",""))),IF($I919="","Nama Channel kosong",""),IF($J919="","Link Channel kosong",IF(ISERROR(SEARCH("youtu",$J919)),"Link Channel bukan youtube","")),IF($K919="","Link Video kosong",IF(ISERROR(SEARCH("youtu",$K919)),"Link Video bukan youtube","")),IF($L919="","Tgl Dibuat kosong",IF(NOT(ISNUMBER($L919)),"Tgl Dibuat bukan tanggal","")),IF(AND($M919&lt;&gt;"",NOT(ISNUMBER($M919))),"Tgl Publish bukan tanggal",""),IF(AND(ISNUMBER($L919),ISNUMBER($M919),$M919&lt;$L919),"Tgl Publish &lt; Tgl buat",""),IF(TRIM($N919)="","Status kosong",IF(ISERROR(MATCH(TRIM($N919),{"Draft","Menunggu Review","Revisi","Terjadwal","Upload","Publish","Published","Batal"},0)),"Status di luar daftar","")))),""))</f>
        <v/>
      </c>
      <c r="S919" s="12">
        <f>IF(AND($A919&lt;&gt;"",$C919&lt;&gt;""),IF(COUNTIFS($A$2:$A$1000,$A919,$C$2:$C$1000,$C919)&gt;1,"DUPLICAT",""),"")</f>
        <v/>
      </c>
    </row>
    <row r="920">
      <c r="A920" s="17" t="n"/>
      <c r="B920" s="17" t="n"/>
      <c r="C920" s="17" t="n"/>
      <c r="D920" s="18" t="n"/>
      <c r="E920" s="17" t="n"/>
      <c r="F920" s="19" t="n"/>
      <c r="G920" s="17" t="n"/>
      <c r="H920" s="17" t="n"/>
      <c r="I920" s="17" t="n"/>
      <c r="J920" s="19" t="n"/>
      <c r="K920" s="19" t="n"/>
      <c r="L920" s="20" t="n"/>
      <c r="M920" s="20" t="n"/>
      <c r="N920" s="17" t="n"/>
      <c r="O920" s="17" t="n"/>
      <c r="P920" s="21">
        <f>IF(AND(ISNUMBER($L920),ISNUMBER($M920)),MAX(0,$M920-$L920),"")</f>
        <v/>
      </c>
      <c r="Q920" s="21">
        <f>IF(ISNUMBER($D920),MAX(0,TODAY()-$D920),"")</f>
        <v/>
      </c>
      <c r="R920" s="19">
        <f>IF(COUNTA($A920:$O920)=0,"",IFERROR(TRIM(TEXTJOIN(" | ",TRUE,IF($A920="","PC kosong",""),IF($C920="","Worker ID kosong",""),IF($D920="","Update Date kosong",IF(NOT(ISNUMBER($D920)),"Update Date bukan tanggal","")),IF($E920="","Song ID YT kosong",""),IF($F920="","Judul kosong",""),IF(TRIM($G920)="","",IF(ISERROR(MATCH(TRIM($G920),{"TuneCore","DistroKid","TooLost","SoundOn","Ditto","Believe","CD Baby","Amuse","Symphonic Distribution","ONErpm","RouteNote","LANDR","Horus Music","Indie"},0)),"Aggregator di luar daftar","")),IF(TRIM($H920)="","Genre kosong",IF((LEN(SUBSTITUTE(SUBSTITUTE(SUBSTITUTE(TRIM($H920),"/",","),";",",")," ",""))-LEN(SUBSTITUTE(SUBSTITUTE(SUBSTITUTE(SUBSTITUTE(TRIM($H920),"/",","),";",","),"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920),"/",","),";",",")," ","")&amp;",")))&lt;&gt;(LEN(SUBSTITUTE(SUBSTITUTE(SUBSTITUTE(TRIM($H920),"/",","),";",",")," ",""))-LEN(SUBSTITUTE(SUBSTITUTE(SUBSTITUTE(SUBSTITUTE(TRIM($H920),"/",","),";",",")," ",""),",",""))+1),"Genre di luar daftar",""))),IF($I920="","Nama Channel kosong",""),IF($J920="","Link Channel kosong",IF(ISERROR(SEARCH("youtu",$J920)),"Link Channel bukan youtube","")),IF($K920="","Link Video kosong",IF(ISERROR(SEARCH("youtu",$K920)),"Link Video bukan youtube","")),IF($L920="","Tgl Dibuat kosong",IF(NOT(ISNUMBER($L920)),"Tgl Dibuat bukan tanggal","")),IF(AND($M920&lt;&gt;"",NOT(ISNUMBER($M920))),"Tgl Publish bukan tanggal",""),IF(AND(ISNUMBER($L920),ISNUMBER($M920),$M920&lt;$L920),"Tgl Publish &lt; Tgl buat",""),IF(TRIM($N920)="","Status kosong",IF(ISERROR(MATCH(TRIM($N920),{"Draft","Menunggu Review","Revisi","Terjadwal","Upload","Publish","Published","Batal"},0)),"Status di luar daftar","")))),""))</f>
        <v/>
      </c>
      <c r="S920" s="17">
        <f>IF(AND($A920&lt;&gt;"",$C920&lt;&gt;""),IF(COUNTIFS($A$2:$A$1000,$A920,$C$2:$C$1000,$C920)&gt;1,"DUPLICAT",""),"")</f>
        <v/>
      </c>
    </row>
    <row r="921">
      <c r="A921" s="12" t="n"/>
      <c r="B921" s="12" t="n"/>
      <c r="C921" s="12" t="n"/>
      <c r="D921" s="13" t="n"/>
      <c r="E921" s="12" t="n"/>
      <c r="F921" s="14" t="n"/>
      <c r="G921" s="12" t="n"/>
      <c r="H921" s="12" t="n"/>
      <c r="I921" s="12" t="n"/>
      <c r="J921" s="14" t="n"/>
      <c r="K921" s="14" t="n"/>
      <c r="L921" s="15" t="n"/>
      <c r="M921" s="15" t="n"/>
      <c r="N921" s="12" t="n"/>
      <c r="O921" s="12" t="n"/>
      <c r="P921" s="16">
        <f>IF(AND(ISNUMBER($L921),ISNUMBER($M921)),MAX(0,$M921-$L921),"")</f>
        <v/>
      </c>
      <c r="Q921" s="16">
        <f>IF(ISNUMBER($D921),MAX(0,TODAY()-$D921),"")</f>
        <v/>
      </c>
      <c r="R921" s="14">
        <f>IF(COUNTA($A921:$O921)=0,"",IFERROR(TRIM(TEXTJOIN(" | ",TRUE,IF($A921="","PC kosong",""),IF($C921="","Worker ID kosong",""),IF($D921="","Update Date kosong",IF(NOT(ISNUMBER($D921)),"Update Date bukan tanggal","")),IF($E921="","Song ID YT kosong",""),IF($F921="","Judul kosong",""),IF(TRIM($G921)="","",IF(ISERROR(MATCH(TRIM($G921),{"TuneCore","DistroKid","TooLost","SoundOn","Ditto","Believe","CD Baby","Amuse","Symphonic Distribution","ONErpm","RouteNote","LANDR","Horus Music","Indie"},0)),"Aggregator di luar daftar","")),IF(TRIM($H921)="","Genre kosong",IF((LEN(SUBSTITUTE(SUBSTITUTE(SUBSTITUTE(TRIM($H921),"/",","),";",",")," ",""))-LEN(SUBSTITUTE(SUBSTITUTE(SUBSTITUTE(SUBSTITUTE(TRIM($H921),"/",","),";",","),"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921),"/",","),";",",")," ","")&amp;",")))&lt;&gt;(LEN(SUBSTITUTE(SUBSTITUTE(SUBSTITUTE(TRIM($H921),"/",","),";",",")," ",""))-LEN(SUBSTITUTE(SUBSTITUTE(SUBSTITUTE(SUBSTITUTE(TRIM($H921),"/",","),";",",")," ",""),",",""))+1),"Genre di luar daftar",""))),IF($I921="","Nama Channel kosong",""),IF($J921="","Link Channel kosong",IF(ISERROR(SEARCH("youtu",$J921)),"Link Channel bukan youtube","")),IF($K921="","Link Video kosong",IF(ISERROR(SEARCH("youtu",$K921)),"Link Video bukan youtube","")),IF($L921="","Tgl Dibuat kosong",IF(NOT(ISNUMBER($L921)),"Tgl Dibuat bukan tanggal","")),IF(AND($M921&lt;&gt;"",NOT(ISNUMBER($M921))),"Tgl Publish bukan tanggal",""),IF(AND(ISNUMBER($L921),ISNUMBER($M921),$M921&lt;$L921),"Tgl Publish &lt; Tgl buat",""),IF(TRIM($N921)="","Status kosong",IF(ISERROR(MATCH(TRIM($N921),{"Draft","Menunggu Review","Revisi","Terjadwal","Upload","Publish","Published","Batal"},0)),"Status di luar daftar","")))),""))</f>
        <v/>
      </c>
      <c r="S921" s="12">
        <f>IF(AND($A921&lt;&gt;"",$C921&lt;&gt;""),IF(COUNTIFS($A$2:$A$1000,$A921,$C$2:$C$1000,$C921)&gt;1,"DUPLICAT",""),"")</f>
        <v/>
      </c>
    </row>
    <row r="922">
      <c r="A922" s="17" t="n"/>
      <c r="B922" s="17" t="n"/>
      <c r="C922" s="17" t="n"/>
      <c r="D922" s="18" t="n"/>
      <c r="E922" s="17" t="n"/>
      <c r="F922" s="19" t="n"/>
      <c r="G922" s="17" t="n"/>
      <c r="H922" s="17" t="n"/>
      <c r="I922" s="17" t="n"/>
      <c r="J922" s="19" t="n"/>
      <c r="K922" s="19" t="n"/>
      <c r="L922" s="20" t="n"/>
      <c r="M922" s="20" t="n"/>
      <c r="N922" s="17" t="n"/>
      <c r="O922" s="17" t="n"/>
      <c r="P922" s="21">
        <f>IF(AND(ISNUMBER($L922),ISNUMBER($M922)),MAX(0,$M922-$L922),"")</f>
        <v/>
      </c>
      <c r="Q922" s="21">
        <f>IF(ISNUMBER($D922),MAX(0,TODAY()-$D922),"")</f>
        <v/>
      </c>
      <c r="R922" s="19">
        <f>IF(COUNTA($A922:$O922)=0,"",IFERROR(TRIM(TEXTJOIN(" | ",TRUE,IF($A922="","PC kosong",""),IF($C922="","Worker ID kosong",""),IF($D922="","Update Date kosong",IF(NOT(ISNUMBER($D922)),"Update Date bukan tanggal","")),IF($E922="","Song ID YT kosong",""),IF($F922="","Judul kosong",""),IF(TRIM($G922)="","",IF(ISERROR(MATCH(TRIM($G922),{"TuneCore","DistroKid","TooLost","SoundOn","Ditto","Believe","CD Baby","Amuse","Symphonic Distribution","ONErpm","RouteNote","LANDR","Horus Music","Indie"},0)),"Aggregator di luar daftar","")),IF(TRIM($H922)="","Genre kosong",IF((LEN(SUBSTITUTE(SUBSTITUTE(SUBSTITUTE(TRIM($H922),"/",","),";",",")," ",""))-LEN(SUBSTITUTE(SUBSTITUTE(SUBSTITUTE(SUBSTITUTE(TRIM($H922),"/",","),";",","),"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922),"/",","),";",",")," ","")&amp;",")))&lt;&gt;(LEN(SUBSTITUTE(SUBSTITUTE(SUBSTITUTE(TRIM($H922),"/",","),";",",")," ",""))-LEN(SUBSTITUTE(SUBSTITUTE(SUBSTITUTE(SUBSTITUTE(TRIM($H922),"/",","),";",",")," ",""),",",""))+1),"Genre di luar daftar",""))),IF($I922="","Nama Channel kosong",""),IF($J922="","Link Channel kosong",IF(ISERROR(SEARCH("youtu",$J922)),"Link Channel bukan youtube","")),IF($K922="","Link Video kosong",IF(ISERROR(SEARCH("youtu",$K922)),"Link Video bukan youtube","")),IF($L922="","Tgl Dibuat kosong",IF(NOT(ISNUMBER($L922)),"Tgl Dibuat bukan tanggal","")),IF(AND($M922&lt;&gt;"",NOT(ISNUMBER($M922))),"Tgl Publish bukan tanggal",""),IF(AND(ISNUMBER($L922),ISNUMBER($M922),$M922&lt;$L922),"Tgl Publish &lt; Tgl buat",""),IF(TRIM($N922)="","Status kosong",IF(ISERROR(MATCH(TRIM($N922),{"Draft","Menunggu Review","Revisi","Terjadwal","Upload","Publish","Published","Batal"},0)),"Status di luar daftar","")))),""))</f>
        <v/>
      </c>
      <c r="S922" s="17">
        <f>IF(AND($A922&lt;&gt;"",$C922&lt;&gt;""),IF(COUNTIFS($A$2:$A$1000,$A922,$C$2:$C$1000,$C922)&gt;1,"DUPLICAT",""),"")</f>
        <v/>
      </c>
    </row>
    <row r="923">
      <c r="A923" s="12" t="n"/>
      <c r="B923" s="12" t="n"/>
      <c r="C923" s="12" t="n"/>
      <c r="D923" s="13" t="n"/>
      <c r="E923" s="12" t="n"/>
      <c r="F923" s="14" t="n"/>
      <c r="G923" s="12" t="n"/>
      <c r="H923" s="12" t="n"/>
      <c r="I923" s="12" t="n"/>
      <c r="J923" s="14" t="n"/>
      <c r="K923" s="14" t="n"/>
      <c r="L923" s="15" t="n"/>
      <c r="M923" s="15" t="n"/>
      <c r="N923" s="12" t="n"/>
      <c r="O923" s="12" t="n"/>
      <c r="P923" s="16">
        <f>IF(AND(ISNUMBER($L923),ISNUMBER($M923)),MAX(0,$M923-$L923),"")</f>
        <v/>
      </c>
      <c r="Q923" s="16">
        <f>IF(ISNUMBER($D923),MAX(0,TODAY()-$D923),"")</f>
        <v/>
      </c>
      <c r="R923" s="14">
        <f>IF(COUNTA($A923:$O923)=0,"",IFERROR(TRIM(TEXTJOIN(" | ",TRUE,IF($A923="","PC kosong",""),IF($C923="","Worker ID kosong",""),IF($D923="","Update Date kosong",IF(NOT(ISNUMBER($D923)),"Update Date bukan tanggal","")),IF($E923="","Song ID YT kosong",""),IF($F923="","Judul kosong",""),IF(TRIM($G923)="","",IF(ISERROR(MATCH(TRIM($G923),{"TuneCore","DistroKid","TooLost","SoundOn","Ditto","Believe","CD Baby","Amuse","Symphonic Distribution","ONErpm","RouteNote","LANDR","Horus Music","Indie"},0)),"Aggregator di luar daftar","")),IF(TRIM($H923)="","Genre kosong",IF((LEN(SUBSTITUTE(SUBSTITUTE(SUBSTITUTE(TRIM($H923),"/",","),";",",")," ",""))-LEN(SUBSTITUTE(SUBSTITUTE(SUBSTITUTE(SUBSTITUTE(TRIM($H923),"/",","),";",","),"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923),"/",","),";",",")," ","")&amp;",")))&lt;&gt;(LEN(SUBSTITUTE(SUBSTITUTE(SUBSTITUTE(TRIM($H923),"/",","),";",",")," ",""))-LEN(SUBSTITUTE(SUBSTITUTE(SUBSTITUTE(SUBSTITUTE(TRIM($H923),"/",","),";",",")," ",""),",",""))+1),"Genre di luar daftar",""))),IF($I923="","Nama Channel kosong",""),IF($J923="","Link Channel kosong",IF(ISERROR(SEARCH("youtu",$J923)),"Link Channel bukan youtube","")),IF($K923="","Link Video kosong",IF(ISERROR(SEARCH("youtu",$K923)),"Link Video bukan youtube","")),IF($L923="","Tgl Dibuat kosong",IF(NOT(ISNUMBER($L923)),"Tgl Dibuat bukan tanggal","")),IF(AND($M923&lt;&gt;"",NOT(ISNUMBER($M923))),"Tgl Publish bukan tanggal",""),IF(AND(ISNUMBER($L923),ISNUMBER($M923),$M923&lt;$L923),"Tgl Publish &lt; Tgl buat",""),IF(TRIM($N923)="","Status kosong",IF(ISERROR(MATCH(TRIM($N923),{"Draft","Menunggu Review","Revisi","Terjadwal","Upload","Publish","Published","Batal"},0)),"Status di luar daftar","")))),""))</f>
        <v/>
      </c>
      <c r="S923" s="12">
        <f>IF(AND($A923&lt;&gt;"",$C923&lt;&gt;""),IF(COUNTIFS($A$2:$A$1000,$A923,$C$2:$C$1000,$C923)&gt;1,"DUPLICAT",""),"")</f>
        <v/>
      </c>
    </row>
    <row r="924">
      <c r="A924" s="17" t="n"/>
      <c r="B924" s="17" t="n"/>
      <c r="C924" s="17" t="n"/>
      <c r="D924" s="18" t="n"/>
      <c r="E924" s="17" t="n"/>
      <c r="F924" s="19" t="n"/>
      <c r="G924" s="17" t="n"/>
      <c r="H924" s="17" t="n"/>
      <c r="I924" s="17" t="n"/>
      <c r="J924" s="19" t="n"/>
      <c r="K924" s="19" t="n"/>
      <c r="L924" s="20" t="n"/>
      <c r="M924" s="20" t="n"/>
      <c r="N924" s="17" t="n"/>
      <c r="O924" s="17" t="n"/>
      <c r="P924" s="21">
        <f>IF(AND(ISNUMBER($L924),ISNUMBER($M924)),MAX(0,$M924-$L924),"")</f>
        <v/>
      </c>
      <c r="Q924" s="21">
        <f>IF(ISNUMBER($D924),MAX(0,TODAY()-$D924),"")</f>
        <v/>
      </c>
      <c r="R924" s="19">
        <f>IF(COUNTA($A924:$O924)=0,"",IFERROR(TRIM(TEXTJOIN(" | ",TRUE,IF($A924="","PC kosong",""),IF($C924="","Worker ID kosong",""),IF($D924="","Update Date kosong",IF(NOT(ISNUMBER($D924)),"Update Date bukan tanggal","")),IF($E924="","Song ID YT kosong",""),IF($F924="","Judul kosong",""),IF(TRIM($G924)="","",IF(ISERROR(MATCH(TRIM($G924),{"TuneCore","DistroKid","TooLost","SoundOn","Ditto","Believe","CD Baby","Amuse","Symphonic Distribution","ONErpm","RouteNote","LANDR","Horus Music","Indie"},0)),"Aggregator di luar daftar","")),IF(TRIM($H924)="","Genre kosong",IF((LEN(SUBSTITUTE(SUBSTITUTE(SUBSTITUTE(TRIM($H924),"/",","),";",",")," ",""))-LEN(SUBSTITUTE(SUBSTITUTE(SUBSTITUTE(SUBSTITUTE(TRIM($H924),"/",","),";",","),"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924),"/",","),";",",")," ","")&amp;",")))&lt;&gt;(LEN(SUBSTITUTE(SUBSTITUTE(SUBSTITUTE(TRIM($H924),"/",","),";",",")," ",""))-LEN(SUBSTITUTE(SUBSTITUTE(SUBSTITUTE(SUBSTITUTE(TRIM($H924),"/",","),";",",")," ",""),",",""))+1),"Genre di luar daftar",""))),IF($I924="","Nama Channel kosong",""),IF($J924="","Link Channel kosong",IF(ISERROR(SEARCH("youtu",$J924)),"Link Channel bukan youtube","")),IF($K924="","Link Video kosong",IF(ISERROR(SEARCH("youtu",$K924)),"Link Video bukan youtube","")),IF($L924="","Tgl Dibuat kosong",IF(NOT(ISNUMBER($L924)),"Tgl Dibuat bukan tanggal","")),IF(AND($M924&lt;&gt;"",NOT(ISNUMBER($M924))),"Tgl Publish bukan tanggal",""),IF(AND(ISNUMBER($L924),ISNUMBER($M924),$M924&lt;$L924),"Tgl Publish &lt; Tgl buat",""),IF(TRIM($N924)="","Status kosong",IF(ISERROR(MATCH(TRIM($N924),{"Draft","Menunggu Review","Revisi","Terjadwal","Upload","Publish","Published","Batal"},0)),"Status di luar daftar","")))),""))</f>
        <v/>
      </c>
      <c r="S924" s="17">
        <f>IF(AND($A924&lt;&gt;"",$C924&lt;&gt;""),IF(COUNTIFS($A$2:$A$1000,$A924,$C$2:$C$1000,$C924)&gt;1,"DUPLICAT",""),"")</f>
        <v/>
      </c>
    </row>
    <row r="925">
      <c r="A925" s="12" t="n"/>
      <c r="B925" s="12" t="n"/>
      <c r="C925" s="12" t="n"/>
      <c r="D925" s="13" t="n"/>
      <c r="E925" s="12" t="n"/>
      <c r="F925" s="14" t="n"/>
      <c r="G925" s="12" t="n"/>
      <c r="H925" s="12" t="n"/>
      <c r="I925" s="12" t="n"/>
      <c r="J925" s="14" t="n"/>
      <c r="K925" s="14" t="n"/>
      <c r="L925" s="15" t="n"/>
      <c r="M925" s="15" t="n"/>
      <c r="N925" s="12" t="n"/>
      <c r="O925" s="12" t="n"/>
      <c r="P925" s="16">
        <f>IF(AND(ISNUMBER($L925),ISNUMBER($M925)),MAX(0,$M925-$L925),"")</f>
        <v/>
      </c>
      <c r="Q925" s="16">
        <f>IF(ISNUMBER($D925),MAX(0,TODAY()-$D925),"")</f>
        <v/>
      </c>
      <c r="R925" s="14">
        <f>IF(COUNTA($A925:$O925)=0,"",IFERROR(TRIM(TEXTJOIN(" | ",TRUE,IF($A925="","PC kosong",""),IF($C925="","Worker ID kosong",""),IF($D925="","Update Date kosong",IF(NOT(ISNUMBER($D925)),"Update Date bukan tanggal","")),IF($E925="","Song ID YT kosong",""),IF($F925="","Judul kosong",""),IF(TRIM($G925)="","",IF(ISERROR(MATCH(TRIM($G925),{"TuneCore","DistroKid","TooLost","SoundOn","Ditto","Believe","CD Baby","Amuse","Symphonic Distribution","ONErpm","RouteNote","LANDR","Horus Music","Indie"},0)),"Aggregator di luar daftar","")),IF(TRIM($H925)="","Genre kosong",IF((LEN(SUBSTITUTE(SUBSTITUTE(SUBSTITUTE(TRIM($H925),"/",","),";",",")," ",""))-LEN(SUBSTITUTE(SUBSTITUTE(SUBSTITUTE(SUBSTITUTE(TRIM($H925),"/",","),";",","),"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925),"/",","),";",",")," ","")&amp;",")))&lt;&gt;(LEN(SUBSTITUTE(SUBSTITUTE(SUBSTITUTE(TRIM($H925),"/",","),";",",")," ",""))-LEN(SUBSTITUTE(SUBSTITUTE(SUBSTITUTE(SUBSTITUTE(TRIM($H925),"/",","),";",",")," ",""),",",""))+1),"Genre di luar daftar",""))),IF($I925="","Nama Channel kosong",""),IF($J925="","Link Channel kosong",IF(ISERROR(SEARCH("youtu",$J925)),"Link Channel bukan youtube","")),IF($K925="","Link Video kosong",IF(ISERROR(SEARCH("youtu",$K925)),"Link Video bukan youtube","")),IF($L925="","Tgl Dibuat kosong",IF(NOT(ISNUMBER($L925)),"Tgl Dibuat bukan tanggal","")),IF(AND($M925&lt;&gt;"",NOT(ISNUMBER($M925))),"Tgl Publish bukan tanggal",""),IF(AND(ISNUMBER($L925),ISNUMBER($M925),$M925&lt;$L925),"Tgl Publish &lt; Tgl buat",""),IF(TRIM($N925)="","Status kosong",IF(ISERROR(MATCH(TRIM($N925),{"Draft","Menunggu Review","Revisi","Terjadwal","Upload","Publish","Published","Batal"},0)),"Status di luar daftar","")))),""))</f>
        <v/>
      </c>
      <c r="S925" s="12">
        <f>IF(AND($A925&lt;&gt;"",$C925&lt;&gt;""),IF(COUNTIFS($A$2:$A$1000,$A925,$C$2:$C$1000,$C925)&gt;1,"DUPLICAT",""),"")</f>
        <v/>
      </c>
    </row>
    <row r="926">
      <c r="A926" s="17" t="n"/>
      <c r="B926" s="17" t="n"/>
      <c r="C926" s="17" t="n"/>
      <c r="D926" s="18" t="n"/>
      <c r="E926" s="17" t="n"/>
      <c r="F926" s="19" t="n"/>
      <c r="G926" s="17" t="n"/>
      <c r="H926" s="17" t="n"/>
      <c r="I926" s="17" t="n"/>
      <c r="J926" s="19" t="n"/>
      <c r="K926" s="19" t="n"/>
      <c r="L926" s="20" t="n"/>
      <c r="M926" s="20" t="n"/>
      <c r="N926" s="17" t="n"/>
      <c r="O926" s="17" t="n"/>
      <c r="P926" s="21">
        <f>IF(AND(ISNUMBER($L926),ISNUMBER($M926)),MAX(0,$M926-$L926),"")</f>
        <v/>
      </c>
      <c r="Q926" s="21">
        <f>IF(ISNUMBER($D926),MAX(0,TODAY()-$D926),"")</f>
        <v/>
      </c>
      <c r="R926" s="19">
        <f>IF(COUNTA($A926:$O926)=0,"",IFERROR(TRIM(TEXTJOIN(" | ",TRUE,IF($A926="","PC kosong",""),IF($C926="","Worker ID kosong",""),IF($D926="","Update Date kosong",IF(NOT(ISNUMBER($D926)),"Update Date bukan tanggal","")),IF($E926="","Song ID YT kosong",""),IF($F926="","Judul kosong",""),IF(TRIM($G926)="","",IF(ISERROR(MATCH(TRIM($G926),{"TuneCore","DistroKid","TooLost","SoundOn","Ditto","Believe","CD Baby","Amuse","Symphonic Distribution","ONErpm","RouteNote","LANDR","Horus Music","Indie"},0)),"Aggregator di luar daftar","")),IF(TRIM($H926)="","Genre kosong",IF((LEN(SUBSTITUTE(SUBSTITUTE(SUBSTITUTE(TRIM($H926),"/",","),";",",")," ",""))-LEN(SUBSTITUTE(SUBSTITUTE(SUBSTITUTE(SUBSTITUTE(TRIM($H926),"/",","),";",","),"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926),"/",","),";",",")," ","")&amp;",")))&lt;&gt;(LEN(SUBSTITUTE(SUBSTITUTE(SUBSTITUTE(TRIM($H926),"/",","),";",",")," ",""))-LEN(SUBSTITUTE(SUBSTITUTE(SUBSTITUTE(SUBSTITUTE(TRIM($H926),"/",","),";",",")," ",""),",",""))+1),"Genre di luar daftar",""))),IF($I926="","Nama Channel kosong",""),IF($J926="","Link Channel kosong",IF(ISERROR(SEARCH("youtu",$J926)),"Link Channel bukan youtube","")),IF($K926="","Link Video kosong",IF(ISERROR(SEARCH("youtu",$K926)),"Link Video bukan youtube","")),IF($L926="","Tgl Dibuat kosong",IF(NOT(ISNUMBER($L926)),"Tgl Dibuat bukan tanggal","")),IF(AND($M926&lt;&gt;"",NOT(ISNUMBER($M926))),"Tgl Publish bukan tanggal",""),IF(AND(ISNUMBER($L926),ISNUMBER($M926),$M926&lt;$L926),"Tgl Publish &lt; Tgl buat",""),IF(TRIM($N926)="","Status kosong",IF(ISERROR(MATCH(TRIM($N926),{"Draft","Menunggu Review","Revisi","Terjadwal","Upload","Publish","Published","Batal"},0)),"Status di luar daftar","")))),""))</f>
        <v/>
      </c>
      <c r="S926" s="17">
        <f>IF(AND($A926&lt;&gt;"",$C926&lt;&gt;""),IF(COUNTIFS($A$2:$A$1000,$A926,$C$2:$C$1000,$C926)&gt;1,"DUPLICAT",""),"")</f>
        <v/>
      </c>
    </row>
    <row r="927">
      <c r="A927" s="12" t="n"/>
      <c r="B927" s="12" t="n"/>
      <c r="C927" s="12" t="n"/>
      <c r="D927" s="13" t="n"/>
      <c r="E927" s="12" t="n"/>
      <c r="F927" s="14" t="n"/>
      <c r="G927" s="12" t="n"/>
      <c r="H927" s="12" t="n"/>
      <c r="I927" s="12" t="n"/>
      <c r="J927" s="14" t="n"/>
      <c r="K927" s="14" t="n"/>
      <c r="L927" s="15" t="n"/>
      <c r="M927" s="15" t="n"/>
      <c r="N927" s="12" t="n"/>
      <c r="O927" s="12" t="n"/>
      <c r="P927" s="16">
        <f>IF(AND(ISNUMBER($L927),ISNUMBER($M927)),MAX(0,$M927-$L927),"")</f>
        <v/>
      </c>
      <c r="Q927" s="16">
        <f>IF(ISNUMBER($D927),MAX(0,TODAY()-$D927),"")</f>
        <v/>
      </c>
      <c r="R927" s="14">
        <f>IF(COUNTA($A927:$O927)=0,"",IFERROR(TRIM(TEXTJOIN(" | ",TRUE,IF($A927="","PC kosong",""),IF($C927="","Worker ID kosong",""),IF($D927="","Update Date kosong",IF(NOT(ISNUMBER($D927)),"Update Date bukan tanggal","")),IF($E927="","Song ID YT kosong",""),IF($F927="","Judul kosong",""),IF(TRIM($G927)="","",IF(ISERROR(MATCH(TRIM($G927),{"TuneCore","DistroKid","TooLost","SoundOn","Ditto","Believe","CD Baby","Amuse","Symphonic Distribution","ONErpm","RouteNote","LANDR","Horus Music","Indie"},0)),"Aggregator di luar daftar","")),IF(TRIM($H927)="","Genre kosong",IF((LEN(SUBSTITUTE(SUBSTITUTE(SUBSTITUTE(TRIM($H927),"/",","),";",",")," ",""))-LEN(SUBSTITUTE(SUBSTITUTE(SUBSTITUTE(SUBSTITUTE(TRIM($H927),"/",","),";",","),"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927),"/",","),";",",")," ","")&amp;",")))&lt;&gt;(LEN(SUBSTITUTE(SUBSTITUTE(SUBSTITUTE(TRIM($H927),"/",","),";",",")," ",""))-LEN(SUBSTITUTE(SUBSTITUTE(SUBSTITUTE(SUBSTITUTE(TRIM($H927),"/",","),";",",")," ",""),",",""))+1),"Genre di luar daftar",""))),IF($I927="","Nama Channel kosong",""),IF($J927="","Link Channel kosong",IF(ISERROR(SEARCH("youtu",$J927)),"Link Channel bukan youtube","")),IF($K927="","Link Video kosong",IF(ISERROR(SEARCH("youtu",$K927)),"Link Video bukan youtube","")),IF($L927="","Tgl Dibuat kosong",IF(NOT(ISNUMBER($L927)),"Tgl Dibuat bukan tanggal","")),IF(AND($M927&lt;&gt;"",NOT(ISNUMBER($M927))),"Tgl Publish bukan tanggal",""),IF(AND(ISNUMBER($L927),ISNUMBER($M927),$M927&lt;$L927),"Tgl Publish &lt; Tgl buat",""),IF(TRIM($N927)="","Status kosong",IF(ISERROR(MATCH(TRIM($N927),{"Draft","Menunggu Review","Revisi","Terjadwal","Upload","Publish","Published","Batal"},0)),"Status di luar daftar","")))),""))</f>
        <v/>
      </c>
      <c r="S927" s="12">
        <f>IF(AND($A927&lt;&gt;"",$C927&lt;&gt;""),IF(COUNTIFS($A$2:$A$1000,$A927,$C$2:$C$1000,$C927)&gt;1,"DUPLICAT",""),"")</f>
        <v/>
      </c>
    </row>
    <row r="928">
      <c r="A928" s="17" t="n"/>
      <c r="B928" s="17" t="n"/>
      <c r="C928" s="17" t="n"/>
      <c r="D928" s="18" t="n"/>
      <c r="E928" s="17" t="n"/>
      <c r="F928" s="19" t="n"/>
      <c r="G928" s="17" t="n"/>
      <c r="H928" s="17" t="n"/>
      <c r="I928" s="17" t="n"/>
      <c r="J928" s="19" t="n"/>
      <c r="K928" s="19" t="n"/>
      <c r="L928" s="20" t="n"/>
      <c r="M928" s="20" t="n"/>
      <c r="N928" s="17" t="n"/>
      <c r="O928" s="17" t="n"/>
      <c r="P928" s="21">
        <f>IF(AND(ISNUMBER($L928),ISNUMBER($M928)),MAX(0,$M928-$L928),"")</f>
        <v/>
      </c>
      <c r="Q928" s="21">
        <f>IF(ISNUMBER($D928),MAX(0,TODAY()-$D928),"")</f>
        <v/>
      </c>
      <c r="R928" s="19">
        <f>IF(COUNTA($A928:$O928)=0,"",IFERROR(TRIM(TEXTJOIN(" | ",TRUE,IF($A928="","PC kosong",""),IF($C928="","Worker ID kosong",""),IF($D928="","Update Date kosong",IF(NOT(ISNUMBER($D928)),"Update Date bukan tanggal","")),IF($E928="","Song ID YT kosong",""),IF($F928="","Judul kosong",""),IF(TRIM($G928)="","",IF(ISERROR(MATCH(TRIM($G928),{"TuneCore","DistroKid","TooLost","SoundOn","Ditto","Believe","CD Baby","Amuse","Symphonic Distribution","ONErpm","RouteNote","LANDR","Horus Music","Indie"},0)),"Aggregator di luar daftar","")),IF(TRIM($H928)="","Genre kosong",IF((LEN(SUBSTITUTE(SUBSTITUTE(SUBSTITUTE(TRIM($H928),"/",","),";",",")," ",""))-LEN(SUBSTITUTE(SUBSTITUTE(SUBSTITUTE(SUBSTITUTE(TRIM($H928),"/",","),";",","),"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928),"/",","),";",",")," ","")&amp;",")))&lt;&gt;(LEN(SUBSTITUTE(SUBSTITUTE(SUBSTITUTE(TRIM($H928),"/",","),";",",")," ",""))-LEN(SUBSTITUTE(SUBSTITUTE(SUBSTITUTE(SUBSTITUTE(TRIM($H928),"/",","),";",",")," ",""),",",""))+1),"Genre di luar daftar",""))),IF($I928="","Nama Channel kosong",""),IF($J928="","Link Channel kosong",IF(ISERROR(SEARCH("youtu",$J928)),"Link Channel bukan youtube","")),IF($K928="","Link Video kosong",IF(ISERROR(SEARCH("youtu",$K928)),"Link Video bukan youtube","")),IF($L928="","Tgl Dibuat kosong",IF(NOT(ISNUMBER($L928)),"Tgl Dibuat bukan tanggal","")),IF(AND($M928&lt;&gt;"",NOT(ISNUMBER($M928))),"Tgl Publish bukan tanggal",""),IF(AND(ISNUMBER($L928),ISNUMBER($M928),$M928&lt;$L928),"Tgl Publish &lt; Tgl buat",""),IF(TRIM($N928)="","Status kosong",IF(ISERROR(MATCH(TRIM($N928),{"Draft","Menunggu Review","Revisi","Terjadwal","Upload","Publish","Published","Batal"},0)),"Status di luar daftar","")))),""))</f>
        <v/>
      </c>
      <c r="S928" s="17">
        <f>IF(AND($A928&lt;&gt;"",$C928&lt;&gt;""),IF(COUNTIFS($A$2:$A$1000,$A928,$C$2:$C$1000,$C928)&gt;1,"DUPLICAT",""),"")</f>
        <v/>
      </c>
    </row>
    <row r="929">
      <c r="A929" s="12" t="n"/>
      <c r="B929" s="12" t="n"/>
      <c r="C929" s="12" t="n"/>
      <c r="D929" s="13" t="n"/>
      <c r="E929" s="12" t="n"/>
      <c r="F929" s="14" t="n"/>
      <c r="G929" s="12" t="n"/>
      <c r="H929" s="12" t="n"/>
      <c r="I929" s="12" t="n"/>
      <c r="J929" s="14" t="n"/>
      <c r="K929" s="14" t="n"/>
      <c r="L929" s="15" t="n"/>
      <c r="M929" s="15" t="n"/>
      <c r="N929" s="12" t="n"/>
      <c r="O929" s="12" t="n"/>
      <c r="P929" s="16">
        <f>IF(AND(ISNUMBER($L929),ISNUMBER($M929)),MAX(0,$M929-$L929),"")</f>
        <v/>
      </c>
      <c r="Q929" s="16">
        <f>IF(ISNUMBER($D929),MAX(0,TODAY()-$D929),"")</f>
        <v/>
      </c>
      <c r="R929" s="14">
        <f>IF(COUNTA($A929:$O929)=0,"",IFERROR(TRIM(TEXTJOIN(" | ",TRUE,IF($A929="","PC kosong",""),IF($C929="","Worker ID kosong",""),IF($D929="","Update Date kosong",IF(NOT(ISNUMBER($D929)),"Update Date bukan tanggal","")),IF($E929="","Song ID YT kosong",""),IF($F929="","Judul kosong",""),IF(TRIM($G929)="","",IF(ISERROR(MATCH(TRIM($G929),{"TuneCore","DistroKid","TooLost","SoundOn","Ditto","Believe","CD Baby","Amuse","Symphonic Distribution","ONErpm","RouteNote","LANDR","Horus Music","Indie"},0)),"Aggregator di luar daftar","")),IF(TRIM($H929)="","Genre kosong",IF((LEN(SUBSTITUTE(SUBSTITUTE(SUBSTITUTE(TRIM($H929),"/",","),";",",")," ",""))-LEN(SUBSTITUTE(SUBSTITUTE(SUBSTITUTE(SUBSTITUTE(TRIM($H929),"/",","),";",","),"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929),"/",","),";",",")," ","")&amp;",")))&lt;&gt;(LEN(SUBSTITUTE(SUBSTITUTE(SUBSTITUTE(TRIM($H929),"/",","),";",",")," ",""))-LEN(SUBSTITUTE(SUBSTITUTE(SUBSTITUTE(SUBSTITUTE(TRIM($H929),"/",","),";",",")," ",""),",",""))+1),"Genre di luar daftar",""))),IF($I929="","Nama Channel kosong",""),IF($J929="","Link Channel kosong",IF(ISERROR(SEARCH("youtu",$J929)),"Link Channel bukan youtube","")),IF($K929="","Link Video kosong",IF(ISERROR(SEARCH("youtu",$K929)),"Link Video bukan youtube","")),IF($L929="","Tgl Dibuat kosong",IF(NOT(ISNUMBER($L929)),"Tgl Dibuat bukan tanggal","")),IF(AND($M929&lt;&gt;"",NOT(ISNUMBER($M929))),"Tgl Publish bukan tanggal",""),IF(AND(ISNUMBER($L929),ISNUMBER($M929),$M929&lt;$L929),"Tgl Publish &lt; Tgl buat",""),IF(TRIM($N929)="","Status kosong",IF(ISERROR(MATCH(TRIM($N929),{"Draft","Menunggu Review","Revisi","Terjadwal","Upload","Publish","Published","Batal"},0)),"Status di luar daftar","")))),""))</f>
        <v/>
      </c>
      <c r="S929" s="12">
        <f>IF(AND($A929&lt;&gt;"",$C929&lt;&gt;""),IF(COUNTIFS($A$2:$A$1000,$A929,$C$2:$C$1000,$C929)&gt;1,"DUPLICAT",""),"")</f>
        <v/>
      </c>
    </row>
    <row r="930">
      <c r="A930" s="17" t="n"/>
      <c r="B930" s="17" t="n"/>
      <c r="C930" s="17" t="n"/>
      <c r="D930" s="18" t="n"/>
      <c r="E930" s="17" t="n"/>
      <c r="F930" s="19" t="n"/>
      <c r="G930" s="17" t="n"/>
      <c r="H930" s="17" t="n"/>
      <c r="I930" s="17" t="n"/>
      <c r="J930" s="19" t="n"/>
      <c r="K930" s="19" t="n"/>
      <c r="L930" s="20" t="n"/>
      <c r="M930" s="20" t="n"/>
      <c r="N930" s="17" t="n"/>
      <c r="O930" s="17" t="n"/>
      <c r="P930" s="21">
        <f>IF(AND(ISNUMBER($L930),ISNUMBER($M930)),MAX(0,$M930-$L930),"")</f>
        <v/>
      </c>
      <c r="Q930" s="21">
        <f>IF(ISNUMBER($D930),MAX(0,TODAY()-$D930),"")</f>
        <v/>
      </c>
      <c r="R930" s="19">
        <f>IF(COUNTA($A930:$O930)=0,"",IFERROR(TRIM(TEXTJOIN(" | ",TRUE,IF($A930="","PC kosong",""),IF($C930="","Worker ID kosong",""),IF($D930="","Update Date kosong",IF(NOT(ISNUMBER($D930)),"Update Date bukan tanggal","")),IF($E930="","Song ID YT kosong",""),IF($F930="","Judul kosong",""),IF(TRIM($G930)="","",IF(ISERROR(MATCH(TRIM($G930),{"TuneCore","DistroKid","TooLost","SoundOn","Ditto","Believe","CD Baby","Amuse","Symphonic Distribution","ONErpm","RouteNote","LANDR","Horus Music","Indie"},0)),"Aggregator di luar daftar","")),IF(TRIM($H930)="","Genre kosong",IF((LEN(SUBSTITUTE(SUBSTITUTE(SUBSTITUTE(TRIM($H930),"/",","),";",",")," ",""))-LEN(SUBSTITUTE(SUBSTITUTE(SUBSTITUTE(SUBSTITUTE(TRIM($H930),"/",","),";",","),"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930),"/",","),";",",")," ","")&amp;",")))&lt;&gt;(LEN(SUBSTITUTE(SUBSTITUTE(SUBSTITUTE(TRIM($H930),"/",","),";",",")," ",""))-LEN(SUBSTITUTE(SUBSTITUTE(SUBSTITUTE(SUBSTITUTE(TRIM($H930),"/",","),";",",")," ",""),",",""))+1),"Genre di luar daftar",""))),IF($I930="","Nama Channel kosong",""),IF($J930="","Link Channel kosong",IF(ISERROR(SEARCH("youtu",$J930)),"Link Channel bukan youtube","")),IF($K930="","Link Video kosong",IF(ISERROR(SEARCH("youtu",$K930)),"Link Video bukan youtube","")),IF($L930="","Tgl Dibuat kosong",IF(NOT(ISNUMBER($L930)),"Tgl Dibuat bukan tanggal","")),IF(AND($M930&lt;&gt;"",NOT(ISNUMBER($M930))),"Tgl Publish bukan tanggal",""),IF(AND(ISNUMBER($L930),ISNUMBER($M930),$M930&lt;$L930),"Tgl Publish &lt; Tgl buat",""),IF(TRIM($N930)="","Status kosong",IF(ISERROR(MATCH(TRIM($N930),{"Draft","Menunggu Review","Revisi","Terjadwal","Upload","Publish","Published","Batal"},0)),"Status di luar daftar","")))),""))</f>
        <v/>
      </c>
      <c r="S930" s="17">
        <f>IF(AND($A930&lt;&gt;"",$C930&lt;&gt;""),IF(COUNTIFS($A$2:$A$1000,$A930,$C$2:$C$1000,$C930)&gt;1,"DUPLICAT",""),"")</f>
        <v/>
      </c>
    </row>
    <row r="931">
      <c r="A931" s="12" t="n"/>
      <c r="B931" s="12" t="n"/>
      <c r="C931" s="12" t="n"/>
      <c r="D931" s="13" t="n"/>
      <c r="E931" s="12" t="n"/>
      <c r="F931" s="14" t="n"/>
      <c r="G931" s="12" t="n"/>
      <c r="H931" s="12" t="n"/>
      <c r="I931" s="12" t="n"/>
      <c r="J931" s="14" t="n"/>
      <c r="K931" s="14" t="n"/>
      <c r="L931" s="15" t="n"/>
      <c r="M931" s="15" t="n"/>
      <c r="N931" s="12" t="n"/>
      <c r="O931" s="12" t="n"/>
      <c r="P931" s="16">
        <f>IF(AND(ISNUMBER($L931),ISNUMBER($M931)),MAX(0,$M931-$L931),"")</f>
        <v/>
      </c>
      <c r="Q931" s="16">
        <f>IF(ISNUMBER($D931),MAX(0,TODAY()-$D931),"")</f>
        <v/>
      </c>
      <c r="R931" s="14">
        <f>IF(COUNTA($A931:$O931)=0,"",IFERROR(TRIM(TEXTJOIN(" | ",TRUE,IF($A931="","PC kosong",""),IF($C931="","Worker ID kosong",""),IF($D931="","Update Date kosong",IF(NOT(ISNUMBER($D931)),"Update Date bukan tanggal","")),IF($E931="","Song ID YT kosong",""),IF($F931="","Judul kosong",""),IF(TRIM($G931)="","",IF(ISERROR(MATCH(TRIM($G931),{"TuneCore","DistroKid","TooLost","SoundOn","Ditto","Believe","CD Baby","Amuse","Symphonic Distribution","ONErpm","RouteNote","LANDR","Horus Music","Indie"},0)),"Aggregator di luar daftar","")),IF(TRIM($H931)="","Genre kosong",IF((LEN(SUBSTITUTE(SUBSTITUTE(SUBSTITUTE(TRIM($H931),"/",","),";",",")," ",""))-LEN(SUBSTITUTE(SUBSTITUTE(SUBSTITUTE(SUBSTITUTE(TRIM($H931),"/",","),";",","),"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931),"/",","),";",",")," ","")&amp;",")))&lt;&gt;(LEN(SUBSTITUTE(SUBSTITUTE(SUBSTITUTE(TRIM($H931),"/",","),";",",")," ",""))-LEN(SUBSTITUTE(SUBSTITUTE(SUBSTITUTE(SUBSTITUTE(TRIM($H931),"/",","),";",",")," ",""),",",""))+1),"Genre di luar daftar",""))),IF($I931="","Nama Channel kosong",""),IF($J931="","Link Channel kosong",IF(ISERROR(SEARCH("youtu",$J931)),"Link Channel bukan youtube","")),IF($K931="","Link Video kosong",IF(ISERROR(SEARCH("youtu",$K931)),"Link Video bukan youtube","")),IF($L931="","Tgl Dibuat kosong",IF(NOT(ISNUMBER($L931)),"Tgl Dibuat bukan tanggal","")),IF(AND($M931&lt;&gt;"",NOT(ISNUMBER($M931))),"Tgl Publish bukan tanggal",""),IF(AND(ISNUMBER($L931),ISNUMBER($M931),$M931&lt;$L931),"Tgl Publish &lt; Tgl buat",""),IF(TRIM($N931)="","Status kosong",IF(ISERROR(MATCH(TRIM($N931),{"Draft","Menunggu Review","Revisi","Terjadwal","Upload","Publish","Published","Batal"},0)),"Status di luar daftar","")))),""))</f>
        <v/>
      </c>
      <c r="S931" s="12">
        <f>IF(AND($A931&lt;&gt;"",$C931&lt;&gt;""),IF(COUNTIFS($A$2:$A$1000,$A931,$C$2:$C$1000,$C931)&gt;1,"DUPLICAT",""),"")</f>
        <v/>
      </c>
    </row>
    <row r="932">
      <c r="A932" s="17" t="n"/>
      <c r="B932" s="17" t="n"/>
      <c r="C932" s="17" t="n"/>
      <c r="D932" s="18" t="n"/>
      <c r="E932" s="17" t="n"/>
      <c r="F932" s="19" t="n"/>
      <c r="G932" s="17" t="n"/>
      <c r="H932" s="17" t="n"/>
      <c r="I932" s="17" t="n"/>
      <c r="J932" s="19" t="n"/>
      <c r="K932" s="19" t="n"/>
      <c r="L932" s="20" t="n"/>
      <c r="M932" s="20" t="n"/>
      <c r="N932" s="17" t="n"/>
      <c r="O932" s="17" t="n"/>
      <c r="P932" s="21">
        <f>IF(AND(ISNUMBER($L932),ISNUMBER($M932)),MAX(0,$M932-$L932),"")</f>
        <v/>
      </c>
      <c r="Q932" s="21">
        <f>IF(ISNUMBER($D932),MAX(0,TODAY()-$D932),"")</f>
        <v/>
      </c>
      <c r="R932" s="19">
        <f>IF(COUNTA($A932:$O932)=0,"",IFERROR(TRIM(TEXTJOIN(" | ",TRUE,IF($A932="","PC kosong",""),IF($C932="","Worker ID kosong",""),IF($D932="","Update Date kosong",IF(NOT(ISNUMBER($D932)),"Update Date bukan tanggal","")),IF($E932="","Song ID YT kosong",""),IF($F932="","Judul kosong",""),IF(TRIM($G932)="","",IF(ISERROR(MATCH(TRIM($G932),{"TuneCore","DistroKid","TooLost","SoundOn","Ditto","Believe","CD Baby","Amuse","Symphonic Distribution","ONErpm","RouteNote","LANDR","Horus Music","Indie"},0)),"Aggregator di luar daftar","")),IF(TRIM($H932)="","Genre kosong",IF((LEN(SUBSTITUTE(SUBSTITUTE(SUBSTITUTE(TRIM($H932),"/",","),";",",")," ",""))-LEN(SUBSTITUTE(SUBSTITUTE(SUBSTITUTE(SUBSTITUTE(TRIM($H932),"/",","),";",","),"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932),"/",","),";",",")," ","")&amp;",")))&lt;&gt;(LEN(SUBSTITUTE(SUBSTITUTE(SUBSTITUTE(TRIM($H932),"/",","),";",",")," ",""))-LEN(SUBSTITUTE(SUBSTITUTE(SUBSTITUTE(SUBSTITUTE(TRIM($H932),"/",","),";",",")," ",""),",",""))+1),"Genre di luar daftar",""))),IF($I932="","Nama Channel kosong",""),IF($J932="","Link Channel kosong",IF(ISERROR(SEARCH("youtu",$J932)),"Link Channel bukan youtube","")),IF($K932="","Link Video kosong",IF(ISERROR(SEARCH("youtu",$K932)),"Link Video bukan youtube","")),IF($L932="","Tgl Dibuat kosong",IF(NOT(ISNUMBER($L932)),"Tgl Dibuat bukan tanggal","")),IF(AND($M932&lt;&gt;"",NOT(ISNUMBER($M932))),"Tgl Publish bukan tanggal",""),IF(AND(ISNUMBER($L932),ISNUMBER($M932),$M932&lt;$L932),"Tgl Publish &lt; Tgl buat",""),IF(TRIM($N932)="","Status kosong",IF(ISERROR(MATCH(TRIM($N932),{"Draft","Menunggu Review","Revisi","Terjadwal","Upload","Publish","Published","Batal"},0)),"Status di luar daftar","")))),""))</f>
        <v/>
      </c>
      <c r="S932" s="17">
        <f>IF(AND($A932&lt;&gt;"",$C932&lt;&gt;""),IF(COUNTIFS($A$2:$A$1000,$A932,$C$2:$C$1000,$C932)&gt;1,"DUPLICAT",""),"")</f>
        <v/>
      </c>
    </row>
    <row r="933">
      <c r="A933" s="12" t="n"/>
      <c r="B933" s="12" t="n"/>
      <c r="C933" s="12" t="n"/>
      <c r="D933" s="13" t="n"/>
      <c r="E933" s="12" t="n"/>
      <c r="F933" s="14" t="n"/>
      <c r="G933" s="12" t="n"/>
      <c r="H933" s="12" t="n"/>
      <c r="I933" s="12" t="n"/>
      <c r="J933" s="14" t="n"/>
      <c r="K933" s="14" t="n"/>
      <c r="L933" s="15" t="n"/>
      <c r="M933" s="15" t="n"/>
      <c r="N933" s="12" t="n"/>
      <c r="O933" s="12" t="n"/>
      <c r="P933" s="16">
        <f>IF(AND(ISNUMBER($L933),ISNUMBER($M933)),MAX(0,$M933-$L933),"")</f>
        <v/>
      </c>
      <c r="Q933" s="16">
        <f>IF(ISNUMBER($D933),MAX(0,TODAY()-$D933),"")</f>
        <v/>
      </c>
      <c r="R933" s="14">
        <f>IF(COUNTA($A933:$O933)=0,"",IFERROR(TRIM(TEXTJOIN(" | ",TRUE,IF($A933="","PC kosong",""),IF($C933="","Worker ID kosong",""),IF($D933="","Update Date kosong",IF(NOT(ISNUMBER($D933)),"Update Date bukan tanggal","")),IF($E933="","Song ID YT kosong",""),IF($F933="","Judul kosong",""),IF(TRIM($G933)="","",IF(ISERROR(MATCH(TRIM($G933),{"TuneCore","DistroKid","TooLost","SoundOn","Ditto","Believe","CD Baby","Amuse","Symphonic Distribution","ONErpm","RouteNote","LANDR","Horus Music","Indie"},0)),"Aggregator di luar daftar","")),IF(TRIM($H933)="","Genre kosong",IF((LEN(SUBSTITUTE(SUBSTITUTE(SUBSTITUTE(TRIM($H933),"/",","),";",",")," ",""))-LEN(SUBSTITUTE(SUBSTITUTE(SUBSTITUTE(SUBSTITUTE(TRIM($H933),"/",","),";",","),"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933),"/",","),";",",")," ","")&amp;",")))&lt;&gt;(LEN(SUBSTITUTE(SUBSTITUTE(SUBSTITUTE(TRIM($H933),"/",","),";",",")," ",""))-LEN(SUBSTITUTE(SUBSTITUTE(SUBSTITUTE(SUBSTITUTE(TRIM($H933),"/",","),";",",")," ",""),",",""))+1),"Genre di luar daftar",""))),IF($I933="","Nama Channel kosong",""),IF($J933="","Link Channel kosong",IF(ISERROR(SEARCH("youtu",$J933)),"Link Channel bukan youtube","")),IF($K933="","Link Video kosong",IF(ISERROR(SEARCH("youtu",$K933)),"Link Video bukan youtube","")),IF($L933="","Tgl Dibuat kosong",IF(NOT(ISNUMBER($L933)),"Tgl Dibuat bukan tanggal","")),IF(AND($M933&lt;&gt;"",NOT(ISNUMBER($M933))),"Tgl Publish bukan tanggal",""),IF(AND(ISNUMBER($L933),ISNUMBER($M933),$M933&lt;$L933),"Tgl Publish &lt; Tgl buat",""),IF(TRIM($N933)="","Status kosong",IF(ISERROR(MATCH(TRIM($N933),{"Draft","Menunggu Review","Revisi","Terjadwal","Upload","Publish","Published","Batal"},0)),"Status di luar daftar","")))),""))</f>
        <v/>
      </c>
      <c r="S933" s="12">
        <f>IF(AND($A933&lt;&gt;"",$C933&lt;&gt;""),IF(COUNTIFS($A$2:$A$1000,$A933,$C$2:$C$1000,$C933)&gt;1,"DUPLICAT",""),"")</f>
        <v/>
      </c>
    </row>
    <row r="934">
      <c r="A934" s="17" t="n"/>
      <c r="B934" s="17" t="n"/>
      <c r="C934" s="17" t="n"/>
      <c r="D934" s="18" t="n"/>
      <c r="E934" s="17" t="n"/>
      <c r="F934" s="19" t="n"/>
      <c r="G934" s="17" t="n"/>
      <c r="H934" s="17" t="n"/>
      <c r="I934" s="17" t="n"/>
      <c r="J934" s="19" t="n"/>
      <c r="K934" s="19" t="n"/>
      <c r="L934" s="20" t="n"/>
      <c r="M934" s="20" t="n"/>
      <c r="N934" s="17" t="n"/>
      <c r="O934" s="17" t="n"/>
      <c r="P934" s="21">
        <f>IF(AND(ISNUMBER($L934),ISNUMBER($M934)),MAX(0,$M934-$L934),"")</f>
        <v/>
      </c>
      <c r="Q934" s="21">
        <f>IF(ISNUMBER($D934),MAX(0,TODAY()-$D934),"")</f>
        <v/>
      </c>
      <c r="R934" s="19">
        <f>IF(COUNTA($A934:$O934)=0,"",IFERROR(TRIM(TEXTJOIN(" | ",TRUE,IF($A934="","PC kosong",""),IF($C934="","Worker ID kosong",""),IF($D934="","Update Date kosong",IF(NOT(ISNUMBER($D934)),"Update Date bukan tanggal","")),IF($E934="","Song ID YT kosong",""),IF($F934="","Judul kosong",""),IF(TRIM($G934)="","",IF(ISERROR(MATCH(TRIM($G934),{"TuneCore","DistroKid","TooLost","SoundOn","Ditto","Believe","CD Baby","Amuse","Symphonic Distribution","ONErpm","RouteNote","LANDR","Horus Music","Indie"},0)),"Aggregator di luar daftar","")),IF(TRIM($H934)="","Genre kosong",IF((LEN(SUBSTITUTE(SUBSTITUTE(SUBSTITUTE(TRIM($H934),"/",","),";",",")," ",""))-LEN(SUBSTITUTE(SUBSTITUTE(SUBSTITUTE(SUBSTITUTE(TRIM($H934),"/",","),";",","),"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934),"/",","),";",",")," ","")&amp;",")))&lt;&gt;(LEN(SUBSTITUTE(SUBSTITUTE(SUBSTITUTE(TRIM($H934),"/",","),";",",")," ",""))-LEN(SUBSTITUTE(SUBSTITUTE(SUBSTITUTE(SUBSTITUTE(TRIM($H934),"/",","),";",",")," ",""),",",""))+1),"Genre di luar daftar",""))),IF($I934="","Nama Channel kosong",""),IF($J934="","Link Channel kosong",IF(ISERROR(SEARCH("youtu",$J934)),"Link Channel bukan youtube","")),IF($K934="","Link Video kosong",IF(ISERROR(SEARCH("youtu",$K934)),"Link Video bukan youtube","")),IF($L934="","Tgl Dibuat kosong",IF(NOT(ISNUMBER($L934)),"Tgl Dibuat bukan tanggal","")),IF(AND($M934&lt;&gt;"",NOT(ISNUMBER($M934))),"Tgl Publish bukan tanggal",""),IF(AND(ISNUMBER($L934),ISNUMBER($M934),$M934&lt;$L934),"Tgl Publish &lt; Tgl buat",""),IF(TRIM($N934)="","Status kosong",IF(ISERROR(MATCH(TRIM($N934),{"Draft","Menunggu Review","Revisi","Terjadwal","Upload","Publish","Published","Batal"},0)),"Status di luar daftar","")))),""))</f>
        <v/>
      </c>
      <c r="S934" s="17">
        <f>IF(AND($A934&lt;&gt;"",$C934&lt;&gt;""),IF(COUNTIFS($A$2:$A$1000,$A934,$C$2:$C$1000,$C934)&gt;1,"DUPLICAT",""),"")</f>
        <v/>
      </c>
    </row>
    <row r="935">
      <c r="A935" s="12" t="n"/>
      <c r="B935" s="12" t="n"/>
      <c r="C935" s="12" t="n"/>
      <c r="D935" s="13" t="n"/>
      <c r="E935" s="12" t="n"/>
      <c r="F935" s="14" t="n"/>
      <c r="G935" s="12" t="n"/>
      <c r="H935" s="12" t="n"/>
      <c r="I935" s="12" t="n"/>
      <c r="J935" s="14" t="n"/>
      <c r="K935" s="14" t="n"/>
      <c r="L935" s="15" t="n"/>
      <c r="M935" s="15" t="n"/>
      <c r="N935" s="12" t="n"/>
      <c r="O935" s="12" t="n"/>
      <c r="P935" s="16">
        <f>IF(AND(ISNUMBER($L935),ISNUMBER($M935)),MAX(0,$M935-$L935),"")</f>
        <v/>
      </c>
      <c r="Q935" s="16">
        <f>IF(ISNUMBER($D935),MAX(0,TODAY()-$D935),"")</f>
        <v/>
      </c>
      <c r="R935" s="14">
        <f>IF(COUNTA($A935:$O935)=0,"",IFERROR(TRIM(TEXTJOIN(" | ",TRUE,IF($A935="","PC kosong",""),IF($C935="","Worker ID kosong",""),IF($D935="","Update Date kosong",IF(NOT(ISNUMBER($D935)),"Update Date bukan tanggal","")),IF($E935="","Song ID YT kosong",""),IF($F935="","Judul kosong",""),IF(TRIM($G935)="","",IF(ISERROR(MATCH(TRIM($G935),{"TuneCore","DistroKid","TooLost","SoundOn","Ditto","Believe","CD Baby","Amuse","Symphonic Distribution","ONErpm","RouteNote","LANDR","Horus Music","Indie"},0)),"Aggregator di luar daftar","")),IF(TRIM($H935)="","Genre kosong",IF((LEN(SUBSTITUTE(SUBSTITUTE(SUBSTITUTE(TRIM($H935),"/",","),";",",")," ",""))-LEN(SUBSTITUTE(SUBSTITUTE(SUBSTITUTE(SUBSTITUTE(TRIM($H935),"/",","),";",","),"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935),"/",","),";",",")," ","")&amp;",")))&lt;&gt;(LEN(SUBSTITUTE(SUBSTITUTE(SUBSTITUTE(TRIM($H935),"/",","),";",",")," ",""))-LEN(SUBSTITUTE(SUBSTITUTE(SUBSTITUTE(SUBSTITUTE(TRIM($H935),"/",","),";",",")," ",""),",",""))+1),"Genre di luar daftar",""))),IF($I935="","Nama Channel kosong",""),IF($J935="","Link Channel kosong",IF(ISERROR(SEARCH("youtu",$J935)),"Link Channel bukan youtube","")),IF($K935="","Link Video kosong",IF(ISERROR(SEARCH("youtu",$K935)),"Link Video bukan youtube","")),IF($L935="","Tgl Dibuat kosong",IF(NOT(ISNUMBER($L935)),"Tgl Dibuat bukan tanggal","")),IF(AND($M935&lt;&gt;"",NOT(ISNUMBER($M935))),"Tgl Publish bukan tanggal",""),IF(AND(ISNUMBER($L935),ISNUMBER($M935),$M935&lt;$L935),"Tgl Publish &lt; Tgl buat",""),IF(TRIM($N935)="","Status kosong",IF(ISERROR(MATCH(TRIM($N935),{"Draft","Menunggu Review","Revisi","Terjadwal","Upload","Publish","Published","Batal"},0)),"Status di luar daftar","")))),""))</f>
        <v/>
      </c>
      <c r="S935" s="12">
        <f>IF(AND($A935&lt;&gt;"",$C935&lt;&gt;""),IF(COUNTIFS($A$2:$A$1000,$A935,$C$2:$C$1000,$C935)&gt;1,"DUPLICAT",""),"")</f>
        <v/>
      </c>
    </row>
    <row r="936">
      <c r="A936" s="17" t="n"/>
      <c r="B936" s="17" t="n"/>
      <c r="C936" s="17" t="n"/>
      <c r="D936" s="18" t="n"/>
      <c r="E936" s="17" t="n"/>
      <c r="F936" s="19" t="n"/>
      <c r="G936" s="17" t="n"/>
      <c r="H936" s="17" t="n"/>
      <c r="I936" s="17" t="n"/>
      <c r="J936" s="19" t="n"/>
      <c r="K936" s="19" t="n"/>
      <c r="L936" s="20" t="n"/>
      <c r="M936" s="20" t="n"/>
      <c r="N936" s="17" t="n"/>
      <c r="O936" s="17" t="n"/>
      <c r="P936" s="21">
        <f>IF(AND(ISNUMBER($L936),ISNUMBER($M936)),MAX(0,$M936-$L936),"")</f>
        <v/>
      </c>
      <c r="Q936" s="21">
        <f>IF(ISNUMBER($D936),MAX(0,TODAY()-$D936),"")</f>
        <v/>
      </c>
      <c r="R936" s="19">
        <f>IF(COUNTA($A936:$O936)=0,"",IFERROR(TRIM(TEXTJOIN(" | ",TRUE,IF($A936="","PC kosong",""),IF($C936="","Worker ID kosong",""),IF($D936="","Update Date kosong",IF(NOT(ISNUMBER($D936)),"Update Date bukan tanggal","")),IF($E936="","Song ID YT kosong",""),IF($F936="","Judul kosong",""),IF(TRIM($G936)="","",IF(ISERROR(MATCH(TRIM($G936),{"TuneCore","DistroKid","TooLost","SoundOn","Ditto","Believe","CD Baby","Amuse","Symphonic Distribution","ONErpm","RouteNote","LANDR","Horus Music","Indie"},0)),"Aggregator di luar daftar","")),IF(TRIM($H936)="","Genre kosong",IF((LEN(SUBSTITUTE(SUBSTITUTE(SUBSTITUTE(TRIM($H936),"/",","),";",",")," ",""))-LEN(SUBSTITUTE(SUBSTITUTE(SUBSTITUTE(SUBSTITUTE(TRIM($H936),"/",","),";",","),"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936),"/",","),";",",")," ","")&amp;",")))&lt;&gt;(LEN(SUBSTITUTE(SUBSTITUTE(SUBSTITUTE(TRIM($H936),"/",","),";",",")," ",""))-LEN(SUBSTITUTE(SUBSTITUTE(SUBSTITUTE(SUBSTITUTE(TRIM($H936),"/",","),";",",")," ",""),",",""))+1),"Genre di luar daftar",""))),IF($I936="","Nama Channel kosong",""),IF($J936="","Link Channel kosong",IF(ISERROR(SEARCH("youtu",$J936)),"Link Channel bukan youtube","")),IF($K936="","Link Video kosong",IF(ISERROR(SEARCH("youtu",$K936)),"Link Video bukan youtube","")),IF($L936="","Tgl Dibuat kosong",IF(NOT(ISNUMBER($L936)),"Tgl Dibuat bukan tanggal","")),IF(AND($M936&lt;&gt;"",NOT(ISNUMBER($M936))),"Tgl Publish bukan tanggal",""),IF(AND(ISNUMBER($L936),ISNUMBER($M936),$M936&lt;$L936),"Tgl Publish &lt; Tgl buat",""),IF(TRIM($N936)="","Status kosong",IF(ISERROR(MATCH(TRIM($N936),{"Draft","Menunggu Review","Revisi","Terjadwal","Upload","Publish","Published","Batal"},0)),"Status di luar daftar","")))),""))</f>
        <v/>
      </c>
      <c r="S936" s="17">
        <f>IF(AND($A936&lt;&gt;"",$C936&lt;&gt;""),IF(COUNTIFS($A$2:$A$1000,$A936,$C$2:$C$1000,$C936)&gt;1,"DUPLICAT",""),"")</f>
        <v/>
      </c>
    </row>
    <row r="937">
      <c r="A937" s="12" t="n"/>
      <c r="B937" s="12" t="n"/>
      <c r="C937" s="12" t="n"/>
      <c r="D937" s="13" t="n"/>
      <c r="E937" s="12" t="n"/>
      <c r="F937" s="14" t="n"/>
      <c r="G937" s="12" t="n"/>
      <c r="H937" s="12" t="n"/>
      <c r="I937" s="12" t="n"/>
      <c r="J937" s="14" t="n"/>
      <c r="K937" s="14" t="n"/>
      <c r="L937" s="15" t="n"/>
      <c r="M937" s="15" t="n"/>
      <c r="N937" s="12" t="n"/>
      <c r="O937" s="12" t="n"/>
      <c r="P937" s="16">
        <f>IF(AND(ISNUMBER($L937),ISNUMBER($M937)),MAX(0,$M937-$L937),"")</f>
        <v/>
      </c>
      <c r="Q937" s="16">
        <f>IF(ISNUMBER($D937),MAX(0,TODAY()-$D937),"")</f>
        <v/>
      </c>
      <c r="R937" s="14">
        <f>IF(COUNTA($A937:$O937)=0,"",IFERROR(TRIM(TEXTJOIN(" | ",TRUE,IF($A937="","PC kosong",""),IF($C937="","Worker ID kosong",""),IF($D937="","Update Date kosong",IF(NOT(ISNUMBER($D937)),"Update Date bukan tanggal","")),IF($E937="","Song ID YT kosong",""),IF($F937="","Judul kosong",""),IF(TRIM($G937)="","",IF(ISERROR(MATCH(TRIM($G937),{"TuneCore","DistroKid","TooLost","SoundOn","Ditto","Believe","CD Baby","Amuse","Symphonic Distribution","ONErpm","RouteNote","LANDR","Horus Music","Indie"},0)),"Aggregator di luar daftar","")),IF(TRIM($H937)="","Genre kosong",IF((LEN(SUBSTITUTE(SUBSTITUTE(SUBSTITUTE(TRIM($H937),"/",","),";",",")," ",""))-LEN(SUBSTITUTE(SUBSTITUTE(SUBSTITUTE(SUBSTITUTE(TRIM($H937),"/",","),";",","),"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937),"/",","),";",",")," ","")&amp;",")))&lt;&gt;(LEN(SUBSTITUTE(SUBSTITUTE(SUBSTITUTE(TRIM($H937),"/",","),";",",")," ",""))-LEN(SUBSTITUTE(SUBSTITUTE(SUBSTITUTE(SUBSTITUTE(TRIM($H937),"/",","),";",",")," ",""),",",""))+1),"Genre di luar daftar",""))),IF($I937="","Nama Channel kosong",""),IF($J937="","Link Channel kosong",IF(ISERROR(SEARCH("youtu",$J937)),"Link Channel bukan youtube","")),IF($K937="","Link Video kosong",IF(ISERROR(SEARCH("youtu",$K937)),"Link Video bukan youtube","")),IF($L937="","Tgl Dibuat kosong",IF(NOT(ISNUMBER($L937)),"Tgl Dibuat bukan tanggal","")),IF(AND($M937&lt;&gt;"",NOT(ISNUMBER($M937))),"Tgl Publish bukan tanggal",""),IF(AND(ISNUMBER($L937),ISNUMBER($M937),$M937&lt;$L937),"Tgl Publish &lt; Tgl buat",""),IF(TRIM($N937)="","Status kosong",IF(ISERROR(MATCH(TRIM($N937),{"Draft","Menunggu Review","Revisi","Terjadwal","Upload","Publish","Published","Batal"},0)),"Status di luar daftar","")))),""))</f>
        <v/>
      </c>
      <c r="S937" s="12">
        <f>IF(AND($A937&lt;&gt;"",$C937&lt;&gt;""),IF(COUNTIFS($A$2:$A$1000,$A937,$C$2:$C$1000,$C937)&gt;1,"DUPLICAT",""),"")</f>
        <v/>
      </c>
    </row>
    <row r="938">
      <c r="A938" s="17" t="n"/>
      <c r="B938" s="17" t="n"/>
      <c r="C938" s="17" t="n"/>
      <c r="D938" s="18" t="n"/>
      <c r="E938" s="17" t="n"/>
      <c r="F938" s="19" t="n"/>
      <c r="G938" s="17" t="n"/>
      <c r="H938" s="17" t="n"/>
      <c r="I938" s="17" t="n"/>
      <c r="J938" s="19" t="n"/>
      <c r="K938" s="19" t="n"/>
      <c r="L938" s="20" t="n"/>
      <c r="M938" s="20" t="n"/>
      <c r="N938" s="17" t="n"/>
      <c r="O938" s="17" t="n"/>
      <c r="P938" s="21">
        <f>IF(AND(ISNUMBER($L938),ISNUMBER($M938)),MAX(0,$M938-$L938),"")</f>
        <v/>
      </c>
      <c r="Q938" s="21">
        <f>IF(ISNUMBER($D938),MAX(0,TODAY()-$D938),"")</f>
        <v/>
      </c>
      <c r="R938" s="19">
        <f>IF(COUNTA($A938:$O938)=0,"",IFERROR(TRIM(TEXTJOIN(" | ",TRUE,IF($A938="","PC kosong",""),IF($C938="","Worker ID kosong",""),IF($D938="","Update Date kosong",IF(NOT(ISNUMBER($D938)),"Update Date bukan tanggal","")),IF($E938="","Song ID YT kosong",""),IF($F938="","Judul kosong",""),IF(TRIM($G938)="","",IF(ISERROR(MATCH(TRIM($G938),{"TuneCore","DistroKid","TooLost","SoundOn","Ditto","Believe","CD Baby","Amuse","Symphonic Distribution","ONErpm","RouteNote","LANDR","Horus Music","Indie"},0)),"Aggregator di luar daftar","")),IF(TRIM($H938)="","Genre kosong",IF((LEN(SUBSTITUTE(SUBSTITUTE(SUBSTITUTE(TRIM($H938),"/",","),";",",")," ",""))-LEN(SUBSTITUTE(SUBSTITUTE(SUBSTITUTE(SUBSTITUTE(TRIM($H938),"/",","),";",","),"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938),"/",","),";",",")," ","")&amp;",")))&lt;&gt;(LEN(SUBSTITUTE(SUBSTITUTE(SUBSTITUTE(TRIM($H938),"/",","),";",",")," ",""))-LEN(SUBSTITUTE(SUBSTITUTE(SUBSTITUTE(SUBSTITUTE(TRIM($H938),"/",","),";",",")," ",""),",",""))+1),"Genre di luar daftar",""))),IF($I938="","Nama Channel kosong",""),IF($J938="","Link Channel kosong",IF(ISERROR(SEARCH("youtu",$J938)),"Link Channel bukan youtube","")),IF($K938="","Link Video kosong",IF(ISERROR(SEARCH("youtu",$K938)),"Link Video bukan youtube","")),IF($L938="","Tgl Dibuat kosong",IF(NOT(ISNUMBER($L938)),"Tgl Dibuat bukan tanggal","")),IF(AND($M938&lt;&gt;"",NOT(ISNUMBER($M938))),"Tgl Publish bukan tanggal",""),IF(AND(ISNUMBER($L938),ISNUMBER($M938),$M938&lt;$L938),"Tgl Publish &lt; Tgl buat",""),IF(TRIM($N938)="","Status kosong",IF(ISERROR(MATCH(TRIM($N938),{"Draft","Menunggu Review","Revisi","Terjadwal","Upload","Publish","Published","Batal"},0)),"Status di luar daftar","")))),""))</f>
        <v/>
      </c>
      <c r="S938" s="17">
        <f>IF(AND($A938&lt;&gt;"",$C938&lt;&gt;""),IF(COUNTIFS($A$2:$A$1000,$A938,$C$2:$C$1000,$C938)&gt;1,"DUPLICAT",""),"")</f>
        <v/>
      </c>
    </row>
    <row r="939">
      <c r="A939" s="12" t="n"/>
      <c r="B939" s="12" t="n"/>
      <c r="C939" s="12" t="n"/>
      <c r="D939" s="13" t="n"/>
      <c r="E939" s="12" t="n"/>
      <c r="F939" s="14" t="n"/>
      <c r="G939" s="12" t="n"/>
      <c r="H939" s="12" t="n"/>
      <c r="I939" s="12" t="n"/>
      <c r="J939" s="14" t="n"/>
      <c r="K939" s="14" t="n"/>
      <c r="L939" s="15" t="n"/>
      <c r="M939" s="15" t="n"/>
      <c r="N939" s="12" t="n"/>
      <c r="O939" s="12" t="n"/>
      <c r="P939" s="16">
        <f>IF(AND(ISNUMBER($L939),ISNUMBER($M939)),MAX(0,$M939-$L939),"")</f>
        <v/>
      </c>
      <c r="Q939" s="16">
        <f>IF(ISNUMBER($D939),MAX(0,TODAY()-$D939),"")</f>
        <v/>
      </c>
      <c r="R939" s="14">
        <f>IF(COUNTA($A939:$O939)=0,"",IFERROR(TRIM(TEXTJOIN(" | ",TRUE,IF($A939="","PC kosong",""),IF($C939="","Worker ID kosong",""),IF($D939="","Update Date kosong",IF(NOT(ISNUMBER($D939)),"Update Date bukan tanggal","")),IF($E939="","Song ID YT kosong",""),IF($F939="","Judul kosong",""),IF(TRIM($G939)="","",IF(ISERROR(MATCH(TRIM($G939),{"TuneCore","DistroKid","TooLost","SoundOn","Ditto","Believe","CD Baby","Amuse","Symphonic Distribution","ONErpm","RouteNote","LANDR","Horus Music","Indie"},0)),"Aggregator di luar daftar","")),IF(TRIM($H939)="","Genre kosong",IF((LEN(SUBSTITUTE(SUBSTITUTE(SUBSTITUTE(TRIM($H939),"/",","),";",",")," ",""))-LEN(SUBSTITUTE(SUBSTITUTE(SUBSTITUTE(SUBSTITUTE(TRIM($H939),"/",","),";",","),"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939),"/",","),";",",")," ","")&amp;",")))&lt;&gt;(LEN(SUBSTITUTE(SUBSTITUTE(SUBSTITUTE(TRIM($H939),"/",","),";",",")," ",""))-LEN(SUBSTITUTE(SUBSTITUTE(SUBSTITUTE(SUBSTITUTE(TRIM($H939),"/",","),";",",")," ",""),",",""))+1),"Genre di luar daftar",""))),IF($I939="","Nama Channel kosong",""),IF($J939="","Link Channel kosong",IF(ISERROR(SEARCH("youtu",$J939)),"Link Channel bukan youtube","")),IF($K939="","Link Video kosong",IF(ISERROR(SEARCH("youtu",$K939)),"Link Video bukan youtube","")),IF($L939="","Tgl Dibuat kosong",IF(NOT(ISNUMBER($L939)),"Tgl Dibuat bukan tanggal","")),IF(AND($M939&lt;&gt;"",NOT(ISNUMBER($M939))),"Tgl Publish bukan tanggal",""),IF(AND(ISNUMBER($L939),ISNUMBER($M939),$M939&lt;$L939),"Tgl Publish &lt; Tgl buat",""),IF(TRIM($N939)="","Status kosong",IF(ISERROR(MATCH(TRIM($N939),{"Draft","Menunggu Review","Revisi","Terjadwal","Upload","Publish","Published","Batal"},0)),"Status di luar daftar","")))),""))</f>
        <v/>
      </c>
      <c r="S939" s="12">
        <f>IF(AND($A939&lt;&gt;"",$C939&lt;&gt;""),IF(COUNTIFS($A$2:$A$1000,$A939,$C$2:$C$1000,$C939)&gt;1,"DUPLICAT",""),"")</f>
        <v/>
      </c>
    </row>
    <row r="940">
      <c r="A940" s="17" t="n"/>
      <c r="B940" s="17" t="n"/>
      <c r="C940" s="17" t="n"/>
      <c r="D940" s="18" t="n"/>
      <c r="E940" s="17" t="n"/>
      <c r="F940" s="19" t="n"/>
      <c r="G940" s="17" t="n"/>
      <c r="H940" s="17" t="n"/>
      <c r="I940" s="17" t="n"/>
      <c r="J940" s="19" t="n"/>
      <c r="K940" s="19" t="n"/>
      <c r="L940" s="20" t="n"/>
      <c r="M940" s="20" t="n"/>
      <c r="N940" s="17" t="n"/>
      <c r="O940" s="17" t="n"/>
      <c r="P940" s="21">
        <f>IF(AND(ISNUMBER($L940),ISNUMBER($M940)),MAX(0,$M940-$L940),"")</f>
        <v/>
      </c>
      <c r="Q940" s="21">
        <f>IF(ISNUMBER($D940),MAX(0,TODAY()-$D940),"")</f>
        <v/>
      </c>
      <c r="R940" s="19">
        <f>IF(COUNTA($A940:$O940)=0,"",IFERROR(TRIM(TEXTJOIN(" | ",TRUE,IF($A940="","PC kosong",""),IF($C940="","Worker ID kosong",""),IF($D940="","Update Date kosong",IF(NOT(ISNUMBER($D940)),"Update Date bukan tanggal","")),IF($E940="","Song ID YT kosong",""),IF($F940="","Judul kosong",""),IF(TRIM($G940)="","",IF(ISERROR(MATCH(TRIM($G940),{"TuneCore","DistroKid","TooLost","SoundOn","Ditto","Believe","CD Baby","Amuse","Symphonic Distribution","ONErpm","RouteNote","LANDR","Horus Music","Indie"},0)),"Aggregator di luar daftar","")),IF(TRIM($H940)="","Genre kosong",IF((LEN(SUBSTITUTE(SUBSTITUTE(SUBSTITUTE(TRIM($H940),"/",","),";",",")," ",""))-LEN(SUBSTITUTE(SUBSTITUTE(SUBSTITUTE(SUBSTITUTE(TRIM($H940),"/",","),";",","),"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940),"/",","),";",",")," ","")&amp;",")))&lt;&gt;(LEN(SUBSTITUTE(SUBSTITUTE(SUBSTITUTE(TRIM($H940),"/",","),";",",")," ",""))-LEN(SUBSTITUTE(SUBSTITUTE(SUBSTITUTE(SUBSTITUTE(TRIM($H940),"/",","),";",",")," ",""),",",""))+1),"Genre di luar daftar",""))),IF($I940="","Nama Channel kosong",""),IF($J940="","Link Channel kosong",IF(ISERROR(SEARCH("youtu",$J940)),"Link Channel bukan youtube","")),IF($K940="","Link Video kosong",IF(ISERROR(SEARCH("youtu",$K940)),"Link Video bukan youtube","")),IF($L940="","Tgl Dibuat kosong",IF(NOT(ISNUMBER($L940)),"Tgl Dibuat bukan tanggal","")),IF(AND($M940&lt;&gt;"",NOT(ISNUMBER($M940))),"Tgl Publish bukan tanggal",""),IF(AND(ISNUMBER($L940),ISNUMBER($M940),$M940&lt;$L940),"Tgl Publish &lt; Tgl buat",""),IF(TRIM($N940)="","Status kosong",IF(ISERROR(MATCH(TRIM($N940),{"Draft","Menunggu Review","Revisi","Terjadwal","Upload","Publish","Published","Batal"},0)),"Status di luar daftar","")))),""))</f>
        <v/>
      </c>
      <c r="S940" s="17">
        <f>IF(AND($A940&lt;&gt;"",$C940&lt;&gt;""),IF(COUNTIFS($A$2:$A$1000,$A940,$C$2:$C$1000,$C940)&gt;1,"DUPLICAT",""),"")</f>
        <v/>
      </c>
    </row>
    <row r="941">
      <c r="A941" s="12" t="n"/>
      <c r="B941" s="12" t="n"/>
      <c r="C941" s="12" t="n"/>
      <c r="D941" s="13" t="n"/>
      <c r="E941" s="12" t="n"/>
      <c r="F941" s="14" t="n"/>
      <c r="G941" s="12" t="n"/>
      <c r="H941" s="12" t="n"/>
      <c r="I941" s="12" t="n"/>
      <c r="J941" s="14" t="n"/>
      <c r="K941" s="14" t="n"/>
      <c r="L941" s="15" t="n"/>
      <c r="M941" s="15" t="n"/>
      <c r="N941" s="12" t="n"/>
      <c r="O941" s="12" t="n"/>
      <c r="P941" s="16">
        <f>IF(AND(ISNUMBER($L941),ISNUMBER($M941)),MAX(0,$M941-$L941),"")</f>
        <v/>
      </c>
      <c r="Q941" s="16">
        <f>IF(ISNUMBER($D941),MAX(0,TODAY()-$D941),"")</f>
        <v/>
      </c>
      <c r="R941" s="14">
        <f>IF(COUNTA($A941:$O941)=0,"",IFERROR(TRIM(TEXTJOIN(" | ",TRUE,IF($A941="","PC kosong",""),IF($C941="","Worker ID kosong",""),IF($D941="","Update Date kosong",IF(NOT(ISNUMBER($D941)),"Update Date bukan tanggal","")),IF($E941="","Song ID YT kosong",""),IF($F941="","Judul kosong",""),IF(TRIM($G941)="","",IF(ISERROR(MATCH(TRIM($G941),{"TuneCore","DistroKid","TooLost","SoundOn","Ditto","Believe","CD Baby","Amuse","Symphonic Distribution","ONErpm","RouteNote","LANDR","Horus Music","Indie"},0)),"Aggregator di luar daftar","")),IF(TRIM($H941)="","Genre kosong",IF((LEN(SUBSTITUTE(SUBSTITUTE(SUBSTITUTE(TRIM($H941),"/",","),";",",")," ",""))-LEN(SUBSTITUTE(SUBSTITUTE(SUBSTITUTE(SUBSTITUTE(TRIM($H941),"/",","),";",","),"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941),"/",","),";",",")," ","")&amp;",")))&lt;&gt;(LEN(SUBSTITUTE(SUBSTITUTE(SUBSTITUTE(TRIM($H941),"/",","),";",",")," ",""))-LEN(SUBSTITUTE(SUBSTITUTE(SUBSTITUTE(SUBSTITUTE(TRIM($H941),"/",","),";",",")," ",""),",",""))+1),"Genre di luar daftar",""))),IF($I941="","Nama Channel kosong",""),IF($J941="","Link Channel kosong",IF(ISERROR(SEARCH("youtu",$J941)),"Link Channel bukan youtube","")),IF($K941="","Link Video kosong",IF(ISERROR(SEARCH("youtu",$K941)),"Link Video bukan youtube","")),IF($L941="","Tgl Dibuat kosong",IF(NOT(ISNUMBER($L941)),"Tgl Dibuat bukan tanggal","")),IF(AND($M941&lt;&gt;"",NOT(ISNUMBER($M941))),"Tgl Publish bukan tanggal",""),IF(AND(ISNUMBER($L941),ISNUMBER($M941),$M941&lt;$L941),"Tgl Publish &lt; Tgl buat",""),IF(TRIM($N941)="","Status kosong",IF(ISERROR(MATCH(TRIM($N941),{"Draft","Menunggu Review","Revisi","Terjadwal","Upload","Publish","Published","Batal"},0)),"Status di luar daftar","")))),""))</f>
        <v/>
      </c>
      <c r="S941" s="12">
        <f>IF(AND($A941&lt;&gt;"",$C941&lt;&gt;""),IF(COUNTIFS($A$2:$A$1000,$A941,$C$2:$C$1000,$C941)&gt;1,"DUPLICAT",""),"")</f>
        <v/>
      </c>
    </row>
    <row r="942">
      <c r="A942" s="17" t="n"/>
      <c r="B942" s="17" t="n"/>
      <c r="C942" s="17" t="n"/>
      <c r="D942" s="18" t="n"/>
      <c r="E942" s="17" t="n"/>
      <c r="F942" s="19" t="n"/>
      <c r="G942" s="17" t="n"/>
      <c r="H942" s="17" t="n"/>
      <c r="I942" s="17" t="n"/>
      <c r="J942" s="19" t="n"/>
      <c r="K942" s="19" t="n"/>
      <c r="L942" s="20" t="n"/>
      <c r="M942" s="20" t="n"/>
      <c r="N942" s="17" t="n"/>
      <c r="O942" s="17" t="n"/>
      <c r="P942" s="21">
        <f>IF(AND(ISNUMBER($L942),ISNUMBER($M942)),MAX(0,$M942-$L942),"")</f>
        <v/>
      </c>
      <c r="Q942" s="21">
        <f>IF(ISNUMBER($D942),MAX(0,TODAY()-$D942),"")</f>
        <v/>
      </c>
      <c r="R942" s="19">
        <f>IF(COUNTA($A942:$O942)=0,"",IFERROR(TRIM(TEXTJOIN(" | ",TRUE,IF($A942="","PC kosong",""),IF($C942="","Worker ID kosong",""),IF($D942="","Update Date kosong",IF(NOT(ISNUMBER($D942)),"Update Date bukan tanggal","")),IF($E942="","Song ID YT kosong",""),IF($F942="","Judul kosong",""),IF(TRIM($G942)="","",IF(ISERROR(MATCH(TRIM($G942),{"TuneCore","DistroKid","TooLost","SoundOn","Ditto","Believe","CD Baby","Amuse","Symphonic Distribution","ONErpm","RouteNote","LANDR","Horus Music","Indie"},0)),"Aggregator di luar daftar","")),IF(TRIM($H942)="","Genre kosong",IF((LEN(SUBSTITUTE(SUBSTITUTE(SUBSTITUTE(TRIM($H942),"/",","),";",",")," ",""))-LEN(SUBSTITUTE(SUBSTITUTE(SUBSTITUTE(SUBSTITUTE(TRIM($H942),"/",","),";",","),"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942),"/",","),";",",")," ","")&amp;",")))&lt;&gt;(LEN(SUBSTITUTE(SUBSTITUTE(SUBSTITUTE(TRIM($H942),"/",","),";",",")," ",""))-LEN(SUBSTITUTE(SUBSTITUTE(SUBSTITUTE(SUBSTITUTE(TRIM($H942),"/",","),";",",")," ",""),",",""))+1),"Genre di luar daftar",""))),IF($I942="","Nama Channel kosong",""),IF($J942="","Link Channel kosong",IF(ISERROR(SEARCH("youtu",$J942)),"Link Channel bukan youtube","")),IF($K942="","Link Video kosong",IF(ISERROR(SEARCH("youtu",$K942)),"Link Video bukan youtube","")),IF($L942="","Tgl Dibuat kosong",IF(NOT(ISNUMBER($L942)),"Tgl Dibuat bukan tanggal","")),IF(AND($M942&lt;&gt;"",NOT(ISNUMBER($M942))),"Tgl Publish bukan tanggal",""),IF(AND(ISNUMBER($L942),ISNUMBER($M942),$M942&lt;$L942),"Tgl Publish &lt; Tgl buat",""),IF(TRIM($N942)="","Status kosong",IF(ISERROR(MATCH(TRIM($N942),{"Draft","Menunggu Review","Revisi","Terjadwal","Upload","Publish","Published","Batal"},0)),"Status di luar daftar","")))),""))</f>
        <v/>
      </c>
      <c r="S942" s="17">
        <f>IF(AND($A942&lt;&gt;"",$C942&lt;&gt;""),IF(COUNTIFS($A$2:$A$1000,$A942,$C$2:$C$1000,$C942)&gt;1,"DUPLICAT",""),"")</f>
        <v/>
      </c>
    </row>
    <row r="943">
      <c r="A943" s="12" t="n"/>
      <c r="B943" s="12" t="n"/>
      <c r="C943" s="12" t="n"/>
      <c r="D943" s="13" t="n"/>
      <c r="E943" s="12" t="n"/>
      <c r="F943" s="14" t="n"/>
      <c r="G943" s="12" t="n"/>
      <c r="H943" s="12" t="n"/>
      <c r="I943" s="12" t="n"/>
      <c r="J943" s="14" t="n"/>
      <c r="K943" s="14" t="n"/>
      <c r="L943" s="15" t="n"/>
      <c r="M943" s="15" t="n"/>
      <c r="N943" s="12" t="n"/>
      <c r="O943" s="12" t="n"/>
      <c r="P943" s="16">
        <f>IF(AND(ISNUMBER($L943),ISNUMBER($M943)),MAX(0,$M943-$L943),"")</f>
        <v/>
      </c>
      <c r="Q943" s="16">
        <f>IF(ISNUMBER($D943),MAX(0,TODAY()-$D943),"")</f>
        <v/>
      </c>
      <c r="R943" s="14">
        <f>IF(COUNTA($A943:$O943)=0,"",IFERROR(TRIM(TEXTJOIN(" | ",TRUE,IF($A943="","PC kosong",""),IF($C943="","Worker ID kosong",""),IF($D943="","Update Date kosong",IF(NOT(ISNUMBER($D943)),"Update Date bukan tanggal","")),IF($E943="","Song ID YT kosong",""),IF($F943="","Judul kosong",""),IF(TRIM($G943)="","",IF(ISERROR(MATCH(TRIM($G943),{"TuneCore","DistroKid","TooLost","SoundOn","Ditto","Believe","CD Baby","Amuse","Symphonic Distribution","ONErpm","RouteNote","LANDR","Horus Music","Indie"},0)),"Aggregator di luar daftar","")),IF(TRIM($H943)="","Genre kosong",IF((LEN(SUBSTITUTE(SUBSTITUTE(SUBSTITUTE(TRIM($H943),"/",","),";",",")," ",""))-LEN(SUBSTITUTE(SUBSTITUTE(SUBSTITUTE(SUBSTITUTE(TRIM($H943),"/",","),";",","),"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943),"/",","),";",",")," ","")&amp;",")))&lt;&gt;(LEN(SUBSTITUTE(SUBSTITUTE(SUBSTITUTE(TRIM($H943),"/",","),";",",")," ",""))-LEN(SUBSTITUTE(SUBSTITUTE(SUBSTITUTE(SUBSTITUTE(TRIM($H943),"/",","),";",",")," ",""),",",""))+1),"Genre di luar daftar",""))),IF($I943="","Nama Channel kosong",""),IF($J943="","Link Channel kosong",IF(ISERROR(SEARCH("youtu",$J943)),"Link Channel bukan youtube","")),IF($K943="","Link Video kosong",IF(ISERROR(SEARCH("youtu",$K943)),"Link Video bukan youtube","")),IF($L943="","Tgl Dibuat kosong",IF(NOT(ISNUMBER($L943)),"Tgl Dibuat bukan tanggal","")),IF(AND($M943&lt;&gt;"",NOT(ISNUMBER($M943))),"Tgl Publish bukan tanggal",""),IF(AND(ISNUMBER($L943),ISNUMBER($M943),$M943&lt;$L943),"Tgl Publish &lt; Tgl buat",""),IF(TRIM($N943)="","Status kosong",IF(ISERROR(MATCH(TRIM($N943),{"Draft","Menunggu Review","Revisi","Terjadwal","Upload","Publish","Published","Batal"},0)),"Status di luar daftar","")))),""))</f>
        <v/>
      </c>
      <c r="S943" s="12">
        <f>IF(AND($A943&lt;&gt;"",$C943&lt;&gt;""),IF(COUNTIFS($A$2:$A$1000,$A943,$C$2:$C$1000,$C943)&gt;1,"DUPLICAT",""),"")</f>
        <v/>
      </c>
    </row>
    <row r="944">
      <c r="A944" s="17" t="n"/>
      <c r="B944" s="17" t="n"/>
      <c r="C944" s="17" t="n"/>
      <c r="D944" s="18" t="n"/>
      <c r="E944" s="17" t="n"/>
      <c r="F944" s="19" t="n"/>
      <c r="G944" s="17" t="n"/>
      <c r="H944" s="17" t="n"/>
      <c r="I944" s="17" t="n"/>
      <c r="J944" s="19" t="n"/>
      <c r="K944" s="19" t="n"/>
      <c r="L944" s="20" t="n"/>
      <c r="M944" s="20" t="n"/>
      <c r="N944" s="17" t="n"/>
      <c r="O944" s="17" t="n"/>
      <c r="P944" s="21">
        <f>IF(AND(ISNUMBER($L944),ISNUMBER($M944)),MAX(0,$M944-$L944),"")</f>
        <v/>
      </c>
      <c r="Q944" s="21">
        <f>IF(ISNUMBER($D944),MAX(0,TODAY()-$D944),"")</f>
        <v/>
      </c>
      <c r="R944" s="19">
        <f>IF(COUNTA($A944:$O944)=0,"",IFERROR(TRIM(TEXTJOIN(" | ",TRUE,IF($A944="","PC kosong",""),IF($C944="","Worker ID kosong",""),IF($D944="","Update Date kosong",IF(NOT(ISNUMBER($D944)),"Update Date bukan tanggal","")),IF($E944="","Song ID YT kosong",""),IF($F944="","Judul kosong",""),IF(TRIM($G944)="","",IF(ISERROR(MATCH(TRIM($G944),{"TuneCore","DistroKid","TooLost","SoundOn","Ditto","Believe","CD Baby","Amuse","Symphonic Distribution","ONErpm","RouteNote","LANDR","Horus Music","Indie"},0)),"Aggregator di luar daftar","")),IF(TRIM($H944)="","Genre kosong",IF((LEN(SUBSTITUTE(SUBSTITUTE(SUBSTITUTE(TRIM($H944),"/",","),";",",")," ",""))-LEN(SUBSTITUTE(SUBSTITUTE(SUBSTITUTE(SUBSTITUTE(TRIM($H944),"/",","),";",","),"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944),"/",","),";",",")," ","")&amp;",")))&lt;&gt;(LEN(SUBSTITUTE(SUBSTITUTE(SUBSTITUTE(TRIM($H944),"/",","),";",",")," ",""))-LEN(SUBSTITUTE(SUBSTITUTE(SUBSTITUTE(SUBSTITUTE(TRIM($H944),"/",","),";",",")," ",""),",",""))+1),"Genre di luar daftar",""))),IF($I944="","Nama Channel kosong",""),IF($J944="","Link Channel kosong",IF(ISERROR(SEARCH("youtu",$J944)),"Link Channel bukan youtube","")),IF($K944="","Link Video kosong",IF(ISERROR(SEARCH("youtu",$K944)),"Link Video bukan youtube","")),IF($L944="","Tgl Dibuat kosong",IF(NOT(ISNUMBER($L944)),"Tgl Dibuat bukan tanggal","")),IF(AND($M944&lt;&gt;"",NOT(ISNUMBER($M944))),"Tgl Publish bukan tanggal",""),IF(AND(ISNUMBER($L944),ISNUMBER($M944),$M944&lt;$L944),"Tgl Publish &lt; Tgl buat",""),IF(TRIM($N944)="","Status kosong",IF(ISERROR(MATCH(TRIM($N944),{"Draft","Menunggu Review","Revisi","Terjadwal","Upload","Publish","Published","Batal"},0)),"Status di luar daftar","")))),""))</f>
        <v/>
      </c>
      <c r="S944" s="17">
        <f>IF(AND($A944&lt;&gt;"",$C944&lt;&gt;""),IF(COUNTIFS($A$2:$A$1000,$A944,$C$2:$C$1000,$C944)&gt;1,"DUPLICAT",""),"")</f>
        <v/>
      </c>
    </row>
    <row r="945">
      <c r="A945" s="12" t="n"/>
      <c r="B945" s="12" t="n"/>
      <c r="C945" s="12" t="n"/>
      <c r="D945" s="13" t="n"/>
      <c r="E945" s="12" t="n"/>
      <c r="F945" s="14" t="n"/>
      <c r="G945" s="12" t="n"/>
      <c r="H945" s="12" t="n"/>
      <c r="I945" s="12" t="n"/>
      <c r="J945" s="14" t="n"/>
      <c r="K945" s="14" t="n"/>
      <c r="L945" s="15" t="n"/>
      <c r="M945" s="15" t="n"/>
      <c r="N945" s="12" t="n"/>
      <c r="O945" s="12" t="n"/>
      <c r="P945" s="16">
        <f>IF(AND(ISNUMBER($L945),ISNUMBER($M945)),MAX(0,$M945-$L945),"")</f>
        <v/>
      </c>
      <c r="Q945" s="16">
        <f>IF(ISNUMBER($D945),MAX(0,TODAY()-$D945),"")</f>
        <v/>
      </c>
      <c r="R945" s="14">
        <f>IF(COUNTA($A945:$O945)=0,"",IFERROR(TRIM(TEXTJOIN(" | ",TRUE,IF($A945="","PC kosong",""),IF($C945="","Worker ID kosong",""),IF($D945="","Update Date kosong",IF(NOT(ISNUMBER($D945)),"Update Date bukan tanggal","")),IF($E945="","Song ID YT kosong",""),IF($F945="","Judul kosong",""),IF(TRIM($G945)="","",IF(ISERROR(MATCH(TRIM($G945),{"TuneCore","DistroKid","TooLost","SoundOn","Ditto","Believe","CD Baby","Amuse","Symphonic Distribution","ONErpm","RouteNote","LANDR","Horus Music","Indie"},0)),"Aggregator di luar daftar","")),IF(TRIM($H945)="","Genre kosong",IF((LEN(SUBSTITUTE(SUBSTITUTE(SUBSTITUTE(TRIM($H945),"/",","),";",",")," ",""))-LEN(SUBSTITUTE(SUBSTITUTE(SUBSTITUTE(SUBSTITUTE(TRIM($H945),"/",","),";",","),"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945),"/",","),";",",")," ","")&amp;",")))&lt;&gt;(LEN(SUBSTITUTE(SUBSTITUTE(SUBSTITUTE(TRIM($H945),"/",","),";",",")," ",""))-LEN(SUBSTITUTE(SUBSTITUTE(SUBSTITUTE(SUBSTITUTE(TRIM($H945),"/",","),";",",")," ",""),",",""))+1),"Genre di luar daftar",""))),IF($I945="","Nama Channel kosong",""),IF($J945="","Link Channel kosong",IF(ISERROR(SEARCH("youtu",$J945)),"Link Channel bukan youtube","")),IF($K945="","Link Video kosong",IF(ISERROR(SEARCH("youtu",$K945)),"Link Video bukan youtube","")),IF($L945="","Tgl Dibuat kosong",IF(NOT(ISNUMBER($L945)),"Tgl Dibuat bukan tanggal","")),IF(AND($M945&lt;&gt;"",NOT(ISNUMBER($M945))),"Tgl Publish bukan tanggal",""),IF(AND(ISNUMBER($L945),ISNUMBER($M945),$M945&lt;$L945),"Tgl Publish &lt; Tgl buat",""),IF(TRIM($N945)="","Status kosong",IF(ISERROR(MATCH(TRIM($N945),{"Draft","Menunggu Review","Revisi","Terjadwal","Upload","Publish","Published","Batal"},0)),"Status di luar daftar","")))),""))</f>
        <v/>
      </c>
      <c r="S945" s="12">
        <f>IF(AND($A945&lt;&gt;"",$C945&lt;&gt;""),IF(COUNTIFS($A$2:$A$1000,$A945,$C$2:$C$1000,$C945)&gt;1,"DUPLICAT",""),"")</f>
        <v/>
      </c>
    </row>
    <row r="946">
      <c r="A946" s="17" t="n"/>
      <c r="B946" s="17" t="n"/>
      <c r="C946" s="17" t="n"/>
      <c r="D946" s="18" t="n"/>
      <c r="E946" s="17" t="n"/>
      <c r="F946" s="19" t="n"/>
      <c r="G946" s="17" t="n"/>
      <c r="H946" s="17" t="n"/>
      <c r="I946" s="17" t="n"/>
      <c r="J946" s="19" t="n"/>
      <c r="K946" s="19" t="n"/>
      <c r="L946" s="20" t="n"/>
      <c r="M946" s="20" t="n"/>
      <c r="N946" s="17" t="n"/>
      <c r="O946" s="17" t="n"/>
      <c r="P946" s="21">
        <f>IF(AND(ISNUMBER($L946),ISNUMBER($M946)),MAX(0,$M946-$L946),"")</f>
        <v/>
      </c>
      <c r="Q946" s="21">
        <f>IF(ISNUMBER($D946),MAX(0,TODAY()-$D946),"")</f>
        <v/>
      </c>
      <c r="R946" s="19">
        <f>IF(COUNTA($A946:$O946)=0,"",IFERROR(TRIM(TEXTJOIN(" | ",TRUE,IF($A946="","PC kosong",""),IF($C946="","Worker ID kosong",""),IF($D946="","Update Date kosong",IF(NOT(ISNUMBER($D946)),"Update Date bukan tanggal","")),IF($E946="","Song ID YT kosong",""),IF($F946="","Judul kosong",""),IF(TRIM($G946)="","",IF(ISERROR(MATCH(TRIM($G946),{"TuneCore","DistroKid","TooLost","SoundOn","Ditto","Believe","CD Baby","Amuse","Symphonic Distribution","ONErpm","RouteNote","LANDR","Horus Music","Indie"},0)),"Aggregator di luar daftar","")),IF(TRIM($H946)="","Genre kosong",IF((LEN(SUBSTITUTE(SUBSTITUTE(SUBSTITUTE(TRIM($H946),"/",","),";",",")," ",""))-LEN(SUBSTITUTE(SUBSTITUTE(SUBSTITUTE(SUBSTITUTE(TRIM($H946),"/",","),";",","),"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946),"/",","),";",",")," ","")&amp;",")))&lt;&gt;(LEN(SUBSTITUTE(SUBSTITUTE(SUBSTITUTE(TRIM($H946),"/",","),";",",")," ",""))-LEN(SUBSTITUTE(SUBSTITUTE(SUBSTITUTE(SUBSTITUTE(TRIM($H946),"/",","),";",",")," ",""),",",""))+1),"Genre di luar daftar",""))),IF($I946="","Nama Channel kosong",""),IF($J946="","Link Channel kosong",IF(ISERROR(SEARCH("youtu",$J946)),"Link Channel bukan youtube","")),IF($K946="","Link Video kosong",IF(ISERROR(SEARCH("youtu",$K946)),"Link Video bukan youtube","")),IF($L946="","Tgl Dibuat kosong",IF(NOT(ISNUMBER($L946)),"Tgl Dibuat bukan tanggal","")),IF(AND($M946&lt;&gt;"",NOT(ISNUMBER($M946))),"Tgl Publish bukan tanggal",""),IF(AND(ISNUMBER($L946),ISNUMBER($M946),$M946&lt;$L946),"Tgl Publish &lt; Tgl buat",""),IF(TRIM($N946)="","Status kosong",IF(ISERROR(MATCH(TRIM($N946),{"Draft","Menunggu Review","Revisi","Terjadwal","Upload","Publish","Published","Batal"},0)),"Status di luar daftar","")))),""))</f>
        <v/>
      </c>
      <c r="S946" s="17">
        <f>IF(AND($A946&lt;&gt;"",$C946&lt;&gt;""),IF(COUNTIFS($A$2:$A$1000,$A946,$C$2:$C$1000,$C946)&gt;1,"DUPLICAT",""),"")</f>
        <v/>
      </c>
    </row>
    <row r="947">
      <c r="A947" s="12" t="n"/>
      <c r="B947" s="12" t="n"/>
      <c r="C947" s="12" t="n"/>
      <c r="D947" s="13" t="n"/>
      <c r="E947" s="12" t="n"/>
      <c r="F947" s="14" t="n"/>
      <c r="G947" s="12" t="n"/>
      <c r="H947" s="12" t="n"/>
      <c r="I947" s="12" t="n"/>
      <c r="J947" s="14" t="n"/>
      <c r="K947" s="14" t="n"/>
      <c r="L947" s="15" t="n"/>
      <c r="M947" s="15" t="n"/>
      <c r="N947" s="12" t="n"/>
      <c r="O947" s="12" t="n"/>
      <c r="P947" s="16">
        <f>IF(AND(ISNUMBER($L947),ISNUMBER($M947)),MAX(0,$M947-$L947),"")</f>
        <v/>
      </c>
      <c r="Q947" s="16">
        <f>IF(ISNUMBER($D947),MAX(0,TODAY()-$D947),"")</f>
        <v/>
      </c>
      <c r="R947" s="14">
        <f>IF(COUNTA($A947:$O947)=0,"",IFERROR(TRIM(TEXTJOIN(" | ",TRUE,IF($A947="","PC kosong",""),IF($C947="","Worker ID kosong",""),IF($D947="","Update Date kosong",IF(NOT(ISNUMBER($D947)),"Update Date bukan tanggal","")),IF($E947="","Song ID YT kosong",""),IF($F947="","Judul kosong",""),IF(TRIM($G947)="","",IF(ISERROR(MATCH(TRIM($G947),{"TuneCore","DistroKid","TooLost","SoundOn","Ditto","Believe","CD Baby","Amuse","Symphonic Distribution","ONErpm","RouteNote","LANDR","Horus Music","Indie"},0)),"Aggregator di luar daftar","")),IF(TRIM($H947)="","Genre kosong",IF((LEN(SUBSTITUTE(SUBSTITUTE(SUBSTITUTE(TRIM($H947),"/",","),";",",")," ",""))-LEN(SUBSTITUTE(SUBSTITUTE(SUBSTITUTE(SUBSTITUTE(TRIM($H947),"/",","),";",","),"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947),"/",","),";",",")," ","")&amp;",")))&lt;&gt;(LEN(SUBSTITUTE(SUBSTITUTE(SUBSTITUTE(TRIM($H947),"/",","),";",",")," ",""))-LEN(SUBSTITUTE(SUBSTITUTE(SUBSTITUTE(SUBSTITUTE(TRIM($H947),"/",","),";",",")," ",""),",",""))+1),"Genre di luar daftar",""))),IF($I947="","Nama Channel kosong",""),IF($J947="","Link Channel kosong",IF(ISERROR(SEARCH("youtu",$J947)),"Link Channel bukan youtube","")),IF($K947="","Link Video kosong",IF(ISERROR(SEARCH("youtu",$K947)),"Link Video bukan youtube","")),IF($L947="","Tgl Dibuat kosong",IF(NOT(ISNUMBER($L947)),"Tgl Dibuat bukan tanggal","")),IF(AND($M947&lt;&gt;"",NOT(ISNUMBER($M947))),"Tgl Publish bukan tanggal",""),IF(AND(ISNUMBER($L947),ISNUMBER($M947),$M947&lt;$L947),"Tgl Publish &lt; Tgl buat",""),IF(TRIM($N947)="","Status kosong",IF(ISERROR(MATCH(TRIM($N947),{"Draft","Menunggu Review","Revisi","Terjadwal","Upload","Publish","Published","Batal"},0)),"Status di luar daftar","")))),""))</f>
        <v/>
      </c>
      <c r="S947" s="12">
        <f>IF(AND($A947&lt;&gt;"",$C947&lt;&gt;""),IF(COUNTIFS($A$2:$A$1000,$A947,$C$2:$C$1000,$C947)&gt;1,"DUPLICAT",""),"")</f>
        <v/>
      </c>
    </row>
    <row r="948">
      <c r="A948" s="17" t="n"/>
      <c r="B948" s="17" t="n"/>
      <c r="C948" s="17" t="n"/>
      <c r="D948" s="18" t="n"/>
      <c r="E948" s="17" t="n"/>
      <c r="F948" s="19" t="n"/>
      <c r="G948" s="17" t="n"/>
      <c r="H948" s="17" t="n"/>
      <c r="I948" s="17" t="n"/>
      <c r="J948" s="19" t="n"/>
      <c r="K948" s="19" t="n"/>
      <c r="L948" s="20" t="n"/>
      <c r="M948" s="20" t="n"/>
      <c r="N948" s="17" t="n"/>
      <c r="O948" s="17" t="n"/>
      <c r="P948" s="21">
        <f>IF(AND(ISNUMBER($L948),ISNUMBER($M948)),MAX(0,$M948-$L948),"")</f>
        <v/>
      </c>
      <c r="Q948" s="21">
        <f>IF(ISNUMBER($D948),MAX(0,TODAY()-$D948),"")</f>
        <v/>
      </c>
      <c r="R948" s="19">
        <f>IF(COUNTA($A948:$O948)=0,"",IFERROR(TRIM(TEXTJOIN(" | ",TRUE,IF($A948="","PC kosong",""),IF($C948="","Worker ID kosong",""),IF($D948="","Update Date kosong",IF(NOT(ISNUMBER($D948)),"Update Date bukan tanggal","")),IF($E948="","Song ID YT kosong",""),IF($F948="","Judul kosong",""),IF(TRIM($G948)="","",IF(ISERROR(MATCH(TRIM($G948),{"TuneCore","DistroKid","TooLost","SoundOn","Ditto","Believe","CD Baby","Amuse","Symphonic Distribution","ONErpm","RouteNote","LANDR","Horus Music","Indie"},0)),"Aggregator di luar daftar","")),IF(TRIM($H948)="","Genre kosong",IF((LEN(SUBSTITUTE(SUBSTITUTE(SUBSTITUTE(TRIM($H948),"/",","),";",",")," ",""))-LEN(SUBSTITUTE(SUBSTITUTE(SUBSTITUTE(SUBSTITUTE(TRIM($H948),"/",","),";",","),"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948),"/",","),";",",")," ","")&amp;",")))&lt;&gt;(LEN(SUBSTITUTE(SUBSTITUTE(SUBSTITUTE(TRIM($H948),"/",","),";",",")," ",""))-LEN(SUBSTITUTE(SUBSTITUTE(SUBSTITUTE(SUBSTITUTE(TRIM($H948),"/",","),";",",")," ",""),",",""))+1),"Genre di luar daftar",""))),IF($I948="","Nama Channel kosong",""),IF($J948="","Link Channel kosong",IF(ISERROR(SEARCH("youtu",$J948)),"Link Channel bukan youtube","")),IF($K948="","Link Video kosong",IF(ISERROR(SEARCH("youtu",$K948)),"Link Video bukan youtube","")),IF($L948="","Tgl Dibuat kosong",IF(NOT(ISNUMBER($L948)),"Tgl Dibuat bukan tanggal","")),IF(AND($M948&lt;&gt;"",NOT(ISNUMBER($M948))),"Tgl Publish bukan tanggal",""),IF(AND(ISNUMBER($L948),ISNUMBER($M948),$M948&lt;$L948),"Tgl Publish &lt; Tgl buat",""),IF(TRIM($N948)="","Status kosong",IF(ISERROR(MATCH(TRIM($N948),{"Draft","Menunggu Review","Revisi","Terjadwal","Upload","Publish","Published","Batal"},0)),"Status di luar daftar","")))),""))</f>
        <v/>
      </c>
      <c r="S948" s="17">
        <f>IF(AND($A948&lt;&gt;"",$C948&lt;&gt;""),IF(COUNTIFS($A$2:$A$1000,$A948,$C$2:$C$1000,$C948)&gt;1,"DUPLICAT",""),"")</f>
        <v/>
      </c>
    </row>
    <row r="949">
      <c r="A949" s="12" t="n"/>
      <c r="B949" s="12" t="n"/>
      <c r="C949" s="12" t="n"/>
      <c r="D949" s="13" t="n"/>
      <c r="E949" s="12" t="n"/>
      <c r="F949" s="14" t="n"/>
      <c r="G949" s="12" t="n"/>
      <c r="H949" s="12" t="n"/>
      <c r="I949" s="12" t="n"/>
      <c r="J949" s="14" t="n"/>
      <c r="K949" s="14" t="n"/>
      <c r="L949" s="15" t="n"/>
      <c r="M949" s="15" t="n"/>
      <c r="N949" s="12" t="n"/>
      <c r="O949" s="12" t="n"/>
      <c r="P949" s="16">
        <f>IF(AND(ISNUMBER($L949),ISNUMBER($M949)),MAX(0,$M949-$L949),"")</f>
        <v/>
      </c>
      <c r="Q949" s="16">
        <f>IF(ISNUMBER($D949),MAX(0,TODAY()-$D949),"")</f>
        <v/>
      </c>
      <c r="R949" s="14">
        <f>IF(COUNTA($A949:$O949)=0,"",IFERROR(TRIM(TEXTJOIN(" | ",TRUE,IF($A949="","PC kosong",""),IF($C949="","Worker ID kosong",""),IF($D949="","Update Date kosong",IF(NOT(ISNUMBER($D949)),"Update Date bukan tanggal","")),IF($E949="","Song ID YT kosong",""),IF($F949="","Judul kosong",""),IF(TRIM($G949)="","",IF(ISERROR(MATCH(TRIM($G949),{"TuneCore","DistroKid","TooLost","SoundOn","Ditto","Believe","CD Baby","Amuse","Symphonic Distribution","ONErpm","RouteNote","LANDR","Horus Music","Indie"},0)),"Aggregator di luar daftar","")),IF(TRIM($H949)="","Genre kosong",IF((LEN(SUBSTITUTE(SUBSTITUTE(SUBSTITUTE(TRIM($H949),"/",","),";",",")," ",""))-LEN(SUBSTITUTE(SUBSTITUTE(SUBSTITUTE(SUBSTITUTE(TRIM($H949),"/",","),";",","),"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949),"/",","),";",",")," ","")&amp;",")))&lt;&gt;(LEN(SUBSTITUTE(SUBSTITUTE(SUBSTITUTE(TRIM($H949),"/",","),";",",")," ",""))-LEN(SUBSTITUTE(SUBSTITUTE(SUBSTITUTE(SUBSTITUTE(TRIM($H949),"/",","),";",",")," ",""),",",""))+1),"Genre di luar daftar",""))),IF($I949="","Nama Channel kosong",""),IF($J949="","Link Channel kosong",IF(ISERROR(SEARCH("youtu",$J949)),"Link Channel bukan youtube","")),IF($K949="","Link Video kosong",IF(ISERROR(SEARCH("youtu",$K949)),"Link Video bukan youtube","")),IF($L949="","Tgl Dibuat kosong",IF(NOT(ISNUMBER($L949)),"Tgl Dibuat bukan tanggal","")),IF(AND($M949&lt;&gt;"",NOT(ISNUMBER($M949))),"Tgl Publish bukan tanggal",""),IF(AND(ISNUMBER($L949),ISNUMBER($M949),$M949&lt;$L949),"Tgl Publish &lt; Tgl buat",""),IF(TRIM($N949)="","Status kosong",IF(ISERROR(MATCH(TRIM($N949),{"Draft","Menunggu Review","Revisi","Terjadwal","Upload","Publish","Published","Batal"},0)),"Status di luar daftar","")))),""))</f>
        <v/>
      </c>
      <c r="S949" s="12">
        <f>IF(AND($A949&lt;&gt;"",$C949&lt;&gt;""),IF(COUNTIFS($A$2:$A$1000,$A949,$C$2:$C$1000,$C949)&gt;1,"DUPLICAT",""),"")</f>
        <v/>
      </c>
    </row>
    <row r="950">
      <c r="A950" s="17" t="n"/>
      <c r="B950" s="17" t="n"/>
      <c r="C950" s="17" t="n"/>
      <c r="D950" s="18" t="n"/>
      <c r="E950" s="17" t="n"/>
      <c r="F950" s="19" t="n"/>
      <c r="G950" s="17" t="n"/>
      <c r="H950" s="17" t="n"/>
      <c r="I950" s="17" t="n"/>
      <c r="J950" s="19" t="n"/>
      <c r="K950" s="19" t="n"/>
      <c r="L950" s="20" t="n"/>
      <c r="M950" s="20" t="n"/>
      <c r="N950" s="17" t="n"/>
      <c r="O950" s="17" t="n"/>
      <c r="P950" s="21">
        <f>IF(AND(ISNUMBER($L950),ISNUMBER($M950)),MAX(0,$M950-$L950),"")</f>
        <v/>
      </c>
      <c r="Q950" s="21">
        <f>IF(ISNUMBER($D950),MAX(0,TODAY()-$D950),"")</f>
        <v/>
      </c>
      <c r="R950" s="19">
        <f>IF(COUNTA($A950:$O950)=0,"",IFERROR(TRIM(TEXTJOIN(" | ",TRUE,IF($A950="","PC kosong",""),IF($C950="","Worker ID kosong",""),IF($D950="","Update Date kosong",IF(NOT(ISNUMBER($D950)),"Update Date bukan tanggal","")),IF($E950="","Song ID YT kosong",""),IF($F950="","Judul kosong",""),IF(TRIM($G950)="","",IF(ISERROR(MATCH(TRIM($G950),{"TuneCore","DistroKid","TooLost","SoundOn","Ditto","Believe","CD Baby","Amuse","Symphonic Distribution","ONErpm","RouteNote","LANDR","Horus Music","Indie"},0)),"Aggregator di luar daftar","")),IF(TRIM($H950)="","Genre kosong",IF((LEN(SUBSTITUTE(SUBSTITUTE(SUBSTITUTE(TRIM($H950),"/",","),";",",")," ",""))-LEN(SUBSTITUTE(SUBSTITUTE(SUBSTITUTE(SUBSTITUTE(TRIM($H950),"/",","),";",","),"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950),"/",","),";",",")," ","")&amp;",")))&lt;&gt;(LEN(SUBSTITUTE(SUBSTITUTE(SUBSTITUTE(TRIM($H950),"/",","),";",",")," ",""))-LEN(SUBSTITUTE(SUBSTITUTE(SUBSTITUTE(SUBSTITUTE(TRIM($H950),"/",","),";",",")," ",""),",",""))+1),"Genre di luar daftar",""))),IF($I950="","Nama Channel kosong",""),IF($J950="","Link Channel kosong",IF(ISERROR(SEARCH("youtu",$J950)),"Link Channel bukan youtube","")),IF($K950="","Link Video kosong",IF(ISERROR(SEARCH("youtu",$K950)),"Link Video bukan youtube","")),IF($L950="","Tgl Dibuat kosong",IF(NOT(ISNUMBER($L950)),"Tgl Dibuat bukan tanggal","")),IF(AND($M950&lt;&gt;"",NOT(ISNUMBER($M950))),"Tgl Publish bukan tanggal",""),IF(AND(ISNUMBER($L950),ISNUMBER($M950),$M950&lt;$L950),"Tgl Publish &lt; Tgl buat",""),IF(TRIM($N950)="","Status kosong",IF(ISERROR(MATCH(TRIM($N950),{"Draft","Menunggu Review","Revisi","Terjadwal","Upload","Publish","Published","Batal"},0)),"Status di luar daftar","")))),""))</f>
        <v/>
      </c>
      <c r="S950" s="17">
        <f>IF(AND($A950&lt;&gt;"",$C950&lt;&gt;""),IF(COUNTIFS($A$2:$A$1000,$A950,$C$2:$C$1000,$C950)&gt;1,"DUPLICAT",""),"")</f>
        <v/>
      </c>
    </row>
    <row r="951">
      <c r="A951" s="12" t="n"/>
      <c r="B951" s="12" t="n"/>
      <c r="C951" s="12" t="n"/>
      <c r="D951" s="13" t="n"/>
      <c r="E951" s="12" t="n"/>
      <c r="F951" s="14" t="n"/>
      <c r="G951" s="12" t="n"/>
      <c r="H951" s="12" t="n"/>
      <c r="I951" s="12" t="n"/>
      <c r="J951" s="14" t="n"/>
      <c r="K951" s="14" t="n"/>
      <c r="L951" s="15" t="n"/>
      <c r="M951" s="15" t="n"/>
      <c r="N951" s="12" t="n"/>
      <c r="O951" s="12" t="n"/>
      <c r="P951" s="16">
        <f>IF(AND(ISNUMBER($L951),ISNUMBER($M951)),MAX(0,$M951-$L951),"")</f>
        <v/>
      </c>
      <c r="Q951" s="16">
        <f>IF(ISNUMBER($D951),MAX(0,TODAY()-$D951),"")</f>
        <v/>
      </c>
      <c r="R951" s="14">
        <f>IF(COUNTA($A951:$O951)=0,"",IFERROR(TRIM(TEXTJOIN(" | ",TRUE,IF($A951="","PC kosong",""),IF($C951="","Worker ID kosong",""),IF($D951="","Update Date kosong",IF(NOT(ISNUMBER($D951)),"Update Date bukan tanggal","")),IF($E951="","Song ID YT kosong",""),IF($F951="","Judul kosong",""),IF(TRIM($G951)="","",IF(ISERROR(MATCH(TRIM($G951),{"TuneCore","DistroKid","TooLost","SoundOn","Ditto","Believe","CD Baby","Amuse","Symphonic Distribution","ONErpm","RouteNote","LANDR","Horus Music","Indie"},0)),"Aggregator di luar daftar","")),IF(TRIM($H951)="","Genre kosong",IF((LEN(SUBSTITUTE(SUBSTITUTE(SUBSTITUTE(TRIM($H951),"/",","),";",",")," ",""))-LEN(SUBSTITUTE(SUBSTITUTE(SUBSTITUTE(SUBSTITUTE(TRIM($H951),"/",","),";",","),"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951),"/",","),";",",")," ","")&amp;",")))&lt;&gt;(LEN(SUBSTITUTE(SUBSTITUTE(SUBSTITUTE(TRIM($H951),"/",","),";",",")," ",""))-LEN(SUBSTITUTE(SUBSTITUTE(SUBSTITUTE(SUBSTITUTE(TRIM($H951),"/",","),";",",")," ",""),",",""))+1),"Genre di luar daftar",""))),IF($I951="","Nama Channel kosong",""),IF($J951="","Link Channel kosong",IF(ISERROR(SEARCH("youtu",$J951)),"Link Channel bukan youtube","")),IF($K951="","Link Video kosong",IF(ISERROR(SEARCH("youtu",$K951)),"Link Video bukan youtube","")),IF($L951="","Tgl Dibuat kosong",IF(NOT(ISNUMBER($L951)),"Tgl Dibuat bukan tanggal","")),IF(AND($M951&lt;&gt;"",NOT(ISNUMBER($M951))),"Tgl Publish bukan tanggal",""),IF(AND(ISNUMBER($L951),ISNUMBER($M951),$M951&lt;$L951),"Tgl Publish &lt; Tgl buat",""),IF(TRIM($N951)="","Status kosong",IF(ISERROR(MATCH(TRIM($N951),{"Draft","Menunggu Review","Revisi","Terjadwal","Upload","Publish","Published","Batal"},0)),"Status di luar daftar","")))),""))</f>
        <v/>
      </c>
      <c r="S951" s="12">
        <f>IF(AND($A951&lt;&gt;"",$C951&lt;&gt;""),IF(COUNTIFS($A$2:$A$1000,$A951,$C$2:$C$1000,$C951)&gt;1,"DUPLICAT",""),"")</f>
        <v/>
      </c>
    </row>
    <row r="952">
      <c r="A952" s="17" t="n"/>
      <c r="B952" s="17" t="n"/>
      <c r="C952" s="17" t="n"/>
      <c r="D952" s="18" t="n"/>
      <c r="E952" s="17" t="n"/>
      <c r="F952" s="19" t="n"/>
      <c r="G952" s="17" t="n"/>
      <c r="H952" s="17" t="n"/>
      <c r="I952" s="17" t="n"/>
      <c r="J952" s="19" t="n"/>
      <c r="K952" s="19" t="n"/>
      <c r="L952" s="20" t="n"/>
      <c r="M952" s="20" t="n"/>
      <c r="N952" s="17" t="n"/>
      <c r="O952" s="17" t="n"/>
      <c r="P952" s="21">
        <f>IF(AND(ISNUMBER($L952),ISNUMBER($M952)),MAX(0,$M952-$L952),"")</f>
        <v/>
      </c>
      <c r="Q952" s="21">
        <f>IF(ISNUMBER($D952),MAX(0,TODAY()-$D952),"")</f>
        <v/>
      </c>
      <c r="R952" s="19">
        <f>IF(COUNTA($A952:$O952)=0,"",IFERROR(TRIM(TEXTJOIN(" | ",TRUE,IF($A952="","PC kosong",""),IF($C952="","Worker ID kosong",""),IF($D952="","Update Date kosong",IF(NOT(ISNUMBER($D952)),"Update Date bukan tanggal","")),IF($E952="","Song ID YT kosong",""),IF($F952="","Judul kosong",""),IF(TRIM($G952)="","",IF(ISERROR(MATCH(TRIM($G952),{"TuneCore","DistroKid","TooLost","SoundOn","Ditto","Believe","CD Baby","Amuse","Symphonic Distribution","ONErpm","RouteNote","LANDR","Horus Music","Indie"},0)),"Aggregator di luar daftar","")),IF(TRIM($H952)="","Genre kosong",IF((LEN(SUBSTITUTE(SUBSTITUTE(SUBSTITUTE(TRIM($H952),"/",","),";",",")," ",""))-LEN(SUBSTITUTE(SUBSTITUTE(SUBSTITUTE(SUBSTITUTE(TRIM($H952),"/",","),";",","),"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952),"/",","),";",",")," ","")&amp;",")))&lt;&gt;(LEN(SUBSTITUTE(SUBSTITUTE(SUBSTITUTE(TRIM($H952),"/",","),";",",")," ",""))-LEN(SUBSTITUTE(SUBSTITUTE(SUBSTITUTE(SUBSTITUTE(TRIM($H952),"/",","),";",",")," ",""),",",""))+1),"Genre di luar daftar",""))),IF($I952="","Nama Channel kosong",""),IF($J952="","Link Channel kosong",IF(ISERROR(SEARCH("youtu",$J952)),"Link Channel bukan youtube","")),IF($K952="","Link Video kosong",IF(ISERROR(SEARCH("youtu",$K952)),"Link Video bukan youtube","")),IF($L952="","Tgl Dibuat kosong",IF(NOT(ISNUMBER($L952)),"Tgl Dibuat bukan tanggal","")),IF(AND($M952&lt;&gt;"",NOT(ISNUMBER($M952))),"Tgl Publish bukan tanggal",""),IF(AND(ISNUMBER($L952),ISNUMBER($M952),$M952&lt;$L952),"Tgl Publish &lt; Tgl buat",""),IF(TRIM($N952)="","Status kosong",IF(ISERROR(MATCH(TRIM($N952),{"Draft","Menunggu Review","Revisi","Terjadwal","Upload","Publish","Published","Batal"},0)),"Status di luar daftar","")))),""))</f>
        <v/>
      </c>
      <c r="S952" s="17">
        <f>IF(AND($A952&lt;&gt;"",$C952&lt;&gt;""),IF(COUNTIFS($A$2:$A$1000,$A952,$C$2:$C$1000,$C952)&gt;1,"DUPLICAT",""),"")</f>
        <v/>
      </c>
    </row>
    <row r="953">
      <c r="A953" s="12" t="n"/>
      <c r="B953" s="12" t="n"/>
      <c r="C953" s="12" t="n"/>
      <c r="D953" s="13" t="n"/>
      <c r="E953" s="12" t="n"/>
      <c r="F953" s="14" t="n"/>
      <c r="G953" s="12" t="n"/>
      <c r="H953" s="12" t="n"/>
      <c r="I953" s="12" t="n"/>
      <c r="J953" s="14" t="n"/>
      <c r="K953" s="14" t="n"/>
      <c r="L953" s="15" t="n"/>
      <c r="M953" s="15" t="n"/>
      <c r="N953" s="12" t="n"/>
      <c r="O953" s="12" t="n"/>
      <c r="P953" s="16">
        <f>IF(AND(ISNUMBER($L953),ISNUMBER($M953)),MAX(0,$M953-$L953),"")</f>
        <v/>
      </c>
      <c r="Q953" s="16">
        <f>IF(ISNUMBER($D953),MAX(0,TODAY()-$D953),"")</f>
        <v/>
      </c>
      <c r="R953" s="14">
        <f>IF(COUNTA($A953:$O953)=0,"",IFERROR(TRIM(TEXTJOIN(" | ",TRUE,IF($A953="","PC kosong",""),IF($C953="","Worker ID kosong",""),IF($D953="","Update Date kosong",IF(NOT(ISNUMBER($D953)),"Update Date bukan tanggal","")),IF($E953="","Song ID YT kosong",""),IF($F953="","Judul kosong",""),IF(TRIM($G953)="","",IF(ISERROR(MATCH(TRIM($G953),{"TuneCore","DistroKid","TooLost","SoundOn","Ditto","Believe","CD Baby","Amuse","Symphonic Distribution","ONErpm","RouteNote","LANDR","Horus Music","Indie"},0)),"Aggregator di luar daftar","")),IF(TRIM($H953)="","Genre kosong",IF((LEN(SUBSTITUTE(SUBSTITUTE(SUBSTITUTE(TRIM($H953),"/",","),";",",")," ",""))-LEN(SUBSTITUTE(SUBSTITUTE(SUBSTITUTE(SUBSTITUTE(TRIM($H953),"/",","),";",","),"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953),"/",","),";",",")," ","")&amp;",")))&lt;&gt;(LEN(SUBSTITUTE(SUBSTITUTE(SUBSTITUTE(TRIM($H953),"/",","),";",",")," ",""))-LEN(SUBSTITUTE(SUBSTITUTE(SUBSTITUTE(SUBSTITUTE(TRIM($H953),"/",","),";",",")," ",""),",",""))+1),"Genre di luar daftar",""))),IF($I953="","Nama Channel kosong",""),IF($J953="","Link Channel kosong",IF(ISERROR(SEARCH("youtu",$J953)),"Link Channel bukan youtube","")),IF($K953="","Link Video kosong",IF(ISERROR(SEARCH("youtu",$K953)),"Link Video bukan youtube","")),IF($L953="","Tgl Dibuat kosong",IF(NOT(ISNUMBER($L953)),"Tgl Dibuat bukan tanggal","")),IF(AND($M953&lt;&gt;"",NOT(ISNUMBER($M953))),"Tgl Publish bukan tanggal",""),IF(AND(ISNUMBER($L953),ISNUMBER($M953),$M953&lt;$L953),"Tgl Publish &lt; Tgl buat",""),IF(TRIM($N953)="","Status kosong",IF(ISERROR(MATCH(TRIM($N953),{"Draft","Menunggu Review","Revisi","Terjadwal","Upload","Publish","Published","Batal"},0)),"Status di luar daftar","")))),""))</f>
        <v/>
      </c>
      <c r="S953" s="12">
        <f>IF(AND($A953&lt;&gt;"",$C953&lt;&gt;""),IF(COUNTIFS($A$2:$A$1000,$A953,$C$2:$C$1000,$C953)&gt;1,"DUPLICAT",""),"")</f>
        <v/>
      </c>
    </row>
    <row r="954">
      <c r="A954" s="17" t="n"/>
      <c r="B954" s="17" t="n"/>
      <c r="C954" s="17" t="n"/>
      <c r="D954" s="18" t="n"/>
      <c r="E954" s="17" t="n"/>
      <c r="F954" s="19" t="n"/>
      <c r="G954" s="17" t="n"/>
      <c r="H954" s="17" t="n"/>
      <c r="I954" s="17" t="n"/>
      <c r="J954" s="19" t="n"/>
      <c r="K954" s="19" t="n"/>
      <c r="L954" s="20" t="n"/>
      <c r="M954" s="20" t="n"/>
      <c r="N954" s="17" t="n"/>
      <c r="O954" s="17" t="n"/>
      <c r="P954" s="21">
        <f>IF(AND(ISNUMBER($L954),ISNUMBER($M954)),MAX(0,$M954-$L954),"")</f>
        <v/>
      </c>
      <c r="Q954" s="21">
        <f>IF(ISNUMBER($D954),MAX(0,TODAY()-$D954),"")</f>
        <v/>
      </c>
      <c r="R954" s="19">
        <f>IF(COUNTA($A954:$O954)=0,"",IFERROR(TRIM(TEXTJOIN(" | ",TRUE,IF($A954="","PC kosong",""),IF($C954="","Worker ID kosong",""),IF($D954="","Update Date kosong",IF(NOT(ISNUMBER($D954)),"Update Date bukan tanggal","")),IF($E954="","Song ID YT kosong",""),IF($F954="","Judul kosong",""),IF(TRIM($G954)="","",IF(ISERROR(MATCH(TRIM($G954),{"TuneCore","DistroKid","TooLost","SoundOn","Ditto","Believe","CD Baby","Amuse","Symphonic Distribution","ONErpm","RouteNote","LANDR","Horus Music","Indie"},0)),"Aggregator di luar daftar","")),IF(TRIM($H954)="","Genre kosong",IF((LEN(SUBSTITUTE(SUBSTITUTE(SUBSTITUTE(TRIM($H954),"/",","),";",",")," ",""))-LEN(SUBSTITUTE(SUBSTITUTE(SUBSTITUTE(SUBSTITUTE(TRIM($H954),"/",","),";",","),"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954),"/",","),";",",")," ","")&amp;",")))&lt;&gt;(LEN(SUBSTITUTE(SUBSTITUTE(SUBSTITUTE(TRIM($H954),"/",","),";",",")," ",""))-LEN(SUBSTITUTE(SUBSTITUTE(SUBSTITUTE(SUBSTITUTE(TRIM($H954),"/",","),";",",")," ",""),",",""))+1),"Genre di luar daftar",""))),IF($I954="","Nama Channel kosong",""),IF($J954="","Link Channel kosong",IF(ISERROR(SEARCH("youtu",$J954)),"Link Channel bukan youtube","")),IF($K954="","Link Video kosong",IF(ISERROR(SEARCH("youtu",$K954)),"Link Video bukan youtube","")),IF($L954="","Tgl Dibuat kosong",IF(NOT(ISNUMBER($L954)),"Tgl Dibuat bukan tanggal","")),IF(AND($M954&lt;&gt;"",NOT(ISNUMBER($M954))),"Tgl Publish bukan tanggal",""),IF(AND(ISNUMBER($L954),ISNUMBER($M954),$M954&lt;$L954),"Tgl Publish &lt; Tgl buat",""),IF(TRIM($N954)="","Status kosong",IF(ISERROR(MATCH(TRIM($N954),{"Draft","Menunggu Review","Revisi","Terjadwal","Upload","Publish","Published","Batal"},0)),"Status di luar daftar","")))),""))</f>
        <v/>
      </c>
      <c r="S954" s="17">
        <f>IF(AND($A954&lt;&gt;"",$C954&lt;&gt;""),IF(COUNTIFS($A$2:$A$1000,$A954,$C$2:$C$1000,$C954)&gt;1,"DUPLICAT",""),"")</f>
        <v/>
      </c>
    </row>
    <row r="955">
      <c r="A955" s="12" t="n"/>
      <c r="B955" s="12" t="n"/>
      <c r="C955" s="12" t="n"/>
      <c r="D955" s="13" t="n"/>
      <c r="E955" s="12" t="n"/>
      <c r="F955" s="14" t="n"/>
      <c r="G955" s="12" t="n"/>
      <c r="H955" s="12" t="n"/>
      <c r="I955" s="12" t="n"/>
      <c r="J955" s="14" t="n"/>
      <c r="K955" s="14" t="n"/>
      <c r="L955" s="15" t="n"/>
      <c r="M955" s="15" t="n"/>
      <c r="N955" s="12" t="n"/>
      <c r="O955" s="12" t="n"/>
      <c r="P955" s="16">
        <f>IF(AND(ISNUMBER($L955),ISNUMBER($M955)),MAX(0,$M955-$L955),"")</f>
        <v/>
      </c>
      <c r="Q955" s="16">
        <f>IF(ISNUMBER($D955),MAX(0,TODAY()-$D955),"")</f>
        <v/>
      </c>
      <c r="R955" s="14">
        <f>IF(COUNTA($A955:$O955)=0,"",IFERROR(TRIM(TEXTJOIN(" | ",TRUE,IF($A955="","PC kosong",""),IF($C955="","Worker ID kosong",""),IF($D955="","Update Date kosong",IF(NOT(ISNUMBER($D955)),"Update Date bukan tanggal","")),IF($E955="","Song ID YT kosong",""),IF($F955="","Judul kosong",""),IF(TRIM($G955)="","",IF(ISERROR(MATCH(TRIM($G955),{"TuneCore","DistroKid","TooLost","SoundOn","Ditto","Believe","CD Baby","Amuse","Symphonic Distribution","ONErpm","RouteNote","LANDR","Horus Music","Indie"},0)),"Aggregator di luar daftar","")),IF(TRIM($H955)="","Genre kosong",IF((LEN(SUBSTITUTE(SUBSTITUTE(SUBSTITUTE(TRIM($H955),"/",","),";",",")," ",""))-LEN(SUBSTITUTE(SUBSTITUTE(SUBSTITUTE(SUBSTITUTE(TRIM($H955),"/",","),";",","),"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955),"/",","),";",",")," ","")&amp;",")))&lt;&gt;(LEN(SUBSTITUTE(SUBSTITUTE(SUBSTITUTE(TRIM($H955),"/",","),";",",")," ",""))-LEN(SUBSTITUTE(SUBSTITUTE(SUBSTITUTE(SUBSTITUTE(TRIM($H955),"/",","),";",",")," ",""),",",""))+1),"Genre di luar daftar",""))),IF($I955="","Nama Channel kosong",""),IF($J955="","Link Channel kosong",IF(ISERROR(SEARCH("youtu",$J955)),"Link Channel bukan youtube","")),IF($K955="","Link Video kosong",IF(ISERROR(SEARCH("youtu",$K955)),"Link Video bukan youtube","")),IF($L955="","Tgl Dibuat kosong",IF(NOT(ISNUMBER($L955)),"Tgl Dibuat bukan tanggal","")),IF(AND($M955&lt;&gt;"",NOT(ISNUMBER($M955))),"Tgl Publish bukan tanggal",""),IF(AND(ISNUMBER($L955),ISNUMBER($M955),$M955&lt;$L955),"Tgl Publish &lt; Tgl buat",""),IF(TRIM($N955)="","Status kosong",IF(ISERROR(MATCH(TRIM($N955),{"Draft","Menunggu Review","Revisi","Terjadwal","Upload","Publish","Published","Batal"},0)),"Status di luar daftar","")))),""))</f>
        <v/>
      </c>
      <c r="S955" s="12">
        <f>IF(AND($A955&lt;&gt;"",$C955&lt;&gt;""),IF(COUNTIFS($A$2:$A$1000,$A955,$C$2:$C$1000,$C955)&gt;1,"DUPLICAT",""),"")</f>
        <v/>
      </c>
    </row>
    <row r="956">
      <c r="A956" s="17" t="n"/>
      <c r="B956" s="17" t="n"/>
      <c r="C956" s="17" t="n"/>
      <c r="D956" s="18" t="n"/>
      <c r="E956" s="17" t="n"/>
      <c r="F956" s="19" t="n"/>
      <c r="G956" s="17" t="n"/>
      <c r="H956" s="17" t="n"/>
      <c r="I956" s="17" t="n"/>
      <c r="J956" s="19" t="n"/>
      <c r="K956" s="19" t="n"/>
      <c r="L956" s="20" t="n"/>
      <c r="M956" s="20" t="n"/>
      <c r="N956" s="17" t="n"/>
      <c r="O956" s="17" t="n"/>
      <c r="P956" s="21">
        <f>IF(AND(ISNUMBER($L956),ISNUMBER($M956)),MAX(0,$M956-$L956),"")</f>
        <v/>
      </c>
      <c r="Q956" s="21">
        <f>IF(ISNUMBER($D956),MAX(0,TODAY()-$D956),"")</f>
        <v/>
      </c>
      <c r="R956" s="19">
        <f>IF(COUNTA($A956:$O956)=0,"",IFERROR(TRIM(TEXTJOIN(" | ",TRUE,IF($A956="","PC kosong",""),IF($C956="","Worker ID kosong",""),IF($D956="","Update Date kosong",IF(NOT(ISNUMBER($D956)),"Update Date bukan tanggal","")),IF($E956="","Song ID YT kosong",""),IF($F956="","Judul kosong",""),IF(TRIM($G956)="","",IF(ISERROR(MATCH(TRIM($G956),{"TuneCore","DistroKid","TooLost","SoundOn","Ditto","Believe","CD Baby","Amuse","Symphonic Distribution","ONErpm","RouteNote","LANDR","Horus Music","Indie"},0)),"Aggregator di luar daftar","")),IF(TRIM($H956)="","Genre kosong",IF((LEN(SUBSTITUTE(SUBSTITUTE(SUBSTITUTE(TRIM($H956),"/",","),";",",")," ",""))-LEN(SUBSTITUTE(SUBSTITUTE(SUBSTITUTE(SUBSTITUTE(TRIM($H956),"/",","),";",","),"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956),"/",","),";",",")," ","")&amp;",")))&lt;&gt;(LEN(SUBSTITUTE(SUBSTITUTE(SUBSTITUTE(TRIM($H956),"/",","),";",",")," ",""))-LEN(SUBSTITUTE(SUBSTITUTE(SUBSTITUTE(SUBSTITUTE(TRIM($H956),"/",","),";",",")," ",""),",",""))+1),"Genre di luar daftar",""))),IF($I956="","Nama Channel kosong",""),IF($J956="","Link Channel kosong",IF(ISERROR(SEARCH("youtu",$J956)),"Link Channel bukan youtube","")),IF($K956="","Link Video kosong",IF(ISERROR(SEARCH("youtu",$K956)),"Link Video bukan youtube","")),IF($L956="","Tgl Dibuat kosong",IF(NOT(ISNUMBER($L956)),"Tgl Dibuat bukan tanggal","")),IF(AND($M956&lt;&gt;"",NOT(ISNUMBER($M956))),"Tgl Publish bukan tanggal",""),IF(AND(ISNUMBER($L956),ISNUMBER($M956),$M956&lt;$L956),"Tgl Publish &lt; Tgl buat",""),IF(TRIM($N956)="","Status kosong",IF(ISERROR(MATCH(TRIM($N956),{"Draft","Menunggu Review","Revisi","Terjadwal","Upload","Publish","Published","Batal"},0)),"Status di luar daftar","")))),""))</f>
        <v/>
      </c>
      <c r="S956" s="17">
        <f>IF(AND($A956&lt;&gt;"",$C956&lt;&gt;""),IF(COUNTIFS($A$2:$A$1000,$A956,$C$2:$C$1000,$C956)&gt;1,"DUPLICAT",""),"")</f>
        <v/>
      </c>
    </row>
    <row r="957">
      <c r="A957" s="12" t="n"/>
      <c r="B957" s="12" t="n"/>
      <c r="C957" s="12" t="n"/>
      <c r="D957" s="13" t="n"/>
      <c r="E957" s="12" t="n"/>
      <c r="F957" s="14" t="n"/>
      <c r="G957" s="12" t="n"/>
      <c r="H957" s="12" t="n"/>
      <c r="I957" s="12" t="n"/>
      <c r="J957" s="14" t="n"/>
      <c r="K957" s="14" t="n"/>
      <c r="L957" s="15" t="n"/>
      <c r="M957" s="15" t="n"/>
      <c r="N957" s="12" t="n"/>
      <c r="O957" s="12" t="n"/>
      <c r="P957" s="16">
        <f>IF(AND(ISNUMBER($L957),ISNUMBER($M957)),MAX(0,$M957-$L957),"")</f>
        <v/>
      </c>
      <c r="Q957" s="16">
        <f>IF(ISNUMBER($D957),MAX(0,TODAY()-$D957),"")</f>
        <v/>
      </c>
      <c r="R957" s="14">
        <f>IF(COUNTA($A957:$O957)=0,"",IFERROR(TRIM(TEXTJOIN(" | ",TRUE,IF($A957="","PC kosong",""),IF($C957="","Worker ID kosong",""),IF($D957="","Update Date kosong",IF(NOT(ISNUMBER($D957)),"Update Date bukan tanggal","")),IF($E957="","Song ID YT kosong",""),IF($F957="","Judul kosong",""),IF(TRIM($G957)="","",IF(ISERROR(MATCH(TRIM($G957),{"TuneCore","DistroKid","TooLost","SoundOn","Ditto","Believe","CD Baby","Amuse","Symphonic Distribution","ONErpm","RouteNote","LANDR","Horus Music","Indie"},0)),"Aggregator di luar daftar","")),IF(TRIM($H957)="","Genre kosong",IF((LEN(SUBSTITUTE(SUBSTITUTE(SUBSTITUTE(TRIM($H957),"/",","),";",",")," ",""))-LEN(SUBSTITUTE(SUBSTITUTE(SUBSTITUTE(SUBSTITUTE(TRIM($H957),"/",","),";",","),"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957),"/",","),";",",")," ","")&amp;",")))&lt;&gt;(LEN(SUBSTITUTE(SUBSTITUTE(SUBSTITUTE(TRIM($H957),"/",","),";",",")," ",""))-LEN(SUBSTITUTE(SUBSTITUTE(SUBSTITUTE(SUBSTITUTE(TRIM($H957),"/",","),";",",")," ",""),",",""))+1),"Genre di luar daftar",""))),IF($I957="","Nama Channel kosong",""),IF($J957="","Link Channel kosong",IF(ISERROR(SEARCH("youtu",$J957)),"Link Channel bukan youtube","")),IF($K957="","Link Video kosong",IF(ISERROR(SEARCH("youtu",$K957)),"Link Video bukan youtube","")),IF($L957="","Tgl Dibuat kosong",IF(NOT(ISNUMBER($L957)),"Tgl Dibuat bukan tanggal","")),IF(AND($M957&lt;&gt;"",NOT(ISNUMBER($M957))),"Tgl Publish bukan tanggal",""),IF(AND(ISNUMBER($L957),ISNUMBER($M957),$M957&lt;$L957),"Tgl Publish &lt; Tgl buat",""),IF(TRIM($N957)="","Status kosong",IF(ISERROR(MATCH(TRIM($N957),{"Draft","Menunggu Review","Revisi","Terjadwal","Upload","Publish","Published","Batal"},0)),"Status di luar daftar","")))),""))</f>
        <v/>
      </c>
      <c r="S957" s="12">
        <f>IF(AND($A957&lt;&gt;"",$C957&lt;&gt;""),IF(COUNTIFS($A$2:$A$1000,$A957,$C$2:$C$1000,$C957)&gt;1,"DUPLICAT",""),"")</f>
        <v/>
      </c>
    </row>
    <row r="958">
      <c r="A958" s="17" t="n"/>
      <c r="B958" s="17" t="n"/>
      <c r="C958" s="17" t="n"/>
      <c r="D958" s="18" t="n"/>
      <c r="E958" s="17" t="n"/>
      <c r="F958" s="19" t="n"/>
      <c r="G958" s="17" t="n"/>
      <c r="H958" s="17" t="n"/>
      <c r="I958" s="17" t="n"/>
      <c r="J958" s="19" t="n"/>
      <c r="K958" s="19" t="n"/>
      <c r="L958" s="20" t="n"/>
      <c r="M958" s="20" t="n"/>
      <c r="N958" s="17" t="n"/>
      <c r="O958" s="17" t="n"/>
      <c r="P958" s="21">
        <f>IF(AND(ISNUMBER($L958),ISNUMBER($M958)),MAX(0,$M958-$L958),"")</f>
        <v/>
      </c>
      <c r="Q958" s="21">
        <f>IF(ISNUMBER($D958),MAX(0,TODAY()-$D958),"")</f>
        <v/>
      </c>
      <c r="R958" s="19">
        <f>IF(COUNTA($A958:$O958)=0,"",IFERROR(TRIM(TEXTJOIN(" | ",TRUE,IF($A958="","PC kosong",""),IF($C958="","Worker ID kosong",""),IF($D958="","Update Date kosong",IF(NOT(ISNUMBER($D958)),"Update Date bukan tanggal","")),IF($E958="","Song ID YT kosong",""),IF($F958="","Judul kosong",""),IF(TRIM($G958)="","",IF(ISERROR(MATCH(TRIM($G958),{"TuneCore","DistroKid","TooLost","SoundOn","Ditto","Believe","CD Baby","Amuse","Symphonic Distribution","ONErpm","RouteNote","LANDR","Horus Music","Indie"},0)),"Aggregator di luar daftar","")),IF(TRIM($H958)="","Genre kosong",IF((LEN(SUBSTITUTE(SUBSTITUTE(SUBSTITUTE(TRIM($H958),"/",","),";",",")," ",""))-LEN(SUBSTITUTE(SUBSTITUTE(SUBSTITUTE(SUBSTITUTE(TRIM($H958),"/",","),";",","),"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958),"/",","),";",",")," ","")&amp;",")))&lt;&gt;(LEN(SUBSTITUTE(SUBSTITUTE(SUBSTITUTE(TRIM($H958),"/",","),";",",")," ",""))-LEN(SUBSTITUTE(SUBSTITUTE(SUBSTITUTE(SUBSTITUTE(TRIM($H958),"/",","),";",",")," ",""),",",""))+1),"Genre di luar daftar",""))),IF($I958="","Nama Channel kosong",""),IF($J958="","Link Channel kosong",IF(ISERROR(SEARCH("youtu",$J958)),"Link Channel bukan youtube","")),IF($K958="","Link Video kosong",IF(ISERROR(SEARCH("youtu",$K958)),"Link Video bukan youtube","")),IF($L958="","Tgl Dibuat kosong",IF(NOT(ISNUMBER($L958)),"Tgl Dibuat bukan tanggal","")),IF(AND($M958&lt;&gt;"",NOT(ISNUMBER($M958))),"Tgl Publish bukan tanggal",""),IF(AND(ISNUMBER($L958),ISNUMBER($M958),$M958&lt;$L958),"Tgl Publish &lt; Tgl buat",""),IF(TRIM($N958)="","Status kosong",IF(ISERROR(MATCH(TRIM($N958),{"Draft","Menunggu Review","Revisi","Terjadwal","Upload","Publish","Published","Batal"},0)),"Status di luar daftar","")))),""))</f>
        <v/>
      </c>
      <c r="S958" s="17">
        <f>IF(AND($A958&lt;&gt;"",$C958&lt;&gt;""),IF(COUNTIFS($A$2:$A$1000,$A958,$C$2:$C$1000,$C958)&gt;1,"DUPLICAT",""),"")</f>
        <v/>
      </c>
    </row>
    <row r="959">
      <c r="A959" s="12" t="n"/>
      <c r="B959" s="12" t="n"/>
      <c r="C959" s="12" t="n"/>
      <c r="D959" s="13" t="n"/>
      <c r="E959" s="12" t="n"/>
      <c r="F959" s="14" t="n"/>
      <c r="G959" s="12" t="n"/>
      <c r="H959" s="12" t="n"/>
      <c r="I959" s="12" t="n"/>
      <c r="J959" s="14" t="n"/>
      <c r="K959" s="14" t="n"/>
      <c r="L959" s="15" t="n"/>
      <c r="M959" s="15" t="n"/>
      <c r="N959" s="12" t="n"/>
      <c r="O959" s="12" t="n"/>
      <c r="P959" s="16">
        <f>IF(AND(ISNUMBER($L959),ISNUMBER($M959)),MAX(0,$M959-$L959),"")</f>
        <v/>
      </c>
      <c r="Q959" s="16">
        <f>IF(ISNUMBER($D959),MAX(0,TODAY()-$D959),"")</f>
        <v/>
      </c>
      <c r="R959" s="14">
        <f>IF(COUNTA($A959:$O959)=0,"",IFERROR(TRIM(TEXTJOIN(" | ",TRUE,IF($A959="","PC kosong",""),IF($C959="","Worker ID kosong",""),IF($D959="","Update Date kosong",IF(NOT(ISNUMBER($D959)),"Update Date bukan tanggal","")),IF($E959="","Song ID YT kosong",""),IF($F959="","Judul kosong",""),IF(TRIM($G959)="","",IF(ISERROR(MATCH(TRIM($G959),{"TuneCore","DistroKid","TooLost","SoundOn","Ditto","Believe","CD Baby","Amuse","Symphonic Distribution","ONErpm","RouteNote","LANDR","Horus Music","Indie"},0)),"Aggregator di luar daftar","")),IF(TRIM($H959)="","Genre kosong",IF((LEN(SUBSTITUTE(SUBSTITUTE(SUBSTITUTE(TRIM($H959),"/",","),";",",")," ",""))-LEN(SUBSTITUTE(SUBSTITUTE(SUBSTITUTE(SUBSTITUTE(TRIM($H959),"/",","),";",","),"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959),"/",","),";",",")," ","")&amp;",")))&lt;&gt;(LEN(SUBSTITUTE(SUBSTITUTE(SUBSTITUTE(TRIM($H959),"/",","),";",",")," ",""))-LEN(SUBSTITUTE(SUBSTITUTE(SUBSTITUTE(SUBSTITUTE(TRIM($H959),"/",","),";",",")," ",""),",",""))+1),"Genre di luar daftar",""))),IF($I959="","Nama Channel kosong",""),IF($J959="","Link Channel kosong",IF(ISERROR(SEARCH("youtu",$J959)),"Link Channel bukan youtube","")),IF($K959="","Link Video kosong",IF(ISERROR(SEARCH("youtu",$K959)),"Link Video bukan youtube","")),IF($L959="","Tgl Dibuat kosong",IF(NOT(ISNUMBER($L959)),"Tgl Dibuat bukan tanggal","")),IF(AND($M959&lt;&gt;"",NOT(ISNUMBER($M959))),"Tgl Publish bukan tanggal",""),IF(AND(ISNUMBER($L959),ISNUMBER($M959),$M959&lt;$L959),"Tgl Publish &lt; Tgl buat",""),IF(TRIM($N959)="","Status kosong",IF(ISERROR(MATCH(TRIM($N959),{"Draft","Menunggu Review","Revisi","Terjadwal","Upload","Publish","Published","Batal"},0)),"Status di luar daftar","")))),""))</f>
        <v/>
      </c>
      <c r="S959" s="12">
        <f>IF(AND($A959&lt;&gt;"",$C959&lt;&gt;""),IF(COUNTIFS($A$2:$A$1000,$A959,$C$2:$C$1000,$C959)&gt;1,"DUPLICAT",""),"")</f>
        <v/>
      </c>
    </row>
    <row r="960">
      <c r="A960" s="17" t="n"/>
      <c r="B960" s="17" t="n"/>
      <c r="C960" s="17" t="n"/>
      <c r="D960" s="18" t="n"/>
      <c r="E960" s="17" t="n"/>
      <c r="F960" s="19" t="n"/>
      <c r="G960" s="17" t="n"/>
      <c r="H960" s="17" t="n"/>
      <c r="I960" s="17" t="n"/>
      <c r="J960" s="19" t="n"/>
      <c r="K960" s="19" t="n"/>
      <c r="L960" s="20" t="n"/>
      <c r="M960" s="20" t="n"/>
      <c r="N960" s="17" t="n"/>
      <c r="O960" s="17" t="n"/>
      <c r="P960" s="21">
        <f>IF(AND(ISNUMBER($L960),ISNUMBER($M960)),MAX(0,$M960-$L960),"")</f>
        <v/>
      </c>
      <c r="Q960" s="21">
        <f>IF(ISNUMBER($D960),MAX(0,TODAY()-$D960),"")</f>
        <v/>
      </c>
      <c r="R960" s="19">
        <f>IF(COUNTA($A960:$O960)=0,"",IFERROR(TRIM(TEXTJOIN(" | ",TRUE,IF($A960="","PC kosong",""),IF($C960="","Worker ID kosong",""),IF($D960="","Update Date kosong",IF(NOT(ISNUMBER($D960)),"Update Date bukan tanggal","")),IF($E960="","Song ID YT kosong",""),IF($F960="","Judul kosong",""),IF(TRIM($G960)="","",IF(ISERROR(MATCH(TRIM($G960),{"TuneCore","DistroKid","TooLost","SoundOn","Ditto","Believe","CD Baby","Amuse","Symphonic Distribution","ONErpm","RouteNote","LANDR","Horus Music","Indie"},0)),"Aggregator di luar daftar","")),IF(TRIM($H960)="","Genre kosong",IF((LEN(SUBSTITUTE(SUBSTITUTE(SUBSTITUTE(TRIM($H960),"/",","),";",",")," ",""))-LEN(SUBSTITUTE(SUBSTITUTE(SUBSTITUTE(SUBSTITUTE(TRIM($H960),"/",","),";",","),"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960),"/",","),";",",")," ","")&amp;",")))&lt;&gt;(LEN(SUBSTITUTE(SUBSTITUTE(SUBSTITUTE(TRIM($H960),"/",","),";",",")," ",""))-LEN(SUBSTITUTE(SUBSTITUTE(SUBSTITUTE(SUBSTITUTE(TRIM($H960),"/",","),";",",")," ",""),",",""))+1),"Genre di luar daftar",""))),IF($I960="","Nama Channel kosong",""),IF($J960="","Link Channel kosong",IF(ISERROR(SEARCH("youtu",$J960)),"Link Channel bukan youtube","")),IF($K960="","Link Video kosong",IF(ISERROR(SEARCH("youtu",$K960)),"Link Video bukan youtube","")),IF($L960="","Tgl Dibuat kosong",IF(NOT(ISNUMBER($L960)),"Tgl Dibuat bukan tanggal","")),IF(AND($M960&lt;&gt;"",NOT(ISNUMBER($M960))),"Tgl Publish bukan tanggal",""),IF(AND(ISNUMBER($L960),ISNUMBER($M960),$M960&lt;$L960),"Tgl Publish &lt; Tgl buat",""),IF(TRIM($N960)="","Status kosong",IF(ISERROR(MATCH(TRIM($N960),{"Draft","Menunggu Review","Revisi","Terjadwal","Upload","Publish","Published","Batal"},0)),"Status di luar daftar","")))),""))</f>
        <v/>
      </c>
      <c r="S960" s="17">
        <f>IF(AND($A960&lt;&gt;"",$C960&lt;&gt;""),IF(COUNTIFS($A$2:$A$1000,$A960,$C$2:$C$1000,$C960)&gt;1,"DUPLICAT",""),"")</f>
        <v/>
      </c>
    </row>
    <row r="961">
      <c r="A961" s="12" t="n"/>
      <c r="B961" s="12" t="n"/>
      <c r="C961" s="12" t="n"/>
      <c r="D961" s="13" t="n"/>
      <c r="E961" s="12" t="n"/>
      <c r="F961" s="14" t="n"/>
      <c r="G961" s="12" t="n"/>
      <c r="H961" s="12" t="n"/>
      <c r="I961" s="12" t="n"/>
      <c r="J961" s="14" t="n"/>
      <c r="K961" s="14" t="n"/>
      <c r="L961" s="15" t="n"/>
      <c r="M961" s="15" t="n"/>
      <c r="N961" s="12" t="n"/>
      <c r="O961" s="12" t="n"/>
      <c r="P961" s="16">
        <f>IF(AND(ISNUMBER($L961),ISNUMBER($M961)),MAX(0,$M961-$L961),"")</f>
        <v/>
      </c>
      <c r="Q961" s="16">
        <f>IF(ISNUMBER($D961),MAX(0,TODAY()-$D961),"")</f>
        <v/>
      </c>
      <c r="R961" s="14">
        <f>IF(COUNTA($A961:$O961)=0,"",IFERROR(TRIM(TEXTJOIN(" | ",TRUE,IF($A961="","PC kosong",""),IF($C961="","Worker ID kosong",""),IF($D961="","Update Date kosong",IF(NOT(ISNUMBER($D961)),"Update Date bukan tanggal","")),IF($E961="","Song ID YT kosong",""),IF($F961="","Judul kosong",""),IF(TRIM($G961)="","",IF(ISERROR(MATCH(TRIM($G961),{"TuneCore","DistroKid","TooLost","SoundOn","Ditto","Believe","CD Baby","Amuse","Symphonic Distribution","ONErpm","RouteNote","LANDR","Horus Music","Indie"},0)),"Aggregator di luar daftar","")),IF(TRIM($H961)="","Genre kosong",IF((LEN(SUBSTITUTE(SUBSTITUTE(SUBSTITUTE(TRIM($H961),"/",","),";",",")," ",""))-LEN(SUBSTITUTE(SUBSTITUTE(SUBSTITUTE(SUBSTITUTE(TRIM($H961),"/",","),";",","),"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961),"/",","),";",",")," ","")&amp;",")))&lt;&gt;(LEN(SUBSTITUTE(SUBSTITUTE(SUBSTITUTE(TRIM($H961),"/",","),";",",")," ",""))-LEN(SUBSTITUTE(SUBSTITUTE(SUBSTITUTE(SUBSTITUTE(TRIM($H961),"/",","),";",",")," ",""),",",""))+1),"Genre di luar daftar",""))),IF($I961="","Nama Channel kosong",""),IF($J961="","Link Channel kosong",IF(ISERROR(SEARCH("youtu",$J961)),"Link Channel bukan youtube","")),IF($K961="","Link Video kosong",IF(ISERROR(SEARCH("youtu",$K961)),"Link Video bukan youtube","")),IF($L961="","Tgl Dibuat kosong",IF(NOT(ISNUMBER($L961)),"Tgl Dibuat bukan tanggal","")),IF(AND($M961&lt;&gt;"",NOT(ISNUMBER($M961))),"Tgl Publish bukan tanggal",""),IF(AND(ISNUMBER($L961),ISNUMBER($M961),$M961&lt;$L961),"Tgl Publish &lt; Tgl buat",""),IF(TRIM($N961)="","Status kosong",IF(ISERROR(MATCH(TRIM($N961),{"Draft","Menunggu Review","Revisi","Terjadwal","Upload","Publish","Published","Batal"},0)),"Status di luar daftar","")))),""))</f>
        <v/>
      </c>
      <c r="S961" s="12">
        <f>IF(AND($A961&lt;&gt;"",$C961&lt;&gt;""),IF(COUNTIFS($A$2:$A$1000,$A961,$C$2:$C$1000,$C961)&gt;1,"DUPLICAT",""),"")</f>
        <v/>
      </c>
    </row>
    <row r="962">
      <c r="A962" s="17" t="n"/>
      <c r="B962" s="17" t="n"/>
      <c r="C962" s="17" t="n"/>
      <c r="D962" s="18" t="n"/>
      <c r="E962" s="17" t="n"/>
      <c r="F962" s="19" t="n"/>
      <c r="G962" s="17" t="n"/>
      <c r="H962" s="17" t="n"/>
      <c r="I962" s="17" t="n"/>
      <c r="J962" s="19" t="n"/>
      <c r="K962" s="19" t="n"/>
      <c r="L962" s="20" t="n"/>
      <c r="M962" s="20" t="n"/>
      <c r="N962" s="17" t="n"/>
      <c r="O962" s="17" t="n"/>
      <c r="P962" s="21">
        <f>IF(AND(ISNUMBER($L962),ISNUMBER($M962)),MAX(0,$M962-$L962),"")</f>
        <v/>
      </c>
      <c r="Q962" s="21">
        <f>IF(ISNUMBER($D962),MAX(0,TODAY()-$D962),"")</f>
        <v/>
      </c>
      <c r="R962" s="19">
        <f>IF(COUNTA($A962:$O962)=0,"",IFERROR(TRIM(TEXTJOIN(" | ",TRUE,IF($A962="","PC kosong",""),IF($C962="","Worker ID kosong",""),IF($D962="","Update Date kosong",IF(NOT(ISNUMBER($D962)),"Update Date bukan tanggal","")),IF($E962="","Song ID YT kosong",""),IF($F962="","Judul kosong",""),IF(TRIM($G962)="","",IF(ISERROR(MATCH(TRIM($G962),{"TuneCore","DistroKid","TooLost","SoundOn","Ditto","Believe","CD Baby","Amuse","Symphonic Distribution","ONErpm","RouteNote","LANDR","Horus Music","Indie"},0)),"Aggregator di luar daftar","")),IF(TRIM($H962)="","Genre kosong",IF((LEN(SUBSTITUTE(SUBSTITUTE(SUBSTITUTE(TRIM($H962),"/",","),";",",")," ",""))-LEN(SUBSTITUTE(SUBSTITUTE(SUBSTITUTE(SUBSTITUTE(TRIM($H962),"/",","),";",","),"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962),"/",","),";",",")," ","")&amp;",")))&lt;&gt;(LEN(SUBSTITUTE(SUBSTITUTE(SUBSTITUTE(TRIM($H962),"/",","),";",",")," ",""))-LEN(SUBSTITUTE(SUBSTITUTE(SUBSTITUTE(SUBSTITUTE(TRIM($H962),"/",","),";",",")," ",""),",",""))+1),"Genre di luar daftar",""))),IF($I962="","Nama Channel kosong",""),IF($J962="","Link Channel kosong",IF(ISERROR(SEARCH("youtu",$J962)),"Link Channel bukan youtube","")),IF($K962="","Link Video kosong",IF(ISERROR(SEARCH("youtu",$K962)),"Link Video bukan youtube","")),IF($L962="","Tgl Dibuat kosong",IF(NOT(ISNUMBER($L962)),"Tgl Dibuat bukan tanggal","")),IF(AND($M962&lt;&gt;"",NOT(ISNUMBER($M962))),"Tgl Publish bukan tanggal",""),IF(AND(ISNUMBER($L962),ISNUMBER($M962),$M962&lt;$L962),"Tgl Publish &lt; Tgl buat",""),IF(TRIM($N962)="","Status kosong",IF(ISERROR(MATCH(TRIM($N962),{"Draft","Menunggu Review","Revisi","Terjadwal","Upload","Publish","Published","Batal"},0)),"Status di luar daftar","")))),""))</f>
        <v/>
      </c>
      <c r="S962" s="17">
        <f>IF(AND($A962&lt;&gt;"",$C962&lt;&gt;""),IF(COUNTIFS($A$2:$A$1000,$A962,$C$2:$C$1000,$C962)&gt;1,"DUPLICAT",""),"")</f>
        <v/>
      </c>
    </row>
    <row r="963">
      <c r="A963" s="12" t="n"/>
      <c r="B963" s="12" t="n"/>
      <c r="C963" s="12" t="n"/>
      <c r="D963" s="13" t="n"/>
      <c r="E963" s="12" t="n"/>
      <c r="F963" s="14" t="n"/>
      <c r="G963" s="12" t="n"/>
      <c r="H963" s="12" t="n"/>
      <c r="I963" s="12" t="n"/>
      <c r="J963" s="14" t="n"/>
      <c r="K963" s="14" t="n"/>
      <c r="L963" s="15" t="n"/>
      <c r="M963" s="15" t="n"/>
      <c r="N963" s="12" t="n"/>
      <c r="O963" s="12" t="n"/>
      <c r="P963" s="16">
        <f>IF(AND(ISNUMBER($L963),ISNUMBER($M963)),MAX(0,$M963-$L963),"")</f>
        <v/>
      </c>
      <c r="Q963" s="16">
        <f>IF(ISNUMBER($D963),MAX(0,TODAY()-$D963),"")</f>
        <v/>
      </c>
      <c r="R963" s="14">
        <f>IF(COUNTA($A963:$O963)=0,"",IFERROR(TRIM(TEXTJOIN(" | ",TRUE,IF($A963="","PC kosong",""),IF($C963="","Worker ID kosong",""),IF($D963="","Update Date kosong",IF(NOT(ISNUMBER($D963)),"Update Date bukan tanggal","")),IF($E963="","Song ID YT kosong",""),IF($F963="","Judul kosong",""),IF(TRIM($G963)="","",IF(ISERROR(MATCH(TRIM($G963),{"TuneCore","DistroKid","TooLost","SoundOn","Ditto","Believe","CD Baby","Amuse","Symphonic Distribution","ONErpm","RouteNote","LANDR","Horus Music","Indie"},0)),"Aggregator di luar daftar","")),IF(TRIM($H963)="","Genre kosong",IF((LEN(SUBSTITUTE(SUBSTITUTE(SUBSTITUTE(TRIM($H963),"/",","),";",",")," ",""))-LEN(SUBSTITUTE(SUBSTITUTE(SUBSTITUTE(SUBSTITUTE(TRIM($H963),"/",","),";",","),"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963),"/",","),";",",")," ","")&amp;",")))&lt;&gt;(LEN(SUBSTITUTE(SUBSTITUTE(SUBSTITUTE(TRIM($H963),"/",","),";",",")," ",""))-LEN(SUBSTITUTE(SUBSTITUTE(SUBSTITUTE(SUBSTITUTE(TRIM($H963),"/",","),";",",")," ",""),",",""))+1),"Genre di luar daftar",""))),IF($I963="","Nama Channel kosong",""),IF($J963="","Link Channel kosong",IF(ISERROR(SEARCH("youtu",$J963)),"Link Channel bukan youtube","")),IF($K963="","Link Video kosong",IF(ISERROR(SEARCH("youtu",$K963)),"Link Video bukan youtube","")),IF($L963="","Tgl Dibuat kosong",IF(NOT(ISNUMBER($L963)),"Tgl Dibuat bukan tanggal","")),IF(AND($M963&lt;&gt;"",NOT(ISNUMBER($M963))),"Tgl Publish bukan tanggal",""),IF(AND(ISNUMBER($L963),ISNUMBER($M963),$M963&lt;$L963),"Tgl Publish &lt; Tgl buat",""),IF(TRIM($N963)="","Status kosong",IF(ISERROR(MATCH(TRIM($N963),{"Draft","Menunggu Review","Revisi","Terjadwal","Upload","Publish","Published","Batal"},0)),"Status di luar daftar","")))),""))</f>
        <v/>
      </c>
      <c r="S963" s="12">
        <f>IF(AND($A963&lt;&gt;"",$C963&lt;&gt;""),IF(COUNTIFS($A$2:$A$1000,$A963,$C$2:$C$1000,$C963)&gt;1,"DUPLICAT",""),"")</f>
        <v/>
      </c>
    </row>
    <row r="964">
      <c r="A964" s="17" t="n"/>
      <c r="B964" s="17" t="n"/>
      <c r="C964" s="17" t="n"/>
      <c r="D964" s="18" t="n"/>
      <c r="E964" s="17" t="n"/>
      <c r="F964" s="19" t="n"/>
      <c r="G964" s="17" t="n"/>
      <c r="H964" s="17" t="n"/>
      <c r="I964" s="17" t="n"/>
      <c r="J964" s="19" t="n"/>
      <c r="K964" s="19" t="n"/>
      <c r="L964" s="20" t="n"/>
      <c r="M964" s="20" t="n"/>
      <c r="N964" s="17" t="n"/>
      <c r="O964" s="17" t="n"/>
      <c r="P964" s="21">
        <f>IF(AND(ISNUMBER($L964),ISNUMBER($M964)),MAX(0,$M964-$L964),"")</f>
        <v/>
      </c>
      <c r="Q964" s="21">
        <f>IF(ISNUMBER($D964),MAX(0,TODAY()-$D964),"")</f>
        <v/>
      </c>
      <c r="R964" s="19">
        <f>IF(COUNTA($A964:$O964)=0,"",IFERROR(TRIM(TEXTJOIN(" | ",TRUE,IF($A964="","PC kosong",""),IF($C964="","Worker ID kosong",""),IF($D964="","Update Date kosong",IF(NOT(ISNUMBER($D964)),"Update Date bukan tanggal","")),IF($E964="","Song ID YT kosong",""),IF($F964="","Judul kosong",""),IF(TRIM($G964)="","",IF(ISERROR(MATCH(TRIM($G964),{"TuneCore","DistroKid","TooLost","SoundOn","Ditto","Believe","CD Baby","Amuse","Symphonic Distribution","ONErpm","RouteNote","LANDR","Horus Music","Indie"},0)),"Aggregator di luar daftar","")),IF(TRIM($H964)="","Genre kosong",IF((LEN(SUBSTITUTE(SUBSTITUTE(SUBSTITUTE(TRIM($H964),"/",","),";",",")," ",""))-LEN(SUBSTITUTE(SUBSTITUTE(SUBSTITUTE(SUBSTITUTE(TRIM($H964),"/",","),";",","),"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964),"/",","),";",",")," ","")&amp;",")))&lt;&gt;(LEN(SUBSTITUTE(SUBSTITUTE(SUBSTITUTE(TRIM($H964),"/",","),";",",")," ",""))-LEN(SUBSTITUTE(SUBSTITUTE(SUBSTITUTE(SUBSTITUTE(TRIM($H964),"/",","),";",",")," ",""),",",""))+1),"Genre di luar daftar",""))),IF($I964="","Nama Channel kosong",""),IF($J964="","Link Channel kosong",IF(ISERROR(SEARCH("youtu",$J964)),"Link Channel bukan youtube","")),IF($K964="","Link Video kosong",IF(ISERROR(SEARCH("youtu",$K964)),"Link Video bukan youtube","")),IF($L964="","Tgl Dibuat kosong",IF(NOT(ISNUMBER($L964)),"Tgl Dibuat bukan tanggal","")),IF(AND($M964&lt;&gt;"",NOT(ISNUMBER($M964))),"Tgl Publish bukan tanggal",""),IF(AND(ISNUMBER($L964),ISNUMBER($M964),$M964&lt;$L964),"Tgl Publish &lt; Tgl buat",""),IF(TRIM($N964)="","Status kosong",IF(ISERROR(MATCH(TRIM($N964),{"Draft","Menunggu Review","Revisi","Terjadwal","Upload","Publish","Published","Batal"},0)),"Status di luar daftar","")))),""))</f>
        <v/>
      </c>
      <c r="S964" s="17">
        <f>IF(AND($A964&lt;&gt;"",$C964&lt;&gt;""),IF(COUNTIFS($A$2:$A$1000,$A964,$C$2:$C$1000,$C964)&gt;1,"DUPLICAT",""),"")</f>
        <v/>
      </c>
    </row>
    <row r="965">
      <c r="A965" s="12" t="n"/>
      <c r="B965" s="12" t="n"/>
      <c r="C965" s="12" t="n"/>
      <c r="D965" s="13" t="n"/>
      <c r="E965" s="12" t="n"/>
      <c r="F965" s="14" t="n"/>
      <c r="G965" s="12" t="n"/>
      <c r="H965" s="12" t="n"/>
      <c r="I965" s="12" t="n"/>
      <c r="J965" s="14" t="n"/>
      <c r="K965" s="14" t="n"/>
      <c r="L965" s="15" t="n"/>
      <c r="M965" s="15" t="n"/>
      <c r="N965" s="12" t="n"/>
      <c r="O965" s="12" t="n"/>
      <c r="P965" s="16">
        <f>IF(AND(ISNUMBER($L965),ISNUMBER($M965)),MAX(0,$M965-$L965),"")</f>
        <v/>
      </c>
      <c r="Q965" s="16">
        <f>IF(ISNUMBER($D965),MAX(0,TODAY()-$D965),"")</f>
        <v/>
      </c>
      <c r="R965" s="14">
        <f>IF(COUNTA($A965:$O965)=0,"",IFERROR(TRIM(TEXTJOIN(" | ",TRUE,IF($A965="","PC kosong",""),IF($C965="","Worker ID kosong",""),IF($D965="","Update Date kosong",IF(NOT(ISNUMBER($D965)),"Update Date bukan tanggal","")),IF($E965="","Song ID YT kosong",""),IF($F965="","Judul kosong",""),IF(TRIM($G965)="","",IF(ISERROR(MATCH(TRIM($G965),{"TuneCore","DistroKid","TooLost","SoundOn","Ditto","Believe","CD Baby","Amuse","Symphonic Distribution","ONErpm","RouteNote","LANDR","Horus Music","Indie"},0)),"Aggregator di luar daftar","")),IF(TRIM($H965)="","Genre kosong",IF((LEN(SUBSTITUTE(SUBSTITUTE(SUBSTITUTE(TRIM($H965),"/",","),";",",")," ",""))-LEN(SUBSTITUTE(SUBSTITUTE(SUBSTITUTE(SUBSTITUTE(TRIM($H965),"/",","),";",","),"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965),"/",","),";",",")," ","")&amp;",")))&lt;&gt;(LEN(SUBSTITUTE(SUBSTITUTE(SUBSTITUTE(TRIM($H965),"/",","),";",",")," ",""))-LEN(SUBSTITUTE(SUBSTITUTE(SUBSTITUTE(SUBSTITUTE(TRIM($H965),"/",","),";",",")," ",""),",",""))+1),"Genre di luar daftar",""))),IF($I965="","Nama Channel kosong",""),IF($J965="","Link Channel kosong",IF(ISERROR(SEARCH("youtu",$J965)),"Link Channel bukan youtube","")),IF($K965="","Link Video kosong",IF(ISERROR(SEARCH("youtu",$K965)),"Link Video bukan youtube","")),IF($L965="","Tgl Dibuat kosong",IF(NOT(ISNUMBER($L965)),"Tgl Dibuat bukan tanggal","")),IF(AND($M965&lt;&gt;"",NOT(ISNUMBER($M965))),"Tgl Publish bukan tanggal",""),IF(AND(ISNUMBER($L965),ISNUMBER($M965),$M965&lt;$L965),"Tgl Publish &lt; Tgl buat",""),IF(TRIM($N965)="","Status kosong",IF(ISERROR(MATCH(TRIM($N965),{"Draft","Menunggu Review","Revisi","Terjadwal","Upload","Publish","Published","Batal"},0)),"Status di luar daftar","")))),""))</f>
        <v/>
      </c>
      <c r="S965" s="12">
        <f>IF(AND($A965&lt;&gt;"",$C965&lt;&gt;""),IF(COUNTIFS($A$2:$A$1000,$A965,$C$2:$C$1000,$C965)&gt;1,"DUPLICAT",""),"")</f>
        <v/>
      </c>
    </row>
    <row r="966">
      <c r="A966" s="17" t="n"/>
      <c r="B966" s="17" t="n"/>
      <c r="C966" s="17" t="n"/>
      <c r="D966" s="18" t="n"/>
      <c r="E966" s="17" t="n"/>
      <c r="F966" s="19" t="n"/>
      <c r="G966" s="17" t="n"/>
      <c r="H966" s="17" t="n"/>
      <c r="I966" s="17" t="n"/>
      <c r="J966" s="19" t="n"/>
      <c r="K966" s="19" t="n"/>
      <c r="L966" s="20" t="n"/>
      <c r="M966" s="20" t="n"/>
      <c r="N966" s="17" t="n"/>
      <c r="O966" s="17" t="n"/>
      <c r="P966" s="21">
        <f>IF(AND(ISNUMBER($L966),ISNUMBER($M966)),MAX(0,$M966-$L966),"")</f>
        <v/>
      </c>
      <c r="Q966" s="21">
        <f>IF(ISNUMBER($D966),MAX(0,TODAY()-$D966),"")</f>
        <v/>
      </c>
      <c r="R966" s="19">
        <f>IF(COUNTA($A966:$O966)=0,"",IFERROR(TRIM(TEXTJOIN(" | ",TRUE,IF($A966="","PC kosong",""),IF($C966="","Worker ID kosong",""),IF($D966="","Update Date kosong",IF(NOT(ISNUMBER($D966)),"Update Date bukan tanggal","")),IF($E966="","Song ID YT kosong",""),IF($F966="","Judul kosong",""),IF(TRIM($G966)="","",IF(ISERROR(MATCH(TRIM($G966),{"TuneCore","DistroKid","TooLost","SoundOn","Ditto","Believe","CD Baby","Amuse","Symphonic Distribution","ONErpm","RouteNote","LANDR","Horus Music","Indie"},0)),"Aggregator di luar daftar","")),IF(TRIM($H966)="","Genre kosong",IF((LEN(SUBSTITUTE(SUBSTITUTE(SUBSTITUTE(TRIM($H966),"/",","),";",",")," ",""))-LEN(SUBSTITUTE(SUBSTITUTE(SUBSTITUTE(SUBSTITUTE(TRIM($H966),"/",","),";",","),"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966),"/",","),";",",")," ","")&amp;",")))&lt;&gt;(LEN(SUBSTITUTE(SUBSTITUTE(SUBSTITUTE(TRIM($H966),"/",","),";",",")," ",""))-LEN(SUBSTITUTE(SUBSTITUTE(SUBSTITUTE(SUBSTITUTE(TRIM($H966),"/",","),";",",")," ",""),",",""))+1),"Genre di luar daftar",""))),IF($I966="","Nama Channel kosong",""),IF($J966="","Link Channel kosong",IF(ISERROR(SEARCH("youtu",$J966)),"Link Channel bukan youtube","")),IF($K966="","Link Video kosong",IF(ISERROR(SEARCH("youtu",$K966)),"Link Video bukan youtube","")),IF($L966="","Tgl Dibuat kosong",IF(NOT(ISNUMBER($L966)),"Tgl Dibuat bukan tanggal","")),IF(AND($M966&lt;&gt;"",NOT(ISNUMBER($M966))),"Tgl Publish bukan tanggal",""),IF(AND(ISNUMBER($L966),ISNUMBER($M966),$M966&lt;$L966),"Tgl Publish &lt; Tgl buat",""),IF(TRIM($N966)="","Status kosong",IF(ISERROR(MATCH(TRIM($N966),{"Draft","Menunggu Review","Revisi","Terjadwal","Upload","Publish","Published","Batal"},0)),"Status di luar daftar","")))),""))</f>
        <v/>
      </c>
      <c r="S966" s="17">
        <f>IF(AND($A966&lt;&gt;"",$C966&lt;&gt;""),IF(COUNTIFS($A$2:$A$1000,$A966,$C$2:$C$1000,$C966)&gt;1,"DUPLICAT",""),"")</f>
        <v/>
      </c>
    </row>
    <row r="967">
      <c r="A967" s="12" t="n"/>
      <c r="B967" s="12" t="n"/>
      <c r="C967" s="12" t="n"/>
      <c r="D967" s="13" t="n"/>
      <c r="E967" s="12" t="n"/>
      <c r="F967" s="14" t="n"/>
      <c r="G967" s="12" t="n"/>
      <c r="H967" s="12" t="n"/>
      <c r="I967" s="12" t="n"/>
      <c r="J967" s="14" t="n"/>
      <c r="K967" s="14" t="n"/>
      <c r="L967" s="15" t="n"/>
      <c r="M967" s="15" t="n"/>
      <c r="N967" s="12" t="n"/>
      <c r="O967" s="12" t="n"/>
      <c r="P967" s="16">
        <f>IF(AND(ISNUMBER($L967),ISNUMBER($M967)),MAX(0,$M967-$L967),"")</f>
        <v/>
      </c>
      <c r="Q967" s="16">
        <f>IF(ISNUMBER($D967),MAX(0,TODAY()-$D967),"")</f>
        <v/>
      </c>
      <c r="R967" s="14">
        <f>IF(COUNTA($A967:$O967)=0,"",IFERROR(TRIM(TEXTJOIN(" | ",TRUE,IF($A967="","PC kosong",""),IF($C967="","Worker ID kosong",""),IF($D967="","Update Date kosong",IF(NOT(ISNUMBER($D967)),"Update Date bukan tanggal","")),IF($E967="","Song ID YT kosong",""),IF($F967="","Judul kosong",""),IF(TRIM($G967)="","",IF(ISERROR(MATCH(TRIM($G967),{"TuneCore","DistroKid","TooLost","SoundOn","Ditto","Believe","CD Baby","Amuse","Symphonic Distribution","ONErpm","RouteNote","LANDR","Horus Music","Indie"},0)),"Aggregator di luar daftar","")),IF(TRIM($H967)="","Genre kosong",IF((LEN(SUBSTITUTE(SUBSTITUTE(SUBSTITUTE(TRIM($H967),"/",","),";",",")," ",""))-LEN(SUBSTITUTE(SUBSTITUTE(SUBSTITUTE(SUBSTITUTE(TRIM($H967),"/",","),";",","),"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967),"/",","),";",",")," ","")&amp;",")))&lt;&gt;(LEN(SUBSTITUTE(SUBSTITUTE(SUBSTITUTE(TRIM($H967),"/",","),";",",")," ",""))-LEN(SUBSTITUTE(SUBSTITUTE(SUBSTITUTE(SUBSTITUTE(TRIM($H967),"/",","),";",",")," ",""),",",""))+1),"Genre di luar daftar",""))),IF($I967="","Nama Channel kosong",""),IF($J967="","Link Channel kosong",IF(ISERROR(SEARCH("youtu",$J967)),"Link Channel bukan youtube","")),IF($K967="","Link Video kosong",IF(ISERROR(SEARCH("youtu",$K967)),"Link Video bukan youtube","")),IF($L967="","Tgl Dibuat kosong",IF(NOT(ISNUMBER($L967)),"Tgl Dibuat bukan tanggal","")),IF(AND($M967&lt;&gt;"",NOT(ISNUMBER($M967))),"Tgl Publish bukan tanggal",""),IF(AND(ISNUMBER($L967),ISNUMBER($M967),$M967&lt;$L967),"Tgl Publish &lt; Tgl buat",""),IF(TRIM($N967)="","Status kosong",IF(ISERROR(MATCH(TRIM($N967),{"Draft","Menunggu Review","Revisi","Terjadwal","Upload","Publish","Published","Batal"},0)),"Status di luar daftar","")))),""))</f>
        <v/>
      </c>
      <c r="S967" s="12">
        <f>IF(AND($A967&lt;&gt;"",$C967&lt;&gt;""),IF(COUNTIFS($A$2:$A$1000,$A967,$C$2:$C$1000,$C967)&gt;1,"DUPLICAT",""),"")</f>
        <v/>
      </c>
    </row>
    <row r="968">
      <c r="A968" s="17" t="n"/>
      <c r="B968" s="17" t="n"/>
      <c r="C968" s="17" t="n"/>
      <c r="D968" s="18" t="n"/>
      <c r="E968" s="17" t="n"/>
      <c r="F968" s="19" t="n"/>
      <c r="G968" s="17" t="n"/>
      <c r="H968" s="17" t="n"/>
      <c r="I968" s="17" t="n"/>
      <c r="J968" s="19" t="n"/>
      <c r="K968" s="19" t="n"/>
      <c r="L968" s="20" t="n"/>
      <c r="M968" s="20" t="n"/>
      <c r="N968" s="17" t="n"/>
      <c r="O968" s="17" t="n"/>
      <c r="P968" s="21">
        <f>IF(AND(ISNUMBER($L968),ISNUMBER($M968)),MAX(0,$M968-$L968),"")</f>
        <v/>
      </c>
      <c r="Q968" s="21">
        <f>IF(ISNUMBER($D968),MAX(0,TODAY()-$D968),"")</f>
        <v/>
      </c>
      <c r="R968" s="19">
        <f>IF(COUNTA($A968:$O968)=0,"",IFERROR(TRIM(TEXTJOIN(" | ",TRUE,IF($A968="","PC kosong",""),IF($C968="","Worker ID kosong",""),IF($D968="","Update Date kosong",IF(NOT(ISNUMBER($D968)),"Update Date bukan tanggal","")),IF($E968="","Song ID YT kosong",""),IF($F968="","Judul kosong",""),IF(TRIM($G968)="","",IF(ISERROR(MATCH(TRIM($G968),{"TuneCore","DistroKid","TooLost","SoundOn","Ditto","Believe","CD Baby","Amuse","Symphonic Distribution","ONErpm","RouteNote","LANDR","Horus Music","Indie"},0)),"Aggregator di luar daftar","")),IF(TRIM($H968)="","Genre kosong",IF((LEN(SUBSTITUTE(SUBSTITUTE(SUBSTITUTE(TRIM($H968),"/",","),";",",")," ",""))-LEN(SUBSTITUTE(SUBSTITUTE(SUBSTITUTE(SUBSTITUTE(TRIM($H968),"/",","),";",","),"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968),"/",","),";",",")," ","")&amp;",")))&lt;&gt;(LEN(SUBSTITUTE(SUBSTITUTE(SUBSTITUTE(TRIM($H968),"/",","),";",",")," ",""))-LEN(SUBSTITUTE(SUBSTITUTE(SUBSTITUTE(SUBSTITUTE(TRIM($H968),"/",","),";",",")," ",""),",",""))+1),"Genre di luar daftar",""))),IF($I968="","Nama Channel kosong",""),IF($J968="","Link Channel kosong",IF(ISERROR(SEARCH("youtu",$J968)),"Link Channel bukan youtube","")),IF($K968="","Link Video kosong",IF(ISERROR(SEARCH("youtu",$K968)),"Link Video bukan youtube","")),IF($L968="","Tgl Dibuat kosong",IF(NOT(ISNUMBER($L968)),"Tgl Dibuat bukan tanggal","")),IF(AND($M968&lt;&gt;"",NOT(ISNUMBER($M968))),"Tgl Publish bukan tanggal",""),IF(AND(ISNUMBER($L968),ISNUMBER($M968),$M968&lt;$L968),"Tgl Publish &lt; Tgl buat",""),IF(TRIM($N968)="","Status kosong",IF(ISERROR(MATCH(TRIM($N968),{"Draft","Menunggu Review","Revisi","Terjadwal","Upload","Publish","Published","Batal"},0)),"Status di luar daftar","")))),""))</f>
        <v/>
      </c>
      <c r="S968" s="17">
        <f>IF(AND($A968&lt;&gt;"",$C968&lt;&gt;""),IF(COUNTIFS($A$2:$A$1000,$A968,$C$2:$C$1000,$C968)&gt;1,"DUPLICAT",""),"")</f>
        <v/>
      </c>
    </row>
    <row r="969">
      <c r="A969" s="12" t="n"/>
      <c r="B969" s="12" t="n"/>
      <c r="C969" s="12" t="n"/>
      <c r="D969" s="13" t="n"/>
      <c r="E969" s="12" t="n"/>
      <c r="F969" s="14" t="n"/>
      <c r="G969" s="12" t="n"/>
      <c r="H969" s="12" t="n"/>
      <c r="I969" s="12" t="n"/>
      <c r="J969" s="14" t="n"/>
      <c r="K969" s="14" t="n"/>
      <c r="L969" s="15" t="n"/>
      <c r="M969" s="15" t="n"/>
      <c r="N969" s="12" t="n"/>
      <c r="O969" s="12" t="n"/>
      <c r="P969" s="16">
        <f>IF(AND(ISNUMBER($L969),ISNUMBER($M969)),MAX(0,$M969-$L969),"")</f>
        <v/>
      </c>
      <c r="Q969" s="16">
        <f>IF(ISNUMBER($D969),MAX(0,TODAY()-$D969),"")</f>
        <v/>
      </c>
      <c r="R969" s="14">
        <f>IF(COUNTA($A969:$O969)=0,"",IFERROR(TRIM(TEXTJOIN(" | ",TRUE,IF($A969="","PC kosong",""),IF($C969="","Worker ID kosong",""),IF($D969="","Update Date kosong",IF(NOT(ISNUMBER($D969)),"Update Date bukan tanggal","")),IF($E969="","Song ID YT kosong",""),IF($F969="","Judul kosong",""),IF(TRIM($G969)="","",IF(ISERROR(MATCH(TRIM($G969),{"TuneCore","DistroKid","TooLost","SoundOn","Ditto","Believe","CD Baby","Amuse","Symphonic Distribution","ONErpm","RouteNote","LANDR","Horus Music","Indie"},0)),"Aggregator di luar daftar","")),IF(TRIM($H969)="","Genre kosong",IF((LEN(SUBSTITUTE(SUBSTITUTE(SUBSTITUTE(TRIM($H969),"/",","),";",",")," ",""))-LEN(SUBSTITUTE(SUBSTITUTE(SUBSTITUTE(SUBSTITUTE(TRIM($H969),"/",","),";",","),"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969),"/",","),";",",")," ","")&amp;",")))&lt;&gt;(LEN(SUBSTITUTE(SUBSTITUTE(SUBSTITUTE(TRIM($H969),"/",","),";",",")," ",""))-LEN(SUBSTITUTE(SUBSTITUTE(SUBSTITUTE(SUBSTITUTE(TRIM($H969),"/",","),";",",")," ",""),",",""))+1),"Genre di luar daftar",""))),IF($I969="","Nama Channel kosong",""),IF($J969="","Link Channel kosong",IF(ISERROR(SEARCH("youtu",$J969)),"Link Channel bukan youtube","")),IF($K969="","Link Video kosong",IF(ISERROR(SEARCH("youtu",$K969)),"Link Video bukan youtube","")),IF($L969="","Tgl Dibuat kosong",IF(NOT(ISNUMBER($L969)),"Tgl Dibuat bukan tanggal","")),IF(AND($M969&lt;&gt;"",NOT(ISNUMBER($M969))),"Tgl Publish bukan tanggal",""),IF(AND(ISNUMBER($L969),ISNUMBER($M969),$M969&lt;$L969),"Tgl Publish &lt; Tgl buat",""),IF(TRIM($N969)="","Status kosong",IF(ISERROR(MATCH(TRIM($N969),{"Draft","Menunggu Review","Revisi","Terjadwal","Upload","Publish","Published","Batal"},0)),"Status di luar daftar","")))),""))</f>
        <v/>
      </c>
      <c r="S969" s="12">
        <f>IF(AND($A969&lt;&gt;"",$C969&lt;&gt;""),IF(COUNTIFS($A$2:$A$1000,$A969,$C$2:$C$1000,$C969)&gt;1,"DUPLICAT",""),"")</f>
        <v/>
      </c>
    </row>
    <row r="970">
      <c r="A970" s="17" t="n"/>
      <c r="B970" s="17" t="n"/>
      <c r="C970" s="17" t="n"/>
      <c r="D970" s="18" t="n"/>
      <c r="E970" s="17" t="n"/>
      <c r="F970" s="19" t="n"/>
      <c r="G970" s="17" t="n"/>
      <c r="H970" s="17" t="n"/>
      <c r="I970" s="17" t="n"/>
      <c r="J970" s="19" t="n"/>
      <c r="K970" s="19" t="n"/>
      <c r="L970" s="20" t="n"/>
      <c r="M970" s="20" t="n"/>
      <c r="N970" s="17" t="n"/>
      <c r="O970" s="17" t="n"/>
      <c r="P970" s="21">
        <f>IF(AND(ISNUMBER($L970),ISNUMBER($M970)),MAX(0,$M970-$L970),"")</f>
        <v/>
      </c>
      <c r="Q970" s="21">
        <f>IF(ISNUMBER($D970),MAX(0,TODAY()-$D970),"")</f>
        <v/>
      </c>
      <c r="R970" s="19">
        <f>IF(COUNTA($A970:$O970)=0,"",IFERROR(TRIM(TEXTJOIN(" | ",TRUE,IF($A970="","PC kosong",""),IF($C970="","Worker ID kosong",""),IF($D970="","Update Date kosong",IF(NOT(ISNUMBER($D970)),"Update Date bukan tanggal","")),IF($E970="","Song ID YT kosong",""),IF($F970="","Judul kosong",""),IF(TRIM($G970)="","",IF(ISERROR(MATCH(TRIM($G970),{"TuneCore","DistroKid","TooLost","SoundOn","Ditto","Believe","CD Baby","Amuse","Symphonic Distribution","ONErpm","RouteNote","LANDR","Horus Music","Indie"},0)),"Aggregator di luar daftar","")),IF(TRIM($H970)="","Genre kosong",IF((LEN(SUBSTITUTE(SUBSTITUTE(SUBSTITUTE(TRIM($H970),"/",","),";",",")," ",""))-LEN(SUBSTITUTE(SUBSTITUTE(SUBSTITUTE(SUBSTITUTE(TRIM($H970),"/",","),";",","),"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970),"/",","),";",",")," ","")&amp;",")))&lt;&gt;(LEN(SUBSTITUTE(SUBSTITUTE(SUBSTITUTE(TRIM($H970),"/",","),";",",")," ",""))-LEN(SUBSTITUTE(SUBSTITUTE(SUBSTITUTE(SUBSTITUTE(TRIM($H970),"/",","),";",",")," ",""),",",""))+1),"Genre di luar daftar",""))),IF($I970="","Nama Channel kosong",""),IF($J970="","Link Channel kosong",IF(ISERROR(SEARCH("youtu",$J970)),"Link Channel bukan youtube","")),IF($K970="","Link Video kosong",IF(ISERROR(SEARCH("youtu",$K970)),"Link Video bukan youtube","")),IF($L970="","Tgl Dibuat kosong",IF(NOT(ISNUMBER($L970)),"Tgl Dibuat bukan tanggal","")),IF(AND($M970&lt;&gt;"",NOT(ISNUMBER($M970))),"Tgl Publish bukan tanggal",""),IF(AND(ISNUMBER($L970),ISNUMBER($M970),$M970&lt;$L970),"Tgl Publish &lt; Tgl buat",""),IF(TRIM($N970)="","Status kosong",IF(ISERROR(MATCH(TRIM($N970),{"Draft","Menunggu Review","Revisi","Terjadwal","Upload","Publish","Published","Batal"},0)),"Status di luar daftar","")))),""))</f>
        <v/>
      </c>
      <c r="S970" s="17">
        <f>IF(AND($A970&lt;&gt;"",$C970&lt;&gt;""),IF(COUNTIFS($A$2:$A$1000,$A970,$C$2:$C$1000,$C970)&gt;1,"DUPLICAT",""),"")</f>
        <v/>
      </c>
    </row>
    <row r="971">
      <c r="A971" s="12" t="n"/>
      <c r="B971" s="12" t="n"/>
      <c r="C971" s="12" t="n"/>
      <c r="D971" s="13" t="n"/>
      <c r="E971" s="12" t="n"/>
      <c r="F971" s="14" t="n"/>
      <c r="G971" s="12" t="n"/>
      <c r="H971" s="12" t="n"/>
      <c r="I971" s="12" t="n"/>
      <c r="J971" s="14" t="n"/>
      <c r="K971" s="14" t="n"/>
      <c r="L971" s="15" t="n"/>
      <c r="M971" s="15" t="n"/>
      <c r="N971" s="12" t="n"/>
      <c r="O971" s="12" t="n"/>
      <c r="P971" s="16">
        <f>IF(AND(ISNUMBER($L971),ISNUMBER($M971)),MAX(0,$M971-$L971),"")</f>
        <v/>
      </c>
      <c r="Q971" s="16">
        <f>IF(ISNUMBER($D971),MAX(0,TODAY()-$D971),"")</f>
        <v/>
      </c>
      <c r="R971" s="14">
        <f>IF(COUNTA($A971:$O971)=0,"",IFERROR(TRIM(TEXTJOIN(" | ",TRUE,IF($A971="","PC kosong",""),IF($C971="","Worker ID kosong",""),IF($D971="","Update Date kosong",IF(NOT(ISNUMBER($D971)),"Update Date bukan tanggal","")),IF($E971="","Song ID YT kosong",""),IF($F971="","Judul kosong",""),IF(TRIM($G971)="","",IF(ISERROR(MATCH(TRIM($G971),{"TuneCore","DistroKid","TooLost","SoundOn","Ditto","Believe","CD Baby","Amuse","Symphonic Distribution","ONErpm","RouteNote","LANDR","Horus Music","Indie"},0)),"Aggregator di luar daftar","")),IF(TRIM($H971)="","Genre kosong",IF((LEN(SUBSTITUTE(SUBSTITUTE(SUBSTITUTE(TRIM($H971),"/",","),";",",")," ",""))-LEN(SUBSTITUTE(SUBSTITUTE(SUBSTITUTE(SUBSTITUTE(TRIM($H971),"/",","),";",","),"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971),"/",","),";",",")," ","")&amp;",")))&lt;&gt;(LEN(SUBSTITUTE(SUBSTITUTE(SUBSTITUTE(TRIM($H971),"/",","),";",",")," ",""))-LEN(SUBSTITUTE(SUBSTITUTE(SUBSTITUTE(SUBSTITUTE(TRIM($H971),"/",","),";",",")," ",""),",",""))+1),"Genre di luar daftar",""))),IF($I971="","Nama Channel kosong",""),IF($J971="","Link Channel kosong",IF(ISERROR(SEARCH("youtu",$J971)),"Link Channel bukan youtube","")),IF($K971="","Link Video kosong",IF(ISERROR(SEARCH("youtu",$K971)),"Link Video bukan youtube","")),IF($L971="","Tgl Dibuat kosong",IF(NOT(ISNUMBER($L971)),"Tgl Dibuat bukan tanggal","")),IF(AND($M971&lt;&gt;"",NOT(ISNUMBER($M971))),"Tgl Publish bukan tanggal",""),IF(AND(ISNUMBER($L971),ISNUMBER($M971),$M971&lt;$L971),"Tgl Publish &lt; Tgl buat",""),IF(TRIM($N971)="","Status kosong",IF(ISERROR(MATCH(TRIM($N971),{"Draft","Menunggu Review","Revisi","Terjadwal","Upload","Publish","Published","Batal"},0)),"Status di luar daftar","")))),""))</f>
        <v/>
      </c>
      <c r="S971" s="12">
        <f>IF(AND($A971&lt;&gt;"",$C971&lt;&gt;""),IF(COUNTIFS($A$2:$A$1000,$A971,$C$2:$C$1000,$C971)&gt;1,"DUPLICAT",""),"")</f>
        <v/>
      </c>
    </row>
    <row r="972">
      <c r="A972" s="17" t="n"/>
      <c r="B972" s="17" t="n"/>
      <c r="C972" s="17" t="n"/>
      <c r="D972" s="18" t="n"/>
      <c r="E972" s="17" t="n"/>
      <c r="F972" s="19" t="n"/>
      <c r="G972" s="17" t="n"/>
      <c r="H972" s="17" t="n"/>
      <c r="I972" s="17" t="n"/>
      <c r="J972" s="19" t="n"/>
      <c r="K972" s="19" t="n"/>
      <c r="L972" s="20" t="n"/>
      <c r="M972" s="20" t="n"/>
      <c r="N972" s="17" t="n"/>
      <c r="O972" s="17" t="n"/>
      <c r="P972" s="21">
        <f>IF(AND(ISNUMBER($L972),ISNUMBER($M972)),MAX(0,$M972-$L972),"")</f>
        <v/>
      </c>
      <c r="Q972" s="21">
        <f>IF(ISNUMBER($D972),MAX(0,TODAY()-$D972),"")</f>
        <v/>
      </c>
      <c r="R972" s="19">
        <f>IF(COUNTA($A972:$O972)=0,"",IFERROR(TRIM(TEXTJOIN(" | ",TRUE,IF($A972="","PC kosong",""),IF($C972="","Worker ID kosong",""),IF($D972="","Update Date kosong",IF(NOT(ISNUMBER($D972)),"Update Date bukan tanggal","")),IF($E972="","Song ID YT kosong",""),IF($F972="","Judul kosong",""),IF(TRIM($G972)="","",IF(ISERROR(MATCH(TRIM($G972),{"TuneCore","DistroKid","TooLost","SoundOn","Ditto","Believe","CD Baby","Amuse","Symphonic Distribution","ONErpm","RouteNote","LANDR","Horus Music","Indie"},0)),"Aggregator di luar daftar","")),IF(TRIM($H972)="","Genre kosong",IF((LEN(SUBSTITUTE(SUBSTITUTE(SUBSTITUTE(TRIM($H972),"/",","),";",",")," ",""))-LEN(SUBSTITUTE(SUBSTITUTE(SUBSTITUTE(SUBSTITUTE(TRIM($H972),"/",","),";",","),"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972),"/",","),";",",")," ","")&amp;",")))&lt;&gt;(LEN(SUBSTITUTE(SUBSTITUTE(SUBSTITUTE(TRIM($H972),"/",","),";",",")," ",""))-LEN(SUBSTITUTE(SUBSTITUTE(SUBSTITUTE(SUBSTITUTE(TRIM($H972),"/",","),";",",")," ",""),",",""))+1),"Genre di luar daftar",""))),IF($I972="","Nama Channel kosong",""),IF($J972="","Link Channel kosong",IF(ISERROR(SEARCH("youtu",$J972)),"Link Channel bukan youtube","")),IF($K972="","Link Video kosong",IF(ISERROR(SEARCH("youtu",$K972)),"Link Video bukan youtube","")),IF($L972="","Tgl Dibuat kosong",IF(NOT(ISNUMBER($L972)),"Tgl Dibuat bukan tanggal","")),IF(AND($M972&lt;&gt;"",NOT(ISNUMBER($M972))),"Tgl Publish bukan tanggal",""),IF(AND(ISNUMBER($L972),ISNUMBER($M972),$M972&lt;$L972),"Tgl Publish &lt; Tgl buat",""),IF(TRIM($N972)="","Status kosong",IF(ISERROR(MATCH(TRIM($N972),{"Draft","Menunggu Review","Revisi","Terjadwal","Upload","Publish","Published","Batal"},0)),"Status di luar daftar","")))),""))</f>
        <v/>
      </c>
      <c r="S972" s="17">
        <f>IF(AND($A972&lt;&gt;"",$C972&lt;&gt;""),IF(COUNTIFS($A$2:$A$1000,$A972,$C$2:$C$1000,$C972)&gt;1,"DUPLICAT",""),"")</f>
        <v/>
      </c>
    </row>
    <row r="973">
      <c r="A973" s="12" t="n"/>
      <c r="B973" s="12" t="n"/>
      <c r="C973" s="12" t="n"/>
      <c r="D973" s="13" t="n"/>
      <c r="E973" s="12" t="n"/>
      <c r="F973" s="14" t="n"/>
      <c r="G973" s="12" t="n"/>
      <c r="H973" s="12" t="n"/>
      <c r="I973" s="12" t="n"/>
      <c r="J973" s="14" t="n"/>
      <c r="K973" s="14" t="n"/>
      <c r="L973" s="15" t="n"/>
      <c r="M973" s="15" t="n"/>
      <c r="N973" s="12" t="n"/>
      <c r="O973" s="12" t="n"/>
      <c r="P973" s="16">
        <f>IF(AND(ISNUMBER($L973),ISNUMBER($M973)),MAX(0,$M973-$L973),"")</f>
        <v/>
      </c>
      <c r="Q973" s="16">
        <f>IF(ISNUMBER($D973),MAX(0,TODAY()-$D973),"")</f>
        <v/>
      </c>
      <c r="R973" s="14">
        <f>IF(COUNTA($A973:$O973)=0,"",IFERROR(TRIM(TEXTJOIN(" | ",TRUE,IF($A973="","PC kosong",""),IF($C973="","Worker ID kosong",""),IF($D973="","Update Date kosong",IF(NOT(ISNUMBER($D973)),"Update Date bukan tanggal","")),IF($E973="","Song ID YT kosong",""),IF($F973="","Judul kosong",""),IF(TRIM($G973)="","",IF(ISERROR(MATCH(TRIM($G973),{"TuneCore","DistroKid","TooLost","SoundOn","Ditto","Believe","CD Baby","Amuse","Symphonic Distribution","ONErpm","RouteNote","LANDR","Horus Music","Indie"},0)),"Aggregator di luar daftar","")),IF(TRIM($H973)="","Genre kosong",IF((LEN(SUBSTITUTE(SUBSTITUTE(SUBSTITUTE(TRIM($H973),"/",","),";",",")," ",""))-LEN(SUBSTITUTE(SUBSTITUTE(SUBSTITUTE(SUBSTITUTE(TRIM($H973),"/",","),";",","),"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973),"/",","),";",",")," ","")&amp;",")))&lt;&gt;(LEN(SUBSTITUTE(SUBSTITUTE(SUBSTITUTE(TRIM($H973),"/",","),";",",")," ",""))-LEN(SUBSTITUTE(SUBSTITUTE(SUBSTITUTE(SUBSTITUTE(TRIM($H973),"/",","),";",",")," ",""),",",""))+1),"Genre di luar daftar",""))),IF($I973="","Nama Channel kosong",""),IF($J973="","Link Channel kosong",IF(ISERROR(SEARCH("youtu",$J973)),"Link Channel bukan youtube","")),IF($K973="","Link Video kosong",IF(ISERROR(SEARCH("youtu",$K973)),"Link Video bukan youtube","")),IF($L973="","Tgl Dibuat kosong",IF(NOT(ISNUMBER($L973)),"Tgl Dibuat bukan tanggal","")),IF(AND($M973&lt;&gt;"",NOT(ISNUMBER($M973))),"Tgl Publish bukan tanggal",""),IF(AND(ISNUMBER($L973),ISNUMBER($M973),$M973&lt;$L973),"Tgl Publish &lt; Tgl buat",""),IF(TRIM($N973)="","Status kosong",IF(ISERROR(MATCH(TRIM($N973),{"Draft","Menunggu Review","Revisi","Terjadwal","Upload","Publish","Published","Batal"},0)),"Status di luar daftar","")))),""))</f>
        <v/>
      </c>
      <c r="S973" s="12">
        <f>IF(AND($A973&lt;&gt;"",$C973&lt;&gt;""),IF(COUNTIFS($A$2:$A$1000,$A973,$C$2:$C$1000,$C973)&gt;1,"DUPLICAT",""),"")</f>
        <v/>
      </c>
    </row>
    <row r="974">
      <c r="A974" s="17" t="n"/>
      <c r="B974" s="17" t="n"/>
      <c r="C974" s="17" t="n"/>
      <c r="D974" s="18" t="n"/>
      <c r="E974" s="17" t="n"/>
      <c r="F974" s="19" t="n"/>
      <c r="G974" s="17" t="n"/>
      <c r="H974" s="17" t="n"/>
      <c r="I974" s="17" t="n"/>
      <c r="J974" s="19" t="n"/>
      <c r="K974" s="19" t="n"/>
      <c r="L974" s="20" t="n"/>
      <c r="M974" s="20" t="n"/>
      <c r="N974" s="17" t="n"/>
      <c r="O974" s="17" t="n"/>
      <c r="P974" s="21">
        <f>IF(AND(ISNUMBER($L974),ISNUMBER($M974)),MAX(0,$M974-$L974),"")</f>
        <v/>
      </c>
      <c r="Q974" s="21">
        <f>IF(ISNUMBER($D974),MAX(0,TODAY()-$D974),"")</f>
        <v/>
      </c>
      <c r="R974" s="19">
        <f>IF(COUNTA($A974:$O974)=0,"",IFERROR(TRIM(TEXTJOIN(" | ",TRUE,IF($A974="","PC kosong",""),IF($C974="","Worker ID kosong",""),IF($D974="","Update Date kosong",IF(NOT(ISNUMBER($D974)),"Update Date bukan tanggal","")),IF($E974="","Song ID YT kosong",""),IF($F974="","Judul kosong",""),IF(TRIM($G974)="","",IF(ISERROR(MATCH(TRIM($G974),{"TuneCore","DistroKid","TooLost","SoundOn","Ditto","Believe","CD Baby","Amuse","Symphonic Distribution","ONErpm","RouteNote","LANDR","Horus Music","Indie"},0)),"Aggregator di luar daftar","")),IF(TRIM($H974)="","Genre kosong",IF((LEN(SUBSTITUTE(SUBSTITUTE(SUBSTITUTE(TRIM($H974),"/",","),";",",")," ",""))-LEN(SUBSTITUTE(SUBSTITUTE(SUBSTITUTE(SUBSTITUTE(TRIM($H974),"/",","),";",","),"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974),"/",","),";",",")," ","")&amp;",")))&lt;&gt;(LEN(SUBSTITUTE(SUBSTITUTE(SUBSTITUTE(TRIM($H974),"/",","),";",",")," ",""))-LEN(SUBSTITUTE(SUBSTITUTE(SUBSTITUTE(SUBSTITUTE(TRIM($H974),"/",","),";",",")," ",""),",",""))+1),"Genre di luar daftar",""))),IF($I974="","Nama Channel kosong",""),IF($J974="","Link Channel kosong",IF(ISERROR(SEARCH("youtu",$J974)),"Link Channel bukan youtube","")),IF($K974="","Link Video kosong",IF(ISERROR(SEARCH("youtu",$K974)),"Link Video bukan youtube","")),IF($L974="","Tgl Dibuat kosong",IF(NOT(ISNUMBER($L974)),"Tgl Dibuat bukan tanggal","")),IF(AND($M974&lt;&gt;"",NOT(ISNUMBER($M974))),"Tgl Publish bukan tanggal",""),IF(AND(ISNUMBER($L974),ISNUMBER($M974),$M974&lt;$L974),"Tgl Publish &lt; Tgl buat",""),IF(TRIM($N974)="","Status kosong",IF(ISERROR(MATCH(TRIM($N974),{"Draft","Menunggu Review","Revisi","Terjadwal","Upload","Publish","Published","Batal"},0)),"Status di luar daftar","")))),""))</f>
        <v/>
      </c>
      <c r="S974" s="17">
        <f>IF(AND($A974&lt;&gt;"",$C974&lt;&gt;""),IF(COUNTIFS($A$2:$A$1000,$A974,$C$2:$C$1000,$C974)&gt;1,"DUPLICAT",""),"")</f>
        <v/>
      </c>
    </row>
    <row r="975">
      <c r="A975" s="12" t="n"/>
      <c r="B975" s="12" t="n"/>
      <c r="C975" s="12" t="n"/>
      <c r="D975" s="13" t="n"/>
      <c r="E975" s="12" t="n"/>
      <c r="F975" s="14" t="n"/>
      <c r="G975" s="12" t="n"/>
      <c r="H975" s="12" t="n"/>
      <c r="I975" s="12" t="n"/>
      <c r="J975" s="14" t="n"/>
      <c r="K975" s="14" t="n"/>
      <c r="L975" s="15" t="n"/>
      <c r="M975" s="15" t="n"/>
      <c r="N975" s="12" t="n"/>
      <c r="O975" s="12" t="n"/>
      <c r="P975" s="16">
        <f>IF(AND(ISNUMBER($L975),ISNUMBER($M975)),MAX(0,$M975-$L975),"")</f>
        <v/>
      </c>
      <c r="Q975" s="16">
        <f>IF(ISNUMBER($D975),MAX(0,TODAY()-$D975),"")</f>
        <v/>
      </c>
      <c r="R975" s="14">
        <f>IF(COUNTA($A975:$O975)=0,"",IFERROR(TRIM(TEXTJOIN(" | ",TRUE,IF($A975="","PC kosong",""),IF($C975="","Worker ID kosong",""),IF($D975="","Update Date kosong",IF(NOT(ISNUMBER($D975)),"Update Date bukan tanggal","")),IF($E975="","Song ID YT kosong",""),IF($F975="","Judul kosong",""),IF(TRIM($G975)="","",IF(ISERROR(MATCH(TRIM($G975),{"TuneCore","DistroKid","TooLost","SoundOn","Ditto","Believe","CD Baby","Amuse","Symphonic Distribution","ONErpm","RouteNote","LANDR","Horus Music","Indie"},0)),"Aggregator di luar daftar","")),IF(TRIM($H975)="","Genre kosong",IF((LEN(SUBSTITUTE(SUBSTITUTE(SUBSTITUTE(TRIM($H975),"/",","),";",",")," ",""))-LEN(SUBSTITUTE(SUBSTITUTE(SUBSTITUTE(SUBSTITUTE(TRIM($H975),"/",","),";",","),"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975),"/",","),";",",")," ","")&amp;",")))&lt;&gt;(LEN(SUBSTITUTE(SUBSTITUTE(SUBSTITUTE(TRIM($H975),"/",","),";",",")," ",""))-LEN(SUBSTITUTE(SUBSTITUTE(SUBSTITUTE(SUBSTITUTE(TRIM($H975),"/",","),";",",")," ",""),",",""))+1),"Genre di luar daftar",""))),IF($I975="","Nama Channel kosong",""),IF($J975="","Link Channel kosong",IF(ISERROR(SEARCH("youtu",$J975)),"Link Channel bukan youtube","")),IF($K975="","Link Video kosong",IF(ISERROR(SEARCH("youtu",$K975)),"Link Video bukan youtube","")),IF($L975="","Tgl Dibuat kosong",IF(NOT(ISNUMBER($L975)),"Tgl Dibuat bukan tanggal","")),IF(AND($M975&lt;&gt;"",NOT(ISNUMBER($M975))),"Tgl Publish bukan tanggal",""),IF(AND(ISNUMBER($L975),ISNUMBER($M975),$M975&lt;$L975),"Tgl Publish &lt; Tgl buat",""),IF(TRIM($N975)="","Status kosong",IF(ISERROR(MATCH(TRIM($N975),{"Draft","Menunggu Review","Revisi","Terjadwal","Upload","Publish","Published","Batal"},0)),"Status di luar daftar","")))),""))</f>
        <v/>
      </c>
      <c r="S975" s="12">
        <f>IF(AND($A975&lt;&gt;"",$C975&lt;&gt;""),IF(COUNTIFS($A$2:$A$1000,$A975,$C$2:$C$1000,$C975)&gt;1,"DUPLICAT",""),"")</f>
        <v/>
      </c>
    </row>
    <row r="976">
      <c r="A976" s="17" t="n"/>
      <c r="B976" s="17" t="n"/>
      <c r="C976" s="17" t="n"/>
      <c r="D976" s="18" t="n"/>
      <c r="E976" s="17" t="n"/>
      <c r="F976" s="19" t="n"/>
      <c r="G976" s="17" t="n"/>
      <c r="H976" s="17" t="n"/>
      <c r="I976" s="17" t="n"/>
      <c r="J976" s="19" t="n"/>
      <c r="K976" s="19" t="n"/>
      <c r="L976" s="20" t="n"/>
      <c r="M976" s="20" t="n"/>
      <c r="N976" s="17" t="n"/>
      <c r="O976" s="17" t="n"/>
      <c r="P976" s="21">
        <f>IF(AND(ISNUMBER($L976),ISNUMBER($M976)),MAX(0,$M976-$L976),"")</f>
        <v/>
      </c>
      <c r="Q976" s="21">
        <f>IF(ISNUMBER($D976),MAX(0,TODAY()-$D976),"")</f>
        <v/>
      </c>
      <c r="R976" s="19">
        <f>IF(COUNTA($A976:$O976)=0,"",IFERROR(TRIM(TEXTJOIN(" | ",TRUE,IF($A976="","PC kosong",""),IF($C976="","Worker ID kosong",""),IF($D976="","Update Date kosong",IF(NOT(ISNUMBER($D976)),"Update Date bukan tanggal","")),IF($E976="","Song ID YT kosong",""),IF($F976="","Judul kosong",""),IF(TRIM($G976)="","",IF(ISERROR(MATCH(TRIM($G976),{"TuneCore","DistroKid","TooLost","SoundOn","Ditto","Believe","CD Baby","Amuse","Symphonic Distribution","ONErpm","RouteNote","LANDR","Horus Music","Indie"},0)),"Aggregator di luar daftar","")),IF(TRIM($H976)="","Genre kosong",IF((LEN(SUBSTITUTE(SUBSTITUTE(SUBSTITUTE(TRIM($H976),"/",","),";",",")," ",""))-LEN(SUBSTITUTE(SUBSTITUTE(SUBSTITUTE(SUBSTITUTE(TRIM($H976),"/",","),";",","),"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976),"/",","),";",",")," ","")&amp;",")))&lt;&gt;(LEN(SUBSTITUTE(SUBSTITUTE(SUBSTITUTE(TRIM($H976),"/",","),";",",")," ",""))-LEN(SUBSTITUTE(SUBSTITUTE(SUBSTITUTE(SUBSTITUTE(TRIM($H976),"/",","),";",",")," ",""),",",""))+1),"Genre di luar daftar",""))),IF($I976="","Nama Channel kosong",""),IF($J976="","Link Channel kosong",IF(ISERROR(SEARCH("youtu",$J976)),"Link Channel bukan youtube","")),IF($K976="","Link Video kosong",IF(ISERROR(SEARCH("youtu",$K976)),"Link Video bukan youtube","")),IF($L976="","Tgl Dibuat kosong",IF(NOT(ISNUMBER($L976)),"Tgl Dibuat bukan tanggal","")),IF(AND($M976&lt;&gt;"",NOT(ISNUMBER($M976))),"Tgl Publish bukan tanggal",""),IF(AND(ISNUMBER($L976),ISNUMBER($M976),$M976&lt;$L976),"Tgl Publish &lt; Tgl buat",""),IF(TRIM($N976)="","Status kosong",IF(ISERROR(MATCH(TRIM($N976),{"Draft","Menunggu Review","Revisi","Terjadwal","Upload","Publish","Published","Batal"},0)),"Status di luar daftar","")))),""))</f>
        <v/>
      </c>
      <c r="S976" s="17">
        <f>IF(AND($A976&lt;&gt;"",$C976&lt;&gt;""),IF(COUNTIFS($A$2:$A$1000,$A976,$C$2:$C$1000,$C976)&gt;1,"DUPLICAT",""),"")</f>
        <v/>
      </c>
    </row>
    <row r="977">
      <c r="A977" s="12" t="n"/>
      <c r="B977" s="12" t="n"/>
      <c r="C977" s="12" t="n"/>
      <c r="D977" s="13" t="n"/>
      <c r="E977" s="12" t="n"/>
      <c r="F977" s="14" t="n"/>
      <c r="G977" s="12" t="n"/>
      <c r="H977" s="12" t="n"/>
      <c r="I977" s="12" t="n"/>
      <c r="J977" s="14" t="n"/>
      <c r="K977" s="14" t="n"/>
      <c r="L977" s="15" t="n"/>
      <c r="M977" s="15" t="n"/>
      <c r="N977" s="12" t="n"/>
      <c r="O977" s="12" t="n"/>
      <c r="P977" s="16">
        <f>IF(AND(ISNUMBER($L977),ISNUMBER($M977)),MAX(0,$M977-$L977),"")</f>
        <v/>
      </c>
      <c r="Q977" s="16">
        <f>IF(ISNUMBER($D977),MAX(0,TODAY()-$D977),"")</f>
        <v/>
      </c>
      <c r="R977" s="14">
        <f>IF(COUNTA($A977:$O977)=0,"",IFERROR(TRIM(TEXTJOIN(" | ",TRUE,IF($A977="","PC kosong",""),IF($C977="","Worker ID kosong",""),IF($D977="","Update Date kosong",IF(NOT(ISNUMBER($D977)),"Update Date bukan tanggal","")),IF($E977="","Song ID YT kosong",""),IF($F977="","Judul kosong",""),IF(TRIM($G977)="","",IF(ISERROR(MATCH(TRIM($G977),{"TuneCore","DistroKid","TooLost","SoundOn","Ditto","Believe","CD Baby","Amuse","Symphonic Distribution","ONErpm","RouteNote","LANDR","Horus Music","Indie"},0)),"Aggregator di luar daftar","")),IF(TRIM($H977)="","Genre kosong",IF((LEN(SUBSTITUTE(SUBSTITUTE(SUBSTITUTE(TRIM($H977),"/",","),";",",")," ",""))-LEN(SUBSTITUTE(SUBSTITUTE(SUBSTITUTE(SUBSTITUTE(TRIM($H977),"/",","),";",","),"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977),"/",","),";",",")," ","")&amp;",")))&lt;&gt;(LEN(SUBSTITUTE(SUBSTITUTE(SUBSTITUTE(TRIM($H977),"/",","),";",",")," ",""))-LEN(SUBSTITUTE(SUBSTITUTE(SUBSTITUTE(SUBSTITUTE(TRIM($H977),"/",","),";",",")," ",""),",",""))+1),"Genre di luar daftar",""))),IF($I977="","Nama Channel kosong",""),IF($J977="","Link Channel kosong",IF(ISERROR(SEARCH("youtu",$J977)),"Link Channel bukan youtube","")),IF($K977="","Link Video kosong",IF(ISERROR(SEARCH("youtu",$K977)),"Link Video bukan youtube","")),IF($L977="","Tgl Dibuat kosong",IF(NOT(ISNUMBER($L977)),"Tgl Dibuat bukan tanggal","")),IF(AND($M977&lt;&gt;"",NOT(ISNUMBER($M977))),"Tgl Publish bukan tanggal",""),IF(AND(ISNUMBER($L977),ISNUMBER($M977),$M977&lt;$L977),"Tgl Publish &lt; Tgl buat",""),IF(TRIM($N977)="","Status kosong",IF(ISERROR(MATCH(TRIM($N977),{"Draft","Menunggu Review","Revisi","Terjadwal","Upload","Publish","Published","Batal"},0)),"Status di luar daftar","")))),""))</f>
        <v/>
      </c>
      <c r="S977" s="12">
        <f>IF(AND($A977&lt;&gt;"",$C977&lt;&gt;""),IF(COUNTIFS($A$2:$A$1000,$A977,$C$2:$C$1000,$C977)&gt;1,"DUPLICAT",""),"")</f>
        <v/>
      </c>
    </row>
    <row r="978">
      <c r="A978" s="17" t="n"/>
      <c r="B978" s="17" t="n"/>
      <c r="C978" s="17" t="n"/>
      <c r="D978" s="18" t="n"/>
      <c r="E978" s="17" t="n"/>
      <c r="F978" s="19" t="n"/>
      <c r="G978" s="17" t="n"/>
      <c r="H978" s="17" t="n"/>
      <c r="I978" s="17" t="n"/>
      <c r="J978" s="19" t="n"/>
      <c r="K978" s="19" t="n"/>
      <c r="L978" s="20" t="n"/>
      <c r="M978" s="20" t="n"/>
      <c r="N978" s="17" t="n"/>
      <c r="O978" s="17" t="n"/>
      <c r="P978" s="21">
        <f>IF(AND(ISNUMBER($L978),ISNUMBER($M978)),MAX(0,$M978-$L978),"")</f>
        <v/>
      </c>
      <c r="Q978" s="21">
        <f>IF(ISNUMBER($D978),MAX(0,TODAY()-$D978),"")</f>
        <v/>
      </c>
      <c r="R978" s="19">
        <f>IF(COUNTA($A978:$O978)=0,"",IFERROR(TRIM(TEXTJOIN(" | ",TRUE,IF($A978="","PC kosong",""),IF($C978="","Worker ID kosong",""),IF($D978="","Update Date kosong",IF(NOT(ISNUMBER($D978)),"Update Date bukan tanggal","")),IF($E978="","Song ID YT kosong",""),IF($F978="","Judul kosong",""),IF(TRIM($G978)="","",IF(ISERROR(MATCH(TRIM($G978),{"TuneCore","DistroKid","TooLost","SoundOn","Ditto","Believe","CD Baby","Amuse","Symphonic Distribution","ONErpm","RouteNote","LANDR","Horus Music","Indie"},0)),"Aggregator di luar daftar","")),IF(TRIM($H978)="","Genre kosong",IF((LEN(SUBSTITUTE(SUBSTITUTE(SUBSTITUTE(TRIM($H978),"/",","),";",",")," ",""))-LEN(SUBSTITUTE(SUBSTITUTE(SUBSTITUTE(SUBSTITUTE(TRIM($H978),"/",","),";",","),"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978),"/",","),";",",")," ","")&amp;",")))&lt;&gt;(LEN(SUBSTITUTE(SUBSTITUTE(SUBSTITUTE(TRIM($H978),"/",","),";",",")," ",""))-LEN(SUBSTITUTE(SUBSTITUTE(SUBSTITUTE(SUBSTITUTE(TRIM($H978),"/",","),";",",")," ",""),",",""))+1),"Genre di luar daftar",""))),IF($I978="","Nama Channel kosong",""),IF($J978="","Link Channel kosong",IF(ISERROR(SEARCH("youtu",$J978)),"Link Channel bukan youtube","")),IF($K978="","Link Video kosong",IF(ISERROR(SEARCH("youtu",$K978)),"Link Video bukan youtube","")),IF($L978="","Tgl Dibuat kosong",IF(NOT(ISNUMBER($L978)),"Tgl Dibuat bukan tanggal","")),IF(AND($M978&lt;&gt;"",NOT(ISNUMBER($M978))),"Tgl Publish bukan tanggal",""),IF(AND(ISNUMBER($L978),ISNUMBER($M978),$M978&lt;$L978),"Tgl Publish &lt; Tgl buat",""),IF(TRIM($N978)="","Status kosong",IF(ISERROR(MATCH(TRIM($N978),{"Draft","Menunggu Review","Revisi","Terjadwal","Upload","Publish","Published","Batal"},0)),"Status di luar daftar","")))),""))</f>
        <v/>
      </c>
      <c r="S978" s="17">
        <f>IF(AND($A978&lt;&gt;"",$C978&lt;&gt;""),IF(COUNTIFS($A$2:$A$1000,$A978,$C$2:$C$1000,$C978)&gt;1,"DUPLICAT",""),"")</f>
        <v/>
      </c>
    </row>
    <row r="979">
      <c r="A979" s="12" t="n"/>
      <c r="B979" s="12" t="n"/>
      <c r="C979" s="12" t="n"/>
      <c r="D979" s="13" t="n"/>
      <c r="E979" s="12" t="n"/>
      <c r="F979" s="14" t="n"/>
      <c r="G979" s="12" t="n"/>
      <c r="H979" s="12" t="n"/>
      <c r="I979" s="12" t="n"/>
      <c r="J979" s="14" t="n"/>
      <c r="K979" s="14" t="n"/>
      <c r="L979" s="15" t="n"/>
      <c r="M979" s="15" t="n"/>
      <c r="N979" s="12" t="n"/>
      <c r="O979" s="12" t="n"/>
      <c r="P979" s="16">
        <f>IF(AND(ISNUMBER($L979),ISNUMBER($M979)),MAX(0,$M979-$L979),"")</f>
        <v/>
      </c>
      <c r="Q979" s="16">
        <f>IF(ISNUMBER($D979),MAX(0,TODAY()-$D979),"")</f>
        <v/>
      </c>
      <c r="R979" s="14">
        <f>IF(COUNTA($A979:$O979)=0,"",IFERROR(TRIM(TEXTJOIN(" | ",TRUE,IF($A979="","PC kosong",""),IF($C979="","Worker ID kosong",""),IF($D979="","Update Date kosong",IF(NOT(ISNUMBER($D979)),"Update Date bukan tanggal","")),IF($E979="","Song ID YT kosong",""),IF($F979="","Judul kosong",""),IF(TRIM($G979)="","",IF(ISERROR(MATCH(TRIM($G979),{"TuneCore","DistroKid","TooLost","SoundOn","Ditto","Believe","CD Baby","Amuse","Symphonic Distribution","ONErpm","RouteNote","LANDR","Horus Music","Indie"},0)),"Aggregator di luar daftar","")),IF(TRIM($H979)="","Genre kosong",IF((LEN(SUBSTITUTE(SUBSTITUTE(SUBSTITUTE(TRIM($H979),"/",","),";",",")," ",""))-LEN(SUBSTITUTE(SUBSTITUTE(SUBSTITUTE(SUBSTITUTE(TRIM($H979),"/",","),";",","),"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979),"/",","),";",",")," ","")&amp;",")))&lt;&gt;(LEN(SUBSTITUTE(SUBSTITUTE(SUBSTITUTE(TRIM($H979),"/",","),";",",")," ",""))-LEN(SUBSTITUTE(SUBSTITUTE(SUBSTITUTE(SUBSTITUTE(TRIM($H979),"/",","),";",",")," ",""),",",""))+1),"Genre di luar daftar",""))),IF($I979="","Nama Channel kosong",""),IF($J979="","Link Channel kosong",IF(ISERROR(SEARCH("youtu",$J979)),"Link Channel bukan youtube","")),IF($K979="","Link Video kosong",IF(ISERROR(SEARCH("youtu",$K979)),"Link Video bukan youtube","")),IF($L979="","Tgl Dibuat kosong",IF(NOT(ISNUMBER($L979)),"Tgl Dibuat bukan tanggal","")),IF(AND($M979&lt;&gt;"",NOT(ISNUMBER($M979))),"Tgl Publish bukan tanggal",""),IF(AND(ISNUMBER($L979),ISNUMBER($M979),$M979&lt;$L979),"Tgl Publish &lt; Tgl buat",""),IF(TRIM($N979)="","Status kosong",IF(ISERROR(MATCH(TRIM($N979),{"Draft","Menunggu Review","Revisi","Terjadwal","Upload","Publish","Published","Batal"},0)),"Status di luar daftar","")))),""))</f>
        <v/>
      </c>
      <c r="S979" s="12">
        <f>IF(AND($A979&lt;&gt;"",$C979&lt;&gt;""),IF(COUNTIFS($A$2:$A$1000,$A979,$C$2:$C$1000,$C979)&gt;1,"DUPLICAT",""),"")</f>
        <v/>
      </c>
    </row>
    <row r="980">
      <c r="A980" s="17" t="n"/>
      <c r="B980" s="17" t="n"/>
      <c r="C980" s="17" t="n"/>
      <c r="D980" s="18" t="n"/>
      <c r="E980" s="17" t="n"/>
      <c r="F980" s="19" t="n"/>
      <c r="G980" s="17" t="n"/>
      <c r="H980" s="17" t="n"/>
      <c r="I980" s="17" t="n"/>
      <c r="J980" s="19" t="n"/>
      <c r="K980" s="19" t="n"/>
      <c r="L980" s="20" t="n"/>
      <c r="M980" s="20" t="n"/>
      <c r="N980" s="17" t="n"/>
      <c r="O980" s="17" t="n"/>
      <c r="P980" s="21">
        <f>IF(AND(ISNUMBER($L980),ISNUMBER($M980)),MAX(0,$M980-$L980),"")</f>
        <v/>
      </c>
      <c r="Q980" s="21">
        <f>IF(ISNUMBER($D980),MAX(0,TODAY()-$D980),"")</f>
        <v/>
      </c>
      <c r="R980" s="19">
        <f>IF(COUNTA($A980:$O980)=0,"",IFERROR(TRIM(TEXTJOIN(" | ",TRUE,IF($A980="","PC kosong",""),IF($C980="","Worker ID kosong",""),IF($D980="","Update Date kosong",IF(NOT(ISNUMBER($D980)),"Update Date bukan tanggal","")),IF($E980="","Song ID YT kosong",""),IF($F980="","Judul kosong",""),IF(TRIM($G980)="","",IF(ISERROR(MATCH(TRIM($G980),{"TuneCore","DistroKid","TooLost","SoundOn","Ditto","Believe","CD Baby","Amuse","Symphonic Distribution","ONErpm","RouteNote","LANDR","Horus Music","Indie"},0)),"Aggregator di luar daftar","")),IF(TRIM($H980)="","Genre kosong",IF((LEN(SUBSTITUTE(SUBSTITUTE(SUBSTITUTE(TRIM($H980),"/",","),";",",")," ",""))-LEN(SUBSTITUTE(SUBSTITUTE(SUBSTITUTE(SUBSTITUTE(TRIM($H980),"/",","),";",","),"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980),"/",","),";",",")," ","")&amp;",")))&lt;&gt;(LEN(SUBSTITUTE(SUBSTITUTE(SUBSTITUTE(TRIM($H980),"/",","),";",",")," ",""))-LEN(SUBSTITUTE(SUBSTITUTE(SUBSTITUTE(SUBSTITUTE(TRIM($H980),"/",","),";",",")," ",""),",",""))+1),"Genre di luar daftar",""))),IF($I980="","Nama Channel kosong",""),IF($J980="","Link Channel kosong",IF(ISERROR(SEARCH("youtu",$J980)),"Link Channel bukan youtube","")),IF($K980="","Link Video kosong",IF(ISERROR(SEARCH("youtu",$K980)),"Link Video bukan youtube","")),IF($L980="","Tgl Dibuat kosong",IF(NOT(ISNUMBER($L980)),"Tgl Dibuat bukan tanggal","")),IF(AND($M980&lt;&gt;"",NOT(ISNUMBER($M980))),"Tgl Publish bukan tanggal",""),IF(AND(ISNUMBER($L980),ISNUMBER($M980),$M980&lt;$L980),"Tgl Publish &lt; Tgl buat",""),IF(TRIM($N980)="","Status kosong",IF(ISERROR(MATCH(TRIM($N980),{"Draft","Menunggu Review","Revisi","Terjadwal","Upload","Publish","Published","Batal"},0)),"Status di luar daftar","")))),""))</f>
        <v/>
      </c>
      <c r="S980" s="17">
        <f>IF(AND($A980&lt;&gt;"",$C980&lt;&gt;""),IF(COUNTIFS($A$2:$A$1000,$A980,$C$2:$C$1000,$C980)&gt;1,"DUPLICAT",""),"")</f>
        <v/>
      </c>
    </row>
    <row r="981">
      <c r="A981" s="12" t="n"/>
      <c r="B981" s="12" t="n"/>
      <c r="C981" s="12" t="n"/>
      <c r="D981" s="13" t="n"/>
      <c r="E981" s="12" t="n"/>
      <c r="F981" s="14" t="n"/>
      <c r="G981" s="12" t="n"/>
      <c r="H981" s="12" t="n"/>
      <c r="I981" s="12" t="n"/>
      <c r="J981" s="14" t="n"/>
      <c r="K981" s="14" t="n"/>
      <c r="L981" s="15" t="n"/>
      <c r="M981" s="15" t="n"/>
      <c r="N981" s="12" t="n"/>
      <c r="O981" s="12" t="n"/>
      <c r="P981" s="16">
        <f>IF(AND(ISNUMBER($L981),ISNUMBER($M981)),MAX(0,$M981-$L981),"")</f>
        <v/>
      </c>
      <c r="Q981" s="16">
        <f>IF(ISNUMBER($D981),MAX(0,TODAY()-$D981),"")</f>
        <v/>
      </c>
      <c r="R981" s="14">
        <f>IF(COUNTA($A981:$O981)=0,"",IFERROR(TRIM(TEXTJOIN(" | ",TRUE,IF($A981="","PC kosong",""),IF($C981="","Worker ID kosong",""),IF($D981="","Update Date kosong",IF(NOT(ISNUMBER($D981)),"Update Date bukan tanggal","")),IF($E981="","Song ID YT kosong",""),IF($F981="","Judul kosong",""),IF(TRIM($G981)="","",IF(ISERROR(MATCH(TRIM($G981),{"TuneCore","DistroKid","TooLost","SoundOn","Ditto","Believe","CD Baby","Amuse","Symphonic Distribution","ONErpm","RouteNote","LANDR","Horus Music","Indie"},0)),"Aggregator di luar daftar","")),IF(TRIM($H981)="","Genre kosong",IF((LEN(SUBSTITUTE(SUBSTITUTE(SUBSTITUTE(TRIM($H981),"/",","),";",",")," ",""))-LEN(SUBSTITUTE(SUBSTITUTE(SUBSTITUTE(SUBSTITUTE(TRIM($H981),"/",","),";",","),"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981),"/",","),";",",")," ","")&amp;",")))&lt;&gt;(LEN(SUBSTITUTE(SUBSTITUTE(SUBSTITUTE(TRIM($H981),"/",","),";",",")," ",""))-LEN(SUBSTITUTE(SUBSTITUTE(SUBSTITUTE(SUBSTITUTE(TRIM($H981),"/",","),";",",")," ",""),",",""))+1),"Genre di luar daftar",""))),IF($I981="","Nama Channel kosong",""),IF($J981="","Link Channel kosong",IF(ISERROR(SEARCH("youtu",$J981)),"Link Channel bukan youtube","")),IF($K981="","Link Video kosong",IF(ISERROR(SEARCH("youtu",$K981)),"Link Video bukan youtube","")),IF($L981="","Tgl Dibuat kosong",IF(NOT(ISNUMBER($L981)),"Tgl Dibuat bukan tanggal","")),IF(AND($M981&lt;&gt;"",NOT(ISNUMBER($M981))),"Tgl Publish bukan tanggal",""),IF(AND(ISNUMBER($L981),ISNUMBER($M981),$M981&lt;$L981),"Tgl Publish &lt; Tgl buat",""),IF(TRIM($N981)="","Status kosong",IF(ISERROR(MATCH(TRIM($N981),{"Draft","Menunggu Review","Revisi","Terjadwal","Upload","Publish","Published","Batal"},0)),"Status di luar daftar","")))),""))</f>
        <v/>
      </c>
      <c r="S981" s="12">
        <f>IF(AND($A981&lt;&gt;"",$C981&lt;&gt;""),IF(COUNTIFS($A$2:$A$1000,$A981,$C$2:$C$1000,$C981)&gt;1,"DUPLICAT",""),"")</f>
        <v/>
      </c>
    </row>
    <row r="982">
      <c r="A982" s="17" t="n"/>
      <c r="B982" s="17" t="n"/>
      <c r="C982" s="17" t="n"/>
      <c r="D982" s="18" t="n"/>
      <c r="E982" s="17" t="n"/>
      <c r="F982" s="19" t="n"/>
      <c r="G982" s="17" t="n"/>
      <c r="H982" s="17" t="n"/>
      <c r="I982" s="17" t="n"/>
      <c r="J982" s="19" t="n"/>
      <c r="K982" s="19" t="n"/>
      <c r="L982" s="20" t="n"/>
      <c r="M982" s="20" t="n"/>
      <c r="N982" s="17" t="n"/>
      <c r="O982" s="17" t="n"/>
      <c r="P982" s="21">
        <f>IF(AND(ISNUMBER($L982),ISNUMBER($M982)),MAX(0,$M982-$L982),"")</f>
        <v/>
      </c>
      <c r="Q982" s="21">
        <f>IF(ISNUMBER($D982),MAX(0,TODAY()-$D982),"")</f>
        <v/>
      </c>
      <c r="R982" s="19">
        <f>IF(COUNTA($A982:$O982)=0,"",IFERROR(TRIM(TEXTJOIN(" | ",TRUE,IF($A982="","PC kosong",""),IF($C982="","Worker ID kosong",""),IF($D982="","Update Date kosong",IF(NOT(ISNUMBER($D982)),"Update Date bukan tanggal","")),IF($E982="","Song ID YT kosong",""),IF($F982="","Judul kosong",""),IF(TRIM($G982)="","",IF(ISERROR(MATCH(TRIM($G982),{"TuneCore","DistroKid","TooLost","SoundOn","Ditto","Believe","CD Baby","Amuse","Symphonic Distribution","ONErpm","RouteNote","LANDR","Horus Music","Indie"},0)),"Aggregator di luar daftar","")),IF(TRIM($H982)="","Genre kosong",IF((LEN(SUBSTITUTE(SUBSTITUTE(SUBSTITUTE(TRIM($H982),"/",","),";",",")," ",""))-LEN(SUBSTITUTE(SUBSTITUTE(SUBSTITUTE(SUBSTITUTE(TRIM($H982),"/",","),";",","),"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982),"/",","),";",",")," ","")&amp;",")))&lt;&gt;(LEN(SUBSTITUTE(SUBSTITUTE(SUBSTITUTE(TRIM($H982),"/",","),";",",")," ",""))-LEN(SUBSTITUTE(SUBSTITUTE(SUBSTITUTE(SUBSTITUTE(TRIM($H982),"/",","),";",",")," ",""),",",""))+1),"Genre di luar daftar",""))),IF($I982="","Nama Channel kosong",""),IF($J982="","Link Channel kosong",IF(ISERROR(SEARCH("youtu",$J982)),"Link Channel bukan youtube","")),IF($K982="","Link Video kosong",IF(ISERROR(SEARCH("youtu",$K982)),"Link Video bukan youtube","")),IF($L982="","Tgl Dibuat kosong",IF(NOT(ISNUMBER($L982)),"Tgl Dibuat bukan tanggal","")),IF(AND($M982&lt;&gt;"",NOT(ISNUMBER($M982))),"Tgl Publish bukan tanggal",""),IF(AND(ISNUMBER($L982),ISNUMBER($M982),$M982&lt;$L982),"Tgl Publish &lt; Tgl buat",""),IF(TRIM($N982)="","Status kosong",IF(ISERROR(MATCH(TRIM($N982),{"Draft","Menunggu Review","Revisi","Terjadwal","Upload","Publish","Published","Batal"},0)),"Status di luar daftar","")))),""))</f>
        <v/>
      </c>
      <c r="S982" s="17">
        <f>IF(AND($A982&lt;&gt;"",$C982&lt;&gt;""),IF(COUNTIFS($A$2:$A$1000,$A982,$C$2:$C$1000,$C982)&gt;1,"DUPLICAT",""),"")</f>
        <v/>
      </c>
    </row>
    <row r="983">
      <c r="A983" s="12" t="n"/>
      <c r="B983" s="12" t="n"/>
      <c r="C983" s="12" t="n"/>
      <c r="D983" s="13" t="n"/>
      <c r="E983" s="12" t="n"/>
      <c r="F983" s="14" t="n"/>
      <c r="G983" s="12" t="n"/>
      <c r="H983" s="12" t="n"/>
      <c r="I983" s="12" t="n"/>
      <c r="J983" s="14" t="n"/>
      <c r="K983" s="14" t="n"/>
      <c r="L983" s="15" t="n"/>
      <c r="M983" s="15" t="n"/>
      <c r="N983" s="12" t="n"/>
      <c r="O983" s="12" t="n"/>
      <c r="P983" s="16">
        <f>IF(AND(ISNUMBER($L983),ISNUMBER($M983)),MAX(0,$M983-$L983),"")</f>
        <v/>
      </c>
      <c r="Q983" s="16">
        <f>IF(ISNUMBER($D983),MAX(0,TODAY()-$D983),"")</f>
        <v/>
      </c>
      <c r="R983" s="14">
        <f>IF(COUNTA($A983:$O983)=0,"",IFERROR(TRIM(TEXTJOIN(" | ",TRUE,IF($A983="","PC kosong",""),IF($C983="","Worker ID kosong",""),IF($D983="","Update Date kosong",IF(NOT(ISNUMBER($D983)),"Update Date bukan tanggal","")),IF($E983="","Song ID YT kosong",""),IF($F983="","Judul kosong",""),IF(TRIM($G983)="","",IF(ISERROR(MATCH(TRIM($G983),{"TuneCore","DistroKid","TooLost","SoundOn","Ditto","Believe","CD Baby","Amuse","Symphonic Distribution","ONErpm","RouteNote","LANDR","Horus Music","Indie"},0)),"Aggregator di luar daftar","")),IF(TRIM($H983)="","Genre kosong",IF((LEN(SUBSTITUTE(SUBSTITUTE(SUBSTITUTE(TRIM($H983),"/",","),";",",")," ",""))-LEN(SUBSTITUTE(SUBSTITUTE(SUBSTITUTE(SUBSTITUTE(TRIM($H983),"/",","),";",","),"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983),"/",","),";",",")," ","")&amp;",")))&lt;&gt;(LEN(SUBSTITUTE(SUBSTITUTE(SUBSTITUTE(TRIM($H983),"/",","),";",",")," ",""))-LEN(SUBSTITUTE(SUBSTITUTE(SUBSTITUTE(SUBSTITUTE(TRIM($H983),"/",","),";",",")," ",""),",",""))+1),"Genre di luar daftar",""))),IF($I983="","Nama Channel kosong",""),IF($J983="","Link Channel kosong",IF(ISERROR(SEARCH("youtu",$J983)),"Link Channel bukan youtube","")),IF($K983="","Link Video kosong",IF(ISERROR(SEARCH("youtu",$K983)),"Link Video bukan youtube","")),IF($L983="","Tgl Dibuat kosong",IF(NOT(ISNUMBER($L983)),"Tgl Dibuat bukan tanggal","")),IF(AND($M983&lt;&gt;"",NOT(ISNUMBER($M983))),"Tgl Publish bukan tanggal",""),IF(AND(ISNUMBER($L983),ISNUMBER($M983),$M983&lt;$L983),"Tgl Publish &lt; Tgl buat",""),IF(TRIM($N983)="","Status kosong",IF(ISERROR(MATCH(TRIM($N983),{"Draft","Menunggu Review","Revisi","Terjadwal","Upload","Publish","Published","Batal"},0)),"Status di luar daftar","")))),""))</f>
        <v/>
      </c>
      <c r="S983" s="12">
        <f>IF(AND($A983&lt;&gt;"",$C983&lt;&gt;""),IF(COUNTIFS($A$2:$A$1000,$A983,$C$2:$C$1000,$C983)&gt;1,"DUPLICAT",""),"")</f>
        <v/>
      </c>
    </row>
    <row r="984">
      <c r="A984" s="17" t="n"/>
      <c r="B984" s="17" t="n"/>
      <c r="C984" s="17" t="n"/>
      <c r="D984" s="18" t="n"/>
      <c r="E984" s="17" t="n"/>
      <c r="F984" s="19" t="n"/>
      <c r="G984" s="17" t="n"/>
      <c r="H984" s="17" t="n"/>
      <c r="I984" s="17" t="n"/>
      <c r="J984" s="19" t="n"/>
      <c r="K984" s="19" t="n"/>
      <c r="L984" s="20" t="n"/>
      <c r="M984" s="20" t="n"/>
      <c r="N984" s="17" t="n"/>
      <c r="O984" s="17" t="n"/>
      <c r="P984" s="21">
        <f>IF(AND(ISNUMBER($L984),ISNUMBER($M984)),MAX(0,$M984-$L984),"")</f>
        <v/>
      </c>
      <c r="Q984" s="21">
        <f>IF(ISNUMBER($D984),MAX(0,TODAY()-$D984),"")</f>
        <v/>
      </c>
      <c r="R984" s="19">
        <f>IF(COUNTA($A984:$O984)=0,"",IFERROR(TRIM(TEXTJOIN(" | ",TRUE,IF($A984="","PC kosong",""),IF($C984="","Worker ID kosong",""),IF($D984="","Update Date kosong",IF(NOT(ISNUMBER($D984)),"Update Date bukan tanggal","")),IF($E984="","Song ID YT kosong",""),IF($F984="","Judul kosong",""),IF(TRIM($G984)="","",IF(ISERROR(MATCH(TRIM($G984),{"TuneCore","DistroKid","TooLost","SoundOn","Ditto","Believe","CD Baby","Amuse","Symphonic Distribution","ONErpm","RouteNote","LANDR","Horus Music","Indie"},0)),"Aggregator di luar daftar","")),IF(TRIM($H984)="","Genre kosong",IF((LEN(SUBSTITUTE(SUBSTITUTE(SUBSTITUTE(TRIM($H984),"/",","),";",",")," ",""))-LEN(SUBSTITUTE(SUBSTITUTE(SUBSTITUTE(SUBSTITUTE(TRIM($H984),"/",","),";",","),"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984),"/",","),";",",")," ","")&amp;",")))&lt;&gt;(LEN(SUBSTITUTE(SUBSTITUTE(SUBSTITUTE(TRIM($H984),"/",","),";",",")," ",""))-LEN(SUBSTITUTE(SUBSTITUTE(SUBSTITUTE(SUBSTITUTE(TRIM($H984),"/",","),";",",")," ",""),",",""))+1),"Genre di luar daftar",""))),IF($I984="","Nama Channel kosong",""),IF($J984="","Link Channel kosong",IF(ISERROR(SEARCH("youtu",$J984)),"Link Channel bukan youtube","")),IF($K984="","Link Video kosong",IF(ISERROR(SEARCH("youtu",$K984)),"Link Video bukan youtube","")),IF($L984="","Tgl Dibuat kosong",IF(NOT(ISNUMBER($L984)),"Tgl Dibuat bukan tanggal","")),IF(AND($M984&lt;&gt;"",NOT(ISNUMBER($M984))),"Tgl Publish bukan tanggal",""),IF(AND(ISNUMBER($L984),ISNUMBER($M984),$M984&lt;$L984),"Tgl Publish &lt; Tgl buat",""),IF(TRIM($N984)="","Status kosong",IF(ISERROR(MATCH(TRIM($N984),{"Draft","Menunggu Review","Revisi","Terjadwal","Upload","Publish","Published","Batal"},0)),"Status di luar daftar","")))),""))</f>
        <v/>
      </c>
      <c r="S984" s="17">
        <f>IF(AND($A984&lt;&gt;"",$C984&lt;&gt;""),IF(COUNTIFS($A$2:$A$1000,$A984,$C$2:$C$1000,$C984)&gt;1,"DUPLICAT",""),"")</f>
        <v/>
      </c>
    </row>
    <row r="985">
      <c r="A985" s="12" t="n"/>
      <c r="B985" s="12" t="n"/>
      <c r="C985" s="12" t="n"/>
      <c r="D985" s="13" t="n"/>
      <c r="E985" s="12" t="n"/>
      <c r="F985" s="14" t="n"/>
      <c r="G985" s="12" t="n"/>
      <c r="H985" s="12" t="n"/>
      <c r="I985" s="12" t="n"/>
      <c r="J985" s="14" t="n"/>
      <c r="K985" s="14" t="n"/>
      <c r="L985" s="15" t="n"/>
      <c r="M985" s="15" t="n"/>
      <c r="N985" s="12" t="n"/>
      <c r="O985" s="12" t="n"/>
      <c r="P985" s="16">
        <f>IF(AND(ISNUMBER($L985),ISNUMBER($M985)),MAX(0,$M985-$L985),"")</f>
        <v/>
      </c>
      <c r="Q985" s="16">
        <f>IF(ISNUMBER($D985),MAX(0,TODAY()-$D985),"")</f>
        <v/>
      </c>
      <c r="R985" s="14">
        <f>IF(COUNTA($A985:$O985)=0,"",IFERROR(TRIM(TEXTJOIN(" | ",TRUE,IF($A985="","PC kosong",""),IF($C985="","Worker ID kosong",""),IF($D985="","Update Date kosong",IF(NOT(ISNUMBER($D985)),"Update Date bukan tanggal","")),IF($E985="","Song ID YT kosong",""),IF($F985="","Judul kosong",""),IF(TRIM($G985)="","",IF(ISERROR(MATCH(TRIM($G985),{"TuneCore","DistroKid","TooLost","SoundOn","Ditto","Believe","CD Baby","Amuse","Symphonic Distribution","ONErpm","RouteNote","LANDR","Horus Music","Indie"},0)),"Aggregator di luar daftar","")),IF(TRIM($H985)="","Genre kosong",IF((LEN(SUBSTITUTE(SUBSTITUTE(SUBSTITUTE(TRIM($H985),"/",","),";",",")," ",""))-LEN(SUBSTITUTE(SUBSTITUTE(SUBSTITUTE(SUBSTITUTE(TRIM($H985),"/",","),";",","),"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985),"/",","),";",",")," ","")&amp;",")))&lt;&gt;(LEN(SUBSTITUTE(SUBSTITUTE(SUBSTITUTE(TRIM($H985),"/",","),";",",")," ",""))-LEN(SUBSTITUTE(SUBSTITUTE(SUBSTITUTE(SUBSTITUTE(TRIM($H985),"/",","),";",",")," ",""),",",""))+1),"Genre di luar daftar",""))),IF($I985="","Nama Channel kosong",""),IF($J985="","Link Channel kosong",IF(ISERROR(SEARCH("youtu",$J985)),"Link Channel bukan youtube","")),IF($K985="","Link Video kosong",IF(ISERROR(SEARCH("youtu",$K985)),"Link Video bukan youtube","")),IF($L985="","Tgl Dibuat kosong",IF(NOT(ISNUMBER($L985)),"Tgl Dibuat bukan tanggal","")),IF(AND($M985&lt;&gt;"",NOT(ISNUMBER($M985))),"Tgl Publish bukan tanggal",""),IF(AND(ISNUMBER($L985),ISNUMBER($M985),$M985&lt;$L985),"Tgl Publish &lt; Tgl buat",""),IF(TRIM($N985)="","Status kosong",IF(ISERROR(MATCH(TRIM($N985),{"Draft","Menunggu Review","Revisi","Terjadwal","Upload","Publish","Published","Batal"},0)),"Status di luar daftar","")))),""))</f>
        <v/>
      </c>
      <c r="S985" s="12">
        <f>IF(AND($A985&lt;&gt;"",$C985&lt;&gt;""),IF(COUNTIFS($A$2:$A$1000,$A985,$C$2:$C$1000,$C985)&gt;1,"DUPLICAT",""),"")</f>
        <v/>
      </c>
    </row>
    <row r="986">
      <c r="A986" s="17" t="n"/>
      <c r="B986" s="17" t="n"/>
      <c r="C986" s="17" t="n"/>
      <c r="D986" s="18" t="n"/>
      <c r="E986" s="17" t="n"/>
      <c r="F986" s="19" t="n"/>
      <c r="G986" s="17" t="n"/>
      <c r="H986" s="17" t="n"/>
      <c r="I986" s="17" t="n"/>
      <c r="J986" s="19" t="n"/>
      <c r="K986" s="19" t="n"/>
      <c r="L986" s="20" t="n"/>
      <c r="M986" s="20" t="n"/>
      <c r="N986" s="17" t="n"/>
      <c r="O986" s="17" t="n"/>
      <c r="P986" s="21">
        <f>IF(AND(ISNUMBER($L986),ISNUMBER($M986)),MAX(0,$M986-$L986),"")</f>
        <v/>
      </c>
      <c r="Q986" s="21">
        <f>IF(ISNUMBER($D986),MAX(0,TODAY()-$D986),"")</f>
        <v/>
      </c>
      <c r="R986" s="19">
        <f>IF(COUNTA($A986:$O986)=0,"",IFERROR(TRIM(TEXTJOIN(" | ",TRUE,IF($A986="","PC kosong",""),IF($C986="","Worker ID kosong",""),IF($D986="","Update Date kosong",IF(NOT(ISNUMBER($D986)),"Update Date bukan tanggal","")),IF($E986="","Song ID YT kosong",""),IF($F986="","Judul kosong",""),IF(TRIM($G986)="","",IF(ISERROR(MATCH(TRIM($G986),{"TuneCore","DistroKid","TooLost","SoundOn","Ditto","Believe","CD Baby","Amuse","Symphonic Distribution","ONErpm","RouteNote","LANDR","Horus Music","Indie"},0)),"Aggregator di luar daftar","")),IF(TRIM($H986)="","Genre kosong",IF((LEN(SUBSTITUTE(SUBSTITUTE(SUBSTITUTE(TRIM($H986),"/",","),";",",")," ",""))-LEN(SUBSTITUTE(SUBSTITUTE(SUBSTITUTE(SUBSTITUTE(TRIM($H986),"/",","),";",","),"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986),"/",","),";",",")," ","")&amp;",")))&lt;&gt;(LEN(SUBSTITUTE(SUBSTITUTE(SUBSTITUTE(TRIM($H986),"/",","),";",",")," ",""))-LEN(SUBSTITUTE(SUBSTITUTE(SUBSTITUTE(SUBSTITUTE(TRIM($H986),"/",","),";",",")," ",""),",",""))+1),"Genre di luar daftar",""))),IF($I986="","Nama Channel kosong",""),IF($J986="","Link Channel kosong",IF(ISERROR(SEARCH("youtu",$J986)),"Link Channel bukan youtube","")),IF($K986="","Link Video kosong",IF(ISERROR(SEARCH("youtu",$K986)),"Link Video bukan youtube","")),IF($L986="","Tgl Dibuat kosong",IF(NOT(ISNUMBER($L986)),"Tgl Dibuat bukan tanggal","")),IF(AND($M986&lt;&gt;"",NOT(ISNUMBER($M986))),"Tgl Publish bukan tanggal",""),IF(AND(ISNUMBER($L986),ISNUMBER($M986),$M986&lt;$L986),"Tgl Publish &lt; Tgl buat",""),IF(TRIM($N986)="","Status kosong",IF(ISERROR(MATCH(TRIM($N986),{"Draft","Menunggu Review","Revisi","Terjadwal","Upload","Publish","Published","Batal"},0)),"Status di luar daftar","")))),""))</f>
        <v/>
      </c>
      <c r="S986" s="17">
        <f>IF(AND($A986&lt;&gt;"",$C986&lt;&gt;""),IF(COUNTIFS($A$2:$A$1000,$A986,$C$2:$C$1000,$C986)&gt;1,"DUPLICAT",""),"")</f>
        <v/>
      </c>
    </row>
    <row r="987">
      <c r="A987" s="12" t="n"/>
      <c r="B987" s="12" t="n"/>
      <c r="C987" s="12" t="n"/>
      <c r="D987" s="13" t="n"/>
      <c r="E987" s="12" t="n"/>
      <c r="F987" s="14" t="n"/>
      <c r="G987" s="12" t="n"/>
      <c r="H987" s="12" t="n"/>
      <c r="I987" s="12" t="n"/>
      <c r="J987" s="14" t="n"/>
      <c r="K987" s="14" t="n"/>
      <c r="L987" s="15" t="n"/>
      <c r="M987" s="15" t="n"/>
      <c r="N987" s="12" t="n"/>
      <c r="O987" s="12" t="n"/>
      <c r="P987" s="16">
        <f>IF(AND(ISNUMBER($L987),ISNUMBER($M987)),MAX(0,$M987-$L987),"")</f>
        <v/>
      </c>
      <c r="Q987" s="16">
        <f>IF(ISNUMBER($D987),MAX(0,TODAY()-$D987),"")</f>
        <v/>
      </c>
      <c r="R987" s="14">
        <f>IF(COUNTA($A987:$O987)=0,"",IFERROR(TRIM(TEXTJOIN(" | ",TRUE,IF($A987="","PC kosong",""),IF($C987="","Worker ID kosong",""),IF($D987="","Update Date kosong",IF(NOT(ISNUMBER($D987)),"Update Date bukan tanggal","")),IF($E987="","Song ID YT kosong",""),IF($F987="","Judul kosong",""),IF(TRIM($G987)="","",IF(ISERROR(MATCH(TRIM($G987),{"TuneCore","DistroKid","TooLost","SoundOn","Ditto","Believe","CD Baby","Amuse","Symphonic Distribution","ONErpm","RouteNote","LANDR","Horus Music","Indie"},0)),"Aggregator di luar daftar","")),IF(TRIM($H987)="","Genre kosong",IF((LEN(SUBSTITUTE(SUBSTITUTE(SUBSTITUTE(TRIM($H987),"/",","),";",",")," ",""))-LEN(SUBSTITUTE(SUBSTITUTE(SUBSTITUTE(SUBSTITUTE(TRIM($H987),"/",","),";",","),"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987),"/",","),";",",")," ","")&amp;",")))&lt;&gt;(LEN(SUBSTITUTE(SUBSTITUTE(SUBSTITUTE(TRIM($H987),"/",","),";",",")," ",""))-LEN(SUBSTITUTE(SUBSTITUTE(SUBSTITUTE(SUBSTITUTE(TRIM($H987),"/",","),";",",")," ",""),",",""))+1),"Genre di luar daftar",""))),IF($I987="","Nama Channel kosong",""),IF($J987="","Link Channel kosong",IF(ISERROR(SEARCH("youtu",$J987)),"Link Channel bukan youtube","")),IF($K987="","Link Video kosong",IF(ISERROR(SEARCH("youtu",$K987)),"Link Video bukan youtube","")),IF($L987="","Tgl Dibuat kosong",IF(NOT(ISNUMBER($L987)),"Tgl Dibuat bukan tanggal","")),IF(AND($M987&lt;&gt;"",NOT(ISNUMBER($M987))),"Tgl Publish bukan tanggal",""),IF(AND(ISNUMBER($L987),ISNUMBER($M987),$M987&lt;$L987),"Tgl Publish &lt; Tgl buat",""),IF(TRIM($N987)="","Status kosong",IF(ISERROR(MATCH(TRIM($N987),{"Draft","Menunggu Review","Revisi","Terjadwal","Upload","Publish","Published","Batal"},0)),"Status di luar daftar","")))),""))</f>
        <v/>
      </c>
      <c r="S987" s="12">
        <f>IF(AND($A987&lt;&gt;"",$C987&lt;&gt;""),IF(COUNTIFS($A$2:$A$1000,$A987,$C$2:$C$1000,$C987)&gt;1,"DUPLICAT",""),"")</f>
        <v/>
      </c>
    </row>
    <row r="988">
      <c r="A988" s="17" t="n"/>
      <c r="B988" s="17" t="n"/>
      <c r="C988" s="17" t="n"/>
      <c r="D988" s="18" t="n"/>
      <c r="E988" s="17" t="n"/>
      <c r="F988" s="19" t="n"/>
      <c r="G988" s="17" t="n"/>
      <c r="H988" s="17" t="n"/>
      <c r="I988" s="17" t="n"/>
      <c r="J988" s="19" t="n"/>
      <c r="K988" s="19" t="n"/>
      <c r="L988" s="20" t="n"/>
      <c r="M988" s="20" t="n"/>
      <c r="N988" s="17" t="n"/>
      <c r="O988" s="17" t="n"/>
      <c r="P988" s="21">
        <f>IF(AND(ISNUMBER($L988),ISNUMBER($M988)),MAX(0,$M988-$L988),"")</f>
        <v/>
      </c>
      <c r="Q988" s="21">
        <f>IF(ISNUMBER($D988),MAX(0,TODAY()-$D988),"")</f>
        <v/>
      </c>
      <c r="R988" s="19">
        <f>IF(COUNTA($A988:$O988)=0,"",IFERROR(TRIM(TEXTJOIN(" | ",TRUE,IF($A988="","PC kosong",""),IF($C988="","Worker ID kosong",""),IF($D988="","Update Date kosong",IF(NOT(ISNUMBER($D988)),"Update Date bukan tanggal","")),IF($E988="","Song ID YT kosong",""),IF($F988="","Judul kosong",""),IF(TRIM($G988)="","",IF(ISERROR(MATCH(TRIM($G988),{"TuneCore","DistroKid","TooLost","SoundOn","Ditto","Believe","CD Baby","Amuse","Symphonic Distribution","ONErpm","RouteNote","LANDR","Horus Music","Indie"},0)),"Aggregator di luar daftar","")),IF(TRIM($H988)="","Genre kosong",IF((LEN(SUBSTITUTE(SUBSTITUTE(SUBSTITUTE(TRIM($H988),"/",","),";",",")," ",""))-LEN(SUBSTITUTE(SUBSTITUTE(SUBSTITUTE(SUBSTITUTE(TRIM($H988),"/",","),";",","),"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988),"/",","),";",",")," ","")&amp;",")))&lt;&gt;(LEN(SUBSTITUTE(SUBSTITUTE(SUBSTITUTE(TRIM($H988),"/",","),";",",")," ",""))-LEN(SUBSTITUTE(SUBSTITUTE(SUBSTITUTE(SUBSTITUTE(TRIM($H988),"/",","),";",",")," ",""),",",""))+1),"Genre di luar daftar",""))),IF($I988="","Nama Channel kosong",""),IF($J988="","Link Channel kosong",IF(ISERROR(SEARCH("youtu",$J988)),"Link Channel bukan youtube","")),IF($K988="","Link Video kosong",IF(ISERROR(SEARCH("youtu",$K988)),"Link Video bukan youtube","")),IF($L988="","Tgl Dibuat kosong",IF(NOT(ISNUMBER($L988)),"Tgl Dibuat bukan tanggal","")),IF(AND($M988&lt;&gt;"",NOT(ISNUMBER($M988))),"Tgl Publish bukan tanggal",""),IF(AND(ISNUMBER($L988),ISNUMBER($M988),$M988&lt;$L988),"Tgl Publish &lt; Tgl buat",""),IF(TRIM($N988)="","Status kosong",IF(ISERROR(MATCH(TRIM($N988),{"Draft","Menunggu Review","Revisi","Terjadwal","Upload","Publish","Published","Batal"},0)),"Status di luar daftar","")))),""))</f>
        <v/>
      </c>
      <c r="S988" s="17">
        <f>IF(AND($A988&lt;&gt;"",$C988&lt;&gt;""),IF(COUNTIFS($A$2:$A$1000,$A988,$C$2:$C$1000,$C988)&gt;1,"DUPLICAT",""),"")</f>
        <v/>
      </c>
    </row>
    <row r="989">
      <c r="A989" s="12" t="n"/>
      <c r="B989" s="12" t="n"/>
      <c r="C989" s="12" t="n"/>
      <c r="D989" s="13" t="n"/>
      <c r="E989" s="12" t="n"/>
      <c r="F989" s="14" t="n"/>
      <c r="G989" s="12" t="n"/>
      <c r="H989" s="12" t="n"/>
      <c r="I989" s="12" t="n"/>
      <c r="J989" s="14" t="n"/>
      <c r="K989" s="14" t="n"/>
      <c r="L989" s="15" t="n"/>
      <c r="M989" s="15" t="n"/>
      <c r="N989" s="12" t="n"/>
      <c r="O989" s="12" t="n"/>
      <c r="P989" s="16">
        <f>IF(AND(ISNUMBER($L989),ISNUMBER($M989)),MAX(0,$M989-$L989),"")</f>
        <v/>
      </c>
      <c r="Q989" s="16">
        <f>IF(ISNUMBER($D989),MAX(0,TODAY()-$D989),"")</f>
        <v/>
      </c>
      <c r="R989" s="14">
        <f>IF(COUNTA($A989:$O989)=0,"",IFERROR(TRIM(TEXTJOIN(" | ",TRUE,IF($A989="","PC kosong",""),IF($C989="","Worker ID kosong",""),IF($D989="","Update Date kosong",IF(NOT(ISNUMBER($D989)),"Update Date bukan tanggal","")),IF($E989="","Song ID YT kosong",""),IF($F989="","Judul kosong",""),IF(TRIM($G989)="","",IF(ISERROR(MATCH(TRIM($G989),{"TuneCore","DistroKid","TooLost","SoundOn","Ditto","Believe","CD Baby","Amuse","Symphonic Distribution","ONErpm","RouteNote","LANDR","Horus Music","Indie"},0)),"Aggregator di luar daftar","")),IF(TRIM($H989)="","Genre kosong",IF((LEN(SUBSTITUTE(SUBSTITUTE(SUBSTITUTE(TRIM($H989),"/",","),";",",")," ",""))-LEN(SUBSTITUTE(SUBSTITUTE(SUBSTITUTE(SUBSTITUTE(TRIM($H989),"/",","),";",","),"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989),"/",","),";",",")," ","")&amp;",")))&lt;&gt;(LEN(SUBSTITUTE(SUBSTITUTE(SUBSTITUTE(TRIM($H989),"/",","),";",",")," ",""))-LEN(SUBSTITUTE(SUBSTITUTE(SUBSTITUTE(SUBSTITUTE(TRIM($H989),"/",","),";",",")," ",""),",",""))+1),"Genre di luar daftar",""))),IF($I989="","Nama Channel kosong",""),IF($J989="","Link Channel kosong",IF(ISERROR(SEARCH("youtu",$J989)),"Link Channel bukan youtube","")),IF($K989="","Link Video kosong",IF(ISERROR(SEARCH("youtu",$K989)),"Link Video bukan youtube","")),IF($L989="","Tgl Dibuat kosong",IF(NOT(ISNUMBER($L989)),"Tgl Dibuat bukan tanggal","")),IF(AND($M989&lt;&gt;"",NOT(ISNUMBER($M989))),"Tgl Publish bukan tanggal",""),IF(AND(ISNUMBER($L989),ISNUMBER($M989),$M989&lt;$L989),"Tgl Publish &lt; Tgl buat",""),IF(TRIM($N989)="","Status kosong",IF(ISERROR(MATCH(TRIM($N989),{"Draft","Menunggu Review","Revisi","Terjadwal","Upload","Publish","Published","Batal"},0)),"Status di luar daftar","")))),""))</f>
        <v/>
      </c>
      <c r="S989" s="12">
        <f>IF(AND($A989&lt;&gt;"",$C989&lt;&gt;""),IF(COUNTIFS($A$2:$A$1000,$A989,$C$2:$C$1000,$C989)&gt;1,"DUPLICAT",""),"")</f>
        <v/>
      </c>
    </row>
    <row r="990">
      <c r="A990" s="17" t="n"/>
      <c r="B990" s="17" t="n"/>
      <c r="C990" s="17" t="n"/>
      <c r="D990" s="18" t="n"/>
      <c r="E990" s="17" t="n"/>
      <c r="F990" s="19" t="n"/>
      <c r="G990" s="17" t="n"/>
      <c r="H990" s="17" t="n"/>
      <c r="I990" s="17" t="n"/>
      <c r="J990" s="19" t="n"/>
      <c r="K990" s="19" t="n"/>
      <c r="L990" s="20" t="n"/>
      <c r="M990" s="20" t="n"/>
      <c r="N990" s="17" t="n"/>
      <c r="O990" s="17" t="n"/>
      <c r="P990" s="21">
        <f>IF(AND(ISNUMBER($L990),ISNUMBER($M990)),MAX(0,$M990-$L990),"")</f>
        <v/>
      </c>
      <c r="Q990" s="21">
        <f>IF(ISNUMBER($D990),MAX(0,TODAY()-$D990),"")</f>
        <v/>
      </c>
      <c r="R990" s="19">
        <f>IF(COUNTA($A990:$O990)=0,"",IFERROR(TRIM(TEXTJOIN(" | ",TRUE,IF($A990="","PC kosong",""),IF($C990="","Worker ID kosong",""),IF($D990="","Update Date kosong",IF(NOT(ISNUMBER($D990)),"Update Date bukan tanggal","")),IF($E990="","Song ID YT kosong",""),IF($F990="","Judul kosong",""),IF(TRIM($G990)="","",IF(ISERROR(MATCH(TRIM($G990),{"TuneCore","DistroKid","TooLost","SoundOn","Ditto","Believe","CD Baby","Amuse","Symphonic Distribution","ONErpm","RouteNote","LANDR","Horus Music","Indie"},0)),"Aggregator di luar daftar","")),IF(TRIM($H990)="","Genre kosong",IF((LEN(SUBSTITUTE(SUBSTITUTE(SUBSTITUTE(TRIM($H990),"/",","),";",",")," ",""))-LEN(SUBSTITUTE(SUBSTITUTE(SUBSTITUTE(SUBSTITUTE(TRIM($H990),"/",","),";",","),"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990),"/",","),";",",")," ","")&amp;",")))&lt;&gt;(LEN(SUBSTITUTE(SUBSTITUTE(SUBSTITUTE(TRIM($H990),"/",","),";",",")," ",""))-LEN(SUBSTITUTE(SUBSTITUTE(SUBSTITUTE(SUBSTITUTE(TRIM($H990),"/",","),";",",")," ",""),",",""))+1),"Genre di luar daftar",""))),IF($I990="","Nama Channel kosong",""),IF($J990="","Link Channel kosong",IF(ISERROR(SEARCH("youtu",$J990)),"Link Channel bukan youtube","")),IF($K990="","Link Video kosong",IF(ISERROR(SEARCH("youtu",$K990)),"Link Video bukan youtube","")),IF($L990="","Tgl Dibuat kosong",IF(NOT(ISNUMBER($L990)),"Tgl Dibuat bukan tanggal","")),IF(AND($M990&lt;&gt;"",NOT(ISNUMBER($M990))),"Tgl Publish bukan tanggal",""),IF(AND(ISNUMBER($L990),ISNUMBER($M990),$M990&lt;$L990),"Tgl Publish &lt; Tgl buat",""),IF(TRIM($N990)="","Status kosong",IF(ISERROR(MATCH(TRIM($N990),{"Draft","Menunggu Review","Revisi","Terjadwal","Upload","Publish","Published","Batal"},0)),"Status di luar daftar","")))),""))</f>
        <v/>
      </c>
      <c r="S990" s="17">
        <f>IF(AND($A990&lt;&gt;"",$C990&lt;&gt;""),IF(COUNTIFS($A$2:$A$1000,$A990,$C$2:$C$1000,$C990)&gt;1,"DUPLICAT",""),"")</f>
        <v/>
      </c>
    </row>
    <row r="991">
      <c r="A991" s="12" t="n"/>
      <c r="B991" s="12" t="n"/>
      <c r="C991" s="12" t="n"/>
      <c r="D991" s="13" t="n"/>
      <c r="E991" s="12" t="n"/>
      <c r="F991" s="14" t="n"/>
      <c r="G991" s="12" t="n"/>
      <c r="H991" s="12" t="n"/>
      <c r="I991" s="12" t="n"/>
      <c r="J991" s="14" t="n"/>
      <c r="K991" s="14" t="n"/>
      <c r="L991" s="15" t="n"/>
      <c r="M991" s="15" t="n"/>
      <c r="N991" s="12" t="n"/>
      <c r="O991" s="12" t="n"/>
      <c r="P991" s="16">
        <f>IF(AND(ISNUMBER($L991),ISNUMBER($M991)),MAX(0,$M991-$L991),"")</f>
        <v/>
      </c>
      <c r="Q991" s="16">
        <f>IF(ISNUMBER($D991),MAX(0,TODAY()-$D991),"")</f>
        <v/>
      </c>
      <c r="R991" s="14">
        <f>IF(COUNTA($A991:$O991)=0,"",IFERROR(TRIM(TEXTJOIN(" | ",TRUE,IF($A991="","PC kosong",""),IF($C991="","Worker ID kosong",""),IF($D991="","Update Date kosong",IF(NOT(ISNUMBER($D991)),"Update Date bukan tanggal","")),IF($E991="","Song ID YT kosong",""),IF($F991="","Judul kosong",""),IF(TRIM($G991)="","",IF(ISERROR(MATCH(TRIM($G991),{"TuneCore","DistroKid","TooLost","SoundOn","Ditto","Believe","CD Baby","Amuse","Symphonic Distribution","ONErpm","RouteNote","LANDR","Horus Music","Indie"},0)),"Aggregator di luar daftar","")),IF(TRIM($H991)="","Genre kosong",IF((LEN(SUBSTITUTE(SUBSTITUTE(SUBSTITUTE(TRIM($H991),"/",","),";",",")," ",""))-LEN(SUBSTITUTE(SUBSTITUTE(SUBSTITUTE(SUBSTITUTE(TRIM($H991),"/",","),";",","),"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991),"/",","),";",",")," ","")&amp;",")))&lt;&gt;(LEN(SUBSTITUTE(SUBSTITUTE(SUBSTITUTE(TRIM($H991),"/",","),";",",")," ",""))-LEN(SUBSTITUTE(SUBSTITUTE(SUBSTITUTE(SUBSTITUTE(TRIM($H991),"/",","),";",",")," ",""),",",""))+1),"Genre di luar daftar",""))),IF($I991="","Nama Channel kosong",""),IF($J991="","Link Channel kosong",IF(ISERROR(SEARCH("youtu",$J991)),"Link Channel bukan youtube","")),IF($K991="","Link Video kosong",IF(ISERROR(SEARCH("youtu",$K991)),"Link Video bukan youtube","")),IF($L991="","Tgl Dibuat kosong",IF(NOT(ISNUMBER($L991)),"Tgl Dibuat bukan tanggal","")),IF(AND($M991&lt;&gt;"",NOT(ISNUMBER($M991))),"Tgl Publish bukan tanggal",""),IF(AND(ISNUMBER($L991),ISNUMBER($M991),$M991&lt;$L991),"Tgl Publish &lt; Tgl buat",""),IF(TRIM($N991)="","Status kosong",IF(ISERROR(MATCH(TRIM($N991),{"Draft","Menunggu Review","Revisi","Terjadwal","Upload","Publish","Published","Batal"},0)),"Status di luar daftar","")))),""))</f>
        <v/>
      </c>
      <c r="S991" s="12">
        <f>IF(AND($A991&lt;&gt;"",$C991&lt;&gt;""),IF(COUNTIFS($A$2:$A$1000,$A991,$C$2:$C$1000,$C991)&gt;1,"DUPLICAT",""),"")</f>
        <v/>
      </c>
    </row>
    <row r="992">
      <c r="A992" s="17" t="n"/>
      <c r="B992" s="17" t="n"/>
      <c r="C992" s="17" t="n"/>
      <c r="D992" s="18" t="n"/>
      <c r="E992" s="17" t="n"/>
      <c r="F992" s="19" t="n"/>
      <c r="G992" s="17" t="n"/>
      <c r="H992" s="17" t="n"/>
      <c r="I992" s="17" t="n"/>
      <c r="J992" s="19" t="n"/>
      <c r="K992" s="19" t="n"/>
      <c r="L992" s="20" t="n"/>
      <c r="M992" s="20" t="n"/>
      <c r="N992" s="17" t="n"/>
      <c r="O992" s="17" t="n"/>
      <c r="P992" s="21">
        <f>IF(AND(ISNUMBER($L992),ISNUMBER($M992)),MAX(0,$M992-$L992),"")</f>
        <v/>
      </c>
      <c r="Q992" s="21">
        <f>IF(ISNUMBER($D992),MAX(0,TODAY()-$D992),"")</f>
        <v/>
      </c>
      <c r="R992" s="19">
        <f>IF(COUNTA($A992:$O992)=0,"",IFERROR(TRIM(TEXTJOIN(" | ",TRUE,IF($A992="","PC kosong",""),IF($C992="","Worker ID kosong",""),IF($D992="","Update Date kosong",IF(NOT(ISNUMBER($D992)),"Update Date bukan tanggal","")),IF($E992="","Song ID YT kosong",""),IF($F992="","Judul kosong",""),IF(TRIM($G992)="","",IF(ISERROR(MATCH(TRIM($G992),{"TuneCore","DistroKid","TooLost","SoundOn","Ditto","Believe","CD Baby","Amuse","Symphonic Distribution","ONErpm","RouteNote","LANDR","Horus Music","Indie"},0)),"Aggregator di luar daftar","")),IF(TRIM($H992)="","Genre kosong",IF((LEN(SUBSTITUTE(SUBSTITUTE(SUBSTITUTE(TRIM($H992),"/",","),";",",")," ",""))-LEN(SUBSTITUTE(SUBSTITUTE(SUBSTITUTE(SUBSTITUTE(TRIM($H992),"/",","),";",","),"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992),"/",","),";",",")," ","")&amp;",")))&lt;&gt;(LEN(SUBSTITUTE(SUBSTITUTE(SUBSTITUTE(TRIM($H992),"/",","),";",",")," ",""))-LEN(SUBSTITUTE(SUBSTITUTE(SUBSTITUTE(SUBSTITUTE(TRIM($H992),"/",","),";",",")," ",""),",",""))+1),"Genre di luar daftar",""))),IF($I992="","Nama Channel kosong",""),IF($J992="","Link Channel kosong",IF(ISERROR(SEARCH("youtu",$J992)),"Link Channel bukan youtube","")),IF($K992="","Link Video kosong",IF(ISERROR(SEARCH("youtu",$K992)),"Link Video bukan youtube","")),IF($L992="","Tgl Dibuat kosong",IF(NOT(ISNUMBER($L992)),"Tgl Dibuat bukan tanggal","")),IF(AND($M992&lt;&gt;"",NOT(ISNUMBER($M992))),"Tgl Publish bukan tanggal",""),IF(AND(ISNUMBER($L992),ISNUMBER($M992),$M992&lt;$L992),"Tgl Publish &lt; Tgl buat",""),IF(TRIM($N992)="","Status kosong",IF(ISERROR(MATCH(TRIM($N992),{"Draft","Menunggu Review","Revisi","Terjadwal","Upload","Publish","Published","Batal"},0)),"Status di luar daftar","")))),""))</f>
        <v/>
      </c>
      <c r="S992" s="17">
        <f>IF(AND($A992&lt;&gt;"",$C992&lt;&gt;""),IF(COUNTIFS($A$2:$A$1000,$A992,$C$2:$C$1000,$C992)&gt;1,"DUPLICAT",""),"")</f>
        <v/>
      </c>
    </row>
    <row r="993">
      <c r="A993" s="12" t="n"/>
      <c r="B993" s="12" t="n"/>
      <c r="C993" s="12" t="n"/>
      <c r="D993" s="13" t="n"/>
      <c r="E993" s="12" t="n"/>
      <c r="F993" s="14" t="n"/>
      <c r="G993" s="12" t="n"/>
      <c r="H993" s="12" t="n"/>
      <c r="I993" s="12" t="n"/>
      <c r="J993" s="14" t="n"/>
      <c r="K993" s="14" t="n"/>
      <c r="L993" s="15" t="n"/>
      <c r="M993" s="15" t="n"/>
      <c r="N993" s="12" t="n"/>
      <c r="O993" s="12" t="n"/>
      <c r="P993" s="16">
        <f>IF(AND(ISNUMBER($L993),ISNUMBER($M993)),MAX(0,$M993-$L993),"")</f>
        <v/>
      </c>
      <c r="Q993" s="16">
        <f>IF(ISNUMBER($D993),MAX(0,TODAY()-$D993),"")</f>
        <v/>
      </c>
      <c r="R993" s="14">
        <f>IF(COUNTA($A993:$O993)=0,"",IFERROR(TRIM(TEXTJOIN(" | ",TRUE,IF($A993="","PC kosong",""),IF($C993="","Worker ID kosong",""),IF($D993="","Update Date kosong",IF(NOT(ISNUMBER($D993)),"Update Date bukan tanggal","")),IF($E993="","Song ID YT kosong",""),IF($F993="","Judul kosong",""),IF(TRIM($G993)="","",IF(ISERROR(MATCH(TRIM($G993),{"TuneCore","DistroKid","TooLost","SoundOn","Ditto","Believe","CD Baby","Amuse","Symphonic Distribution","ONErpm","RouteNote","LANDR","Horus Music","Indie"},0)),"Aggregator di luar daftar","")),IF(TRIM($H993)="","Genre kosong",IF((LEN(SUBSTITUTE(SUBSTITUTE(SUBSTITUTE(TRIM($H993),"/",","),";",",")," ",""))-LEN(SUBSTITUTE(SUBSTITUTE(SUBSTITUTE(SUBSTITUTE(TRIM($H993),"/",","),";",","),"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993),"/",","),";",",")," ","")&amp;",")))&lt;&gt;(LEN(SUBSTITUTE(SUBSTITUTE(SUBSTITUTE(TRIM($H993),"/",","),";",",")," ",""))-LEN(SUBSTITUTE(SUBSTITUTE(SUBSTITUTE(SUBSTITUTE(TRIM($H993),"/",","),";",",")," ",""),",",""))+1),"Genre di luar daftar",""))),IF($I993="","Nama Channel kosong",""),IF($J993="","Link Channel kosong",IF(ISERROR(SEARCH("youtu",$J993)),"Link Channel bukan youtube","")),IF($K993="","Link Video kosong",IF(ISERROR(SEARCH("youtu",$K993)),"Link Video bukan youtube","")),IF($L993="","Tgl Dibuat kosong",IF(NOT(ISNUMBER($L993)),"Tgl Dibuat bukan tanggal","")),IF(AND($M993&lt;&gt;"",NOT(ISNUMBER($M993))),"Tgl Publish bukan tanggal",""),IF(AND(ISNUMBER($L993),ISNUMBER($M993),$M993&lt;$L993),"Tgl Publish &lt; Tgl buat",""),IF(TRIM($N993)="","Status kosong",IF(ISERROR(MATCH(TRIM($N993),{"Draft","Menunggu Review","Revisi","Terjadwal","Upload","Publish","Published","Batal"},0)),"Status di luar daftar","")))),""))</f>
        <v/>
      </c>
      <c r="S993" s="12">
        <f>IF(AND($A993&lt;&gt;"",$C993&lt;&gt;""),IF(COUNTIFS($A$2:$A$1000,$A993,$C$2:$C$1000,$C993)&gt;1,"DUPLICAT",""),"")</f>
        <v/>
      </c>
    </row>
    <row r="994">
      <c r="A994" s="17" t="n"/>
      <c r="B994" s="17" t="n"/>
      <c r="C994" s="17" t="n"/>
      <c r="D994" s="18" t="n"/>
      <c r="E994" s="17" t="n"/>
      <c r="F994" s="19" t="n"/>
      <c r="G994" s="17" t="n"/>
      <c r="H994" s="17" t="n"/>
      <c r="I994" s="17" t="n"/>
      <c r="J994" s="19" t="n"/>
      <c r="K994" s="19" t="n"/>
      <c r="L994" s="20" t="n"/>
      <c r="M994" s="20" t="n"/>
      <c r="N994" s="17" t="n"/>
      <c r="O994" s="17" t="n"/>
      <c r="P994" s="21">
        <f>IF(AND(ISNUMBER($L994),ISNUMBER($M994)),MAX(0,$M994-$L994),"")</f>
        <v/>
      </c>
      <c r="Q994" s="21">
        <f>IF(ISNUMBER($D994),MAX(0,TODAY()-$D994),"")</f>
        <v/>
      </c>
      <c r="R994" s="19">
        <f>IF(COUNTA($A994:$O994)=0,"",IFERROR(TRIM(TEXTJOIN(" | ",TRUE,IF($A994="","PC kosong",""),IF($C994="","Worker ID kosong",""),IF($D994="","Update Date kosong",IF(NOT(ISNUMBER($D994)),"Update Date bukan tanggal","")),IF($E994="","Song ID YT kosong",""),IF($F994="","Judul kosong",""),IF(TRIM($G994)="","",IF(ISERROR(MATCH(TRIM($G994),{"TuneCore","DistroKid","TooLost","SoundOn","Ditto","Believe","CD Baby","Amuse","Symphonic Distribution","ONErpm","RouteNote","LANDR","Horus Music","Indie"},0)),"Aggregator di luar daftar","")),IF(TRIM($H994)="","Genre kosong",IF((LEN(SUBSTITUTE(SUBSTITUTE(SUBSTITUTE(TRIM($H994),"/",","),";",",")," ",""))-LEN(SUBSTITUTE(SUBSTITUTE(SUBSTITUTE(SUBSTITUTE(TRIM($H994),"/",","),";",","),"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994),"/",","),";",",")," ","")&amp;",")))&lt;&gt;(LEN(SUBSTITUTE(SUBSTITUTE(SUBSTITUTE(TRIM($H994),"/",","),";",",")," ",""))-LEN(SUBSTITUTE(SUBSTITUTE(SUBSTITUTE(SUBSTITUTE(TRIM($H994),"/",","),";",",")," ",""),",",""))+1),"Genre di luar daftar",""))),IF($I994="","Nama Channel kosong",""),IF($J994="","Link Channel kosong",IF(ISERROR(SEARCH("youtu",$J994)),"Link Channel bukan youtube","")),IF($K994="","Link Video kosong",IF(ISERROR(SEARCH("youtu",$K994)),"Link Video bukan youtube","")),IF($L994="","Tgl Dibuat kosong",IF(NOT(ISNUMBER($L994)),"Tgl Dibuat bukan tanggal","")),IF(AND($M994&lt;&gt;"",NOT(ISNUMBER($M994))),"Tgl Publish bukan tanggal",""),IF(AND(ISNUMBER($L994),ISNUMBER($M994),$M994&lt;$L994),"Tgl Publish &lt; Tgl buat",""),IF(TRIM($N994)="","Status kosong",IF(ISERROR(MATCH(TRIM($N994),{"Draft","Menunggu Review","Revisi","Terjadwal","Upload","Publish","Published","Batal"},0)),"Status di luar daftar","")))),""))</f>
        <v/>
      </c>
      <c r="S994" s="17">
        <f>IF(AND($A994&lt;&gt;"",$C994&lt;&gt;""),IF(COUNTIFS($A$2:$A$1000,$A994,$C$2:$C$1000,$C994)&gt;1,"DUPLICAT",""),"")</f>
        <v/>
      </c>
    </row>
    <row r="995">
      <c r="A995" s="12" t="n"/>
      <c r="B995" s="12" t="n"/>
      <c r="C995" s="12" t="n"/>
      <c r="D995" s="13" t="n"/>
      <c r="E995" s="12" t="n"/>
      <c r="F995" s="14" t="n"/>
      <c r="G995" s="12" t="n"/>
      <c r="H995" s="12" t="n"/>
      <c r="I995" s="12" t="n"/>
      <c r="J995" s="14" t="n"/>
      <c r="K995" s="14" t="n"/>
      <c r="L995" s="15" t="n"/>
      <c r="M995" s="15" t="n"/>
      <c r="N995" s="12" t="n"/>
      <c r="O995" s="12" t="n"/>
      <c r="P995" s="16">
        <f>IF(AND(ISNUMBER($L995),ISNUMBER($M995)),MAX(0,$M995-$L995),"")</f>
        <v/>
      </c>
      <c r="Q995" s="16">
        <f>IF(ISNUMBER($D995),MAX(0,TODAY()-$D995),"")</f>
        <v/>
      </c>
      <c r="R995" s="14">
        <f>IF(COUNTA($A995:$O995)=0,"",IFERROR(TRIM(TEXTJOIN(" | ",TRUE,IF($A995="","PC kosong",""),IF($C995="","Worker ID kosong",""),IF($D995="","Update Date kosong",IF(NOT(ISNUMBER($D995)),"Update Date bukan tanggal","")),IF($E995="","Song ID YT kosong",""),IF($F995="","Judul kosong",""),IF(TRIM($G995)="","",IF(ISERROR(MATCH(TRIM($G995),{"TuneCore","DistroKid","TooLost","SoundOn","Ditto","Believe","CD Baby","Amuse","Symphonic Distribution","ONErpm","RouteNote","LANDR","Horus Music","Indie"},0)),"Aggregator di luar daftar","")),IF(TRIM($H995)="","Genre kosong",IF((LEN(SUBSTITUTE(SUBSTITUTE(SUBSTITUTE(TRIM($H995),"/",","),";",",")," ",""))-LEN(SUBSTITUTE(SUBSTITUTE(SUBSTITUTE(SUBSTITUTE(TRIM($H995),"/",","),";",","),"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995),"/",","),";",",")," ","")&amp;",")))&lt;&gt;(LEN(SUBSTITUTE(SUBSTITUTE(SUBSTITUTE(TRIM($H995),"/",","),";",",")," ",""))-LEN(SUBSTITUTE(SUBSTITUTE(SUBSTITUTE(SUBSTITUTE(TRIM($H995),"/",","),";",",")," ",""),",",""))+1),"Genre di luar daftar",""))),IF($I995="","Nama Channel kosong",""),IF($J995="","Link Channel kosong",IF(ISERROR(SEARCH("youtu",$J995)),"Link Channel bukan youtube","")),IF($K995="","Link Video kosong",IF(ISERROR(SEARCH("youtu",$K995)),"Link Video bukan youtube","")),IF($L995="","Tgl Dibuat kosong",IF(NOT(ISNUMBER($L995)),"Tgl Dibuat bukan tanggal","")),IF(AND($M995&lt;&gt;"",NOT(ISNUMBER($M995))),"Tgl Publish bukan tanggal",""),IF(AND(ISNUMBER($L995),ISNUMBER($M995),$M995&lt;$L995),"Tgl Publish &lt; Tgl buat",""),IF(TRIM($N995)="","Status kosong",IF(ISERROR(MATCH(TRIM($N995),{"Draft","Menunggu Review","Revisi","Terjadwal","Upload","Publish","Published","Batal"},0)),"Status di luar daftar","")))),""))</f>
        <v/>
      </c>
      <c r="S995" s="12">
        <f>IF(AND($A995&lt;&gt;"",$C995&lt;&gt;""),IF(COUNTIFS($A$2:$A$1000,$A995,$C$2:$C$1000,$C995)&gt;1,"DUPLICAT",""),"")</f>
        <v/>
      </c>
    </row>
    <row r="996">
      <c r="A996" s="17" t="n"/>
      <c r="B996" s="17" t="n"/>
      <c r="C996" s="17" t="n"/>
      <c r="D996" s="18" t="n"/>
      <c r="E996" s="17" t="n"/>
      <c r="F996" s="19" t="n"/>
      <c r="G996" s="17" t="n"/>
      <c r="H996" s="17" t="n"/>
      <c r="I996" s="17" t="n"/>
      <c r="J996" s="19" t="n"/>
      <c r="K996" s="19" t="n"/>
      <c r="L996" s="20" t="n"/>
      <c r="M996" s="20" t="n"/>
      <c r="N996" s="17" t="n"/>
      <c r="O996" s="17" t="n"/>
      <c r="P996" s="21">
        <f>IF(AND(ISNUMBER($L996),ISNUMBER($M996)),MAX(0,$M996-$L996),"")</f>
        <v/>
      </c>
      <c r="Q996" s="21">
        <f>IF(ISNUMBER($D996),MAX(0,TODAY()-$D996),"")</f>
        <v/>
      </c>
      <c r="R996" s="19">
        <f>IF(COUNTA($A996:$O996)=0,"",IFERROR(TRIM(TEXTJOIN(" | ",TRUE,IF($A996="","PC kosong",""),IF($C996="","Worker ID kosong",""),IF($D996="","Update Date kosong",IF(NOT(ISNUMBER($D996)),"Update Date bukan tanggal","")),IF($E996="","Song ID YT kosong",""),IF($F996="","Judul kosong",""),IF(TRIM($G996)="","",IF(ISERROR(MATCH(TRIM($G996),{"TuneCore","DistroKid","TooLost","SoundOn","Ditto","Believe","CD Baby","Amuse","Symphonic Distribution","ONErpm","RouteNote","LANDR","Horus Music","Indie"},0)),"Aggregator di luar daftar","")),IF(TRIM($H996)="","Genre kosong",IF((LEN(SUBSTITUTE(SUBSTITUTE(SUBSTITUTE(TRIM($H996),"/",","),";",",")," ",""))-LEN(SUBSTITUTE(SUBSTITUTE(SUBSTITUTE(SUBSTITUTE(TRIM($H996),"/",","),";",","),"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996),"/",","),";",",")," ","")&amp;",")))&lt;&gt;(LEN(SUBSTITUTE(SUBSTITUTE(SUBSTITUTE(TRIM($H996),"/",","),";",",")," ",""))-LEN(SUBSTITUTE(SUBSTITUTE(SUBSTITUTE(SUBSTITUTE(TRIM($H996),"/",","),";",",")," ",""),",",""))+1),"Genre di luar daftar",""))),IF($I996="","Nama Channel kosong",""),IF($J996="","Link Channel kosong",IF(ISERROR(SEARCH("youtu",$J996)),"Link Channel bukan youtube","")),IF($K996="","Link Video kosong",IF(ISERROR(SEARCH("youtu",$K996)),"Link Video bukan youtube","")),IF($L996="","Tgl Dibuat kosong",IF(NOT(ISNUMBER($L996)),"Tgl Dibuat bukan tanggal","")),IF(AND($M996&lt;&gt;"",NOT(ISNUMBER($M996))),"Tgl Publish bukan tanggal",""),IF(AND(ISNUMBER($L996),ISNUMBER($M996),$M996&lt;$L996),"Tgl Publish &lt; Tgl buat",""),IF(TRIM($N996)="","Status kosong",IF(ISERROR(MATCH(TRIM($N996),{"Draft","Menunggu Review","Revisi","Terjadwal","Upload","Publish","Published","Batal"},0)),"Status di luar daftar","")))),""))</f>
        <v/>
      </c>
      <c r="S996" s="17">
        <f>IF(AND($A996&lt;&gt;"",$C996&lt;&gt;""),IF(COUNTIFS($A$2:$A$1000,$A996,$C$2:$C$1000,$C996)&gt;1,"DUPLICAT",""),"")</f>
        <v/>
      </c>
    </row>
    <row r="997">
      <c r="A997" s="12" t="n"/>
      <c r="B997" s="12" t="n"/>
      <c r="C997" s="12" t="n"/>
      <c r="D997" s="13" t="n"/>
      <c r="E997" s="12" t="n"/>
      <c r="F997" s="14" t="n"/>
      <c r="G997" s="12" t="n"/>
      <c r="H997" s="12" t="n"/>
      <c r="I997" s="12" t="n"/>
      <c r="J997" s="14" t="n"/>
      <c r="K997" s="14" t="n"/>
      <c r="L997" s="15" t="n"/>
      <c r="M997" s="15" t="n"/>
      <c r="N997" s="12" t="n"/>
      <c r="O997" s="12" t="n"/>
      <c r="P997" s="16">
        <f>IF(AND(ISNUMBER($L997),ISNUMBER($M997)),MAX(0,$M997-$L997),"")</f>
        <v/>
      </c>
      <c r="Q997" s="16">
        <f>IF(ISNUMBER($D997),MAX(0,TODAY()-$D997),"")</f>
        <v/>
      </c>
      <c r="R997" s="14">
        <f>IF(COUNTA($A997:$O997)=0,"",IFERROR(TRIM(TEXTJOIN(" | ",TRUE,IF($A997="","PC kosong",""),IF($C997="","Worker ID kosong",""),IF($D997="","Update Date kosong",IF(NOT(ISNUMBER($D997)),"Update Date bukan tanggal","")),IF($E997="","Song ID YT kosong",""),IF($F997="","Judul kosong",""),IF(TRIM($G997)="","",IF(ISERROR(MATCH(TRIM($G997),{"TuneCore","DistroKid","TooLost","SoundOn","Ditto","Believe","CD Baby","Amuse","Symphonic Distribution","ONErpm","RouteNote","LANDR","Horus Music","Indie"},0)),"Aggregator di luar daftar","")),IF(TRIM($H997)="","Genre kosong",IF((LEN(SUBSTITUTE(SUBSTITUTE(SUBSTITUTE(TRIM($H997),"/",","),";",",")," ",""))-LEN(SUBSTITUTE(SUBSTITUTE(SUBSTITUTE(SUBSTITUTE(TRIM($H997),"/",","),";",","),"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997),"/",","),";",",")," ","")&amp;",")))&lt;&gt;(LEN(SUBSTITUTE(SUBSTITUTE(SUBSTITUTE(TRIM($H997),"/",","),";",",")," ",""))-LEN(SUBSTITUTE(SUBSTITUTE(SUBSTITUTE(SUBSTITUTE(TRIM($H997),"/",","),";",",")," ",""),",",""))+1),"Genre di luar daftar",""))),IF($I997="","Nama Channel kosong",""),IF($J997="","Link Channel kosong",IF(ISERROR(SEARCH("youtu",$J997)),"Link Channel bukan youtube","")),IF($K997="","Link Video kosong",IF(ISERROR(SEARCH("youtu",$K997)),"Link Video bukan youtube","")),IF($L997="","Tgl Dibuat kosong",IF(NOT(ISNUMBER($L997)),"Tgl Dibuat bukan tanggal","")),IF(AND($M997&lt;&gt;"",NOT(ISNUMBER($M997))),"Tgl Publish bukan tanggal",""),IF(AND(ISNUMBER($L997),ISNUMBER($M997),$M997&lt;$L997),"Tgl Publish &lt; Tgl buat",""),IF(TRIM($N997)="","Status kosong",IF(ISERROR(MATCH(TRIM($N997),{"Draft","Menunggu Review","Revisi","Terjadwal","Upload","Publish","Published","Batal"},0)),"Status di luar daftar","")))),""))</f>
        <v/>
      </c>
      <c r="S997" s="12">
        <f>IF(AND($A997&lt;&gt;"",$C997&lt;&gt;""),IF(COUNTIFS($A$2:$A$1000,$A997,$C$2:$C$1000,$C997)&gt;1,"DUPLICAT",""),"")</f>
        <v/>
      </c>
    </row>
    <row r="998">
      <c r="A998" s="17" t="n"/>
      <c r="B998" s="17" t="n"/>
      <c r="C998" s="17" t="n"/>
      <c r="D998" s="18" t="n"/>
      <c r="E998" s="17" t="n"/>
      <c r="F998" s="19" t="n"/>
      <c r="G998" s="17" t="n"/>
      <c r="H998" s="17" t="n"/>
      <c r="I998" s="17" t="n"/>
      <c r="J998" s="19" t="n"/>
      <c r="K998" s="19" t="n"/>
      <c r="L998" s="20" t="n"/>
      <c r="M998" s="20" t="n"/>
      <c r="N998" s="17" t="n"/>
      <c r="O998" s="17" t="n"/>
      <c r="P998" s="21">
        <f>IF(AND(ISNUMBER($L998),ISNUMBER($M998)),MAX(0,$M998-$L998),"")</f>
        <v/>
      </c>
      <c r="Q998" s="21">
        <f>IF(ISNUMBER($D998),MAX(0,TODAY()-$D998),"")</f>
        <v/>
      </c>
      <c r="R998" s="19">
        <f>IF(COUNTA($A998:$O998)=0,"",IFERROR(TRIM(TEXTJOIN(" | ",TRUE,IF($A998="","PC kosong",""),IF($C998="","Worker ID kosong",""),IF($D998="","Update Date kosong",IF(NOT(ISNUMBER($D998)),"Update Date bukan tanggal","")),IF($E998="","Song ID YT kosong",""),IF($F998="","Judul kosong",""),IF(TRIM($G998)="","",IF(ISERROR(MATCH(TRIM($G998),{"TuneCore","DistroKid","TooLost","SoundOn","Ditto","Believe","CD Baby","Amuse","Symphonic Distribution","ONErpm","RouteNote","LANDR","Horus Music","Indie"},0)),"Aggregator di luar daftar","")),IF(TRIM($H998)="","Genre kosong",IF((LEN(SUBSTITUTE(SUBSTITUTE(SUBSTITUTE(TRIM($H998),"/",","),";",",")," ",""))-LEN(SUBSTITUTE(SUBSTITUTE(SUBSTITUTE(SUBSTITUTE(TRIM($H998),"/",","),";",","),"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998),"/",","),";",",")," ","")&amp;",")))&lt;&gt;(LEN(SUBSTITUTE(SUBSTITUTE(SUBSTITUTE(TRIM($H998),"/",","),";",",")," ",""))-LEN(SUBSTITUTE(SUBSTITUTE(SUBSTITUTE(SUBSTITUTE(TRIM($H998),"/",","),";",",")," ",""),",",""))+1),"Genre di luar daftar",""))),IF($I998="","Nama Channel kosong",""),IF($J998="","Link Channel kosong",IF(ISERROR(SEARCH("youtu",$J998)),"Link Channel bukan youtube","")),IF($K998="","Link Video kosong",IF(ISERROR(SEARCH("youtu",$K998)),"Link Video bukan youtube","")),IF($L998="","Tgl Dibuat kosong",IF(NOT(ISNUMBER($L998)),"Tgl Dibuat bukan tanggal","")),IF(AND($M998&lt;&gt;"",NOT(ISNUMBER($M998))),"Tgl Publish bukan tanggal",""),IF(AND(ISNUMBER($L998),ISNUMBER($M998),$M998&lt;$L998),"Tgl Publish &lt; Tgl buat",""),IF(TRIM($N998)="","Status kosong",IF(ISERROR(MATCH(TRIM($N998),{"Draft","Menunggu Review","Revisi","Terjadwal","Upload","Publish","Published","Batal"},0)),"Status di luar daftar","")))),""))</f>
        <v/>
      </c>
      <c r="S998" s="17">
        <f>IF(AND($A998&lt;&gt;"",$C998&lt;&gt;""),IF(COUNTIFS($A$2:$A$1000,$A998,$C$2:$C$1000,$C998)&gt;1,"DUPLICAT",""),"")</f>
        <v/>
      </c>
    </row>
    <row r="999">
      <c r="A999" s="12" t="n"/>
      <c r="B999" s="12" t="n"/>
      <c r="C999" s="12" t="n"/>
      <c r="D999" s="13" t="n"/>
      <c r="E999" s="12" t="n"/>
      <c r="F999" s="14" t="n"/>
      <c r="G999" s="12" t="n"/>
      <c r="H999" s="12" t="n"/>
      <c r="I999" s="12" t="n"/>
      <c r="J999" s="14" t="n"/>
      <c r="K999" s="14" t="n"/>
      <c r="L999" s="15" t="n"/>
      <c r="M999" s="15" t="n"/>
      <c r="N999" s="12" t="n"/>
      <c r="O999" s="12" t="n"/>
      <c r="P999" s="16">
        <f>IF(AND(ISNUMBER($L999),ISNUMBER($M999)),MAX(0,$M999-$L999),"")</f>
        <v/>
      </c>
      <c r="Q999" s="16">
        <f>IF(ISNUMBER($D999),MAX(0,TODAY()-$D999),"")</f>
        <v/>
      </c>
      <c r="R999" s="14">
        <f>IF(COUNTA($A999:$O999)=0,"",IFERROR(TRIM(TEXTJOIN(" | ",TRUE,IF($A999="","PC kosong",""),IF($C999="","Worker ID kosong",""),IF($D999="","Update Date kosong",IF(NOT(ISNUMBER($D999)),"Update Date bukan tanggal","")),IF($E999="","Song ID YT kosong",""),IF($F999="","Judul kosong",""),IF(TRIM($G999)="","",IF(ISERROR(MATCH(TRIM($G999),{"TuneCore","DistroKid","TooLost","SoundOn","Ditto","Believe","CD Baby","Amuse","Symphonic Distribution","ONErpm","RouteNote","LANDR","Horus Music","Indie"},0)),"Aggregator di luar daftar","")),IF(TRIM($H999)="","Genre kosong",IF((LEN(SUBSTITUTE(SUBSTITUTE(SUBSTITUTE(TRIM($H999),"/",","),";",",")," ",""))-LEN(SUBSTITUTE(SUBSTITUTE(SUBSTITUTE(SUBSTITUTE(TRIM($H999),"/",","),";",","),"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999),"/",","),";",",")," ","")&amp;",")))&lt;&gt;(LEN(SUBSTITUTE(SUBSTITUTE(SUBSTITUTE(TRIM($H999),"/",","),";",",")," ",""))-LEN(SUBSTITUTE(SUBSTITUTE(SUBSTITUTE(SUBSTITUTE(TRIM($H999),"/",","),";",",")," ",""),",",""))+1),"Genre di luar daftar",""))),IF($I999="","Nama Channel kosong",""),IF($J999="","Link Channel kosong",IF(ISERROR(SEARCH("youtu",$J999)),"Link Channel bukan youtube","")),IF($K999="","Link Video kosong",IF(ISERROR(SEARCH("youtu",$K999)),"Link Video bukan youtube","")),IF($L999="","Tgl Dibuat kosong",IF(NOT(ISNUMBER($L999)),"Tgl Dibuat bukan tanggal","")),IF(AND($M999&lt;&gt;"",NOT(ISNUMBER($M999))),"Tgl Publish bukan tanggal",""),IF(AND(ISNUMBER($L999),ISNUMBER($M999),$M999&lt;$L999),"Tgl Publish &lt; Tgl buat",""),IF(TRIM($N999)="","Status kosong",IF(ISERROR(MATCH(TRIM($N999),{"Draft","Menunggu Review","Revisi","Terjadwal","Upload","Publish","Published","Batal"},0)),"Status di luar daftar","")))),""))</f>
        <v/>
      </c>
      <c r="S999" s="12">
        <f>IF(AND($A999&lt;&gt;"",$C999&lt;&gt;""),IF(COUNTIFS($A$2:$A$1000,$A999,$C$2:$C$1000,$C999)&gt;1,"DUPLICAT",""),"")</f>
        <v/>
      </c>
    </row>
    <row r="1000">
      <c r="A1000" s="17" t="n"/>
      <c r="B1000" s="17" t="n"/>
      <c r="C1000" s="17" t="n"/>
      <c r="D1000" s="18" t="n"/>
      <c r="E1000" s="17" t="n"/>
      <c r="F1000" s="19" t="n"/>
      <c r="G1000" s="17" t="n"/>
      <c r="H1000" s="17" t="n"/>
      <c r="I1000" s="17" t="n"/>
      <c r="J1000" s="19" t="n"/>
      <c r="K1000" s="19" t="n"/>
      <c r="L1000" s="20" t="n"/>
      <c r="M1000" s="20" t="n"/>
      <c r="N1000" s="17" t="n"/>
      <c r="O1000" s="17" t="n"/>
      <c r="P1000" s="21">
        <f>IF(AND(ISNUMBER($L1000),ISNUMBER($M1000)),MAX(0,$M1000-$L1000),"")</f>
        <v/>
      </c>
      <c r="Q1000" s="21">
        <f>IF(ISNUMBER($D1000),MAX(0,TODAY()-$D1000),"")</f>
        <v/>
      </c>
      <c r="R1000" s="19">
        <f>IF(COUNTA($A1000:$O1000)=0,"",IFERROR(TRIM(TEXTJOIN(" | ",TRUE,IF($A1000="","PC kosong",""),IF($C1000="","Worker ID kosong",""),IF($D1000="","Update Date kosong",IF(NOT(ISNUMBER($D1000)),"Update Date bukan tanggal","")),IF($E1000="","Song ID YT kosong",""),IF($F1000="","Judul kosong",""),IF(TRIM($G1000)="","",IF(ISERROR(MATCH(TRIM($G1000),{"TuneCore","DistroKid","TooLost","SoundOn","Ditto","Believe","CD Baby","Amuse","Symphonic Distribution","ONErpm","RouteNote","LANDR","Horus Music","Indie"},0)),"Aggregator di luar daftar","")),IF(TRIM($H1000)="","Genre kosong",IF((LEN(SUBSTITUTE(SUBSTITUTE(SUBSTITUTE(TRIM($H1000),"/",","),";",",")," ",""))-LEN(SUBSTITUTE(SUBSTITUTE(SUBSTITUTE(SUBSTITUTE(TRIM($H1000),"/",","),";",","),"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H1000),"/",","),";",",")," ","")&amp;",")))&lt;&gt;(LEN(SUBSTITUTE(SUBSTITUTE(SUBSTITUTE(TRIM($H1000),"/",","),";",",")," ",""))-LEN(SUBSTITUTE(SUBSTITUTE(SUBSTITUTE(SUBSTITUTE(TRIM($H1000),"/",","),";",",")," ",""),",",""))+1),"Genre di luar daftar",""))),IF($I1000="","Nama Channel kosong",""),IF($J1000="","Link Channel kosong",IF(ISERROR(SEARCH("youtu",$J1000)),"Link Channel bukan youtube","")),IF($K1000="","Link Video kosong",IF(ISERROR(SEARCH("youtu",$K1000)),"Link Video bukan youtube","")),IF($L1000="","Tgl Dibuat kosong",IF(NOT(ISNUMBER($L1000)),"Tgl Dibuat bukan tanggal","")),IF(AND($M1000&lt;&gt;"",NOT(ISNUMBER($M1000))),"Tgl Publish bukan tanggal",""),IF(AND(ISNUMBER($L1000),ISNUMBER($M1000),$M1000&lt;$L1000),"Tgl Publish &lt; Tgl buat",""),IF(TRIM($N1000)="","Status kosong",IF(ISERROR(MATCH(TRIM($N1000),{"Draft","Menunggu Review","Revisi","Terjadwal","Upload","Publish","Published","Batal"},0)),"Status di luar daftar","")))),""))</f>
        <v/>
      </c>
      <c r="S1000" s="17">
        <f>IF(AND($A1000&lt;&gt;"",$C1000&lt;&gt;""),IF(COUNTIFS($A$2:$A$1000,$A1000,$C$2:$C$1000,$C1000)&gt;1,"DUPLICAT",""),"")</f>
        <v/>
      </c>
    </row>
  </sheetData>
  <autoFilter ref="A1:S1001"/>
  <dataValidations count="4">
    <dataValidation sqref="A2:A1000" showDropDown="0" showInputMessage="0" showErrorMessage="1" allowBlank="0" errorTitle="PC tidak valid" error="Pilih salah satu: PC 01, PC 02, PC 03, PC 04, PC 05, PC 06, PC 07, PC 08, PC 09, PC 10, PC 11, PC 12" type="list">
      <formula1>"PC 01,PC 02,PC 03,PC 04,PC 05,PC 06,PC 07,PC 08,PC 09,PC 10,PC 11,PC 12"</formula1>
    </dataValidation>
    <dataValidation sqref="N2:N1000" showDropDown="0" showInputMessage="0" showErrorMessage="1" allowBlank="1" errorTitle="Status tidak valid" error="Pilih dari: Draft, Menunggu Review, Revisi, Terjadwal, Upload, Publish, Published, Batal" type="list">
      <formula1>"Draft,Menunggu Review,Revisi,Terjadwal,Upload,Publish,Published,Batal"</formula1>
    </dataValidation>
    <dataValidation sqref="G2:G1000" showDropDown="0" showInputMessage="0" showErrorMessage="1" allowBlank="1" errorTitle="Aggregator tidak valid" error="Pilih dari: TuneCore, DistroKid, TooLost, SoundOn, Ditto, Believe, CD Baby, Amuse, Symphonic Distribution, ONErpm, RouteNote, LANDR, Horus Music, Indie" type="list">
      <formula1>"TuneCore,DistroKid,TooLost,SoundOn,Ditto,Believe,CD Baby,Amuse,Symphonic Distribution,ONErpm,RouteNote,LANDR,Horus Music,Indie"</formula1>
    </dataValidation>
    <dataValidation sqref="H2:H1000" showDropDown="0" showInputMessage="0" showErrorMessage="1" allowBlank="1" errorTitle="Genre tidak valid" error="Pilih 1-2 genre dari daftar; pisahkan dengan koma." type="custom">
      <formula1>=OR(TRIM(H2)="",AND((LEN(SUBSTITUTE(SUBSTITUTE(SUBSTITUTE(TRIM(H2),"/",","),";",",")," ",""))-LEN(SUBSTITUTE(SUBSTITUTE(SUBSTITUTE(SUBSTITUTE(TRIM(H2),"/",","),";",",")," ",""),",",""))+1)&lt;=2,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H2),"/",","),";",",")," ","")&amp;",")))=(LEN(SUBSTITUTE(SUBSTITUTE(SUBSTITUTE(TRIM(H2),"/",","),";",",")," ",""))-LEN(SUBSTITUTE(SUBSTITUTE(SUBSTITUTE(SUBSTITUTE(TRIM(H2),"/",","),";",",")," ",""),",",""))+1)))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D81B60"/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14" customWidth="1" style="25" min="2" max="2"/>
    <col width="16" customWidth="1" style="25" min="3" max="3"/>
    <col width="34" customWidth="1" style="25" min="4" max="4"/>
    <col width="22" customWidth="1" style="25" min="5" max="5"/>
    <col width="36" customWidth="1" style="25" min="6" max="6"/>
    <col width="16" customWidth="1" style="25" min="7" max="7"/>
    <col width="18" customWidth="1" style="25" min="8" max="8"/>
    <col width="20" customWidth="1" style="25" min="9" max="9"/>
  </cols>
  <sheetData>
    <row r="1" ht="32" customHeight="1" s="25">
      <c r="A1" s="4" t="inlineStr">
        <is>
          <t>PC</t>
        </is>
      </c>
      <c r="B1" s="4" t="inlineStr">
        <is>
          <t>Worker ID</t>
        </is>
      </c>
      <c r="C1" s="4" t="inlineStr">
        <is>
          <t>Song ID YT</t>
        </is>
      </c>
      <c r="D1" s="4" t="inlineStr">
        <is>
          <t>Judul Lagu Kompilasi</t>
        </is>
      </c>
      <c r="E1" s="4" t="inlineStr">
        <is>
          <t>Nama Channel</t>
        </is>
      </c>
      <c r="F1" s="4" t="inlineStr">
        <is>
          <t>Link Video YT</t>
        </is>
      </c>
      <c r="G1" s="4" t="inlineStr">
        <is>
          <t>Status Upload</t>
        </is>
      </c>
      <c r="H1" s="4" t="inlineStr">
        <is>
          <t>Tanggal Video Dibuat</t>
        </is>
      </c>
      <c r="I1" s="4" t="inlineStr">
        <is>
          <t>Tanggal Video Dipublish</t>
        </is>
      </c>
    </row>
    <row r="2">
      <c r="A2" s="17" t="inlineStr">
        <is>
          <t>PC 01</t>
        </is>
      </c>
      <c r="B2" s="17" t="inlineStr">
        <is>
          <t>W01</t>
        </is>
      </c>
      <c r="C2" s="17" t="inlineStr">
        <is>
          <t>W01-16102026-001</t>
        </is>
      </c>
      <c r="D2" s="19" t="inlineStr">
        <is>
          <t>PLAN B</t>
        </is>
      </c>
      <c r="E2" s="19" t="inlineStr">
        <is>
          <t>MOONELLE</t>
        </is>
      </c>
      <c r="F2" s="19" t="inlineStr">
        <is>
          <t>https://youtu.be/bI8jj576Pdg?si=L99J46Ek0fErrnfT</t>
        </is>
      </c>
      <c r="G2" s="17" t="inlineStr">
        <is>
          <t>Upload</t>
        </is>
      </c>
      <c r="H2" s="20" t="n">
        <v>46311</v>
      </c>
      <c r="I2" s="20" t="n">
        <v>46311</v>
      </c>
    </row>
    <row r="3">
      <c r="A3" s="12" t="inlineStr">
        <is>
          <t>PC 01</t>
        </is>
      </c>
      <c r="B3" s="12" t="n"/>
      <c r="C3" s="12" t="inlineStr">
        <is>
          <t>W01-17102016-001</t>
        </is>
      </c>
      <c r="D3" s="14" t="inlineStr">
        <is>
          <t>SHMPHONY OF US</t>
        </is>
      </c>
      <c r="E3" s="14" t="inlineStr">
        <is>
          <t>MOONELLE</t>
        </is>
      </c>
      <c r="F3" s="14" t="inlineStr">
        <is>
          <t>https://youtu.be/eUdT66_D1G0?si=1C5oFfeh3sLXcBwe</t>
        </is>
      </c>
      <c r="G3" s="12" t="inlineStr">
        <is>
          <t>Upload</t>
        </is>
      </c>
      <c r="H3" s="15" t="n">
        <v>46312</v>
      </c>
      <c r="I3" s="15" t="n"/>
    </row>
    <row r="4">
      <c r="A4" s="17" t="inlineStr">
        <is>
          <t>PC 01</t>
        </is>
      </c>
      <c r="B4" s="17" t="n"/>
      <c r="C4" s="17" t="inlineStr">
        <is>
          <t>W01-17102016-002</t>
        </is>
      </c>
      <c r="D4" s="19" t="inlineStr">
        <is>
          <t>WAITING IN THE WINGS</t>
        </is>
      </c>
      <c r="E4" s="19" t="inlineStr">
        <is>
          <t>MOONELLE</t>
        </is>
      </c>
      <c r="F4" s="19" t="inlineStr">
        <is>
          <t>https://youtu.be/mvnZCMT6OKA?si=cvLDQ2J0LoJeBFI7</t>
        </is>
      </c>
      <c r="G4" s="17" t="n"/>
      <c r="H4" s="20" t="n"/>
      <c r="I4" s="20" t="n"/>
    </row>
    <row r="5">
      <c r="A5" s="12" t="inlineStr">
        <is>
          <t>PC 01</t>
        </is>
      </c>
      <c r="B5" s="12" t="n"/>
      <c r="C5" s="12" t="inlineStr">
        <is>
          <t>W01-19102026-001</t>
        </is>
      </c>
      <c r="D5" s="14" t="inlineStr">
        <is>
          <t>HALLWAY MEMORIES</t>
        </is>
      </c>
      <c r="E5" s="14" t="inlineStr">
        <is>
          <t>MOONELLE</t>
        </is>
      </c>
      <c r="F5" s="14" t="inlineStr">
        <is>
          <t>https://youtu.be/V8Sq6eCqMHY?si=zDsf9y_PpiLsjJK1</t>
        </is>
      </c>
      <c r="G5" s="12" t="n"/>
      <c r="H5" s="15" t="n"/>
      <c r="I5" s="15" t="n"/>
    </row>
    <row r="6">
      <c r="A6" s="17" t="inlineStr">
        <is>
          <t>PC 01</t>
        </is>
      </c>
      <c r="B6" s="17" t="n"/>
      <c r="C6" s="17" t="inlineStr">
        <is>
          <t>W01-19102026-003</t>
        </is>
      </c>
      <c r="D6" s="19" t="inlineStr">
        <is>
          <t>HIGH ABOVE THE NOISE</t>
        </is>
      </c>
      <c r="E6" s="19" t="inlineStr">
        <is>
          <t>MOONELLE</t>
        </is>
      </c>
      <c r="F6" s="19" t="inlineStr">
        <is>
          <t>https://youtu.be/Q9IxyuhXOvU?si=iEY5l_dq_2MAw08G</t>
        </is>
      </c>
      <c r="G6" s="17" t="n"/>
      <c r="H6" s="20" t="n"/>
      <c r="I6" s="20" t="n"/>
    </row>
    <row r="7">
      <c r="A7" s="12" t="inlineStr">
        <is>
          <t>PC 01</t>
        </is>
      </c>
      <c r="B7" s="12" t="n"/>
      <c r="C7" s="12" t="inlineStr">
        <is>
          <t>W01-19102026-005</t>
        </is>
      </c>
      <c r="D7" s="14" t="inlineStr">
        <is>
          <t>LIITLE STAR IN MY ARMS</t>
        </is>
      </c>
      <c r="E7" s="14" t="inlineStr">
        <is>
          <t>MOONELLE</t>
        </is>
      </c>
      <c r="F7" s="14" t="inlineStr">
        <is>
          <t>https://youtu.be/sTsYW0sN8V8?si=D1lH7t1qnXGGPgcw</t>
        </is>
      </c>
      <c r="G7" s="12" t="n"/>
      <c r="H7" s="15" t="n"/>
      <c r="I7" s="15" t="n"/>
    </row>
    <row r="8">
      <c r="A8" s="17" t="inlineStr">
        <is>
          <t>PC 01</t>
        </is>
      </c>
      <c r="B8" s="17" t="n"/>
      <c r="C8" s="17" t="inlineStr">
        <is>
          <t>W01-20102026-001</t>
        </is>
      </c>
      <c r="D8" s="19" t="inlineStr">
        <is>
          <t>BLOOM</t>
        </is>
      </c>
      <c r="E8" s="19" t="inlineStr">
        <is>
          <t>MOONELLE</t>
        </is>
      </c>
      <c r="F8" s="19" t="inlineStr">
        <is>
          <t>https://youtu.be/XsJ1rfBIhxg?si=BTsceuMqheDDWgCG</t>
        </is>
      </c>
      <c r="G8" s="17" t="n"/>
      <c r="H8" s="20" t="n"/>
      <c r="I8" s="20" t="n"/>
    </row>
    <row r="9">
      <c r="A9" s="12" t="inlineStr">
        <is>
          <t>PC 01</t>
        </is>
      </c>
      <c r="B9" s="12" t="n"/>
      <c r="C9" s="12" t="n"/>
      <c r="D9" s="14" t="inlineStr">
        <is>
          <t>DANCING IN THE DRIZZLE</t>
        </is>
      </c>
      <c r="E9" s="14" t="inlineStr">
        <is>
          <t>MOONELLE</t>
        </is>
      </c>
      <c r="F9" s="14" t="inlineStr">
        <is>
          <t>https://youtu.be/avl-KInETVs?si=xa27wpZyqZwv1CdD</t>
        </is>
      </c>
      <c r="G9" s="12" t="n"/>
      <c r="H9" s="15" t="n"/>
      <c r="I9" s="15" t="n"/>
    </row>
    <row r="10">
      <c r="A10" s="17" t="inlineStr">
        <is>
          <t>PC 01</t>
        </is>
      </c>
      <c r="B10" s="17" t="n"/>
      <c r="C10" s="17" t="n"/>
      <c r="D10" s="19" t="inlineStr">
        <is>
          <t>KNOT MY CHEST</t>
        </is>
      </c>
      <c r="E10" s="19" t="inlineStr">
        <is>
          <t>MOONELLE</t>
        </is>
      </c>
      <c r="F10" s="19" t="inlineStr">
        <is>
          <t>https://youtu.be/zvyVbevsE3k?si=_ee8YEc2E327Xd-7</t>
        </is>
      </c>
      <c r="G10" s="17" t="n"/>
      <c r="H10" s="20" t="n"/>
      <c r="I10" s="20" t="n"/>
    </row>
    <row r="11">
      <c r="A11" s="12" t="inlineStr">
        <is>
          <t>PC 09</t>
        </is>
      </c>
      <c r="B11" s="12" t="inlineStr">
        <is>
          <t>PC18-0001</t>
        </is>
      </c>
      <c r="C11" s="12" t="inlineStr">
        <is>
          <t>W18 -23102026-001</t>
        </is>
      </c>
      <c r="D11" s="14" t="inlineStr">
        <is>
          <t>Borrowed Library Silence</t>
        </is>
      </c>
      <c r="E11" s="14" t="inlineStr">
        <is>
          <t>Kade Valen</t>
        </is>
      </c>
      <c r="F11" s="14" t="inlineStr">
        <is>
          <t>https://youtu.be/2jFFvQX0pNo?si=Wbs7qnbUcStGSg5i</t>
        </is>
      </c>
      <c r="G11" s="12" t="inlineStr">
        <is>
          <t>Published</t>
        </is>
      </c>
      <c r="H11" s="15" t="n">
        <v>46304</v>
      </c>
      <c r="I11" s="15" t="n">
        <v>46311</v>
      </c>
    </row>
    <row r="12">
      <c r="A12" s="17" t="inlineStr">
        <is>
          <t>PC 09</t>
        </is>
      </c>
      <c r="B12" s="17" t="inlineStr">
        <is>
          <t>PC18-0002</t>
        </is>
      </c>
      <c r="C12" s="17" t="inlineStr">
        <is>
          <t>W18 -23102026-002</t>
        </is>
      </c>
      <c r="D12" s="19" t="inlineStr">
        <is>
          <t>An Apology from Next Tuesday</t>
        </is>
      </c>
      <c r="E12" s="19" t="inlineStr">
        <is>
          <t>Kade Valen</t>
        </is>
      </c>
      <c r="F12" s="19" t="inlineStr">
        <is>
          <t>https://youtu.be/dThJRAp80q4?si=eyncqnNYapdvYNvL</t>
        </is>
      </c>
      <c r="G12" s="17" t="inlineStr">
        <is>
          <t>Published</t>
        </is>
      </c>
      <c r="H12" s="20" t="n">
        <v>46304</v>
      </c>
      <c r="I12" s="20" t="n">
        <v>46314</v>
      </c>
    </row>
    <row r="13">
      <c r="A13" s="12" t="inlineStr">
        <is>
          <t>PC 09</t>
        </is>
      </c>
      <c r="B13" s="12" t="inlineStr">
        <is>
          <t>PC18-0003</t>
        </is>
      </c>
      <c r="C13" s="12" t="inlineStr">
        <is>
          <t>W18 -23102026-003</t>
        </is>
      </c>
      <c r="D13" s="14" t="inlineStr">
        <is>
          <t>Honest Mistake</t>
        </is>
      </c>
      <c r="E13" s="14" t="inlineStr">
        <is>
          <t>Kade Valen</t>
        </is>
      </c>
      <c r="F13" s="14" t="inlineStr">
        <is>
          <t>https://youtu.be/8qZ9g0PENVU?si=bOOwn_UrvTb-IjZL</t>
        </is>
      </c>
      <c r="G13" s="12" t="inlineStr">
        <is>
          <t>Published</t>
        </is>
      </c>
      <c r="H13" s="15" t="n">
        <v>46304</v>
      </c>
      <c r="I13" s="15" t="n">
        <v>46314</v>
      </c>
    </row>
    <row r="14">
      <c r="A14" s="17" t="inlineStr">
        <is>
          <t>PC 09</t>
        </is>
      </c>
      <c r="B14" s="17" t="inlineStr">
        <is>
          <t>PC18-0004</t>
        </is>
      </c>
      <c r="C14" s="17" t="inlineStr">
        <is>
          <t>W18 -23102026-004</t>
        </is>
      </c>
      <c r="D14" s="19" t="inlineStr">
        <is>
          <t>Common Ground</t>
        </is>
      </c>
      <c r="E14" s="19" t="inlineStr">
        <is>
          <t>Kade Valen</t>
        </is>
      </c>
      <c r="F14" s="19" t="inlineStr">
        <is>
          <t>https://youtu.be/uFvUzYAzGv4?si=96iq0yXAxXWXRbcK</t>
        </is>
      </c>
      <c r="G14" s="17" t="inlineStr">
        <is>
          <t>Published</t>
        </is>
      </c>
      <c r="H14" s="20" t="n">
        <v>46304</v>
      </c>
      <c r="I14" s="20" t="n">
        <v>46314</v>
      </c>
    </row>
    <row r="15">
      <c r="A15" s="12" t="inlineStr">
        <is>
          <t>PC 09</t>
        </is>
      </c>
      <c r="B15" s="12" t="inlineStr">
        <is>
          <t>PC18-0005</t>
        </is>
      </c>
      <c r="C15" s="12" t="inlineStr">
        <is>
          <t>W18 -23102026-005</t>
        </is>
      </c>
      <c r="D15" s="14" t="inlineStr">
        <is>
          <t>Gravity Well</t>
        </is>
      </c>
      <c r="E15" s="14" t="inlineStr">
        <is>
          <t>Kade Valen</t>
        </is>
      </c>
      <c r="F15" s="14" t="inlineStr">
        <is>
          <t>https://youtu.be/x8ox5nPhrP4?si=lBvl3FPxmRjrMc1l</t>
        </is>
      </c>
      <c r="G15" s="12" t="inlineStr">
        <is>
          <t>Published</t>
        </is>
      </c>
      <c r="H15" s="15" t="n">
        <v>46304</v>
      </c>
      <c r="I15" s="15" t="n">
        <v>46314</v>
      </c>
    </row>
    <row r="16">
      <c r="A16" s="17" t="inlineStr">
        <is>
          <t>PC 09</t>
        </is>
      </c>
      <c r="B16" s="17" t="inlineStr">
        <is>
          <t>PC18-0006</t>
        </is>
      </c>
      <c r="C16" s="17" t="inlineStr">
        <is>
          <t>W18 -23102026-006</t>
        </is>
      </c>
      <c r="D16" s="19" t="inlineStr">
        <is>
          <t>Right of Way</t>
        </is>
      </c>
      <c r="E16" s="19" t="inlineStr">
        <is>
          <t>Kade Valen</t>
        </is>
      </c>
      <c r="F16" s="19" t="inlineStr">
        <is>
          <t>https://youtu.be/oAfSK_ToUw4?si=bKjD_2PvqR7rdWQB</t>
        </is>
      </c>
      <c r="G16" s="17" t="inlineStr">
        <is>
          <t>Published</t>
        </is>
      </c>
      <c r="H16" s="20" t="n">
        <v>46304</v>
      </c>
      <c r="I16" s="20" t="n">
        <v>46315</v>
      </c>
    </row>
    <row r="17">
      <c r="A17" s="12" t="inlineStr">
        <is>
          <t>PC 09</t>
        </is>
      </c>
      <c r="B17" s="12" t="inlineStr">
        <is>
          <t>PC18-0007</t>
        </is>
      </c>
      <c r="C17" s="12" t="inlineStr">
        <is>
          <t>W18 -23102026-007</t>
        </is>
      </c>
      <c r="D17" s="14" t="inlineStr">
        <is>
          <t>Magnetic Field</t>
        </is>
      </c>
      <c r="E17" s="14" t="inlineStr">
        <is>
          <t>Kade Valen</t>
        </is>
      </c>
      <c r="F17" s="14" t="inlineStr">
        <is>
          <t>https://youtu.be/6ANvV0_KhNE?si=PD-VrK7Cw2YAkfqF</t>
        </is>
      </c>
      <c r="G17" s="12" t="inlineStr">
        <is>
          <t>Published</t>
        </is>
      </c>
      <c r="H17" s="15" t="n">
        <v>46304</v>
      </c>
      <c r="I17" s="15" t="n">
        <v>46315</v>
      </c>
    </row>
    <row r="18">
      <c r="A18" s="17" t="inlineStr">
        <is>
          <t>PC 09</t>
        </is>
      </c>
      <c r="B18" s="17" t="inlineStr">
        <is>
          <t>PC18-0008</t>
        </is>
      </c>
      <c r="C18" s="17" t="inlineStr">
        <is>
          <t>W18 -23102026-008</t>
        </is>
      </c>
      <c r="D18" s="19" t="inlineStr">
        <is>
          <t>Headwind</t>
        </is>
      </c>
      <c r="E18" s="19" t="inlineStr">
        <is>
          <t>Kade Valen</t>
        </is>
      </c>
      <c r="F18" s="19" t="inlineStr">
        <is>
          <t>https://youtu.be/Oyi7mUFtaQQ?si=jkq7H3dE_qo0K3X8</t>
        </is>
      </c>
      <c r="G18" s="17" t="inlineStr">
        <is>
          <t>Published</t>
        </is>
      </c>
      <c r="H18" s="20" t="n">
        <v>46304</v>
      </c>
      <c r="I18" s="20" t="n">
        <v>46315</v>
      </c>
    </row>
    <row r="19">
      <c r="A19" s="12" t="inlineStr">
        <is>
          <t>PC 09</t>
        </is>
      </c>
      <c r="B19" s="12" t="inlineStr">
        <is>
          <t>PC18-0009</t>
        </is>
      </c>
      <c r="C19" s="12" t="inlineStr">
        <is>
          <t>W18 -23102026-009</t>
        </is>
      </c>
      <c r="D19" s="14" t="inlineStr">
        <is>
          <t>Seed Bank</t>
        </is>
      </c>
      <c r="E19" s="14" t="inlineStr">
        <is>
          <t>Kade Valen</t>
        </is>
      </c>
      <c r="F19" s="14" t="inlineStr">
        <is>
          <t>https://youtu.be/uJH1V6L8mLw?si=TUZG9aIBg7b_eb78</t>
        </is>
      </c>
      <c r="G19" s="12" t="inlineStr">
        <is>
          <t>Published</t>
        </is>
      </c>
      <c r="H19" s="15" t="n">
        <v>46304</v>
      </c>
      <c r="I19" s="15" t="n">
        <v>46315</v>
      </c>
    </row>
    <row r="20">
      <c r="A20" s="17" t="inlineStr">
        <is>
          <t>PC 09</t>
        </is>
      </c>
      <c r="B20" s="17" t="inlineStr">
        <is>
          <t>PC18-0010</t>
        </is>
      </c>
      <c r="C20" s="17" t="inlineStr">
        <is>
          <t>W18 -23102026-010</t>
        </is>
      </c>
      <c r="D20" s="19" t="inlineStr">
        <is>
          <t>Pergola</t>
        </is>
      </c>
      <c r="E20" s="19" t="inlineStr">
        <is>
          <t>Kade Valen</t>
        </is>
      </c>
      <c r="F20" s="19" t="inlineStr">
        <is>
          <t>https://youtu.be/KMboLJ1TqKs?si=84_voqFwOPiYpCKV</t>
        </is>
      </c>
      <c r="G20" s="17" t="inlineStr">
        <is>
          <t>Published</t>
        </is>
      </c>
      <c r="H20" s="20" t="n">
        <v>46304</v>
      </c>
      <c r="I20" s="20" t="n">
        <v>46315</v>
      </c>
    </row>
    <row r="21">
      <c r="A21" s="12" t="inlineStr">
        <is>
          <t>PC 09</t>
        </is>
      </c>
      <c r="B21" s="12" t="inlineStr">
        <is>
          <t>PC18-0011</t>
        </is>
      </c>
      <c r="C21" s="12" t="inlineStr">
        <is>
          <t>W18 -23102026-011</t>
        </is>
      </c>
      <c r="D21" s="14" t="inlineStr">
        <is>
          <t>Static Screen Goodnight</t>
        </is>
      </c>
      <c r="E21" s="14" t="inlineStr">
        <is>
          <t>Kade Valen</t>
        </is>
      </c>
      <c r="F21" s="14" t="inlineStr">
        <is>
          <t>https://youtu.be/16WKdck3od4?si=JNOz9TiAA07BCLX3</t>
        </is>
      </c>
      <c r="G21" s="12" t="inlineStr">
        <is>
          <t>Published</t>
        </is>
      </c>
      <c r="H21" s="15" t="n">
        <v>46304</v>
      </c>
      <c r="I21" s="15" t="n">
        <v>46316</v>
      </c>
    </row>
    <row r="22">
      <c r="A22" s="17" t="inlineStr">
        <is>
          <t>PC 09</t>
        </is>
      </c>
      <c r="B22" s="17" t="inlineStr">
        <is>
          <t>PC18-0012</t>
        </is>
      </c>
      <c r="C22" s="17" t="inlineStr">
        <is>
          <t>W18 -23102026-012</t>
        </is>
      </c>
      <c r="D22" s="19" t="inlineStr">
        <is>
          <t>Sized Constellations</t>
        </is>
      </c>
      <c r="E22" s="19" t="inlineStr">
        <is>
          <t>Kade Valen</t>
        </is>
      </c>
      <c r="F22" s="19" t="inlineStr">
        <is>
          <t>https://youtu.be/_Ivq2u047GY?si=2qDaFM7sORWVEpsw</t>
        </is>
      </c>
      <c r="G22" s="17" t="inlineStr">
        <is>
          <t>Published</t>
        </is>
      </c>
      <c r="H22" s="20" t="n">
        <v>46305</v>
      </c>
      <c r="I22" s="20" t="n">
        <v>46316</v>
      </c>
    </row>
    <row r="23">
      <c r="A23" s="12" t="inlineStr">
        <is>
          <t>PC 09</t>
        </is>
      </c>
      <c r="B23" s="12" t="inlineStr">
        <is>
          <t>PC18-0013</t>
        </is>
      </c>
      <c r="C23" s="12" t="inlineStr">
        <is>
          <t>W18 -23102026-013</t>
        </is>
      </c>
      <c r="D23" s="14" t="inlineStr">
        <is>
          <t>My Childhood in the Trunk</t>
        </is>
      </c>
      <c r="E23" s="14" t="inlineStr">
        <is>
          <t>Kade Valen</t>
        </is>
      </c>
      <c r="F23" s="14" t="inlineStr">
        <is>
          <t>https://youtu.be/zv5l1nw2vBk?si=d6yrxRmoOyhLmVMf</t>
        </is>
      </c>
      <c r="G23" s="12" t="inlineStr">
        <is>
          <t>Published</t>
        </is>
      </c>
      <c r="H23" s="15" t="n">
        <v>46305</v>
      </c>
      <c r="I23" s="15" t="n">
        <v>46316</v>
      </c>
    </row>
    <row r="24">
      <c r="A24" s="17" t="inlineStr">
        <is>
          <t>PC 09</t>
        </is>
      </c>
      <c r="B24" s="17" t="inlineStr">
        <is>
          <t>PC18-0014</t>
        </is>
      </c>
      <c r="C24" s="17" t="inlineStr">
        <is>
          <t>W18 -23102026-014</t>
        </is>
      </c>
      <c r="D24" s="19" t="inlineStr">
        <is>
          <t>Cassette Tape Confessions</t>
        </is>
      </c>
      <c r="E24" s="19" t="inlineStr">
        <is>
          <t>Kade Valen</t>
        </is>
      </c>
      <c r="F24" s="19" t="inlineStr">
        <is>
          <t>https://youtu.be/CeoSggoVGuA?si=kqpkl8QiQ8wHImWn</t>
        </is>
      </c>
      <c r="G24" s="17" t="inlineStr">
        <is>
          <t>Published</t>
        </is>
      </c>
      <c r="H24" s="20" t="n">
        <v>46305</v>
      </c>
      <c r="I24" s="20" t="n">
        <v>46316</v>
      </c>
    </row>
    <row r="25">
      <c r="A25" s="12" t="inlineStr">
        <is>
          <t>PC 09</t>
        </is>
      </c>
      <c r="B25" s="12" t="inlineStr">
        <is>
          <t>PC18-0015</t>
        </is>
      </c>
      <c r="C25" s="12" t="inlineStr">
        <is>
          <t>W18 -23102026-015</t>
        </is>
      </c>
      <c r="D25" s="14" t="inlineStr">
        <is>
          <t>Greenhouse Effect</t>
        </is>
      </c>
      <c r="E25" s="14" t="inlineStr">
        <is>
          <t>Kade Valen</t>
        </is>
      </c>
      <c r="F25" s="14" t="inlineStr">
        <is>
          <t>https://youtu.be/1AdYy6c2HZc?si=JXnhMucNFA4d8u0O</t>
        </is>
      </c>
      <c r="G25" s="12" t="inlineStr">
        <is>
          <t>Published</t>
        </is>
      </c>
      <c r="H25" s="15" t="n">
        <v>46305</v>
      </c>
      <c r="I25" s="15" t="n">
        <v>46316</v>
      </c>
    </row>
    <row r="26">
      <c r="A26" s="17" t="inlineStr">
        <is>
          <t>PC 09</t>
        </is>
      </c>
      <c r="B26" s="17" t="inlineStr">
        <is>
          <t>PC18-0016</t>
        </is>
      </c>
      <c r="C26" s="17" t="inlineStr">
        <is>
          <t>W18 -23102026-016</t>
        </is>
      </c>
      <c r="D26" s="19" t="inlineStr">
        <is>
          <t>Platform Nine</t>
        </is>
      </c>
      <c r="E26" s="19" t="inlineStr">
        <is>
          <t>Kade Valen</t>
        </is>
      </c>
      <c r="F26" s="19" t="inlineStr">
        <is>
          <t>https://youtu.be/ml6R2e8IBWo?si=BaJlBuCxBS7jB3au</t>
        </is>
      </c>
      <c r="G26" s="17" t="inlineStr">
        <is>
          <t>Published</t>
        </is>
      </c>
      <c r="H26" s="20" t="n">
        <v>46305</v>
      </c>
      <c r="I26" s="20" t="n">
        <v>46316</v>
      </c>
    </row>
    <row r="27">
      <c r="A27" s="12" t="inlineStr">
        <is>
          <t>PC 09</t>
        </is>
      </c>
      <c r="B27" s="12" t="inlineStr">
        <is>
          <t>PC18-0017</t>
        </is>
      </c>
      <c r="C27" s="12" t="inlineStr">
        <is>
          <t>W18 -23102026-017</t>
        </is>
      </c>
      <c r="D27" s="14" t="inlineStr">
        <is>
          <t>Faded Bus Ticket Stub</t>
        </is>
      </c>
      <c r="E27" s="14" t="inlineStr">
        <is>
          <t>Kade Valen</t>
        </is>
      </c>
      <c r="F27" s="14" t="inlineStr">
        <is>
          <t>https://youtu.be/jCuC0Q_UKeo?si=d-nZMGbGgU2acE4Z</t>
        </is>
      </c>
      <c r="G27" s="12" t="inlineStr">
        <is>
          <t>Published</t>
        </is>
      </c>
      <c r="H27" s="15" t="n">
        <v>46305</v>
      </c>
      <c r="I27" s="15" t="n">
        <v>46317</v>
      </c>
    </row>
    <row r="28">
      <c r="A28" s="17" t="inlineStr">
        <is>
          <t>PC 09</t>
        </is>
      </c>
      <c r="B28" s="17" t="inlineStr">
        <is>
          <t>PC18-0018</t>
        </is>
      </c>
      <c r="C28" s="17" t="inlineStr">
        <is>
          <t>W18 -23102026-018</t>
        </is>
      </c>
      <c r="D28" s="19" t="inlineStr">
        <is>
          <t>Loading Screen</t>
        </is>
      </c>
      <c r="E28" s="19" t="inlineStr">
        <is>
          <t>Kade Valen</t>
        </is>
      </c>
      <c r="F28" s="19" t="inlineStr">
        <is>
          <t>https://youtu.be/aIEBQTdhhEM?si=RD3R9v1K4dPqvrXp</t>
        </is>
      </c>
      <c r="G28" s="17" t="inlineStr">
        <is>
          <t>Published</t>
        </is>
      </c>
      <c r="H28" s="20" t="n">
        <v>46305</v>
      </c>
      <c r="I28" s="20" t="n">
        <v>46317</v>
      </c>
    </row>
    <row r="29">
      <c r="A29" s="12" t="inlineStr">
        <is>
          <t>PC 09</t>
        </is>
      </c>
      <c r="B29" s="12" t="inlineStr">
        <is>
          <t>PC18-0019</t>
        </is>
      </c>
      <c r="C29" s="12" t="inlineStr">
        <is>
          <t>W18 -23102026-019</t>
        </is>
      </c>
      <c r="D29" s="14" t="inlineStr">
        <is>
          <t>Your Shadow Wears Cologne</t>
        </is>
      </c>
      <c r="E29" s="14" t="inlineStr">
        <is>
          <t>Kade Valen</t>
        </is>
      </c>
      <c r="F29" s="14" t="inlineStr">
        <is>
          <t>https://youtu.be/YoN7jxTjd4k?si=tOBmf2mv1KxbSbRA</t>
        </is>
      </c>
      <c r="G29" s="12" t="inlineStr">
        <is>
          <t>Published</t>
        </is>
      </c>
      <c r="H29" s="15" t="n">
        <v>46305</v>
      </c>
      <c r="I29" s="15" t="n">
        <v>46317</v>
      </c>
    </row>
    <row r="30">
      <c r="A30" s="17" t="inlineStr">
        <is>
          <t>PC 09</t>
        </is>
      </c>
      <c r="B30" s="17" t="inlineStr">
        <is>
          <t>PC18-0020</t>
        </is>
      </c>
      <c r="C30" s="17" t="inlineStr">
        <is>
          <t>W18 -23102026-020</t>
        </is>
      </c>
      <c r="D30" s="19" t="inlineStr">
        <is>
          <t>Sideshow</t>
        </is>
      </c>
      <c r="E30" s="19" t="inlineStr">
        <is>
          <t>Kade Valen</t>
        </is>
      </c>
      <c r="F30" s="19" t="inlineStr">
        <is>
          <t>https://youtu.be/UlsavM-G56k?si=LlElo9VqoQpNf3aQ</t>
        </is>
      </c>
      <c r="G30" s="17" t="inlineStr">
        <is>
          <t>Published</t>
        </is>
      </c>
      <c r="H30" s="20" t="n">
        <v>46305</v>
      </c>
      <c r="I30" s="20" t="n">
        <v>46317</v>
      </c>
    </row>
    <row r="31">
      <c r="A31" s="12" t="inlineStr">
        <is>
          <t>PC 09</t>
        </is>
      </c>
      <c r="B31" s="12" t="inlineStr">
        <is>
          <t>PC18-0021</t>
        </is>
      </c>
      <c r="C31" s="12" t="inlineStr">
        <is>
          <t>W18 -23102026-021</t>
        </is>
      </c>
      <c r="D31" s="14" t="inlineStr">
        <is>
          <t>Avalance</t>
        </is>
      </c>
      <c r="E31" s="14" t="inlineStr">
        <is>
          <t>Kade Valen</t>
        </is>
      </c>
      <c r="F31" s="14" t="inlineStr">
        <is>
          <t>https://youtu.be/ess86eYUv8k?si=2tjQuFcdqsoRP1Av</t>
        </is>
      </c>
      <c r="G31" s="12" t="inlineStr">
        <is>
          <t>Published</t>
        </is>
      </c>
      <c r="H31" s="15" t="n">
        <v>46305</v>
      </c>
      <c r="I31" s="15" t="n">
        <v>46318</v>
      </c>
    </row>
    <row r="32">
      <c r="A32" s="17" t="inlineStr">
        <is>
          <t>PC 09</t>
        </is>
      </c>
      <c r="B32" s="17" t="inlineStr">
        <is>
          <t>PC18-0022</t>
        </is>
      </c>
      <c r="C32" s="17" t="inlineStr">
        <is>
          <t>W18 -23102026-022</t>
        </is>
      </c>
      <c r="D32" s="19" t="inlineStr">
        <is>
          <t>Demolition Day</t>
        </is>
      </c>
      <c r="E32" s="19" t="inlineStr">
        <is>
          <t>Kade Valen</t>
        </is>
      </c>
      <c r="F32" s="19" t="inlineStr">
        <is>
          <t>https://youtu.be/Xvhh6CM2iO4?si=0Qu9YzYkm25655_d</t>
        </is>
      </c>
      <c r="G32" s="17" t="inlineStr">
        <is>
          <t>Published</t>
        </is>
      </c>
      <c r="H32" s="20" t="n">
        <v>46305</v>
      </c>
      <c r="I32" s="20" t="n">
        <v>46318</v>
      </c>
    </row>
    <row r="33">
      <c r="A33" s="12" t="inlineStr">
        <is>
          <t>PC 09</t>
        </is>
      </c>
      <c r="B33" s="12" t="inlineStr">
        <is>
          <t>PC18-0023</t>
        </is>
      </c>
      <c r="C33" s="12" t="inlineStr">
        <is>
          <t>W18 -23102026-023</t>
        </is>
      </c>
      <c r="D33" s="14" t="inlineStr">
        <is>
          <t>Foundation Crack</t>
        </is>
      </c>
      <c r="E33" s="14" t="inlineStr">
        <is>
          <t>Kade Valen</t>
        </is>
      </c>
      <c r="F33" s="14" t="inlineStr">
        <is>
          <t>https://youtu.be/Oa5PA7YDVwc?si=8CwYNdf0x_laZnMA</t>
        </is>
      </c>
      <c r="G33" s="12" t="inlineStr">
        <is>
          <t>Terjadwal</t>
        </is>
      </c>
      <c r="H33" s="15" t="n">
        <v>46305</v>
      </c>
      <c r="I33" s="15" t="n">
        <v>46318</v>
      </c>
    </row>
    <row r="34">
      <c r="A34" s="17" t="inlineStr">
        <is>
          <t>PC 09</t>
        </is>
      </c>
      <c r="B34" s="17" t="inlineStr">
        <is>
          <t>PC18-0024</t>
        </is>
      </c>
      <c r="C34" s="17" t="inlineStr">
        <is>
          <t>W18 -23102026-024</t>
        </is>
      </c>
      <c r="D34" s="19" t="inlineStr">
        <is>
          <t>Nothing To Defend</t>
        </is>
      </c>
      <c r="E34" s="19" t="inlineStr">
        <is>
          <t>Kade Valen</t>
        </is>
      </c>
      <c r="F34" s="19" t="inlineStr">
        <is>
          <t>https://youtu.be/pWraEljvKeI?si=kheZJXId_CTDD_BZ</t>
        </is>
      </c>
      <c r="G34" s="17" t="inlineStr">
        <is>
          <t>Terjadwal</t>
        </is>
      </c>
      <c r="H34" s="20" t="n">
        <v>46305</v>
      </c>
      <c r="I34" s="20" t="n">
        <v>46318</v>
      </c>
    </row>
    <row r="35">
      <c r="A35" s="12" t="n"/>
      <c r="B35" s="12" t="n"/>
      <c r="C35" s="12" t="n"/>
      <c r="D35" s="14" t="n"/>
      <c r="E35" s="14" t="n"/>
      <c r="F35" s="14" t="n"/>
      <c r="G35" s="12" t="n"/>
      <c r="H35" s="15" t="n"/>
      <c r="I35" s="15" t="n"/>
    </row>
    <row r="36">
      <c r="A36" s="17" t="n"/>
      <c r="B36" s="17" t="n"/>
      <c r="C36" s="17" t="n"/>
      <c r="D36" s="19" t="n"/>
      <c r="E36" s="19" t="n"/>
      <c r="F36" s="19" t="n"/>
      <c r="G36" s="17" t="n"/>
      <c r="H36" s="20" t="n"/>
      <c r="I36" s="20" t="n"/>
    </row>
    <row r="37">
      <c r="A37" s="12" t="n"/>
      <c r="B37" s="12" t="n"/>
      <c r="C37" s="12" t="n"/>
      <c r="D37" s="14" t="n"/>
      <c r="E37" s="14" t="n"/>
      <c r="F37" s="14" t="n"/>
      <c r="G37" s="12" t="n"/>
      <c r="H37" s="15" t="n"/>
      <c r="I37" s="15" t="n"/>
    </row>
    <row r="38">
      <c r="A38" s="17" t="n"/>
      <c r="B38" s="17" t="n"/>
      <c r="C38" s="17" t="n"/>
      <c r="D38" s="19" t="n"/>
      <c r="E38" s="19" t="n"/>
      <c r="F38" s="19" t="n"/>
      <c r="G38" s="17" t="n"/>
      <c r="H38" s="20" t="n"/>
      <c r="I38" s="20" t="n"/>
    </row>
    <row r="39">
      <c r="A39" s="12" t="n"/>
      <c r="B39" s="12" t="n"/>
      <c r="C39" s="12" t="n"/>
      <c r="D39" s="14" t="n"/>
      <c r="E39" s="14" t="n"/>
      <c r="F39" s="14" t="n"/>
      <c r="G39" s="12" t="n"/>
      <c r="H39" s="15" t="n"/>
      <c r="I39" s="15" t="n"/>
    </row>
    <row r="40">
      <c r="A40" s="17" t="n"/>
      <c r="B40" s="17" t="n"/>
      <c r="C40" s="17" t="n"/>
      <c r="D40" s="19" t="n"/>
      <c r="E40" s="19" t="n"/>
      <c r="F40" s="19" t="n"/>
      <c r="G40" s="17" t="n"/>
      <c r="H40" s="20" t="n"/>
      <c r="I40" s="20" t="n"/>
    </row>
    <row r="41">
      <c r="A41" s="12" t="n"/>
      <c r="B41" s="12" t="n"/>
      <c r="C41" s="12" t="n"/>
      <c r="D41" s="14" t="n"/>
      <c r="E41" s="14" t="n"/>
      <c r="F41" s="14" t="n"/>
      <c r="G41" s="12" t="n"/>
      <c r="H41" s="15" t="n"/>
      <c r="I41" s="15" t="n"/>
    </row>
    <row r="42">
      <c r="A42" s="17" t="n"/>
      <c r="B42" s="17" t="n"/>
      <c r="C42" s="17" t="n"/>
      <c r="D42" s="19" t="n"/>
      <c r="E42" s="19" t="n"/>
      <c r="F42" s="19" t="n"/>
      <c r="G42" s="17" t="n"/>
      <c r="H42" s="20" t="n"/>
      <c r="I42" s="20" t="n"/>
    </row>
    <row r="43">
      <c r="A43" s="12" t="n"/>
      <c r="B43" s="12" t="n"/>
      <c r="C43" s="12" t="n"/>
      <c r="D43" s="14" t="n"/>
      <c r="E43" s="14" t="n"/>
      <c r="F43" s="14" t="n"/>
      <c r="G43" s="12" t="n"/>
      <c r="H43" s="15" t="n"/>
      <c r="I43" s="15" t="n"/>
    </row>
    <row r="44">
      <c r="A44" s="17" t="n"/>
      <c r="B44" s="17" t="n"/>
      <c r="C44" s="17" t="n"/>
      <c r="D44" s="19" t="n"/>
      <c r="E44" s="19" t="n"/>
      <c r="F44" s="19" t="n"/>
      <c r="G44" s="17" t="n"/>
      <c r="H44" s="20" t="n"/>
      <c r="I44" s="20" t="n"/>
    </row>
    <row r="45">
      <c r="A45" s="12" t="n"/>
      <c r="B45" s="12" t="n"/>
      <c r="C45" s="12" t="n"/>
      <c r="D45" s="14" t="n"/>
      <c r="E45" s="14" t="n"/>
      <c r="F45" s="14" t="n"/>
      <c r="G45" s="12" t="n"/>
      <c r="H45" s="15" t="n"/>
      <c r="I45" s="15" t="n"/>
    </row>
    <row r="46">
      <c r="A46" s="17" t="n"/>
      <c r="B46" s="17" t="n"/>
      <c r="C46" s="17" t="n"/>
      <c r="D46" s="19" t="n"/>
      <c r="E46" s="19" t="n"/>
      <c r="F46" s="19" t="n"/>
      <c r="G46" s="17" t="n"/>
      <c r="H46" s="20" t="n"/>
      <c r="I46" s="20" t="n"/>
    </row>
    <row r="47">
      <c r="A47" s="12" t="n"/>
      <c r="B47" s="12" t="n"/>
      <c r="C47" s="12" t="n"/>
      <c r="D47" s="14" t="n"/>
      <c r="E47" s="14" t="n"/>
      <c r="F47" s="14" t="n"/>
      <c r="G47" s="12" t="n"/>
      <c r="H47" s="15" t="n"/>
      <c r="I47" s="15" t="n"/>
    </row>
    <row r="48">
      <c r="A48" s="17" t="n"/>
      <c r="B48" s="17" t="n"/>
      <c r="C48" s="17" t="n"/>
      <c r="D48" s="19" t="n"/>
      <c r="E48" s="19" t="n"/>
      <c r="F48" s="19" t="n"/>
      <c r="G48" s="17" t="n"/>
      <c r="H48" s="20" t="n"/>
      <c r="I48" s="20" t="n"/>
    </row>
    <row r="49">
      <c r="A49" s="12" t="n"/>
      <c r="B49" s="12" t="n"/>
      <c r="C49" s="12" t="n"/>
      <c r="D49" s="14" t="n"/>
      <c r="E49" s="14" t="n"/>
      <c r="F49" s="14" t="n"/>
      <c r="G49" s="12" t="n"/>
      <c r="H49" s="15" t="n"/>
      <c r="I49" s="15" t="n"/>
    </row>
    <row r="50">
      <c r="A50" s="17" t="n"/>
      <c r="B50" s="17" t="n"/>
      <c r="C50" s="17" t="n"/>
      <c r="D50" s="19" t="n"/>
      <c r="E50" s="19" t="n"/>
      <c r="F50" s="19" t="n"/>
      <c r="G50" s="17" t="n"/>
      <c r="H50" s="20" t="n"/>
      <c r="I50" s="20" t="n"/>
    </row>
    <row r="51">
      <c r="A51" s="12" t="n"/>
      <c r="B51" s="12" t="n"/>
      <c r="C51" s="12" t="n"/>
      <c r="D51" s="14" t="n"/>
      <c r="E51" s="14" t="n"/>
      <c r="F51" s="14" t="n"/>
      <c r="G51" s="12" t="n"/>
      <c r="H51" s="15" t="n"/>
      <c r="I51" s="15" t="n"/>
    </row>
    <row r="52">
      <c r="A52" s="17" t="n"/>
      <c r="B52" s="17" t="n"/>
      <c r="C52" s="17" t="n"/>
      <c r="D52" s="19" t="n"/>
      <c r="E52" s="19" t="n"/>
      <c r="F52" s="19" t="n"/>
      <c r="G52" s="17" t="n"/>
      <c r="H52" s="20" t="n"/>
      <c r="I52" s="20" t="n"/>
    </row>
    <row r="53">
      <c r="A53" s="12" t="n"/>
      <c r="B53" s="12" t="n"/>
      <c r="C53" s="12" t="n"/>
      <c r="D53" s="14" t="n"/>
      <c r="E53" s="14" t="n"/>
      <c r="F53" s="14" t="n"/>
      <c r="G53" s="12" t="n"/>
      <c r="H53" s="15" t="n"/>
      <c r="I53" s="15" t="n"/>
    </row>
    <row r="54">
      <c r="A54" s="17" t="n"/>
      <c r="B54" s="17" t="n"/>
      <c r="C54" s="17" t="n"/>
      <c r="D54" s="19" t="n"/>
      <c r="E54" s="19" t="n"/>
      <c r="F54" s="19" t="n"/>
      <c r="G54" s="17" t="n"/>
      <c r="H54" s="20" t="n"/>
      <c r="I54" s="20" t="n"/>
    </row>
    <row r="55">
      <c r="A55" s="12" t="n"/>
      <c r="B55" s="12" t="n"/>
      <c r="C55" s="12" t="n"/>
      <c r="D55" s="14" t="n"/>
      <c r="E55" s="14" t="n"/>
      <c r="F55" s="14" t="n"/>
      <c r="G55" s="12" t="n"/>
      <c r="H55" s="15" t="n"/>
      <c r="I55" s="15" t="n"/>
    </row>
    <row r="56">
      <c r="A56" s="17" t="n"/>
      <c r="B56" s="17" t="n"/>
      <c r="C56" s="17" t="n"/>
      <c r="D56" s="19" t="n"/>
      <c r="E56" s="19" t="n"/>
      <c r="F56" s="19" t="n"/>
      <c r="G56" s="17" t="n"/>
      <c r="H56" s="20" t="n"/>
      <c r="I56" s="20" t="n"/>
    </row>
    <row r="57">
      <c r="A57" s="12" t="n"/>
      <c r="B57" s="12" t="n"/>
      <c r="C57" s="12" t="n"/>
      <c r="D57" s="14" t="n"/>
      <c r="E57" s="14" t="n"/>
      <c r="F57" s="14" t="n"/>
      <c r="G57" s="12" t="n"/>
      <c r="H57" s="15" t="n"/>
      <c r="I57" s="15" t="n"/>
    </row>
    <row r="58">
      <c r="A58" s="17" t="n"/>
      <c r="B58" s="17" t="n"/>
      <c r="C58" s="17" t="n"/>
      <c r="D58" s="19" t="n"/>
      <c r="E58" s="19" t="n"/>
      <c r="F58" s="19" t="n"/>
      <c r="G58" s="17" t="n"/>
      <c r="H58" s="20" t="n"/>
      <c r="I58" s="20" t="n"/>
    </row>
    <row r="59">
      <c r="A59" s="12" t="n"/>
      <c r="B59" s="12" t="n"/>
      <c r="C59" s="12" t="n"/>
      <c r="D59" s="14" t="n"/>
      <c r="E59" s="14" t="n"/>
      <c r="F59" s="14" t="n"/>
      <c r="G59" s="12" t="n"/>
      <c r="H59" s="15" t="n"/>
      <c r="I59" s="15" t="n"/>
    </row>
    <row r="60">
      <c r="A60" s="17" t="n"/>
      <c r="B60" s="17" t="n"/>
      <c r="C60" s="17" t="n"/>
      <c r="D60" s="19" t="n"/>
      <c r="E60" s="19" t="n"/>
      <c r="F60" s="19" t="n"/>
      <c r="G60" s="17" t="n"/>
      <c r="H60" s="20" t="n"/>
      <c r="I60" s="20" t="n"/>
    </row>
    <row r="61">
      <c r="A61" s="12" t="n"/>
      <c r="B61" s="12" t="n"/>
      <c r="C61" s="12" t="n"/>
      <c r="D61" s="14" t="n"/>
      <c r="E61" s="14" t="n"/>
      <c r="F61" s="14" t="n"/>
      <c r="G61" s="12" t="n"/>
      <c r="H61" s="15" t="n"/>
      <c r="I61" s="15" t="n"/>
    </row>
    <row r="62">
      <c r="A62" s="17" t="n"/>
      <c r="B62" s="17" t="n"/>
      <c r="C62" s="17" t="n"/>
      <c r="D62" s="19" t="n"/>
      <c r="E62" s="19" t="n"/>
      <c r="F62" s="19" t="n"/>
      <c r="G62" s="17" t="n"/>
      <c r="H62" s="20" t="n"/>
      <c r="I62" s="20" t="n"/>
    </row>
    <row r="63">
      <c r="A63" s="12" t="n"/>
      <c r="B63" s="12" t="n"/>
      <c r="C63" s="12" t="n"/>
      <c r="D63" s="14" t="n"/>
      <c r="E63" s="14" t="n"/>
      <c r="F63" s="14" t="n"/>
      <c r="G63" s="12" t="n"/>
      <c r="H63" s="15" t="n"/>
      <c r="I63" s="15" t="n"/>
    </row>
    <row r="64">
      <c r="A64" s="17" t="n"/>
      <c r="B64" s="17" t="n"/>
      <c r="C64" s="17" t="n"/>
      <c r="D64" s="19" t="n"/>
      <c r="E64" s="19" t="n"/>
      <c r="F64" s="19" t="n"/>
      <c r="G64" s="17" t="n"/>
      <c r="H64" s="20" t="n"/>
      <c r="I64" s="20" t="n"/>
    </row>
    <row r="65">
      <c r="A65" s="12" t="n"/>
      <c r="B65" s="12" t="n"/>
      <c r="C65" s="12" t="n"/>
      <c r="D65" s="14" t="n"/>
      <c r="E65" s="14" t="n"/>
      <c r="F65" s="14" t="n"/>
      <c r="G65" s="12" t="n"/>
      <c r="H65" s="15" t="n"/>
      <c r="I65" s="15" t="n"/>
    </row>
    <row r="66">
      <c r="A66" s="17" t="n"/>
      <c r="B66" s="17" t="n"/>
      <c r="C66" s="17" t="n"/>
      <c r="D66" s="19" t="n"/>
      <c r="E66" s="19" t="n"/>
      <c r="F66" s="19" t="n"/>
      <c r="G66" s="17" t="n"/>
      <c r="H66" s="20" t="n"/>
      <c r="I66" s="20" t="n"/>
    </row>
    <row r="67">
      <c r="A67" s="12" t="n"/>
      <c r="B67" s="12" t="n"/>
      <c r="C67" s="12" t="n"/>
      <c r="D67" s="14" t="n"/>
      <c r="E67" s="14" t="n"/>
      <c r="F67" s="14" t="n"/>
      <c r="G67" s="12" t="n"/>
      <c r="H67" s="15" t="n"/>
      <c r="I67" s="15" t="n"/>
    </row>
    <row r="68">
      <c r="A68" s="17" t="n"/>
      <c r="B68" s="17" t="n"/>
      <c r="C68" s="17" t="n"/>
      <c r="D68" s="19" t="n"/>
      <c r="E68" s="19" t="n"/>
      <c r="F68" s="19" t="n"/>
      <c r="G68" s="17" t="n"/>
      <c r="H68" s="20" t="n"/>
      <c r="I68" s="20" t="n"/>
    </row>
    <row r="69">
      <c r="A69" s="12" t="n"/>
      <c r="B69" s="12" t="n"/>
      <c r="C69" s="12" t="n"/>
      <c r="D69" s="14" t="n"/>
      <c r="E69" s="14" t="n"/>
      <c r="F69" s="14" t="n"/>
      <c r="G69" s="12" t="n"/>
      <c r="H69" s="15" t="n"/>
      <c r="I69" s="15" t="n"/>
    </row>
    <row r="70">
      <c r="A70" s="17" t="n"/>
      <c r="B70" s="17" t="n"/>
      <c r="C70" s="17" t="n"/>
      <c r="D70" s="19" t="n"/>
      <c r="E70" s="19" t="n"/>
      <c r="F70" s="19" t="n"/>
      <c r="G70" s="17" t="n"/>
      <c r="H70" s="20" t="n"/>
      <c r="I70" s="20" t="n"/>
    </row>
    <row r="71">
      <c r="A71" s="12" t="n"/>
      <c r="B71" s="12" t="n"/>
      <c r="C71" s="12" t="n"/>
      <c r="D71" s="14" t="n"/>
      <c r="E71" s="14" t="n"/>
      <c r="F71" s="14" t="n"/>
      <c r="G71" s="12" t="n"/>
      <c r="H71" s="15" t="n"/>
      <c r="I71" s="15" t="n"/>
    </row>
    <row r="72">
      <c r="A72" s="17" t="n"/>
      <c r="B72" s="17" t="n"/>
      <c r="C72" s="17" t="n"/>
      <c r="D72" s="19" t="n"/>
      <c r="E72" s="19" t="n"/>
      <c r="F72" s="19" t="n"/>
      <c r="G72" s="17" t="n"/>
      <c r="H72" s="20" t="n"/>
      <c r="I72" s="20" t="n"/>
    </row>
    <row r="73">
      <c r="A73" s="12" t="n"/>
      <c r="B73" s="12" t="n"/>
      <c r="C73" s="12" t="n"/>
      <c r="D73" s="14" t="n"/>
      <c r="E73" s="14" t="n"/>
      <c r="F73" s="14" t="n"/>
      <c r="G73" s="12" t="n"/>
      <c r="H73" s="15" t="n"/>
      <c r="I73" s="15" t="n"/>
    </row>
    <row r="74">
      <c r="A74" s="17" t="n"/>
      <c r="B74" s="17" t="n"/>
      <c r="C74" s="17" t="n"/>
      <c r="D74" s="19" t="n"/>
      <c r="E74" s="19" t="n"/>
      <c r="F74" s="19" t="n"/>
      <c r="G74" s="17" t="n"/>
      <c r="H74" s="20" t="n"/>
      <c r="I74" s="20" t="n"/>
    </row>
    <row r="75">
      <c r="A75" s="12" t="n"/>
      <c r="B75" s="12" t="n"/>
      <c r="C75" s="12" t="n"/>
      <c r="D75" s="14" t="n"/>
      <c r="E75" s="14" t="n"/>
      <c r="F75" s="14" t="n"/>
      <c r="G75" s="12" t="n"/>
      <c r="H75" s="15" t="n"/>
      <c r="I75" s="15" t="n"/>
    </row>
    <row r="76">
      <c r="A76" s="17" t="n"/>
      <c r="B76" s="17" t="n"/>
      <c r="C76" s="17" t="n"/>
      <c r="D76" s="19" t="n"/>
      <c r="E76" s="19" t="n"/>
      <c r="F76" s="19" t="n"/>
      <c r="G76" s="17" t="n"/>
      <c r="H76" s="20" t="n"/>
      <c r="I76" s="20" t="n"/>
    </row>
    <row r="77">
      <c r="A77" s="12" t="n"/>
      <c r="B77" s="12" t="n"/>
      <c r="C77" s="12" t="n"/>
      <c r="D77" s="14" t="n"/>
      <c r="E77" s="14" t="n"/>
      <c r="F77" s="14" t="n"/>
      <c r="G77" s="12" t="n"/>
      <c r="H77" s="15" t="n"/>
      <c r="I77" s="15" t="n"/>
    </row>
    <row r="78">
      <c r="A78" s="17" t="n"/>
      <c r="B78" s="17" t="n"/>
      <c r="C78" s="17" t="n"/>
      <c r="D78" s="19" t="n"/>
      <c r="E78" s="19" t="n"/>
      <c r="F78" s="19" t="n"/>
      <c r="G78" s="17" t="n"/>
      <c r="H78" s="20" t="n"/>
      <c r="I78" s="20" t="n"/>
    </row>
    <row r="79">
      <c r="A79" s="12" t="n"/>
      <c r="B79" s="12" t="n"/>
      <c r="C79" s="12" t="n"/>
      <c r="D79" s="14" t="n"/>
      <c r="E79" s="14" t="n"/>
      <c r="F79" s="14" t="n"/>
      <c r="G79" s="12" t="n"/>
      <c r="H79" s="15" t="n"/>
      <c r="I79" s="15" t="n"/>
    </row>
    <row r="80">
      <c r="A80" s="17" t="n"/>
      <c r="B80" s="17" t="n"/>
      <c r="C80" s="17" t="n"/>
      <c r="D80" s="19" t="n"/>
      <c r="E80" s="19" t="n"/>
      <c r="F80" s="19" t="n"/>
      <c r="G80" s="17" t="n"/>
      <c r="H80" s="20" t="n"/>
      <c r="I80" s="20" t="n"/>
    </row>
    <row r="81">
      <c r="A81" s="12" t="n"/>
      <c r="B81" s="12" t="n"/>
      <c r="C81" s="12" t="n"/>
      <c r="D81" s="14" t="n"/>
      <c r="E81" s="14" t="n"/>
      <c r="F81" s="14" t="n"/>
      <c r="G81" s="12" t="n"/>
      <c r="H81" s="15" t="n"/>
      <c r="I81" s="15" t="n"/>
    </row>
    <row r="82">
      <c r="A82" s="17" t="n"/>
      <c r="B82" s="17" t="n"/>
      <c r="C82" s="17" t="n"/>
      <c r="D82" s="19" t="n"/>
      <c r="E82" s="19" t="n"/>
      <c r="F82" s="19" t="n"/>
      <c r="G82" s="17" t="n"/>
      <c r="H82" s="20" t="n"/>
      <c r="I82" s="20" t="n"/>
    </row>
    <row r="83">
      <c r="A83" s="12" t="n"/>
      <c r="B83" s="12" t="n"/>
      <c r="C83" s="12" t="n"/>
      <c r="D83" s="14" t="n"/>
      <c r="E83" s="14" t="n"/>
      <c r="F83" s="14" t="n"/>
      <c r="G83" s="12" t="n"/>
      <c r="H83" s="15" t="n"/>
      <c r="I83" s="15" t="n"/>
    </row>
    <row r="84">
      <c r="A84" s="17" t="n"/>
      <c r="B84" s="17" t="n"/>
      <c r="C84" s="17" t="n"/>
      <c r="D84" s="19" t="n"/>
      <c r="E84" s="19" t="n"/>
      <c r="F84" s="19" t="n"/>
      <c r="G84" s="17" t="n"/>
      <c r="H84" s="20" t="n"/>
      <c r="I84" s="20" t="n"/>
    </row>
    <row r="85">
      <c r="A85" s="12" t="n"/>
      <c r="B85" s="12" t="n"/>
      <c r="C85" s="12" t="n"/>
      <c r="D85" s="14" t="n"/>
      <c r="E85" s="14" t="n"/>
      <c r="F85" s="14" t="n"/>
      <c r="G85" s="12" t="n"/>
      <c r="H85" s="15" t="n"/>
      <c r="I85" s="15" t="n"/>
    </row>
    <row r="86">
      <c r="A86" s="17" t="n"/>
      <c r="B86" s="17" t="n"/>
      <c r="C86" s="17" t="n"/>
      <c r="D86" s="19" t="n"/>
      <c r="E86" s="19" t="n"/>
      <c r="F86" s="19" t="n"/>
      <c r="G86" s="17" t="n"/>
      <c r="H86" s="20" t="n"/>
      <c r="I86" s="20" t="n"/>
    </row>
    <row r="87">
      <c r="A87" s="12" t="n"/>
      <c r="B87" s="12" t="n"/>
      <c r="C87" s="12" t="n"/>
      <c r="D87" s="14" t="n"/>
      <c r="E87" s="14" t="n"/>
      <c r="F87" s="14" t="n"/>
      <c r="G87" s="12" t="n"/>
      <c r="H87" s="15" t="n"/>
      <c r="I87" s="15" t="n"/>
    </row>
    <row r="88">
      <c r="A88" s="17" t="n"/>
      <c r="B88" s="17" t="n"/>
      <c r="C88" s="17" t="n"/>
      <c r="D88" s="19" t="n"/>
      <c r="E88" s="19" t="n"/>
      <c r="F88" s="19" t="n"/>
      <c r="G88" s="17" t="n"/>
      <c r="H88" s="20" t="n"/>
      <c r="I88" s="20" t="n"/>
    </row>
    <row r="89">
      <c r="A89" s="12" t="n"/>
      <c r="B89" s="12" t="n"/>
      <c r="C89" s="12" t="n"/>
      <c r="D89" s="14" t="n"/>
      <c r="E89" s="14" t="n"/>
      <c r="F89" s="14" t="n"/>
      <c r="G89" s="12" t="n"/>
      <c r="H89" s="15" t="n"/>
      <c r="I89" s="15" t="n"/>
    </row>
    <row r="90">
      <c r="A90" s="17" t="n"/>
      <c r="B90" s="17" t="n"/>
      <c r="C90" s="17" t="n"/>
      <c r="D90" s="19" t="n"/>
      <c r="E90" s="19" t="n"/>
      <c r="F90" s="19" t="n"/>
      <c r="G90" s="17" t="n"/>
      <c r="H90" s="20" t="n"/>
      <c r="I90" s="20" t="n"/>
    </row>
    <row r="91">
      <c r="A91" s="12" t="n"/>
      <c r="B91" s="12" t="n"/>
      <c r="C91" s="12" t="n"/>
      <c r="D91" s="14" t="n"/>
      <c r="E91" s="14" t="n"/>
      <c r="F91" s="14" t="n"/>
      <c r="G91" s="12" t="n"/>
      <c r="H91" s="15" t="n"/>
      <c r="I91" s="15" t="n"/>
    </row>
    <row r="92">
      <c r="A92" s="17" t="n"/>
      <c r="B92" s="17" t="n"/>
      <c r="C92" s="17" t="n"/>
      <c r="D92" s="19" t="n"/>
      <c r="E92" s="19" t="n"/>
      <c r="F92" s="19" t="n"/>
      <c r="G92" s="17" t="n"/>
      <c r="H92" s="20" t="n"/>
      <c r="I92" s="20" t="n"/>
    </row>
    <row r="93">
      <c r="A93" s="12" t="n"/>
      <c r="B93" s="12" t="n"/>
      <c r="C93" s="12" t="n"/>
      <c r="D93" s="14" t="n"/>
      <c r="E93" s="14" t="n"/>
      <c r="F93" s="14" t="n"/>
      <c r="G93" s="12" t="n"/>
      <c r="H93" s="15" t="n"/>
      <c r="I93" s="15" t="n"/>
    </row>
    <row r="94">
      <c r="A94" s="17" t="n"/>
      <c r="B94" s="17" t="n"/>
      <c r="C94" s="17" t="n"/>
      <c r="D94" s="19" t="n"/>
      <c r="E94" s="19" t="n"/>
      <c r="F94" s="19" t="n"/>
      <c r="G94" s="17" t="n"/>
      <c r="H94" s="20" t="n"/>
      <c r="I94" s="20" t="n"/>
    </row>
    <row r="95">
      <c r="A95" s="12" t="n"/>
      <c r="B95" s="12" t="n"/>
      <c r="C95" s="12" t="n"/>
      <c r="D95" s="14" t="n"/>
      <c r="E95" s="14" t="n"/>
      <c r="F95" s="14" t="n"/>
      <c r="G95" s="12" t="n"/>
      <c r="H95" s="15" t="n"/>
      <c r="I95" s="15" t="n"/>
    </row>
    <row r="96">
      <c r="A96" s="17" t="n"/>
      <c r="B96" s="17" t="n"/>
      <c r="C96" s="17" t="n"/>
      <c r="D96" s="19" t="n"/>
      <c r="E96" s="19" t="n"/>
      <c r="F96" s="19" t="n"/>
      <c r="G96" s="17" t="n"/>
      <c r="H96" s="20" t="n"/>
      <c r="I96" s="20" t="n"/>
    </row>
    <row r="97">
      <c r="A97" s="12" t="n"/>
      <c r="B97" s="12" t="n"/>
      <c r="C97" s="12" t="n"/>
      <c r="D97" s="14" t="n"/>
      <c r="E97" s="14" t="n"/>
      <c r="F97" s="14" t="n"/>
      <c r="G97" s="12" t="n"/>
      <c r="H97" s="15" t="n"/>
      <c r="I97" s="15" t="n"/>
    </row>
    <row r="98">
      <c r="A98" s="17" t="n"/>
      <c r="B98" s="17" t="n"/>
      <c r="C98" s="17" t="n"/>
      <c r="D98" s="19" t="n"/>
      <c r="E98" s="19" t="n"/>
      <c r="F98" s="19" t="n"/>
      <c r="G98" s="17" t="n"/>
      <c r="H98" s="20" t="n"/>
      <c r="I98" s="20" t="n"/>
    </row>
    <row r="99">
      <c r="A99" s="12" t="n"/>
      <c r="B99" s="12" t="n"/>
      <c r="C99" s="12" t="n"/>
      <c r="D99" s="14" t="n"/>
      <c r="E99" s="14" t="n"/>
      <c r="F99" s="14" t="n"/>
      <c r="G99" s="12" t="n"/>
      <c r="H99" s="15" t="n"/>
      <c r="I99" s="15" t="n"/>
    </row>
    <row r="100">
      <c r="A100" s="17" t="n"/>
      <c r="B100" s="17" t="n"/>
      <c r="C100" s="17" t="n"/>
      <c r="D100" s="19" t="n"/>
      <c r="E100" s="19" t="n"/>
      <c r="F100" s="19" t="n"/>
      <c r="G100" s="17" t="n"/>
      <c r="H100" s="20" t="n"/>
      <c r="I100" s="20" t="n"/>
    </row>
    <row r="101">
      <c r="A101" s="12" t="n"/>
      <c r="B101" s="12" t="n"/>
      <c r="C101" s="12" t="n"/>
      <c r="D101" s="14" t="n"/>
      <c r="E101" s="14" t="n"/>
      <c r="F101" s="14" t="n"/>
      <c r="G101" s="12" t="n"/>
      <c r="H101" s="15" t="n"/>
      <c r="I101" s="15" t="n"/>
    </row>
    <row r="102">
      <c r="A102" s="17" t="n"/>
      <c r="B102" s="17" t="n"/>
      <c r="C102" s="17" t="n"/>
      <c r="D102" s="19" t="n"/>
      <c r="E102" s="19" t="n"/>
      <c r="F102" s="19" t="n"/>
      <c r="G102" s="17" t="n"/>
      <c r="H102" s="20" t="n"/>
      <c r="I102" s="20" t="n"/>
    </row>
    <row r="103">
      <c r="A103" s="12" t="n"/>
      <c r="B103" s="12" t="n"/>
      <c r="C103" s="12" t="n"/>
      <c r="D103" s="14" t="n"/>
      <c r="E103" s="14" t="n"/>
      <c r="F103" s="14" t="n"/>
      <c r="G103" s="12" t="n"/>
      <c r="H103" s="15" t="n"/>
      <c r="I103" s="15" t="n"/>
    </row>
    <row r="104">
      <c r="A104" s="17" t="n"/>
      <c r="B104" s="17" t="n"/>
      <c r="C104" s="17" t="n"/>
      <c r="D104" s="19" t="n"/>
      <c r="E104" s="19" t="n"/>
      <c r="F104" s="19" t="n"/>
      <c r="G104" s="17" t="n"/>
      <c r="H104" s="20" t="n"/>
      <c r="I104" s="20" t="n"/>
    </row>
    <row r="105">
      <c r="A105" s="12" t="n"/>
      <c r="B105" s="12" t="n"/>
      <c r="C105" s="12" t="n"/>
      <c r="D105" s="14" t="n"/>
      <c r="E105" s="14" t="n"/>
      <c r="F105" s="14" t="n"/>
      <c r="G105" s="12" t="n"/>
      <c r="H105" s="15" t="n"/>
      <c r="I105" s="15" t="n"/>
    </row>
    <row r="106">
      <c r="A106" s="17" t="n"/>
      <c r="B106" s="17" t="n"/>
      <c r="C106" s="17" t="n"/>
      <c r="D106" s="19" t="n"/>
      <c r="E106" s="19" t="n"/>
      <c r="F106" s="19" t="n"/>
      <c r="G106" s="17" t="n"/>
      <c r="H106" s="20" t="n"/>
      <c r="I106" s="20" t="n"/>
    </row>
    <row r="107">
      <c r="A107" s="12" t="n"/>
      <c r="B107" s="12" t="n"/>
      <c r="C107" s="12" t="n"/>
      <c r="D107" s="14" t="n"/>
      <c r="E107" s="14" t="n"/>
      <c r="F107" s="14" t="n"/>
      <c r="G107" s="12" t="n"/>
      <c r="H107" s="15" t="n"/>
      <c r="I107" s="15" t="n"/>
    </row>
    <row r="108">
      <c r="A108" s="17" t="n"/>
      <c r="B108" s="17" t="n"/>
      <c r="C108" s="17" t="n"/>
      <c r="D108" s="19" t="n"/>
      <c r="E108" s="19" t="n"/>
      <c r="F108" s="19" t="n"/>
      <c r="G108" s="17" t="n"/>
      <c r="H108" s="20" t="n"/>
      <c r="I108" s="20" t="n"/>
    </row>
    <row r="109">
      <c r="A109" s="12" t="n"/>
      <c r="B109" s="12" t="n"/>
      <c r="C109" s="12" t="n"/>
      <c r="D109" s="14" t="n"/>
      <c r="E109" s="14" t="n"/>
      <c r="F109" s="14" t="n"/>
      <c r="G109" s="12" t="n"/>
      <c r="H109" s="15" t="n"/>
      <c r="I109" s="15" t="n"/>
    </row>
    <row r="110">
      <c r="A110" s="17" t="n"/>
      <c r="B110" s="17" t="n"/>
      <c r="C110" s="17" t="n"/>
      <c r="D110" s="19" t="n"/>
      <c r="E110" s="19" t="n"/>
      <c r="F110" s="19" t="n"/>
      <c r="G110" s="17" t="n"/>
      <c r="H110" s="20" t="n"/>
      <c r="I110" s="20" t="n"/>
    </row>
    <row r="111">
      <c r="A111" s="12" t="n"/>
      <c r="B111" s="12" t="n"/>
      <c r="C111" s="12" t="n"/>
      <c r="D111" s="14" t="n"/>
      <c r="E111" s="14" t="n"/>
      <c r="F111" s="14" t="n"/>
      <c r="G111" s="12" t="n"/>
      <c r="H111" s="15" t="n"/>
      <c r="I111" s="15" t="n"/>
    </row>
    <row r="112">
      <c r="A112" s="17" t="n"/>
      <c r="B112" s="17" t="n"/>
      <c r="C112" s="17" t="n"/>
      <c r="D112" s="19" t="n"/>
      <c r="E112" s="19" t="n"/>
      <c r="F112" s="19" t="n"/>
      <c r="G112" s="17" t="n"/>
      <c r="H112" s="20" t="n"/>
      <c r="I112" s="20" t="n"/>
    </row>
    <row r="113">
      <c r="A113" s="12" t="n"/>
      <c r="B113" s="12" t="n"/>
      <c r="C113" s="12" t="n"/>
      <c r="D113" s="14" t="n"/>
      <c r="E113" s="14" t="n"/>
      <c r="F113" s="14" t="n"/>
      <c r="G113" s="12" t="n"/>
      <c r="H113" s="15" t="n"/>
      <c r="I113" s="15" t="n"/>
    </row>
    <row r="114">
      <c r="A114" s="17" t="n"/>
      <c r="B114" s="17" t="n"/>
      <c r="C114" s="17" t="n"/>
      <c r="D114" s="19" t="n"/>
      <c r="E114" s="19" t="n"/>
      <c r="F114" s="19" t="n"/>
      <c r="G114" s="17" t="n"/>
      <c r="H114" s="20" t="n"/>
      <c r="I114" s="20" t="n"/>
    </row>
    <row r="115">
      <c r="A115" s="12" t="n"/>
      <c r="B115" s="12" t="n"/>
      <c r="C115" s="12" t="n"/>
      <c r="D115" s="14" t="n"/>
      <c r="E115" s="14" t="n"/>
      <c r="F115" s="14" t="n"/>
      <c r="G115" s="12" t="n"/>
      <c r="H115" s="15" t="n"/>
      <c r="I115" s="15" t="n"/>
    </row>
    <row r="116">
      <c r="A116" s="17" t="n"/>
      <c r="B116" s="17" t="n"/>
      <c r="C116" s="17" t="n"/>
      <c r="D116" s="19" t="n"/>
      <c r="E116" s="19" t="n"/>
      <c r="F116" s="19" t="n"/>
      <c r="G116" s="17" t="n"/>
      <c r="H116" s="20" t="n"/>
      <c r="I116" s="20" t="n"/>
    </row>
    <row r="117">
      <c r="A117" s="12" t="n"/>
      <c r="B117" s="12" t="n"/>
      <c r="C117" s="12" t="n"/>
      <c r="D117" s="14" t="n"/>
      <c r="E117" s="14" t="n"/>
      <c r="F117" s="14" t="n"/>
      <c r="G117" s="12" t="n"/>
      <c r="H117" s="15" t="n"/>
      <c r="I117" s="15" t="n"/>
    </row>
    <row r="118">
      <c r="A118" s="17" t="n"/>
      <c r="B118" s="17" t="n"/>
      <c r="C118" s="17" t="n"/>
      <c r="D118" s="19" t="n"/>
      <c r="E118" s="19" t="n"/>
      <c r="F118" s="19" t="n"/>
      <c r="G118" s="17" t="n"/>
      <c r="H118" s="20" t="n"/>
      <c r="I118" s="20" t="n"/>
    </row>
    <row r="119">
      <c r="A119" s="12" t="n"/>
      <c r="B119" s="12" t="n"/>
      <c r="C119" s="12" t="n"/>
      <c r="D119" s="14" t="n"/>
      <c r="E119" s="14" t="n"/>
      <c r="F119" s="14" t="n"/>
      <c r="G119" s="12" t="n"/>
      <c r="H119" s="15" t="n"/>
      <c r="I119" s="15" t="n"/>
    </row>
    <row r="120">
      <c r="A120" s="17" t="n"/>
      <c r="B120" s="17" t="n"/>
      <c r="C120" s="17" t="n"/>
      <c r="D120" s="19" t="n"/>
      <c r="E120" s="19" t="n"/>
      <c r="F120" s="19" t="n"/>
      <c r="G120" s="17" t="n"/>
      <c r="H120" s="20" t="n"/>
      <c r="I120" s="20" t="n"/>
    </row>
    <row r="121">
      <c r="A121" s="12" t="n"/>
      <c r="B121" s="12" t="n"/>
      <c r="C121" s="12" t="n"/>
      <c r="D121" s="14" t="n"/>
      <c r="E121" s="14" t="n"/>
      <c r="F121" s="14" t="n"/>
      <c r="G121" s="12" t="n"/>
      <c r="H121" s="15" t="n"/>
      <c r="I121" s="15" t="n"/>
    </row>
    <row r="122">
      <c r="A122" s="17" t="n"/>
      <c r="B122" s="17" t="n"/>
      <c r="C122" s="17" t="n"/>
      <c r="D122" s="19" t="n"/>
      <c r="E122" s="19" t="n"/>
      <c r="F122" s="19" t="n"/>
      <c r="G122" s="17" t="n"/>
      <c r="H122" s="20" t="n"/>
      <c r="I122" s="20" t="n"/>
    </row>
    <row r="123">
      <c r="A123" s="12" t="n"/>
      <c r="B123" s="12" t="n"/>
      <c r="C123" s="12" t="n"/>
      <c r="D123" s="14" t="n"/>
      <c r="E123" s="14" t="n"/>
      <c r="F123" s="14" t="n"/>
      <c r="G123" s="12" t="n"/>
      <c r="H123" s="15" t="n"/>
      <c r="I123" s="15" t="n"/>
    </row>
    <row r="124">
      <c r="A124" s="17" t="n"/>
      <c r="B124" s="17" t="n"/>
      <c r="C124" s="17" t="n"/>
      <c r="D124" s="19" t="n"/>
      <c r="E124" s="19" t="n"/>
      <c r="F124" s="19" t="n"/>
      <c r="G124" s="17" t="n"/>
      <c r="H124" s="20" t="n"/>
      <c r="I124" s="20" t="n"/>
    </row>
    <row r="125">
      <c r="A125" s="12" t="n"/>
      <c r="B125" s="12" t="n"/>
      <c r="C125" s="12" t="n"/>
      <c r="D125" s="14" t="n"/>
      <c r="E125" s="14" t="n"/>
      <c r="F125" s="14" t="n"/>
      <c r="G125" s="12" t="n"/>
      <c r="H125" s="15" t="n"/>
      <c r="I125" s="15" t="n"/>
    </row>
    <row r="126">
      <c r="A126" s="17" t="n"/>
      <c r="B126" s="17" t="n"/>
      <c r="C126" s="17" t="n"/>
      <c r="D126" s="19" t="n"/>
      <c r="E126" s="19" t="n"/>
      <c r="F126" s="19" t="n"/>
      <c r="G126" s="17" t="n"/>
      <c r="H126" s="20" t="n"/>
      <c r="I126" s="20" t="n"/>
    </row>
    <row r="127">
      <c r="A127" s="12" t="n"/>
      <c r="B127" s="12" t="n"/>
      <c r="C127" s="12" t="n"/>
      <c r="D127" s="14" t="n"/>
      <c r="E127" s="14" t="n"/>
      <c r="F127" s="14" t="n"/>
      <c r="G127" s="12" t="n"/>
      <c r="H127" s="15" t="n"/>
      <c r="I127" s="15" t="n"/>
    </row>
    <row r="128">
      <c r="A128" s="17" t="n"/>
      <c r="B128" s="17" t="n"/>
      <c r="C128" s="17" t="n"/>
      <c r="D128" s="19" t="n"/>
      <c r="E128" s="19" t="n"/>
      <c r="F128" s="19" t="n"/>
      <c r="G128" s="17" t="n"/>
      <c r="H128" s="20" t="n"/>
      <c r="I128" s="20" t="n"/>
    </row>
    <row r="129">
      <c r="A129" s="12" t="n"/>
      <c r="B129" s="12" t="n"/>
      <c r="C129" s="12" t="n"/>
      <c r="D129" s="14" t="n"/>
      <c r="E129" s="14" t="n"/>
      <c r="F129" s="14" t="n"/>
      <c r="G129" s="12" t="n"/>
      <c r="H129" s="15" t="n"/>
      <c r="I129" s="15" t="n"/>
    </row>
    <row r="130">
      <c r="A130" s="17" t="n"/>
      <c r="B130" s="17" t="n"/>
      <c r="C130" s="17" t="n"/>
      <c r="D130" s="19" t="n"/>
      <c r="E130" s="19" t="n"/>
      <c r="F130" s="19" t="n"/>
      <c r="G130" s="17" t="n"/>
      <c r="H130" s="20" t="n"/>
      <c r="I130" s="20" t="n"/>
    </row>
    <row r="131">
      <c r="A131" s="12" t="n"/>
      <c r="B131" s="12" t="n"/>
      <c r="C131" s="12" t="n"/>
      <c r="D131" s="14" t="n"/>
      <c r="E131" s="14" t="n"/>
      <c r="F131" s="14" t="n"/>
      <c r="G131" s="12" t="n"/>
      <c r="H131" s="15" t="n"/>
      <c r="I131" s="15" t="n"/>
    </row>
    <row r="132">
      <c r="A132" s="17" t="n"/>
      <c r="B132" s="17" t="n"/>
      <c r="C132" s="17" t="n"/>
      <c r="D132" s="19" t="n"/>
      <c r="E132" s="19" t="n"/>
      <c r="F132" s="19" t="n"/>
      <c r="G132" s="17" t="n"/>
      <c r="H132" s="20" t="n"/>
      <c r="I132" s="20" t="n"/>
    </row>
    <row r="133">
      <c r="A133" s="12" t="n"/>
      <c r="B133" s="12" t="n"/>
      <c r="C133" s="12" t="n"/>
      <c r="D133" s="14" t="n"/>
      <c r="E133" s="14" t="n"/>
      <c r="F133" s="14" t="n"/>
      <c r="G133" s="12" t="n"/>
      <c r="H133" s="15" t="n"/>
      <c r="I133" s="15" t="n"/>
    </row>
    <row r="134">
      <c r="A134" s="17" t="n"/>
      <c r="B134" s="17" t="n"/>
      <c r="C134" s="17" t="n"/>
      <c r="D134" s="19" t="n"/>
      <c r="E134" s="19" t="n"/>
      <c r="F134" s="19" t="n"/>
      <c r="G134" s="17" t="n"/>
      <c r="H134" s="20" t="n"/>
      <c r="I134" s="20" t="n"/>
    </row>
    <row r="135">
      <c r="A135" s="12" t="n"/>
      <c r="B135" s="12" t="n"/>
      <c r="C135" s="12" t="n"/>
      <c r="D135" s="14" t="n"/>
      <c r="E135" s="14" t="n"/>
      <c r="F135" s="14" t="n"/>
      <c r="G135" s="12" t="n"/>
      <c r="H135" s="15" t="n"/>
      <c r="I135" s="15" t="n"/>
    </row>
    <row r="136">
      <c r="A136" s="17" t="n"/>
      <c r="B136" s="17" t="n"/>
      <c r="C136" s="17" t="n"/>
      <c r="D136" s="19" t="n"/>
      <c r="E136" s="19" t="n"/>
      <c r="F136" s="19" t="n"/>
      <c r="G136" s="17" t="n"/>
      <c r="H136" s="20" t="n"/>
      <c r="I136" s="20" t="n"/>
    </row>
    <row r="137">
      <c r="A137" s="12" t="n"/>
      <c r="B137" s="12" t="n"/>
      <c r="C137" s="12" t="n"/>
      <c r="D137" s="14" t="n"/>
      <c r="E137" s="14" t="n"/>
      <c r="F137" s="14" t="n"/>
      <c r="G137" s="12" t="n"/>
      <c r="H137" s="15" t="n"/>
      <c r="I137" s="15" t="n"/>
    </row>
    <row r="138">
      <c r="A138" s="17" t="n"/>
      <c r="B138" s="17" t="n"/>
      <c r="C138" s="17" t="n"/>
      <c r="D138" s="19" t="n"/>
      <c r="E138" s="19" t="n"/>
      <c r="F138" s="19" t="n"/>
      <c r="G138" s="17" t="n"/>
      <c r="H138" s="20" t="n"/>
      <c r="I138" s="20" t="n"/>
    </row>
    <row r="139">
      <c r="A139" s="12" t="n"/>
      <c r="B139" s="12" t="n"/>
      <c r="C139" s="12" t="n"/>
      <c r="D139" s="14" t="n"/>
      <c r="E139" s="14" t="n"/>
      <c r="F139" s="14" t="n"/>
      <c r="G139" s="12" t="n"/>
      <c r="H139" s="15" t="n"/>
      <c r="I139" s="15" t="n"/>
    </row>
    <row r="140">
      <c r="A140" s="17" t="n"/>
      <c r="B140" s="17" t="n"/>
      <c r="C140" s="17" t="n"/>
      <c r="D140" s="19" t="n"/>
      <c r="E140" s="19" t="n"/>
      <c r="F140" s="19" t="n"/>
      <c r="G140" s="17" t="n"/>
      <c r="H140" s="20" t="n"/>
      <c r="I140" s="20" t="n"/>
    </row>
    <row r="141">
      <c r="A141" s="12" t="n"/>
      <c r="B141" s="12" t="n"/>
      <c r="C141" s="12" t="n"/>
      <c r="D141" s="14" t="n"/>
      <c r="E141" s="14" t="n"/>
      <c r="F141" s="14" t="n"/>
      <c r="G141" s="12" t="n"/>
      <c r="H141" s="15" t="n"/>
      <c r="I141" s="15" t="n"/>
    </row>
    <row r="142">
      <c r="A142" s="17" t="n"/>
      <c r="B142" s="17" t="n"/>
      <c r="C142" s="17" t="n"/>
      <c r="D142" s="19" t="n"/>
      <c r="E142" s="19" t="n"/>
      <c r="F142" s="19" t="n"/>
      <c r="G142" s="17" t="n"/>
      <c r="H142" s="20" t="n"/>
      <c r="I142" s="20" t="n"/>
    </row>
    <row r="143">
      <c r="A143" s="12" t="n"/>
      <c r="B143" s="12" t="n"/>
      <c r="C143" s="12" t="n"/>
      <c r="D143" s="14" t="n"/>
      <c r="E143" s="14" t="n"/>
      <c r="F143" s="14" t="n"/>
      <c r="G143" s="12" t="n"/>
      <c r="H143" s="15" t="n"/>
      <c r="I143" s="15" t="n"/>
    </row>
    <row r="144">
      <c r="A144" s="17" t="n"/>
      <c r="B144" s="17" t="n"/>
      <c r="C144" s="17" t="n"/>
      <c r="D144" s="19" t="n"/>
      <c r="E144" s="19" t="n"/>
      <c r="F144" s="19" t="n"/>
      <c r="G144" s="17" t="n"/>
      <c r="H144" s="20" t="n"/>
      <c r="I144" s="20" t="n"/>
    </row>
    <row r="145">
      <c r="A145" s="12" t="n"/>
      <c r="B145" s="12" t="n"/>
      <c r="C145" s="12" t="n"/>
      <c r="D145" s="14" t="n"/>
      <c r="E145" s="14" t="n"/>
      <c r="F145" s="14" t="n"/>
      <c r="G145" s="12" t="n"/>
      <c r="H145" s="15" t="n"/>
      <c r="I145" s="15" t="n"/>
    </row>
    <row r="146">
      <c r="A146" s="17" t="n"/>
      <c r="B146" s="17" t="n"/>
      <c r="C146" s="17" t="n"/>
      <c r="D146" s="19" t="n"/>
      <c r="E146" s="19" t="n"/>
      <c r="F146" s="19" t="n"/>
      <c r="G146" s="17" t="n"/>
      <c r="H146" s="20" t="n"/>
      <c r="I146" s="20" t="n"/>
    </row>
    <row r="147">
      <c r="A147" s="12" t="n"/>
      <c r="B147" s="12" t="n"/>
      <c r="C147" s="12" t="n"/>
      <c r="D147" s="14" t="n"/>
      <c r="E147" s="14" t="n"/>
      <c r="F147" s="14" t="n"/>
      <c r="G147" s="12" t="n"/>
      <c r="H147" s="15" t="n"/>
      <c r="I147" s="15" t="n"/>
    </row>
    <row r="148">
      <c r="A148" s="17" t="n"/>
      <c r="B148" s="17" t="n"/>
      <c r="C148" s="17" t="n"/>
      <c r="D148" s="19" t="n"/>
      <c r="E148" s="19" t="n"/>
      <c r="F148" s="19" t="n"/>
      <c r="G148" s="17" t="n"/>
      <c r="H148" s="20" t="n"/>
      <c r="I148" s="20" t="n"/>
    </row>
    <row r="149">
      <c r="A149" s="12" t="n"/>
      <c r="B149" s="12" t="n"/>
      <c r="C149" s="12" t="n"/>
      <c r="D149" s="14" t="n"/>
      <c r="E149" s="14" t="n"/>
      <c r="F149" s="14" t="n"/>
      <c r="G149" s="12" t="n"/>
      <c r="H149" s="15" t="n"/>
      <c r="I149" s="15" t="n"/>
    </row>
    <row r="150">
      <c r="A150" s="17" t="n"/>
      <c r="B150" s="17" t="n"/>
      <c r="C150" s="17" t="n"/>
      <c r="D150" s="19" t="n"/>
      <c r="E150" s="19" t="n"/>
      <c r="F150" s="19" t="n"/>
      <c r="G150" s="17" t="n"/>
      <c r="H150" s="20" t="n"/>
      <c r="I150" s="20" t="n"/>
    </row>
    <row r="151">
      <c r="A151" s="12" t="n"/>
      <c r="B151" s="12" t="n"/>
      <c r="C151" s="12" t="n"/>
      <c r="D151" s="14" t="n"/>
      <c r="E151" s="14" t="n"/>
      <c r="F151" s="14" t="n"/>
      <c r="G151" s="12" t="n"/>
      <c r="H151" s="15" t="n"/>
      <c r="I151" s="15" t="n"/>
    </row>
    <row r="152">
      <c r="A152" s="17" t="n"/>
      <c r="B152" s="17" t="n"/>
      <c r="C152" s="17" t="n"/>
      <c r="D152" s="19" t="n"/>
      <c r="E152" s="19" t="n"/>
      <c r="F152" s="19" t="n"/>
      <c r="G152" s="17" t="n"/>
      <c r="H152" s="20" t="n"/>
      <c r="I152" s="20" t="n"/>
    </row>
    <row r="153">
      <c r="A153" s="12" t="n"/>
      <c r="B153" s="12" t="n"/>
      <c r="C153" s="12" t="n"/>
      <c r="D153" s="14" t="n"/>
      <c r="E153" s="14" t="n"/>
      <c r="F153" s="14" t="n"/>
      <c r="G153" s="12" t="n"/>
      <c r="H153" s="15" t="n"/>
      <c r="I153" s="15" t="n"/>
    </row>
    <row r="154">
      <c r="A154" s="17" t="n"/>
      <c r="B154" s="17" t="n"/>
      <c r="C154" s="17" t="n"/>
      <c r="D154" s="19" t="n"/>
      <c r="E154" s="19" t="n"/>
      <c r="F154" s="19" t="n"/>
      <c r="G154" s="17" t="n"/>
      <c r="H154" s="20" t="n"/>
      <c r="I154" s="20" t="n"/>
    </row>
    <row r="155">
      <c r="A155" s="12" t="n"/>
      <c r="B155" s="12" t="n"/>
      <c r="C155" s="12" t="n"/>
      <c r="D155" s="14" t="n"/>
      <c r="E155" s="14" t="n"/>
      <c r="F155" s="14" t="n"/>
      <c r="G155" s="12" t="n"/>
      <c r="H155" s="15" t="n"/>
      <c r="I155" s="15" t="n"/>
    </row>
    <row r="156">
      <c r="A156" s="17" t="n"/>
      <c r="B156" s="17" t="n"/>
      <c r="C156" s="17" t="n"/>
      <c r="D156" s="19" t="n"/>
      <c r="E156" s="19" t="n"/>
      <c r="F156" s="19" t="n"/>
      <c r="G156" s="17" t="n"/>
      <c r="H156" s="20" t="n"/>
      <c r="I156" s="20" t="n"/>
    </row>
    <row r="157">
      <c r="A157" s="12" t="n"/>
      <c r="B157" s="12" t="n"/>
      <c r="C157" s="12" t="n"/>
      <c r="D157" s="14" t="n"/>
      <c r="E157" s="14" t="n"/>
      <c r="F157" s="14" t="n"/>
      <c r="G157" s="12" t="n"/>
      <c r="H157" s="15" t="n"/>
      <c r="I157" s="15" t="n"/>
    </row>
    <row r="158">
      <c r="A158" s="17" t="n"/>
      <c r="B158" s="17" t="n"/>
      <c r="C158" s="17" t="n"/>
      <c r="D158" s="19" t="n"/>
      <c r="E158" s="19" t="n"/>
      <c r="F158" s="19" t="n"/>
      <c r="G158" s="17" t="n"/>
      <c r="H158" s="20" t="n"/>
      <c r="I158" s="20" t="n"/>
    </row>
    <row r="159">
      <c r="A159" s="12" t="n"/>
      <c r="B159" s="12" t="n"/>
      <c r="C159" s="12" t="n"/>
      <c r="D159" s="14" t="n"/>
      <c r="E159" s="14" t="n"/>
      <c r="F159" s="14" t="n"/>
      <c r="G159" s="12" t="n"/>
      <c r="H159" s="15" t="n"/>
      <c r="I159" s="15" t="n"/>
    </row>
    <row r="160">
      <c r="A160" s="17" t="n"/>
      <c r="B160" s="17" t="n"/>
      <c r="C160" s="17" t="n"/>
      <c r="D160" s="19" t="n"/>
      <c r="E160" s="19" t="n"/>
      <c r="F160" s="19" t="n"/>
      <c r="G160" s="17" t="n"/>
      <c r="H160" s="20" t="n"/>
      <c r="I160" s="20" t="n"/>
    </row>
    <row r="161">
      <c r="A161" s="12" t="n"/>
      <c r="B161" s="12" t="n"/>
      <c r="C161" s="12" t="n"/>
      <c r="D161" s="14" t="n"/>
      <c r="E161" s="14" t="n"/>
      <c r="F161" s="14" t="n"/>
      <c r="G161" s="12" t="n"/>
      <c r="H161" s="15" t="n"/>
      <c r="I161" s="15" t="n"/>
    </row>
    <row r="162">
      <c r="A162" s="17" t="n"/>
      <c r="B162" s="17" t="n"/>
      <c r="C162" s="17" t="n"/>
      <c r="D162" s="19" t="n"/>
      <c r="E162" s="19" t="n"/>
      <c r="F162" s="19" t="n"/>
      <c r="G162" s="17" t="n"/>
      <c r="H162" s="20" t="n"/>
      <c r="I162" s="20" t="n"/>
    </row>
    <row r="163">
      <c r="A163" s="12" t="n"/>
      <c r="B163" s="12" t="n"/>
      <c r="C163" s="12" t="n"/>
      <c r="D163" s="14" t="n"/>
      <c r="E163" s="14" t="n"/>
      <c r="F163" s="14" t="n"/>
      <c r="G163" s="12" t="n"/>
      <c r="H163" s="15" t="n"/>
      <c r="I163" s="15" t="n"/>
    </row>
    <row r="164">
      <c r="A164" s="17" t="n"/>
      <c r="B164" s="17" t="n"/>
      <c r="C164" s="17" t="n"/>
      <c r="D164" s="19" t="n"/>
      <c r="E164" s="19" t="n"/>
      <c r="F164" s="19" t="n"/>
      <c r="G164" s="17" t="n"/>
      <c r="H164" s="20" t="n"/>
      <c r="I164" s="20" t="n"/>
    </row>
    <row r="165">
      <c r="A165" s="12" t="n"/>
      <c r="B165" s="12" t="n"/>
      <c r="C165" s="12" t="n"/>
      <c r="D165" s="14" t="n"/>
      <c r="E165" s="14" t="n"/>
      <c r="F165" s="14" t="n"/>
      <c r="G165" s="12" t="n"/>
      <c r="H165" s="15" t="n"/>
      <c r="I165" s="15" t="n"/>
    </row>
    <row r="166">
      <c r="A166" s="17" t="n"/>
      <c r="B166" s="17" t="n"/>
      <c r="C166" s="17" t="n"/>
      <c r="D166" s="19" t="n"/>
      <c r="E166" s="19" t="n"/>
      <c r="F166" s="19" t="n"/>
      <c r="G166" s="17" t="n"/>
      <c r="H166" s="20" t="n"/>
      <c r="I166" s="20" t="n"/>
    </row>
    <row r="167">
      <c r="A167" s="12" t="n"/>
      <c r="B167" s="12" t="n"/>
      <c r="C167" s="12" t="n"/>
      <c r="D167" s="14" t="n"/>
      <c r="E167" s="14" t="n"/>
      <c r="F167" s="14" t="n"/>
      <c r="G167" s="12" t="n"/>
      <c r="H167" s="15" t="n"/>
      <c r="I167" s="15" t="n"/>
    </row>
    <row r="168">
      <c r="A168" s="17" t="n"/>
      <c r="B168" s="17" t="n"/>
      <c r="C168" s="17" t="n"/>
      <c r="D168" s="19" t="n"/>
      <c r="E168" s="19" t="n"/>
      <c r="F168" s="19" t="n"/>
      <c r="G168" s="17" t="n"/>
      <c r="H168" s="20" t="n"/>
      <c r="I168" s="20" t="n"/>
    </row>
    <row r="169">
      <c r="A169" s="12" t="n"/>
      <c r="B169" s="12" t="n"/>
      <c r="C169" s="12" t="n"/>
      <c r="D169" s="14" t="n"/>
      <c r="E169" s="14" t="n"/>
      <c r="F169" s="14" t="n"/>
      <c r="G169" s="12" t="n"/>
      <c r="H169" s="15" t="n"/>
      <c r="I169" s="15" t="n"/>
    </row>
    <row r="170">
      <c r="A170" s="17" t="n"/>
      <c r="B170" s="17" t="n"/>
      <c r="C170" s="17" t="n"/>
      <c r="D170" s="19" t="n"/>
      <c r="E170" s="19" t="n"/>
      <c r="F170" s="19" t="n"/>
      <c r="G170" s="17" t="n"/>
      <c r="H170" s="20" t="n"/>
      <c r="I170" s="20" t="n"/>
    </row>
    <row r="171">
      <c r="A171" s="12" t="n"/>
      <c r="B171" s="12" t="n"/>
      <c r="C171" s="12" t="n"/>
      <c r="D171" s="14" t="n"/>
      <c r="E171" s="14" t="n"/>
      <c r="F171" s="14" t="n"/>
      <c r="G171" s="12" t="n"/>
      <c r="H171" s="15" t="n"/>
      <c r="I171" s="15" t="n"/>
    </row>
    <row r="172">
      <c r="A172" s="17" t="n"/>
      <c r="B172" s="17" t="n"/>
      <c r="C172" s="17" t="n"/>
      <c r="D172" s="19" t="n"/>
      <c r="E172" s="19" t="n"/>
      <c r="F172" s="19" t="n"/>
      <c r="G172" s="17" t="n"/>
      <c r="H172" s="20" t="n"/>
      <c r="I172" s="20" t="n"/>
    </row>
    <row r="173">
      <c r="A173" s="12" t="n"/>
      <c r="B173" s="12" t="n"/>
      <c r="C173" s="12" t="n"/>
      <c r="D173" s="14" t="n"/>
      <c r="E173" s="14" t="n"/>
      <c r="F173" s="14" t="n"/>
      <c r="G173" s="12" t="n"/>
      <c r="H173" s="15" t="n"/>
      <c r="I173" s="15" t="n"/>
    </row>
    <row r="174">
      <c r="A174" s="17" t="n"/>
      <c r="B174" s="17" t="n"/>
      <c r="C174" s="17" t="n"/>
      <c r="D174" s="19" t="n"/>
      <c r="E174" s="19" t="n"/>
      <c r="F174" s="19" t="n"/>
      <c r="G174" s="17" t="n"/>
      <c r="H174" s="20" t="n"/>
      <c r="I174" s="20" t="n"/>
    </row>
    <row r="175">
      <c r="A175" s="12" t="n"/>
      <c r="B175" s="12" t="n"/>
      <c r="C175" s="12" t="n"/>
      <c r="D175" s="14" t="n"/>
      <c r="E175" s="14" t="n"/>
      <c r="F175" s="14" t="n"/>
      <c r="G175" s="12" t="n"/>
      <c r="H175" s="15" t="n"/>
      <c r="I175" s="15" t="n"/>
    </row>
    <row r="176">
      <c r="A176" s="17" t="n"/>
      <c r="B176" s="17" t="n"/>
      <c r="C176" s="17" t="n"/>
      <c r="D176" s="19" t="n"/>
      <c r="E176" s="19" t="n"/>
      <c r="F176" s="19" t="n"/>
      <c r="G176" s="17" t="n"/>
      <c r="H176" s="20" t="n"/>
      <c r="I176" s="20" t="n"/>
    </row>
    <row r="177">
      <c r="A177" s="12" t="n"/>
      <c r="B177" s="12" t="n"/>
      <c r="C177" s="12" t="n"/>
      <c r="D177" s="14" t="n"/>
      <c r="E177" s="14" t="n"/>
      <c r="F177" s="14" t="n"/>
      <c r="G177" s="12" t="n"/>
      <c r="H177" s="15" t="n"/>
      <c r="I177" s="15" t="n"/>
    </row>
    <row r="178">
      <c r="A178" s="17" t="n"/>
      <c r="B178" s="17" t="n"/>
      <c r="C178" s="17" t="n"/>
      <c r="D178" s="19" t="n"/>
      <c r="E178" s="19" t="n"/>
      <c r="F178" s="19" t="n"/>
      <c r="G178" s="17" t="n"/>
      <c r="H178" s="20" t="n"/>
      <c r="I178" s="20" t="n"/>
    </row>
    <row r="179">
      <c r="A179" s="12" t="n"/>
      <c r="B179" s="12" t="n"/>
      <c r="C179" s="12" t="n"/>
      <c r="D179" s="14" t="n"/>
      <c r="E179" s="14" t="n"/>
      <c r="F179" s="14" t="n"/>
      <c r="G179" s="12" t="n"/>
      <c r="H179" s="15" t="n"/>
      <c r="I179" s="15" t="n"/>
    </row>
    <row r="180">
      <c r="A180" s="17" t="n"/>
      <c r="B180" s="17" t="n"/>
      <c r="C180" s="17" t="n"/>
      <c r="D180" s="19" t="n"/>
      <c r="E180" s="19" t="n"/>
      <c r="F180" s="19" t="n"/>
      <c r="G180" s="17" t="n"/>
      <c r="H180" s="20" t="n"/>
      <c r="I180" s="20" t="n"/>
    </row>
    <row r="181">
      <c r="A181" s="12" t="n"/>
      <c r="B181" s="12" t="n"/>
      <c r="C181" s="12" t="n"/>
      <c r="D181" s="14" t="n"/>
      <c r="E181" s="14" t="n"/>
      <c r="F181" s="14" t="n"/>
      <c r="G181" s="12" t="n"/>
      <c r="H181" s="15" t="n"/>
      <c r="I181" s="15" t="n"/>
    </row>
    <row r="182">
      <c r="A182" s="17" t="n"/>
      <c r="B182" s="17" t="n"/>
      <c r="C182" s="17" t="n"/>
      <c r="D182" s="19" t="n"/>
      <c r="E182" s="19" t="n"/>
      <c r="F182" s="19" t="n"/>
      <c r="G182" s="17" t="n"/>
      <c r="H182" s="20" t="n"/>
      <c r="I182" s="20" t="n"/>
    </row>
    <row r="183">
      <c r="A183" s="12" t="n"/>
      <c r="B183" s="12" t="n"/>
      <c r="C183" s="12" t="n"/>
      <c r="D183" s="14" t="n"/>
      <c r="E183" s="14" t="n"/>
      <c r="F183" s="14" t="n"/>
      <c r="G183" s="12" t="n"/>
      <c r="H183" s="15" t="n"/>
      <c r="I183" s="15" t="n"/>
    </row>
    <row r="184">
      <c r="A184" s="17" t="n"/>
      <c r="B184" s="17" t="n"/>
      <c r="C184" s="17" t="n"/>
      <c r="D184" s="19" t="n"/>
      <c r="E184" s="19" t="n"/>
      <c r="F184" s="19" t="n"/>
      <c r="G184" s="17" t="n"/>
      <c r="H184" s="20" t="n"/>
      <c r="I184" s="20" t="n"/>
    </row>
    <row r="185">
      <c r="A185" s="12" t="n"/>
      <c r="B185" s="12" t="n"/>
      <c r="C185" s="12" t="n"/>
      <c r="D185" s="14" t="n"/>
      <c r="E185" s="14" t="n"/>
      <c r="F185" s="14" t="n"/>
      <c r="G185" s="12" t="n"/>
      <c r="H185" s="15" t="n"/>
      <c r="I185" s="15" t="n"/>
    </row>
    <row r="186">
      <c r="A186" s="17" t="n"/>
      <c r="B186" s="17" t="n"/>
      <c r="C186" s="17" t="n"/>
      <c r="D186" s="19" t="n"/>
      <c r="E186" s="19" t="n"/>
      <c r="F186" s="19" t="n"/>
      <c r="G186" s="17" t="n"/>
      <c r="H186" s="20" t="n"/>
      <c r="I186" s="20" t="n"/>
    </row>
    <row r="187">
      <c r="A187" s="12" t="n"/>
      <c r="B187" s="12" t="n"/>
      <c r="C187" s="12" t="n"/>
      <c r="D187" s="14" t="n"/>
      <c r="E187" s="14" t="n"/>
      <c r="F187" s="14" t="n"/>
      <c r="G187" s="12" t="n"/>
      <c r="H187" s="15" t="n"/>
      <c r="I187" s="15" t="n"/>
    </row>
    <row r="188">
      <c r="A188" s="17" t="n"/>
      <c r="B188" s="17" t="n"/>
      <c r="C188" s="17" t="n"/>
      <c r="D188" s="19" t="n"/>
      <c r="E188" s="19" t="n"/>
      <c r="F188" s="19" t="n"/>
      <c r="G188" s="17" t="n"/>
      <c r="H188" s="20" t="n"/>
      <c r="I188" s="20" t="n"/>
    </row>
    <row r="189">
      <c r="A189" s="12" t="n"/>
      <c r="B189" s="12" t="n"/>
      <c r="C189" s="12" t="n"/>
      <c r="D189" s="14" t="n"/>
      <c r="E189" s="14" t="n"/>
      <c r="F189" s="14" t="n"/>
      <c r="G189" s="12" t="n"/>
      <c r="H189" s="15" t="n"/>
      <c r="I189" s="15" t="n"/>
    </row>
    <row r="190">
      <c r="A190" s="17" t="n"/>
      <c r="B190" s="17" t="n"/>
      <c r="C190" s="17" t="n"/>
      <c r="D190" s="19" t="n"/>
      <c r="E190" s="19" t="n"/>
      <c r="F190" s="19" t="n"/>
      <c r="G190" s="17" t="n"/>
      <c r="H190" s="20" t="n"/>
      <c r="I190" s="20" t="n"/>
    </row>
    <row r="191">
      <c r="A191" s="12" t="n"/>
      <c r="B191" s="12" t="n"/>
      <c r="C191" s="12" t="n"/>
      <c r="D191" s="14" t="n"/>
      <c r="E191" s="14" t="n"/>
      <c r="F191" s="14" t="n"/>
      <c r="G191" s="12" t="n"/>
      <c r="H191" s="15" t="n"/>
      <c r="I191" s="15" t="n"/>
    </row>
    <row r="192">
      <c r="A192" s="17" t="n"/>
      <c r="B192" s="17" t="n"/>
      <c r="C192" s="17" t="n"/>
      <c r="D192" s="19" t="n"/>
      <c r="E192" s="19" t="n"/>
      <c r="F192" s="19" t="n"/>
      <c r="G192" s="17" t="n"/>
      <c r="H192" s="20" t="n"/>
      <c r="I192" s="20" t="n"/>
    </row>
    <row r="193">
      <c r="A193" s="12" t="n"/>
      <c r="B193" s="12" t="n"/>
      <c r="C193" s="12" t="n"/>
      <c r="D193" s="14" t="n"/>
      <c r="E193" s="14" t="n"/>
      <c r="F193" s="14" t="n"/>
      <c r="G193" s="12" t="n"/>
      <c r="H193" s="15" t="n"/>
      <c r="I193" s="15" t="n"/>
    </row>
    <row r="194">
      <c r="A194" s="17" t="n"/>
      <c r="B194" s="17" t="n"/>
      <c r="C194" s="17" t="n"/>
      <c r="D194" s="19" t="n"/>
      <c r="E194" s="19" t="n"/>
      <c r="F194" s="19" t="n"/>
      <c r="G194" s="17" t="n"/>
      <c r="H194" s="20" t="n"/>
      <c r="I194" s="20" t="n"/>
    </row>
    <row r="195">
      <c r="A195" s="12" t="n"/>
      <c r="B195" s="12" t="n"/>
      <c r="C195" s="12" t="n"/>
      <c r="D195" s="14" t="n"/>
      <c r="E195" s="14" t="n"/>
      <c r="F195" s="14" t="n"/>
      <c r="G195" s="12" t="n"/>
      <c r="H195" s="15" t="n"/>
      <c r="I195" s="15" t="n"/>
    </row>
    <row r="196">
      <c r="A196" s="17" t="n"/>
      <c r="B196" s="17" t="n"/>
      <c r="C196" s="17" t="n"/>
      <c r="D196" s="19" t="n"/>
      <c r="E196" s="19" t="n"/>
      <c r="F196" s="19" t="n"/>
      <c r="G196" s="17" t="n"/>
      <c r="H196" s="20" t="n"/>
      <c r="I196" s="20" t="n"/>
    </row>
    <row r="197">
      <c r="A197" s="12" t="n"/>
      <c r="B197" s="12" t="n"/>
      <c r="C197" s="12" t="n"/>
      <c r="D197" s="14" t="n"/>
      <c r="E197" s="14" t="n"/>
      <c r="F197" s="14" t="n"/>
      <c r="G197" s="12" t="n"/>
      <c r="H197" s="15" t="n"/>
      <c r="I197" s="15" t="n"/>
    </row>
    <row r="198">
      <c r="A198" s="17" t="n"/>
      <c r="B198" s="17" t="n"/>
      <c r="C198" s="17" t="n"/>
      <c r="D198" s="19" t="n"/>
      <c r="E198" s="19" t="n"/>
      <c r="F198" s="19" t="n"/>
      <c r="G198" s="17" t="n"/>
      <c r="H198" s="20" t="n"/>
      <c r="I198" s="20" t="n"/>
    </row>
    <row r="199">
      <c r="A199" s="12" t="n"/>
      <c r="B199" s="12" t="n"/>
      <c r="C199" s="12" t="n"/>
      <c r="D199" s="14" t="n"/>
      <c r="E199" s="14" t="n"/>
      <c r="F199" s="14" t="n"/>
      <c r="G199" s="12" t="n"/>
      <c r="H199" s="15" t="n"/>
      <c r="I199" s="15" t="n"/>
    </row>
    <row r="200">
      <c r="A200" s="17" t="n"/>
      <c r="B200" s="17" t="n"/>
      <c r="C200" s="17" t="n"/>
      <c r="D200" s="19" t="n"/>
      <c r="E200" s="19" t="n"/>
      <c r="F200" s="19" t="n"/>
      <c r="G200" s="17" t="n"/>
      <c r="H200" s="20" t="n"/>
      <c r="I200" s="20" t="n"/>
    </row>
    <row r="201">
      <c r="A201" s="12" t="n"/>
      <c r="B201" s="12" t="n"/>
      <c r="C201" s="12" t="n"/>
      <c r="D201" s="14" t="n"/>
      <c r="E201" s="14" t="n"/>
      <c r="F201" s="14" t="n"/>
      <c r="G201" s="12" t="n"/>
      <c r="H201" s="15" t="n"/>
      <c r="I201" s="15" t="n"/>
    </row>
    <row r="202">
      <c r="A202" s="17" t="n"/>
      <c r="B202" s="17" t="n"/>
      <c r="C202" s="17" t="n"/>
      <c r="D202" s="19" t="n"/>
      <c r="E202" s="19" t="n"/>
      <c r="F202" s="19" t="n"/>
      <c r="G202" s="17" t="n"/>
      <c r="H202" s="20" t="n"/>
      <c r="I202" s="20" t="n"/>
    </row>
    <row r="203">
      <c r="A203" s="12" t="n"/>
      <c r="B203" s="12" t="n"/>
      <c r="C203" s="12" t="n"/>
      <c r="D203" s="14" t="n"/>
      <c r="E203" s="14" t="n"/>
      <c r="F203" s="14" t="n"/>
      <c r="G203" s="12" t="n"/>
      <c r="H203" s="15" t="n"/>
      <c r="I203" s="15" t="n"/>
    </row>
    <row r="204">
      <c r="A204" s="17" t="n"/>
      <c r="B204" s="17" t="n"/>
      <c r="C204" s="17" t="n"/>
      <c r="D204" s="19" t="n"/>
      <c r="E204" s="19" t="n"/>
      <c r="F204" s="19" t="n"/>
      <c r="G204" s="17" t="n"/>
      <c r="H204" s="20" t="n"/>
      <c r="I204" s="20" t="n"/>
    </row>
    <row r="205">
      <c r="A205" s="12" t="n"/>
      <c r="B205" s="12" t="n"/>
      <c r="C205" s="12" t="n"/>
      <c r="D205" s="14" t="n"/>
      <c r="E205" s="14" t="n"/>
      <c r="F205" s="14" t="n"/>
      <c r="G205" s="12" t="n"/>
      <c r="H205" s="15" t="n"/>
      <c r="I205" s="15" t="n"/>
    </row>
    <row r="206">
      <c r="A206" s="17" t="n"/>
      <c r="B206" s="17" t="n"/>
      <c r="C206" s="17" t="n"/>
      <c r="D206" s="19" t="n"/>
      <c r="E206" s="19" t="n"/>
      <c r="F206" s="19" t="n"/>
      <c r="G206" s="17" t="n"/>
      <c r="H206" s="20" t="n"/>
      <c r="I206" s="20" t="n"/>
    </row>
    <row r="207">
      <c r="A207" s="12" t="n"/>
      <c r="B207" s="12" t="n"/>
      <c r="C207" s="12" t="n"/>
      <c r="D207" s="14" t="n"/>
      <c r="E207" s="14" t="n"/>
      <c r="F207" s="14" t="n"/>
      <c r="G207" s="12" t="n"/>
      <c r="H207" s="15" t="n"/>
      <c r="I207" s="15" t="n"/>
    </row>
    <row r="208">
      <c r="A208" s="17" t="n"/>
      <c r="B208" s="17" t="n"/>
      <c r="C208" s="17" t="n"/>
      <c r="D208" s="19" t="n"/>
      <c r="E208" s="19" t="n"/>
      <c r="F208" s="19" t="n"/>
      <c r="G208" s="17" t="n"/>
      <c r="H208" s="20" t="n"/>
      <c r="I208" s="20" t="n"/>
    </row>
    <row r="209">
      <c r="A209" s="12" t="n"/>
      <c r="B209" s="12" t="n"/>
      <c r="C209" s="12" t="n"/>
      <c r="D209" s="14" t="n"/>
      <c r="E209" s="14" t="n"/>
      <c r="F209" s="14" t="n"/>
      <c r="G209" s="12" t="n"/>
      <c r="H209" s="15" t="n"/>
      <c r="I209" s="15" t="n"/>
    </row>
    <row r="210">
      <c r="A210" s="17" t="n"/>
      <c r="B210" s="17" t="n"/>
      <c r="C210" s="17" t="n"/>
      <c r="D210" s="19" t="n"/>
      <c r="E210" s="19" t="n"/>
      <c r="F210" s="19" t="n"/>
      <c r="G210" s="17" t="n"/>
      <c r="H210" s="20" t="n"/>
      <c r="I210" s="20" t="n"/>
    </row>
    <row r="211">
      <c r="A211" s="12" t="n"/>
      <c r="B211" s="12" t="n"/>
      <c r="C211" s="12" t="n"/>
      <c r="D211" s="14" t="n"/>
      <c r="E211" s="14" t="n"/>
      <c r="F211" s="14" t="n"/>
      <c r="G211" s="12" t="n"/>
      <c r="H211" s="15" t="n"/>
      <c r="I211" s="15" t="n"/>
    </row>
    <row r="212">
      <c r="A212" s="17" t="n"/>
      <c r="B212" s="17" t="n"/>
      <c r="C212" s="17" t="n"/>
      <c r="D212" s="19" t="n"/>
      <c r="E212" s="19" t="n"/>
      <c r="F212" s="19" t="n"/>
      <c r="G212" s="17" t="n"/>
      <c r="H212" s="20" t="n"/>
      <c r="I212" s="20" t="n"/>
    </row>
    <row r="213">
      <c r="A213" s="12" t="n"/>
      <c r="B213" s="12" t="n"/>
      <c r="C213" s="12" t="n"/>
      <c r="D213" s="14" t="n"/>
      <c r="E213" s="14" t="n"/>
      <c r="F213" s="14" t="n"/>
      <c r="G213" s="12" t="n"/>
      <c r="H213" s="15" t="n"/>
      <c r="I213" s="15" t="n"/>
    </row>
    <row r="214">
      <c r="A214" s="17" t="n"/>
      <c r="B214" s="17" t="n"/>
      <c r="C214" s="17" t="n"/>
      <c r="D214" s="19" t="n"/>
      <c r="E214" s="19" t="n"/>
      <c r="F214" s="19" t="n"/>
      <c r="G214" s="17" t="n"/>
      <c r="H214" s="20" t="n"/>
      <c r="I214" s="20" t="n"/>
    </row>
    <row r="215">
      <c r="A215" s="12" t="n"/>
      <c r="B215" s="12" t="n"/>
      <c r="C215" s="12" t="n"/>
      <c r="D215" s="14" t="n"/>
      <c r="E215" s="14" t="n"/>
      <c r="F215" s="14" t="n"/>
      <c r="G215" s="12" t="n"/>
      <c r="H215" s="15" t="n"/>
      <c r="I215" s="15" t="n"/>
    </row>
    <row r="216">
      <c r="A216" s="17" t="n"/>
      <c r="B216" s="17" t="n"/>
      <c r="C216" s="17" t="n"/>
      <c r="D216" s="19" t="n"/>
      <c r="E216" s="19" t="n"/>
      <c r="F216" s="19" t="n"/>
      <c r="G216" s="17" t="n"/>
      <c r="H216" s="20" t="n"/>
      <c r="I216" s="20" t="n"/>
    </row>
    <row r="217">
      <c r="A217" s="12" t="n"/>
      <c r="B217" s="12" t="n"/>
      <c r="C217" s="12" t="n"/>
      <c r="D217" s="14" t="n"/>
      <c r="E217" s="14" t="n"/>
      <c r="F217" s="14" t="n"/>
      <c r="G217" s="12" t="n"/>
      <c r="H217" s="15" t="n"/>
      <c r="I217" s="15" t="n"/>
    </row>
    <row r="218">
      <c r="A218" s="17" t="n"/>
      <c r="B218" s="17" t="n"/>
      <c r="C218" s="17" t="n"/>
      <c r="D218" s="19" t="n"/>
      <c r="E218" s="19" t="n"/>
      <c r="F218" s="19" t="n"/>
      <c r="G218" s="17" t="n"/>
      <c r="H218" s="20" t="n"/>
      <c r="I218" s="20" t="n"/>
    </row>
    <row r="219">
      <c r="A219" s="12" t="n"/>
      <c r="B219" s="12" t="n"/>
      <c r="C219" s="12" t="n"/>
      <c r="D219" s="14" t="n"/>
      <c r="E219" s="14" t="n"/>
      <c r="F219" s="14" t="n"/>
      <c r="G219" s="12" t="n"/>
      <c r="H219" s="15" t="n"/>
      <c r="I219" s="15" t="n"/>
    </row>
    <row r="220">
      <c r="A220" s="17" t="n"/>
      <c r="B220" s="17" t="n"/>
      <c r="C220" s="17" t="n"/>
      <c r="D220" s="19" t="n"/>
      <c r="E220" s="19" t="n"/>
      <c r="F220" s="19" t="n"/>
      <c r="G220" s="17" t="n"/>
      <c r="H220" s="20" t="n"/>
      <c r="I220" s="20" t="n"/>
    </row>
    <row r="221">
      <c r="A221" s="12" t="n"/>
      <c r="B221" s="12" t="n"/>
      <c r="C221" s="12" t="n"/>
      <c r="D221" s="14" t="n"/>
      <c r="E221" s="14" t="n"/>
      <c r="F221" s="14" t="n"/>
      <c r="G221" s="12" t="n"/>
      <c r="H221" s="15" t="n"/>
      <c r="I221" s="15" t="n"/>
    </row>
    <row r="222">
      <c r="A222" s="17" t="n"/>
      <c r="B222" s="17" t="n"/>
      <c r="C222" s="17" t="n"/>
      <c r="D222" s="19" t="n"/>
      <c r="E222" s="19" t="n"/>
      <c r="F222" s="19" t="n"/>
      <c r="G222" s="17" t="n"/>
      <c r="H222" s="20" t="n"/>
      <c r="I222" s="20" t="n"/>
    </row>
    <row r="223">
      <c r="A223" s="12" t="n"/>
      <c r="B223" s="12" t="n"/>
      <c r="C223" s="12" t="n"/>
      <c r="D223" s="14" t="n"/>
      <c r="E223" s="14" t="n"/>
      <c r="F223" s="14" t="n"/>
      <c r="G223" s="12" t="n"/>
      <c r="H223" s="15" t="n"/>
      <c r="I223" s="15" t="n"/>
    </row>
    <row r="224">
      <c r="A224" s="17" t="n"/>
      <c r="B224" s="17" t="n"/>
      <c r="C224" s="17" t="n"/>
      <c r="D224" s="19" t="n"/>
      <c r="E224" s="19" t="n"/>
      <c r="F224" s="19" t="n"/>
      <c r="G224" s="17" t="n"/>
      <c r="H224" s="20" t="n"/>
      <c r="I224" s="20" t="n"/>
    </row>
    <row r="225">
      <c r="A225" s="12" t="n"/>
      <c r="B225" s="12" t="n"/>
      <c r="C225" s="12" t="n"/>
      <c r="D225" s="14" t="n"/>
      <c r="E225" s="14" t="n"/>
      <c r="F225" s="14" t="n"/>
      <c r="G225" s="12" t="n"/>
      <c r="H225" s="15" t="n"/>
      <c r="I225" s="15" t="n"/>
    </row>
    <row r="226">
      <c r="A226" s="17" t="n"/>
      <c r="B226" s="17" t="n"/>
      <c r="C226" s="17" t="n"/>
      <c r="D226" s="19" t="n"/>
      <c r="E226" s="19" t="n"/>
      <c r="F226" s="19" t="n"/>
      <c r="G226" s="17" t="n"/>
      <c r="H226" s="20" t="n"/>
      <c r="I226" s="20" t="n"/>
    </row>
    <row r="227">
      <c r="A227" s="12" t="n"/>
      <c r="B227" s="12" t="n"/>
      <c r="C227" s="12" t="n"/>
      <c r="D227" s="14" t="n"/>
      <c r="E227" s="14" t="n"/>
      <c r="F227" s="14" t="n"/>
      <c r="G227" s="12" t="n"/>
      <c r="H227" s="15" t="n"/>
      <c r="I227" s="15" t="n"/>
    </row>
    <row r="228">
      <c r="A228" s="17" t="n"/>
      <c r="B228" s="17" t="n"/>
      <c r="C228" s="17" t="n"/>
      <c r="D228" s="19" t="n"/>
      <c r="E228" s="19" t="n"/>
      <c r="F228" s="19" t="n"/>
      <c r="G228" s="17" t="n"/>
      <c r="H228" s="20" t="n"/>
      <c r="I228" s="20" t="n"/>
    </row>
    <row r="229">
      <c r="A229" s="12" t="n"/>
      <c r="B229" s="12" t="n"/>
      <c r="C229" s="12" t="n"/>
      <c r="D229" s="14" t="n"/>
      <c r="E229" s="14" t="n"/>
      <c r="F229" s="14" t="n"/>
      <c r="G229" s="12" t="n"/>
      <c r="H229" s="15" t="n"/>
      <c r="I229" s="15" t="n"/>
    </row>
    <row r="230">
      <c r="A230" s="17" t="n"/>
      <c r="B230" s="17" t="n"/>
      <c r="C230" s="17" t="n"/>
      <c r="D230" s="19" t="n"/>
      <c r="E230" s="19" t="n"/>
      <c r="F230" s="19" t="n"/>
      <c r="G230" s="17" t="n"/>
      <c r="H230" s="20" t="n"/>
      <c r="I230" s="20" t="n"/>
    </row>
    <row r="231">
      <c r="A231" s="12" t="n"/>
      <c r="B231" s="12" t="n"/>
      <c r="C231" s="12" t="n"/>
      <c r="D231" s="14" t="n"/>
      <c r="E231" s="14" t="n"/>
      <c r="F231" s="14" t="n"/>
      <c r="G231" s="12" t="n"/>
      <c r="H231" s="15" t="n"/>
      <c r="I231" s="15" t="n"/>
    </row>
    <row r="232">
      <c r="A232" s="17" t="n"/>
      <c r="B232" s="17" t="n"/>
      <c r="C232" s="17" t="n"/>
      <c r="D232" s="19" t="n"/>
      <c r="E232" s="19" t="n"/>
      <c r="F232" s="19" t="n"/>
      <c r="G232" s="17" t="n"/>
      <c r="H232" s="20" t="n"/>
      <c r="I232" s="20" t="n"/>
    </row>
    <row r="233">
      <c r="A233" s="12" t="n"/>
      <c r="B233" s="12" t="n"/>
      <c r="C233" s="12" t="n"/>
      <c r="D233" s="14" t="n"/>
      <c r="E233" s="14" t="n"/>
      <c r="F233" s="14" t="n"/>
      <c r="G233" s="12" t="n"/>
      <c r="H233" s="15" t="n"/>
      <c r="I233" s="15" t="n"/>
    </row>
    <row r="234">
      <c r="A234" s="17" t="n"/>
      <c r="B234" s="17" t="n"/>
      <c r="C234" s="17" t="n"/>
      <c r="D234" s="19" t="n"/>
      <c r="E234" s="19" t="n"/>
      <c r="F234" s="19" t="n"/>
      <c r="G234" s="17" t="n"/>
      <c r="H234" s="20" t="n"/>
      <c r="I234" s="20" t="n"/>
    </row>
    <row r="235">
      <c r="A235" s="12" t="n"/>
      <c r="B235" s="12" t="n"/>
      <c r="C235" s="12" t="n"/>
      <c r="D235" s="14" t="n"/>
      <c r="E235" s="14" t="n"/>
      <c r="F235" s="14" t="n"/>
      <c r="G235" s="12" t="n"/>
      <c r="H235" s="15" t="n"/>
      <c r="I235" s="15" t="n"/>
    </row>
    <row r="236">
      <c r="A236" s="17" t="n"/>
      <c r="B236" s="17" t="n"/>
      <c r="C236" s="17" t="n"/>
      <c r="D236" s="19" t="n"/>
      <c r="E236" s="19" t="n"/>
      <c r="F236" s="19" t="n"/>
      <c r="G236" s="17" t="n"/>
      <c r="H236" s="20" t="n"/>
      <c r="I236" s="20" t="n"/>
    </row>
    <row r="237">
      <c r="A237" s="12" t="n"/>
      <c r="B237" s="12" t="n"/>
      <c r="C237" s="12" t="n"/>
      <c r="D237" s="14" t="n"/>
      <c r="E237" s="14" t="n"/>
      <c r="F237" s="14" t="n"/>
      <c r="G237" s="12" t="n"/>
      <c r="H237" s="15" t="n"/>
      <c r="I237" s="15" t="n"/>
    </row>
    <row r="238">
      <c r="A238" s="17" t="n"/>
      <c r="B238" s="17" t="n"/>
      <c r="C238" s="17" t="n"/>
      <c r="D238" s="19" t="n"/>
      <c r="E238" s="19" t="n"/>
      <c r="F238" s="19" t="n"/>
      <c r="G238" s="17" t="n"/>
      <c r="H238" s="20" t="n"/>
      <c r="I238" s="20" t="n"/>
    </row>
    <row r="239">
      <c r="A239" s="12" t="n"/>
      <c r="B239" s="12" t="n"/>
      <c r="C239" s="12" t="n"/>
      <c r="D239" s="14" t="n"/>
      <c r="E239" s="14" t="n"/>
      <c r="F239" s="14" t="n"/>
      <c r="G239" s="12" t="n"/>
      <c r="H239" s="15" t="n"/>
      <c r="I239" s="15" t="n"/>
    </row>
    <row r="240">
      <c r="A240" s="17" t="n"/>
      <c r="B240" s="17" t="n"/>
      <c r="C240" s="17" t="n"/>
      <c r="D240" s="19" t="n"/>
      <c r="E240" s="19" t="n"/>
      <c r="F240" s="19" t="n"/>
      <c r="G240" s="17" t="n"/>
      <c r="H240" s="20" t="n"/>
      <c r="I240" s="20" t="n"/>
    </row>
    <row r="241">
      <c r="A241" s="12" t="n"/>
      <c r="B241" s="12" t="n"/>
      <c r="C241" s="12" t="n"/>
      <c r="D241" s="14" t="n"/>
      <c r="E241" s="14" t="n"/>
      <c r="F241" s="14" t="n"/>
      <c r="G241" s="12" t="n"/>
      <c r="H241" s="15" t="n"/>
      <c r="I241" s="15" t="n"/>
    </row>
    <row r="242">
      <c r="A242" s="17" t="n"/>
      <c r="B242" s="17" t="n"/>
      <c r="C242" s="17" t="n"/>
      <c r="D242" s="19" t="n"/>
      <c r="E242" s="19" t="n"/>
      <c r="F242" s="19" t="n"/>
      <c r="G242" s="17" t="n"/>
      <c r="H242" s="20" t="n"/>
      <c r="I242" s="20" t="n"/>
    </row>
    <row r="243">
      <c r="A243" s="12" t="n"/>
      <c r="B243" s="12" t="n"/>
      <c r="C243" s="12" t="n"/>
      <c r="D243" s="14" t="n"/>
      <c r="E243" s="14" t="n"/>
      <c r="F243" s="14" t="n"/>
      <c r="G243" s="12" t="n"/>
      <c r="H243" s="15" t="n"/>
      <c r="I243" s="15" t="n"/>
    </row>
    <row r="244">
      <c r="A244" s="17" t="n"/>
      <c r="B244" s="17" t="n"/>
      <c r="C244" s="17" t="n"/>
      <c r="D244" s="19" t="n"/>
      <c r="E244" s="19" t="n"/>
      <c r="F244" s="19" t="n"/>
      <c r="G244" s="17" t="n"/>
      <c r="H244" s="20" t="n"/>
      <c r="I244" s="20" t="n"/>
    </row>
    <row r="245">
      <c r="A245" s="12" t="n"/>
      <c r="B245" s="12" t="n"/>
      <c r="C245" s="12" t="n"/>
      <c r="D245" s="14" t="n"/>
      <c r="E245" s="14" t="n"/>
      <c r="F245" s="14" t="n"/>
      <c r="G245" s="12" t="n"/>
      <c r="H245" s="15" t="n"/>
      <c r="I245" s="15" t="n"/>
    </row>
    <row r="246">
      <c r="A246" s="17" t="n"/>
      <c r="B246" s="17" t="n"/>
      <c r="C246" s="17" t="n"/>
      <c r="D246" s="19" t="n"/>
      <c r="E246" s="19" t="n"/>
      <c r="F246" s="19" t="n"/>
      <c r="G246" s="17" t="n"/>
      <c r="H246" s="20" t="n"/>
      <c r="I246" s="20" t="n"/>
    </row>
    <row r="247">
      <c r="A247" s="12" t="n"/>
      <c r="B247" s="12" t="n"/>
      <c r="C247" s="12" t="n"/>
      <c r="D247" s="14" t="n"/>
      <c r="E247" s="14" t="n"/>
      <c r="F247" s="14" t="n"/>
      <c r="G247" s="12" t="n"/>
      <c r="H247" s="15" t="n"/>
      <c r="I247" s="15" t="n"/>
    </row>
    <row r="248">
      <c r="A248" s="17" t="n"/>
      <c r="B248" s="17" t="n"/>
      <c r="C248" s="17" t="n"/>
      <c r="D248" s="19" t="n"/>
      <c r="E248" s="19" t="n"/>
      <c r="F248" s="19" t="n"/>
      <c r="G248" s="17" t="n"/>
      <c r="H248" s="20" t="n"/>
      <c r="I248" s="20" t="n"/>
    </row>
    <row r="249">
      <c r="A249" s="12" t="n"/>
      <c r="B249" s="12" t="n"/>
      <c r="C249" s="12" t="n"/>
      <c r="D249" s="14" t="n"/>
      <c r="E249" s="14" t="n"/>
      <c r="F249" s="14" t="n"/>
      <c r="G249" s="12" t="n"/>
      <c r="H249" s="15" t="n"/>
      <c r="I249" s="15" t="n"/>
    </row>
    <row r="250">
      <c r="A250" s="17" t="n"/>
      <c r="B250" s="17" t="n"/>
      <c r="C250" s="17" t="n"/>
      <c r="D250" s="19" t="n"/>
      <c r="E250" s="19" t="n"/>
      <c r="F250" s="19" t="n"/>
      <c r="G250" s="17" t="n"/>
      <c r="H250" s="20" t="n"/>
      <c r="I250" s="20" t="n"/>
    </row>
    <row r="251">
      <c r="A251" s="12" t="n"/>
      <c r="B251" s="12" t="n"/>
      <c r="C251" s="12" t="n"/>
      <c r="D251" s="14" t="n"/>
      <c r="E251" s="14" t="n"/>
      <c r="F251" s="14" t="n"/>
      <c r="G251" s="12" t="n"/>
      <c r="H251" s="15" t="n"/>
      <c r="I251" s="15" t="n"/>
    </row>
    <row r="252">
      <c r="A252" s="17" t="n"/>
      <c r="B252" s="17" t="n"/>
      <c r="C252" s="17" t="n"/>
      <c r="D252" s="19" t="n"/>
      <c r="E252" s="19" t="n"/>
      <c r="F252" s="19" t="n"/>
      <c r="G252" s="17" t="n"/>
      <c r="H252" s="20" t="n"/>
      <c r="I252" s="20" t="n"/>
    </row>
    <row r="253">
      <c r="A253" s="12" t="n"/>
      <c r="B253" s="12" t="n"/>
      <c r="C253" s="12" t="n"/>
      <c r="D253" s="14" t="n"/>
      <c r="E253" s="14" t="n"/>
      <c r="F253" s="14" t="n"/>
      <c r="G253" s="12" t="n"/>
      <c r="H253" s="15" t="n"/>
      <c r="I253" s="15" t="n"/>
    </row>
    <row r="254">
      <c r="A254" s="17" t="n"/>
      <c r="B254" s="17" t="n"/>
      <c r="C254" s="17" t="n"/>
      <c r="D254" s="19" t="n"/>
      <c r="E254" s="19" t="n"/>
      <c r="F254" s="19" t="n"/>
      <c r="G254" s="17" t="n"/>
      <c r="H254" s="20" t="n"/>
      <c r="I254" s="20" t="n"/>
    </row>
    <row r="255">
      <c r="A255" s="12" t="n"/>
      <c r="B255" s="12" t="n"/>
      <c r="C255" s="12" t="n"/>
      <c r="D255" s="14" t="n"/>
      <c r="E255" s="14" t="n"/>
      <c r="F255" s="14" t="n"/>
      <c r="G255" s="12" t="n"/>
      <c r="H255" s="15" t="n"/>
      <c r="I255" s="15" t="n"/>
    </row>
    <row r="256">
      <c r="A256" s="17" t="n"/>
      <c r="B256" s="17" t="n"/>
      <c r="C256" s="17" t="n"/>
      <c r="D256" s="19" t="n"/>
      <c r="E256" s="19" t="n"/>
      <c r="F256" s="19" t="n"/>
      <c r="G256" s="17" t="n"/>
      <c r="H256" s="20" t="n"/>
      <c r="I256" s="20" t="n"/>
    </row>
    <row r="257">
      <c r="A257" s="12" t="n"/>
      <c r="B257" s="12" t="n"/>
      <c r="C257" s="12" t="n"/>
      <c r="D257" s="14" t="n"/>
      <c r="E257" s="14" t="n"/>
      <c r="F257" s="14" t="n"/>
      <c r="G257" s="12" t="n"/>
      <c r="H257" s="15" t="n"/>
      <c r="I257" s="15" t="n"/>
    </row>
    <row r="258">
      <c r="A258" s="17" t="n"/>
      <c r="B258" s="17" t="n"/>
      <c r="C258" s="17" t="n"/>
      <c r="D258" s="19" t="n"/>
      <c r="E258" s="19" t="n"/>
      <c r="F258" s="19" t="n"/>
      <c r="G258" s="17" t="n"/>
      <c r="H258" s="20" t="n"/>
      <c r="I258" s="20" t="n"/>
    </row>
    <row r="259">
      <c r="A259" s="12" t="n"/>
      <c r="B259" s="12" t="n"/>
      <c r="C259" s="12" t="n"/>
      <c r="D259" s="14" t="n"/>
      <c r="E259" s="14" t="n"/>
      <c r="F259" s="14" t="n"/>
      <c r="G259" s="12" t="n"/>
      <c r="H259" s="15" t="n"/>
      <c r="I259" s="15" t="n"/>
    </row>
    <row r="260">
      <c r="A260" s="17" t="n"/>
      <c r="B260" s="17" t="n"/>
      <c r="C260" s="17" t="n"/>
      <c r="D260" s="19" t="n"/>
      <c r="E260" s="19" t="n"/>
      <c r="F260" s="19" t="n"/>
      <c r="G260" s="17" t="n"/>
      <c r="H260" s="20" t="n"/>
      <c r="I260" s="20" t="n"/>
    </row>
    <row r="261">
      <c r="A261" s="12" t="n"/>
      <c r="B261" s="12" t="n"/>
      <c r="C261" s="12" t="n"/>
      <c r="D261" s="14" t="n"/>
      <c r="E261" s="14" t="n"/>
      <c r="F261" s="14" t="n"/>
      <c r="G261" s="12" t="n"/>
      <c r="H261" s="15" t="n"/>
      <c r="I261" s="15" t="n"/>
    </row>
    <row r="262">
      <c r="A262" s="17" t="n"/>
      <c r="B262" s="17" t="n"/>
      <c r="C262" s="17" t="n"/>
      <c r="D262" s="19" t="n"/>
      <c r="E262" s="19" t="n"/>
      <c r="F262" s="19" t="n"/>
      <c r="G262" s="17" t="n"/>
      <c r="H262" s="20" t="n"/>
      <c r="I262" s="20" t="n"/>
    </row>
    <row r="263">
      <c r="A263" s="12" t="n"/>
      <c r="B263" s="12" t="n"/>
      <c r="C263" s="12" t="n"/>
      <c r="D263" s="14" t="n"/>
      <c r="E263" s="14" t="n"/>
      <c r="F263" s="14" t="n"/>
      <c r="G263" s="12" t="n"/>
      <c r="H263" s="15" t="n"/>
      <c r="I263" s="15" t="n"/>
    </row>
    <row r="264">
      <c r="A264" s="17" t="n"/>
      <c r="B264" s="17" t="n"/>
      <c r="C264" s="17" t="n"/>
      <c r="D264" s="19" t="n"/>
      <c r="E264" s="19" t="n"/>
      <c r="F264" s="19" t="n"/>
      <c r="G264" s="17" t="n"/>
      <c r="H264" s="20" t="n"/>
      <c r="I264" s="20" t="n"/>
    </row>
    <row r="265">
      <c r="A265" s="12" t="n"/>
      <c r="B265" s="12" t="n"/>
      <c r="C265" s="12" t="n"/>
      <c r="D265" s="14" t="n"/>
      <c r="E265" s="14" t="n"/>
      <c r="F265" s="14" t="n"/>
      <c r="G265" s="12" t="n"/>
      <c r="H265" s="15" t="n"/>
      <c r="I265" s="15" t="n"/>
    </row>
    <row r="266">
      <c r="A266" s="17" t="n"/>
      <c r="B266" s="17" t="n"/>
      <c r="C266" s="17" t="n"/>
      <c r="D266" s="19" t="n"/>
      <c r="E266" s="19" t="n"/>
      <c r="F266" s="19" t="n"/>
      <c r="G266" s="17" t="n"/>
      <c r="H266" s="20" t="n"/>
      <c r="I266" s="20" t="n"/>
    </row>
    <row r="267">
      <c r="A267" s="12" t="n"/>
      <c r="B267" s="12" t="n"/>
      <c r="C267" s="12" t="n"/>
      <c r="D267" s="14" t="n"/>
      <c r="E267" s="14" t="n"/>
      <c r="F267" s="14" t="n"/>
      <c r="G267" s="12" t="n"/>
      <c r="H267" s="15" t="n"/>
      <c r="I267" s="15" t="n"/>
    </row>
    <row r="268">
      <c r="A268" s="17" t="n"/>
      <c r="B268" s="17" t="n"/>
      <c r="C268" s="17" t="n"/>
      <c r="D268" s="19" t="n"/>
      <c r="E268" s="19" t="n"/>
      <c r="F268" s="19" t="n"/>
      <c r="G268" s="17" t="n"/>
      <c r="H268" s="20" t="n"/>
      <c r="I268" s="20" t="n"/>
    </row>
    <row r="269">
      <c r="A269" s="12" t="n"/>
      <c r="B269" s="12" t="n"/>
      <c r="C269" s="12" t="n"/>
      <c r="D269" s="14" t="n"/>
      <c r="E269" s="14" t="n"/>
      <c r="F269" s="14" t="n"/>
      <c r="G269" s="12" t="n"/>
      <c r="H269" s="15" t="n"/>
      <c r="I269" s="15" t="n"/>
    </row>
    <row r="270">
      <c r="A270" s="17" t="n"/>
      <c r="B270" s="17" t="n"/>
      <c r="C270" s="17" t="n"/>
      <c r="D270" s="19" t="n"/>
      <c r="E270" s="19" t="n"/>
      <c r="F270" s="19" t="n"/>
      <c r="G270" s="17" t="n"/>
      <c r="H270" s="20" t="n"/>
      <c r="I270" s="20" t="n"/>
    </row>
    <row r="271">
      <c r="A271" s="12" t="n"/>
      <c r="B271" s="12" t="n"/>
      <c r="C271" s="12" t="n"/>
      <c r="D271" s="14" t="n"/>
      <c r="E271" s="14" t="n"/>
      <c r="F271" s="14" t="n"/>
      <c r="G271" s="12" t="n"/>
      <c r="H271" s="15" t="n"/>
      <c r="I271" s="15" t="n"/>
    </row>
    <row r="272">
      <c r="A272" s="17" t="n"/>
      <c r="B272" s="17" t="n"/>
      <c r="C272" s="17" t="n"/>
      <c r="D272" s="19" t="n"/>
      <c r="E272" s="19" t="n"/>
      <c r="F272" s="19" t="n"/>
      <c r="G272" s="17" t="n"/>
      <c r="H272" s="20" t="n"/>
      <c r="I272" s="20" t="n"/>
    </row>
    <row r="273">
      <c r="A273" s="12" t="n"/>
      <c r="B273" s="12" t="n"/>
      <c r="C273" s="12" t="n"/>
      <c r="D273" s="14" t="n"/>
      <c r="E273" s="14" t="n"/>
      <c r="F273" s="14" t="n"/>
      <c r="G273" s="12" t="n"/>
      <c r="H273" s="15" t="n"/>
      <c r="I273" s="15" t="n"/>
    </row>
    <row r="274">
      <c r="A274" s="17" t="n"/>
      <c r="B274" s="17" t="n"/>
      <c r="C274" s="17" t="n"/>
      <c r="D274" s="19" t="n"/>
      <c r="E274" s="19" t="n"/>
      <c r="F274" s="19" t="n"/>
      <c r="G274" s="17" t="n"/>
      <c r="H274" s="20" t="n"/>
      <c r="I274" s="20" t="n"/>
    </row>
    <row r="275">
      <c r="A275" s="12" t="n"/>
      <c r="B275" s="12" t="n"/>
      <c r="C275" s="12" t="n"/>
      <c r="D275" s="14" t="n"/>
      <c r="E275" s="14" t="n"/>
      <c r="F275" s="14" t="n"/>
      <c r="G275" s="12" t="n"/>
      <c r="H275" s="15" t="n"/>
      <c r="I275" s="15" t="n"/>
    </row>
    <row r="276">
      <c r="A276" s="17" t="n"/>
      <c r="B276" s="17" t="n"/>
      <c r="C276" s="17" t="n"/>
      <c r="D276" s="19" t="n"/>
      <c r="E276" s="19" t="n"/>
      <c r="F276" s="19" t="n"/>
      <c r="G276" s="17" t="n"/>
      <c r="H276" s="20" t="n"/>
      <c r="I276" s="20" t="n"/>
    </row>
    <row r="277">
      <c r="A277" s="12" t="n"/>
      <c r="B277" s="12" t="n"/>
      <c r="C277" s="12" t="n"/>
      <c r="D277" s="14" t="n"/>
      <c r="E277" s="14" t="n"/>
      <c r="F277" s="14" t="n"/>
      <c r="G277" s="12" t="n"/>
      <c r="H277" s="15" t="n"/>
      <c r="I277" s="15" t="n"/>
    </row>
    <row r="278">
      <c r="A278" s="17" t="n"/>
      <c r="B278" s="17" t="n"/>
      <c r="C278" s="17" t="n"/>
      <c r="D278" s="19" t="n"/>
      <c r="E278" s="19" t="n"/>
      <c r="F278" s="19" t="n"/>
      <c r="G278" s="17" t="n"/>
      <c r="H278" s="20" t="n"/>
      <c r="I278" s="20" t="n"/>
    </row>
    <row r="279">
      <c r="A279" s="12" t="n"/>
      <c r="B279" s="12" t="n"/>
      <c r="C279" s="12" t="n"/>
      <c r="D279" s="14" t="n"/>
      <c r="E279" s="14" t="n"/>
      <c r="F279" s="14" t="n"/>
      <c r="G279" s="12" t="n"/>
      <c r="H279" s="15" t="n"/>
      <c r="I279" s="15" t="n"/>
    </row>
    <row r="280">
      <c r="A280" s="17" t="n"/>
      <c r="B280" s="17" t="n"/>
      <c r="C280" s="17" t="n"/>
      <c r="D280" s="19" t="n"/>
      <c r="E280" s="19" t="n"/>
      <c r="F280" s="19" t="n"/>
      <c r="G280" s="17" t="n"/>
      <c r="H280" s="20" t="n"/>
      <c r="I280" s="20" t="n"/>
    </row>
    <row r="281">
      <c r="A281" s="12" t="n"/>
      <c r="B281" s="12" t="n"/>
      <c r="C281" s="12" t="n"/>
      <c r="D281" s="14" t="n"/>
      <c r="E281" s="14" t="n"/>
      <c r="F281" s="14" t="n"/>
      <c r="G281" s="12" t="n"/>
      <c r="H281" s="15" t="n"/>
      <c r="I281" s="15" t="n"/>
    </row>
    <row r="282">
      <c r="A282" s="17" t="n"/>
      <c r="B282" s="17" t="n"/>
      <c r="C282" s="17" t="n"/>
      <c r="D282" s="19" t="n"/>
      <c r="E282" s="19" t="n"/>
      <c r="F282" s="19" t="n"/>
      <c r="G282" s="17" t="n"/>
      <c r="H282" s="20" t="n"/>
      <c r="I282" s="20" t="n"/>
    </row>
    <row r="283">
      <c r="A283" s="12" t="n"/>
      <c r="B283" s="12" t="n"/>
      <c r="C283" s="12" t="n"/>
      <c r="D283" s="14" t="n"/>
      <c r="E283" s="14" t="n"/>
      <c r="F283" s="14" t="n"/>
      <c r="G283" s="12" t="n"/>
      <c r="H283" s="15" t="n"/>
      <c r="I283" s="15" t="n"/>
    </row>
    <row r="284">
      <c r="A284" s="17" t="n"/>
      <c r="B284" s="17" t="n"/>
      <c r="C284" s="17" t="n"/>
      <c r="D284" s="19" t="n"/>
      <c r="E284" s="19" t="n"/>
      <c r="F284" s="19" t="n"/>
      <c r="G284" s="17" t="n"/>
      <c r="H284" s="20" t="n"/>
      <c r="I284" s="20" t="n"/>
    </row>
    <row r="285">
      <c r="A285" s="12" t="n"/>
      <c r="B285" s="12" t="n"/>
      <c r="C285" s="12" t="n"/>
      <c r="D285" s="14" t="n"/>
      <c r="E285" s="14" t="n"/>
      <c r="F285" s="14" t="n"/>
      <c r="G285" s="12" t="n"/>
      <c r="H285" s="15" t="n"/>
      <c r="I285" s="15" t="n"/>
    </row>
    <row r="286">
      <c r="A286" s="17" t="n"/>
      <c r="B286" s="17" t="n"/>
      <c r="C286" s="17" t="n"/>
      <c r="D286" s="19" t="n"/>
      <c r="E286" s="19" t="n"/>
      <c r="F286" s="19" t="n"/>
      <c r="G286" s="17" t="n"/>
      <c r="H286" s="20" t="n"/>
      <c r="I286" s="20" t="n"/>
    </row>
    <row r="287">
      <c r="A287" s="12" t="n"/>
      <c r="B287" s="12" t="n"/>
      <c r="C287" s="12" t="n"/>
      <c r="D287" s="14" t="n"/>
      <c r="E287" s="14" t="n"/>
      <c r="F287" s="14" t="n"/>
      <c r="G287" s="12" t="n"/>
      <c r="H287" s="15" t="n"/>
      <c r="I287" s="15" t="n"/>
    </row>
    <row r="288">
      <c r="A288" s="17" t="n"/>
      <c r="B288" s="17" t="n"/>
      <c r="C288" s="17" t="n"/>
      <c r="D288" s="19" t="n"/>
      <c r="E288" s="19" t="n"/>
      <c r="F288" s="19" t="n"/>
      <c r="G288" s="17" t="n"/>
      <c r="H288" s="20" t="n"/>
      <c r="I288" s="20" t="n"/>
    </row>
    <row r="289">
      <c r="A289" s="12" t="n"/>
      <c r="B289" s="12" t="n"/>
      <c r="C289" s="12" t="n"/>
      <c r="D289" s="14" t="n"/>
      <c r="E289" s="14" t="n"/>
      <c r="F289" s="14" t="n"/>
      <c r="G289" s="12" t="n"/>
      <c r="H289" s="15" t="n"/>
      <c r="I289" s="15" t="n"/>
    </row>
    <row r="290">
      <c r="A290" s="17" t="n"/>
      <c r="B290" s="17" t="n"/>
      <c r="C290" s="17" t="n"/>
      <c r="D290" s="19" t="n"/>
      <c r="E290" s="19" t="n"/>
      <c r="F290" s="19" t="n"/>
      <c r="G290" s="17" t="n"/>
      <c r="H290" s="20" t="n"/>
      <c r="I290" s="20" t="n"/>
    </row>
    <row r="291">
      <c r="A291" s="12" t="n"/>
      <c r="B291" s="12" t="n"/>
      <c r="C291" s="12" t="n"/>
      <c r="D291" s="14" t="n"/>
      <c r="E291" s="14" t="n"/>
      <c r="F291" s="14" t="n"/>
      <c r="G291" s="12" t="n"/>
      <c r="H291" s="15" t="n"/>
      <c r="I291" s="15" t="n"/>
    </row>
    <row r="292">
      <c r="A292" s="17" t="n"/>
      <c r="B292" s="17" t="n"/>
      <c r="C292" s="17" t="n"/>
      <c r="D292" s="19" t="n"/>
      <c r="E292" s="19" t="n"/>
      <c r="F292" s="19" t="n"/>
      <c r="G292" s="17" t="n"/>
      <c r="H292" s="20" t="n"/>
      <c r="I292" s="20" t="n"/>
    </row>
    <row r="293">
      <c r="A293" s="12" t="n"/>
      <c r="B293" s="12" t="n"/>
      <c r="C293" s="12" t="n"/>
      <c r="D293" s="14" t="n"/>
      <c r="E293" s="14" t="n"/>
      <c r="F293" s="14" t="n"/>
      <c r="G293" s="12" t="n"/>
      <c r="H293" s="15" t="n"/>
      <c r="I293" s="15" t="n"/>
    </row>
    <row r="294">
      <c r="A294" s="17" t="n"/>
      <c r="B294" s="17" t="n"/>
      <c r="C294" s="17" t="n"/>
      <c r="D294" s="19" t="n"/>
      <c r="E294" s="19" t="n"/>
      <c r="F294" s="19" t="n"/>
      <c r="G294" s="17" t="n"/>
      <c r="H294" s="20" t="n"/>
      <c r="I294" s="20" t="n"/>
    </row>
    <row r="295">
      <c r="A295" s="12" t="n"/>
      <c r="B295" s="12" t="n"/>
      <c r="C295" s="12" t="n"/>
      <c r="D295" s="14" t="n"/>
      <c r="E295" s="14" t="n"/>
      <c r="F295" s="14" t="n"/>
      <c r="G295" s="12" t="n"/>
      <c r="H295" s="15" t="n"/>
      <c r="I295" s="15" t="n"/>
    </row>
    <row r="296">
      <c r="A296" s="17" t="n"/>
      <c r="B296" s="17" t="n"/>
      <c r="C296" s="17" t="n"/>
      <c r="D296" s="19" t="n"/>
      <c r="E296" s="19" t="n"/>
      <c r="F296" s="19" t="n"/>
      <c r="G296" s="17" t="n"/>
      <c r="H296" s="20" t="n"/>
      <c r="I296" s="20" t="n"/>
    </row>
    <row r="297">
      <c r="A297" s="12" t="n"/>
      <c r="B297" s="12" t="n"/>
      <c r="C297" s="12" t="n"/>
      <c r="D297" s="14" t="n"/>
      <c r="E297" s="14" t="n"/>
      <c r="F297" s="14" t="n"/>
      <c r="G297" s="12" t="n"/>
      <c r="H297" s="15" t="n"/>
      <c r="I297" s="15" t="n"/>
    </row>
    <row r="298">
      <c r="A298" s="17" t="n"/>
      <c r="B298" s="17" t="n"/>
      <c r="C298" s="17" t="n"/>
      <c r="D298" s="19" t="n"/>
      <c r="E298" s="19" t="n"/>
      <c r="F298" s="19" t="n"/>
      <c r="G298" s="17" t="n"/>
      <c r="H298" s="20" t="n"/>
      <c r="I298" s="20" t="n"/>
    </row>
    <row r="299">
      <c r="A299" s="12" t="n"/>
      <c r="B299" s="12" t="n"/>
      <c r="C299" s="12" t="n"/>
      <c r="D299" s="14" t="n"/>
      <c r="E299" s="14" t="n"/>
      <c r="F299" s="14" t="n"/>
      <c r="G299" s="12" t="n"/>
      <c r="H299" s="15" t="n"/>
      <c r="I299" s="15" t="n"/>
    </row>
    <row r="300">
      <c r="A300" s="17" t="n"/>
      <c r="B300" s="17" t="n"/>
      <c r="C300" s="17" t="n"/>
      <c r="D300" s="19" t="n"/>
      <c r="E300" s="19" t="n"/>
      <c r="F300" s="19" t="n"/>
      <c r="G300" s="17" t="n"/>
      <c r="H300" s="20" t="n"/>
      <c r="I300" s="20" t="n"/>
    </row>
    <row r="301">
      <c r="A301" s="12" t="n"/>
      <c r="B301" s="12" t="n"/>
      <c r="C301" s="12" t="n"/>
      <c r="D301" s="14" t="n"/>
      <c r="E301" s="14" t="n"/>
      <c r="F301" s="14" t="n"/>
      <c r="G301" s="12" t="n"/>
      <c r="H301" s="15" t="n"/>
      <c r="I301" s="15" t="n"/>
    </row>
    <row r="302">
      <c r="A302" s="17" t="n"/>
      <c r="B302" s="17" t="n"/>
      <c r="C302" s="17" t="n"/>
      <c r="D302" s="19" t="n"/>
      <c r="E302" s="19" t="n"/>
      <c r="F302" s="19" t="n"/>
      <c r="G302" s="17" t="n"/>
      <c r="H302" s="20" t="n"/>
      <c r="I302" s="20" t="n"/>
    </row>
    <row r="303">
      <c r="A303" s="12" t="n"/>
      <c r="B303" s="12" t="n"/>
      <c r="C303" s="12" t="n"/>
      <c r="D303" s="14" t="n"/>
      <c r="E303" s="14" t="n"/>
      <c r="F303" s="14" t="n"/>
      <c r="G303" s="12" t="n"/>
      <c r="H303" s="15" t="n"/>
      <c r="I303" s="15" t="n"/>
    </row>
    <row r="304">
      <c r="A304" s="17" t="n"/>
      <c r="B304" s="17" t="n"/>
      <c r="C304" s="17" t="n"/>
      <c r="D304" s="19" t="n"/>
      <c r="E304" s="19" t="n"/>
      <c r="F304" s="19" t="n"/>
      <c r="G304" s="17" t="n"/>
      <c r="H304" s="20" t="n"/>
      <c r="I304" s="20" t="n"/>
    </row>
    <row r="305">
      <c r="A305" s="12" t="n"/>
      <c r="B305" s="12" t="n"/>
      <c r="C305" s="12" t="n"/>
      <c r="D305" s="14" t="n"/>
      <c r="E305" s="14" t="n"/>
      <c r="F305" s="14" t="n"/>
      <c r="G305" s="12" t="n"/>
      <c r="H305" s="15" t="n"/>
      <c r="I305" s="15" t="n"/>
    </row>
    <row r="306">
      <c r="A306" s="17" t="n"/>
      <c r="B306" s="17" t="n"/>
      <c r="C306" s="17" t="n"/>
      <c r="D306" s="19" t="n"/>
      <c r="E306" s="19" t="n"/>
      <c r="F306" s="19" t="n"/>
      <c r="G306" s="17" t="n"/>
      <c r="H306" s="20" t="n"/>
      <c r="I306" s="20" t="n"/>
    </row>
    <row r="307">
      <c r="A307" s="12" t="n"/>
      <c r="B307" s="12" t="n"/>
      <c r="C307" s="12" t="n"/>
      <c r="D307" s="14" t="n"/>
      <c r="E307" s="14" t="n"/>
      <c r="F307" s="14" t="n"/>
      <c r="G307" s="12" t="n"/>
      <c r="H307" s="15" t="n"/>
      <c r="I307" s="15" t="n"/>
    </row>
    <row r="308">
      <c r="A308" s="17" t="n"/>
      <c r="B308" s="17" t="n"/>
      <c r="C308" s="17" t="n"/>
      <c r="D308" s="19" t="n"/>
      <c r="E308" s="19" t="n"/>
      <c r="F308" s="19" t="n"/>
      <c r="G308" s="17" t="n"/>
      <c r="H308" s="20" t="n"/>
      <c r="I308" s="20" t="n"/>
    </row>
    <row r="309">
      <c r="A309" s="12" t="n"/>
      <c r="B309" s="12" t="n"/>
      <c r="C309" s="12" t="n"/>
      <c r="D309" s="14" t="n"/>
      <c r="E309" s="14" t="n"/>
      <c r="F309" s="14" t="n"/>
      <c r="G309" s="12" t="n"/>
      <c r="H309" s="15" t="n"/>
      <c r="I309" s="15" t="n"/>
    </row>
    <row r="310">
      <c r="A310" s="17" t="n"/>
      <c r="B310" s="17" t="n"/>
      <c r="C310" s="17" t="n"/>
      <c r="D310" s="19" t="n"/>
      <c r="E310" s="19" t="n"/>
      <c r="F310" s="19" t="n"/>
      <c r="G310" s="17" t="n"/>
      <c r="H310" s="20" t="n"/>
      <c r="I310" s="20" t="n"/>
    </row>
    <row r="311">
      <c r="A311" s="12" t="n"/>
      <c r="B311" s="12" t="n"/>
      <c r="C311" s="12" t="n"/>
      <c r="D311" s="14" t="n"/>
      <c r="E311" s="14" t="n"/>
      <c r="F311" s="14" t="n"/>
      <c r="G311" s="12" t="n"/>
      <c r="H311" s="15" t="n"/>
      <c r="I311" s="15" t="n"/>
    </row>
    <row r="312">
      <c r="A312" s="17" t="n"/>
      <c r="B312" s="17" t="n"/>
      <c r="C312" s="17" t="n"/>
      <c r="D312" s="19" t="n"/>
      <c r="E312" s="19" t="n"/>
      <c r="F312" s="19" t="n"/>
      <c r="G312" s="17" t="n"/>
      <c r="H312" s="20" t="n"/>
      <c r="I312" s="20" t="n"/>
    </row>
    <row r="313">
      <c r="A313" s="12" t="n"/>
      <c r="B313" s="12" t="n"/>
      <c r="C313" s="12" t="n"/>
      <c r="D313" s="14" t="n"/>
      <c r="E313" s="14" t="n"/>
      <c r="F313" s="14" t="n"/>
      <c r="G313" s="12" t="n"/>
      <c r="H313" s="15" t="n"/>
      <c r="I313" s="15" t="n"/>
    </row>
    <row r="314">
      <c r="A314" s="17" t="n"/>
      <c r="B314" s="17" t="n"/>
      <c r="C314" s="17" t="n"/>
      <c r="D314" s="19" t="n"/>
      <c r="E314" s="19" t="n"/>
      <c r="F314" s="19" t="n"/>
      <c r="G314" s="17" t="n"/>
      <c r="H314" s="20" t="n"/>
      <c r="I314" s="20" t="n"/>
    </row>
    <row r="315">
      <c r="A315" s="12" t="n"/>
      <c r="B315" s="12" t="n"/>
      <c r="C315" s="12" t="n"/>
      <c r="D315" s="14" t="n"/>
      <c r="E315" s="14" t="n"/>
      <c r="F315" s="14" t="n"/>
      <c r="G315" s="12" t="n"/>
      <c r="H315" s="15" t="n"/>
      <c r="I315" s="15" t="n"/>
    </row>
    <row r="316">
      <c r="A316" s="17" t="n"/>
      <c r="B316" s="17" t="n"/>
      <c r="C316" s="17" t="n"/>
      <c r="D316" s="19" t="n"/>
      <c r="E316" s="19" t="n"/>
      <c r="F316" s="19" t="n"/>
      <c r="G316" s="17" t="n"/>
      <c r="H316" s="20" t="n"/>
      <c r="I316" s="20" t="n"/>
    </row>
    <row r="317">
      <c r="A317" s="12" t="n"/>
      <c r="B317" s="12" t="n"/>
      <c r="C317" s="12" t="n"/>
      <c r="D317" s="14" t="n"/>
      <c r="E317" s="14" t="n"/>
      <c r="F317" s="14" t="n"/>
      <c r="G317" s="12" t="n"/>
      <c r="H317" s="15" t="n"/>
      <c r="I317" s="15" t="n"/>
    </row>
    <row r="318">
      <c r="A318" s="17" t="n"/>
      <c r="B318" s="17" t="n"/>
      <c r="C318" s="17" t="n"/>
      <c r="D318" s="19" t="n"/>
      <c r="E318" s="19" t="n"/>
      <c r="F318" s="19" t="n"/>
      <c r="G318" s="17" t="n"/>
      <c r="H318" s="20" t="n"/>
      <c r="I318" s="20" t="n"/>
    </row>
    <row r="319">
      <c r="A319" s="12" t="n"/>
      <c r="B319" s="12" t="n"/>
      <c r="C319" s="12" t="n"/>
      <c r="D319" s="14" t="n"/>
      <c r="E319" s="14" t="n"/>
      <c r="F319" s="14" t="n"/>
      <c r="G319" s="12" t="n"/>
      <c r="H319" s="15" t="n"/>
      <c r="I319" s="15" t="n"/>
    </row>
    <row r="320">
      <c r="A320" s="17" t="n"/>
      <c r="B320" s="17" t="n"/>
      <c r="C320" s="17" t="n"/>
      <c r="D320" s="19" t="n"/>
      <c r="E320" s="19" t="n"/>
      <c r="F320" s="19" t="n"/>
      <c r="G320" s="17" t="n"/>
      <c r="H320" s="20" t="n"/>
      <c r="I320" s="20" t="n"/>
    </row>
    <row r="321">
      <c r="A321" s="12" t="n"/>
      <c r="B321" s="12" t="n"/>
      <c r="C321" s="12" t="n"/>
      <c r="D321" s="14" t="n"/>
      <c r="E321" s="14" t="n"/>
      <c r="F321" s="14" t="n"/>
      <c r="G321" s="12" t="n"/>
      <c r="H321" s="15" t="n"/>
      <c r="I321" s="15" t="n"/>
    </row>
    <row r="322">
      <c r="A322" s="17" t="n"/>
      <c r="B322" s="17" t="n"/>
      <c r="C322" s="17" t="n"/>
      <c r="D322" s="19" t="n"/>
      <c r="E322" s="19" t="n"/>
      <c r="F322" s="19" t="n"/>
      <c r="G322" s="17" t="n"/>
      <c r="H322" s="20" t="n"/>
      <c r="I322" s="20" t="n"/>
    </row>
    <row r="323">
      <c r="A323" s="12" t="n"/>
      <c r="B323" s="12" t="n"/>
      <c r="C323" s="12" t="n"/>
      <c r="D323" s="14" t="n"/>
      <c r="E323" s="14" t="n"/>
      <c r="F323" s="14" t="n"/>
      <c r="G323" s="12" t="n"/>
      <c r="H323" s="15" t="n"/>
      <c r="I323" s="15" t="n"/>
    </row>
    <row r="324">
      <c r="A324" s="17" t="n"/>
      <c r="B324" s="17" t="n"/>
      <c r="C324" s="17" t="n"/>
      <c r="D324" s="19" t="n"/>
      <c r="E324" s="19" t="n"/>
      <c r="F324" s="19" t="n"/>
      <c r="G324" s="17" t="n"/>
      <c r="H324" s="20" t="n"/>
      <c r="I324" s="20" t="n"/>
    </row>
    <row r="325">
      <c r="A325" s="12" t="n"/>
      <c r="B325" s="12" t="n"/>
      <c r="C325" s="12" t="n"/>
      <c r="D325" s="14" t="n"/>
      <c r="E325" s="14" t="n"/>
      <c r="F325" s="14" t="n"/>
      <c r="G325" s="12" t="n"/>
      <c r="H325" s="15" t="n"/>
      <c r="I325" s="15" t="n"/>
    </row>
    <row r="326">
      <c r="A326" s="17" t="n"/>
      <c r="B326" s="17" t="n"/>
      <c r="C326" s="17" t="n"/>
      <c r="D326" s="19" t="n"/>
      <c r="E326" s="19" t="n"/>
      <c r="F326" s="19" t="n"/>
      <c r="G326" s="17" t="n"/>
      <c r="H326" s="20" t="n"/>
      <c r="I326" s="20" t="n"/>
    </row>
    <row r="327">
      <c r="A327" s="12" t="n"/>
      <c r="B327" s="12" t="n"/>
      <c r="C327" s="12" t="n"/>
      <c r="D327" s="14" t="n"/>
      <c r="E327" s="14" t="n"/>
      <c r="F327" s="14" t="n"/>
      <c r="G327" s="12" t="n"/>
      <c r="H327" s="15" t="n"/>
      <c r="I327" s="15" t="n"/>
    </row>
    <row r="328">
      <c r="A328" s="17" t="n"/>
      <c r="B328" s="17" t="n"/>
      <c r="C328" s="17" t="n"/>
      <c r="D328" s="19" t="n"/>
      <c r="E328" s="19" t="n"/>
      <c r="F328" s="19" t="n"/>
      <c r="G328" s="17" t="n"/>
      <c r="H328" s="20" t="n"/>
      <c r="I328" s="20" t="n"/>
    </row>
    <row r="329">
      <c r="A329" s="12" t="n"/>
      <c r="B329" s="12" t="n"/>
      <c r="C329" s="12" t="n"/>
      <c r="D329" s="14" t="n"/>
      <c r="E329" s="14" t="n"/>
      <c r="F329" s="14" t="n"/>
      <c r="G329" s="12" t="n"/>
      <c r="H329" s="15" t="n"/>
      <c r="I329" s="15" t="n"/>
    </row>
    <row r="330">
      <c r="A330" s="17" t="n"/>
      <c r="B330" s="17" t="n"/>
      <c r="C330" s="17" t="n"/>
      <c r="D330" s="19" t="n"/>
      <c r="E330" s="19" t="n"/>
      <c r="F330" s="19" t="n"/>
      <c r="G330" s="17" t="n"/>
      <c r="H330" s="20" t="n"/>
      <c r="I330" s="20" t="n"/>
    </row>
    <row r="331">
      <c r="A331" s="12" t="n"/>
      <c r="B331" s="12" t="n"/>
      <c r="C331" s="12" t="n"/>
      <c r="D331" s="14" t="n"/>
      <c r="E331" s="14" t="n"/>
      <c r="F331" s="14" t="n"/>
      <c r="G331" s="12" t="n"/>
      <c r="H331" s="15" t="n"/>
      <c r="I331" s="15" t="n"/>
    </row>
    <row r="332">
      <c r="A332" s="17" t="n"/>
      <c r="B332" s="17" t="n"/>
      <c r="C332" s="17" t="n"/>
      <c r="D332" s="19" t="n"/>
      <c r="E332" s="19" t="n"/>
      <c r="F332" s="19" t="n"/>
      <c r="G332" s="17" t="n"/>
      <c r="H332" s="20" t="n"/>
      <c r="I332" s="20" t="n"/>
    </row>
    <row r="333">
      <c r="A333" s="12" t="n"/>
      <c r="B333" s="12" t="n"/>
      <c r="C333" s="12" t="n"/>
      <c r="D333" s="14" t="n"/>
      <c r="E333" s="14" t="n"/>
      <c r="F333" s="14" t="n"/>
      <c r="G333" s="12" t="n"/>
      <c r="H333" s="15" t="n"/>
      <c r="I333" s="15" t="n"/>
    </row>
    <row r="334">
      <c r="A334" s="17" t="n"/>
      <c r="B334" s="17" t="n"/>
      <c r="C334" s="17" t="n"/>
      <c r="D334" s="19" t="n"/>
      <c r="E334" s="19" t="n"/>
      <c r="F334" s="19" t="n"/>
      <c r="G334" s="17" t="n"/>
      <c r="H334" s="20" t="n"/>
      <c r="I334" s="20" t="n"/>
    </row>
    <row r="335">
      <c r="A335" s="12" t="n"/>
      <c r="B335" s="12" t="n"/>
      <c r="C335" s="12" t="n"/>
      <c r="D335" s="14" t="n"/>
      <c r="E335" s="14" t="n"/>
      <c r="F335" s="14" t="n"/>
      <c r="G335" s="12" t="n"/>
      <c r="H335" s="15" t="n"/>
      <c r="I335" s="15" t="n"/>
    </row>
    <row r="336">
      <c r="A336" s="17" t="n"/>
      <c r="B336" s="17" t="n"/>
      <c r="C336" s="17" t="n"/>
      <c r="D336" s="19" t="n"/>
      <c r="E336" s="19" t="n"/>
      <c r="F336" s="19" t="n"/>
      <c r="G336" s="17" t="n"/>
      <c r="H336" s="20" t="n"/>
      <c r="I336" s="20" t="n"/>
    </row>
    <row r="337">
      <c r="A337" s="12" t="n"/>
      <c r="B337" s="12" t="n"/>
      <c r="C337" s="12" t="n"/>
      <c r="D337" s="14" t="n"/>
      <c r="E337" s="14" t="n"/>
      <c r="F337" s="14" t="n"/>
      <c r="G337" s="12" t="n"/>
      <c r="H337" s="15" t="n"/>
      <c r="I337" s="15" t="n"/>
    </row>
    <row r="338">
      <c r="A338" s="17" t="n"/>
      <c r="B338" s="17" t="n"/>
      <c r="C338" s="17" t="n"/>
      <c r="D338" s="19" t="n"/>
      <c r="E338" s="19" t="n"/>
      <c r="F338" s="19" t="n"/>
      <c r="G338" s="17" t="n"/>
      <c r="H338" s="20" t="n"/>
      <c r="I338" s="20" t="n"/>
    </row>
    <row r="339">
      <c r="A339" s="12" t="n"/>
      <c r="B339" s="12" t="n"/>
      <c r="C339" s="12" t="n"/>
      <c r="D339" s="14" t="n"/>
      <c r="E339" s="14" t="n"/>
      <c r="F339" s="14" t="n"/>
      <c r="G339" s="12" t="n"/>
      <c r="H339" s="15" t="n"/>
      <c r="I339" s="15" t="n"/>
    </row>
    <row r="340">
      <c r="A340" s="17" t="n"/>
      <c r="B340" s="17" t="n"/>
      <c r="C340" s="17" t="n"/>
      <c r="D340" s="19" t="n"/>
      <c r="E340" s="19" t="n"/>
      <c r="F340" s="19" t="n"/>
      <c r="G340" s="17" t="n"/>
      <c r="H340" s="20" t="n"/>
      <c r="I340" s="20" t="n"/>
    </row>
    <row r="341">
      <c r="A341" s="12" t="n"/>
      <c r="B341" s="12" t="n"/>
      <c r="C341" s="12" t="n"/>
      <c r="D341" s="14" t="n"/>
      <c r="E341" s="14" t="n"/>
      <c r="F341" s="14" t="n"/>
      <c r="G341" s="12" t="n"/>
      <c r="H341" s="15" t="n"/>
      <c r="I341" s="15" t="n"/>
    </row>
    <row r="342">
      <c r="A342" s="17" t="n"/>
      <c r="B342" s="17" t="n"/>
      <c r="C342" s="17" t="n"/>
      <c r="D342" s="19" t="n"/>
      <c r="E342" s="19" t="n"/>
      <c r="F342" s="19" t="n"/>
      <c r="G342" s="17" t="n"/>
      <c r="H342" s="20" t="n"/>
      <c r="I342" s="20" t="n"/>
    </row>
    <row r="343">
      <c r="A343" s="12" t="n"/>
      <c r="B343" s="12" t="n"/>
      <c r="C343" s="12" t="n"/>
      <c r="D343" s="14" t="n"/>
      <c r="E343" s="14" t="n"/>
      <c r="F343" s="14" t="n"/>
      <c r="G343" s="12" t="n"/>
      <c r="H343" s="15" t="n"/>
      <c r="I343" s="15" t="n"/>
    </row>
    <row r="344">
      <c r="A344" s="17" t="n"/>
      <c r="B344" s="17" t="n"/>
      <c r="C344" s="17" t="n"/>
      <c r="D344" s="19" t="n"/>
      <c r="E344" s="19" t="n"/>
      <c r="F344" s="19" t="n"/>
      <c r="G344" s="17" t="n"/>
      <c r="H344" s="20" t="n"/>
      <c r="I344" s="20" t="n"/>
    </row>
    <row r="345">
      <c r="A345" s="12" t="n"/>
      <c r="B345" s="12" t="n"/>
      <c r="C345" s="12" t="n"/>
      <c r="D345" s="14" t="n"/>
      <c r="E345" s="14" t="n"/>
      <c r="F345" s="14" t="n"/>
      <c r="G345" s="12" t="n"/>
      <c r="H345" s="15" t="n"/>
      <c r="I345" s="15" t="n"/>
    </row>
    <row r="346">
      <c r="A346" s="17" t="n"/>
      <c r="B346" s="17" t="n"/>
      <c r="C346" s="17" t="n"/>
      <c r="D346" s="19" t="n"/>
      <c r="E346" s="19" t="n"/>
      <c r="F346" s="19" t="n"/>
      <c r="G346" s="17" t="n"/>
      <c r="H346" s="20" t="n"/>
      <c r="I346" s="20" t="n"/>
    </row>
    <row r="347">
      <c r="A347" s="12" t="n"/>
      <c r="B347" s="12" t="n"/>
      <c r="C347" s="12" t="n"/>
      <c r="D347" s="14" t="n"/>
      <c r="E347" s="14" t="n"/>
      <c r="F347" s="14" t="n"/>
      <c r="G347" s="12" t="n"/>
      <c r="H347" s="15" t="n"/>
      <c r="I347" s="15" t="n"/>
    </row>
    <row r="348">
      <c r="A348" s="17" t="n"/>
      <c r="B348" s="17" t="n"/>
      <c r="C348" s="17" t="n"/>
      <c r="D348" s="19" t="n"/>
      <c r="E348" s="19" t="n"/>
      <c r="F348" s="19" t="n"/>
      <c r="G348" s="17" t="n"/>
      <c r="H348" s="20" t="n"/>
      <c r="I348" s="20" t="n"/>
    </row>
    <row r="349">
      <c r="A349" s="12" t="n"/>
      <c r="B349" s="12" t="n"/>
      <c r="C349" s="12" t="n"/>
      <c r="D349" s="14" t="n"/>
      <c r="E349" s="14" t="n"/>
      <c r="F349" s="14" t="n"/>
      <c r="G349" s="12" t="n"/>
      <c r="H349" s="15" t="n"/>
      <c r="I349" s="15" t="n"/>
    </row>
    <row r="350">
      <c r="A350" s="17" t="n"/>
      <c r="B350" s="17" t="n"/>
      <c r="C350" s="17" t="n"/>
      <c r="D350" s="19" t="n"/>
      <c r="E350" s="19" t="n"/>
      <c r="F350" s="19" t="n"/>
      <c r="G350" s="17" t="n"/>
      <c r="H350" s="20" t="n"/>
      <c r="I350" s="20" t="n"/>
    </row>
    <row r="351">
      <c r="A351" s="12" t="n"/>
      <c r="B351" s="12" t="n"/>
      <c r="C351" s="12" t="n"/>
      <c r="D351" s="14" t="n"/>
      <c r="E351" s="14" t="n"/>
      <c r="F351" s="14" t="n"/>
      <c r="G351" s="12" t="n"/>
      <c r="H351" s="15" t="n"/>
      <c r="I351" s="15" t="n"/>
    </row>
    <row r="352">
      <c r="A352" s="17" t="n"/>
      <c r="B352" s="17" t="n"/>
      <c r="C352" s="17" t="n"/>
      <c r="D352" s="19" t="n"/>
      <c r="E352" s="19" t="n"/>
      <c r="F352" s="19" t="n"/>
      <c r="G352" s="17" t="n"/>
      <c r="H352" s="20" t="n"/>
      <c r="I352" s="20" t="n"/>
    </row>
    <row r="353">
      <c r="A353" s="12" t="n"/>
      <c r="B353" s="12" t="n"/>
      <c r="C353" s="12" t="n"/>
      <c r="D353" s="14" t="n"/>
      <c r="E353" s="14" t="n"/>
      <c r="F353" s="14" t="n"/>
      <c r="G353" s="12" t="n"/>
      <c r="H353" s="15" t="n"/>
      <c r="I353" s="15" t="n"/>
    </row>
    <row r="354">
      <c r="A354" s="17" t="n"/>
      <c r="B354" s="17" t="n"/>
      <c r="C354" s="17" t="n"/>
      <c r="D354" s="19" t="n"/>
      <c r="E354" s="19" t="n"/>
      <c r="F354" s="19" t="n"/>
      <c r="G354" s="17" t="n"/>
      <c r="H354" s="20" t="n"/>
      <c r="I354" s="20" t="n"/>
    </row>
    <row r="355">
      <c r="A355" s="12" t="n"/>
      <c r="B355" s="12" t="n"/>
      <c r="C355" s="12" t="n"/>
      <c r="D355" s="14" t="n"/>
      <c r="E355" s="14" t="n"/>
      <c r="F355" s="14" t="n"/>
      <c r="G355" s="12" t="n"/>
      <c r="H355" s="15" t="n"/>
      <c r="I355" s="15" t="n"/>
    </row>
    <row r="356">
      <c r="A356" s="17" t="n"/>
      <c r="B356" s="17" t="n"/>
      <c r="C356" s="17" t="n"/>
      <c r="D356" s="19" t="n"/>
      <c r="E356" s="19" t="n"/>
      <c r="F356" s="19" t="n"/>
      <c r="G356" s="17" t="n"/>
      <c r="H356" s="20" t="n"/>
      <c r="I356" s="20" t="n"/>
    </row>
    <row r="357">
      <c r="A357" s="12" t="n"/>
      <c r="B357" s="12" t="n"/>
      <c r="C357" s="12" t="n"/>
      <c r="D357" s="14" t="n"/>
      <c r="E357" s="14" t="n"/>
      <c r="F357" s="14" t="n"/>
      <c r="G357" s="12" t="n"/>
      <c r="H357" s="15" t="n"/>
      <c r="I357" s="15" t="n"/>
    </row>
    <row r="358">
      <c r="A358" s="17" t="n"/>
      <c r="B358" s="17" t="n"/>
      <c r="C358" s="17" t="n"/>
      <c r="D358" s="19" t="n"/>
      <c r="E358" s="19" t="n"/>
      <c r="F358" s="19" t="n"/>
      <c r="G358" s="17" t="n"/>
      <c r="H358" s="20" t="n"/>
      <c r="I358" s="20" t="n"/>
    </row>
    <row r="359">
      <c r="A359" s="12" t="n"/>
      <c r="B359" s="12" t="n"/>
      <c r="C359" s="12" t="n"/>
      <c r="D359" s="14" t="n"/>
      <c r="E359" s="14" t="n"/>
      <c r="F359" s="14" t="n"/>
      <c r="G359" s="12" t="n"/>
      <c r="H359" s="15" t="n"/>
      <c r="I359" s="15" t="n"/>
    </row>
    <row r="360">
      <c r="A360" s="17" t="n"/>
      <c r="B360" s="17" t="n"/>
      <c r="C360" s="17" t="n"/>
      <c r="D360" s="19" t="n"/>
      <c r="E360" s="19" t="n"/>
      <c r="F360" s="19" t="n"/>
      <c r="G360" s="17" t="n"/>
      <c r="H360" s="20" t="n"/>
      <c r="I360" s="20" t="n"/>
    </row>
    <row r="361">
      <c r="A361" s="12" t="n"/>
      <c r="B361" s="12" t="n"/>
      <c r="C361" s="12" t="n"/>
      <c r="D361" s="14" t="n"/>
      <c r="E361" s="14" t="n"/>
      <c r="F361" s="14" t="n"/>
      <c r="G361" s="12" t="n"/>
      <c r="H361" s="15" t="n"/>
      <c r="I361" s="15" t="n"/>
    </row>
    <row r="362">
      <c r="A362" s="17" t="n"/>
      <c r="B362" s="17" t="n"/>
      <c r="C362" s="17" t="n"/>
      <c r="D362" s="19" t="n"/>
      <c r="E362" s="19" t="n"/>
      <c r="F362" s="19" t="n"/>
      <c r="G362" s="17" t="n"/>
      <c r="H362" s="20" t="n"/>
      <c r="I362" s="20" t="n"/>
    </row>
    <row r="363">
      <c r="A363" s="12" t="n"/>
      <c r="B363" s="12" t="n"/>
      <c r="C363" s="12" t="n"/>
      <c r="D363" s="14" t="n"/>
      <c r="E363" s="14" t="n"/>
      <c r="F363" s="14" t="n"/>
      <c r="G363" s="12" t="n"/>
      <c r="H363" s="15" t="n"/>
      <c r="I363" s="15" t="n"/>
    </row>
    <row r="364">
      <c r="A364" s="17" t="n"/>
      <c r="B364" s="17" t="n"/>
      <c r="C364" s="17" t="n"/>
      <c r="D364" s="19" t="n"/>
      <c r="E364" s="19" t="n"/>
      <c r="F364" s="19" t="n"/>
      <c r="G364" s="17" t="n"/>
      <c r="H364" s="20" t="n"/>
      <c r="I364" s="20" t="n"/>
    </row>
    <row r="365">
      <c r="A365" s="12" t="n"/>
      <c r="B365" s="12" t="n"/>
      <c r="C365" s="12" t="n"/>
      <c r="D365" s="14" t="n"/>
      <c r="E365" s="14" t="n"/>
      <c r="F365" s="14" t="n"/>
      <c r="G365" s="12" t="n"/>
      <c r="H365" s="15" t="n"/>
      <c r="I365" s="15" t="n"/>
    </row>
    <row r="366">
      <c r="A366" s="17" t="n"/>
      <c r="B366" s="17" t="n"/>
      <c r="C366" s="17" t="n"/>
      <c r="D366" s="19" t="n"/>
      <c r="E366" s="19" t="n"/>
      <c r="F366" s="19" t="n"/>
      <c r="G366" s="17" t="n"/>
      <c r="H366" s="20" t="n"/>
      <c r="I366" s="20" t="n"/>
    </row>
    <row r="367">
      <c r="A367" s="12" t="n"/>
      <c r="B367" s="12" t="n"/>
      <c r="C367" s="12" t="n"/>
      <c r="D367" s="14" t="n"/>
      <c r="E367" s="14" t="n"/>
      <c r="F367" s="14" t="n"/>
      <c r="G367" s="12" t="n"/>
      <c r="H367" s="15" t="n"/>
      <c r="I367" s="15" t="n"/>
    </row>
    <row r="368">
      <c r="A368" s="17" t="n"/>
      <c r="B368" s="17" t="n"/>
      <c r="C368" s="17" t="n"/>
      <c r="D368" s="19" t="n"/>
      <c r="E368" s="19" t="n"/>
      <c r="F368" s="19" t="n"/>
      <c r="G368" s="17" t="n"/>
      <c r="H368" s="20" t="n"/>
      <c r="I368" s="20" t="n"/>
    </row>
    <row r="369">
      <c r="A369" s="12" t="n"/>
      <c r="B369" s="12" t="n"/>
      <c r="C369" s="12" t="n"/>
      <c r="D369" s="14" t="n"/>
      <c r="E369" s="14" t="n"/>
      <c r="F369" s="14" t="n"/>
      <c r="G369" s="12" t="n"/>
      <c r="H369" s="15" t="n"/>
      <c r="I369" s="15" t="n"/>
    </row>
    <row r="370">
      <c r="A370" s="17" t="n"/>
      <c r="B370" s="17" t="n"/>
      <c r="C370" s="17" t="n"/>
      <c r="D370" s="19" t="n"/>
      <c r="E370" s="19" t="n"/>
      <c r="F370" s="19" t="n"/>
      <c r="G370" s="17" t="n"/>
      <c r="H370" s="20" t="n"/>
      <c r="I370" s="20" t="n"/>
    </row>
    <row r="371">
      <c r="A371" s="12" t="n"/>
      <c r="B371" s="12" t="n"/>
      <c r="C371" s="12" t="n"/>
      <c r="D371" s="14" t="n"/>
      <c r="E371" s="14" t="n"/>
      <c r="F371" s="14" t="n"/>
      <c r="G371" s="12" t="n"/>
      <c r="H371" s="15" t="n"/>
      <c r="I371" s="15" t="n"/>
    </row>
    <row r="372">
      <c r="A372" s="17" t="n"/>
      <c r="B372" s="17" t="n"/>
      <c r="C372" s="17" t="n"/>
      <c r="D372" s="19" t="n"/>
      <c r="E372" s="19" t="n"/>
      <c r="F372" s="19" t="n"/>
      <c r="G372" s="17" t="n"/>
      <c r="H372" s="20" t="n"/>
      <c r="I372" s="20" t="n"/>
    </row>
    <row r="373">
      <c r="A373" s="12" t="n"/>
      <c r="B373" s="12" t="n"/>
      <c r="C373" s="12" t="n"/>
      <c r="D373" s="14" t="n"/>
      <c r="E373" s="14" t="n"/>
      <c r="F373" s="14" t="n"/>
      <c r="G373" s="12" t="n"/>
      <c r="H373" s="15" t="n"/>
      <c r="I373" s="15" t="n"/>
    </row>
    <row r="374">
      <c r="A374" s="17" t="n"/>
      <c r="B374" s="17" t="n"/>
      <c r="C374" s="17" t="n"/>
      <c r="D374" s="19" t="n"/>
      <c r="E374" s="19" t="n"/>
      <c r="F374" s="19" t="n"/>
      <c r="G374" s="17" t="n"/>
      <c r="H374" s="20" t="n"/>
      <c r="I374" s="20" t="n"/>
    </row>
    <row r="375">
      <c r="A375" s="12" t="n"/>
      <c r="B375" s="12" t="n"/>
      <c r="C375" s="12" t="n"/>
      <c r="D375" s="14" t="n"/>
      <c r="E375" s="14" t="n"/>
      <c r="F375" s="14" t="n"/>
      <c r="G375" s="12" t="n"/>
      <c r="H375" s="15" t="n"/>
      <c r="I375" s="15" t="n"/>
    </row>
    <row r="376">
      <c r="A376" s="17" t="n"/>
      <c r="B376" s="17" t="n"/>
      <c r="C376" s="17" t="n"/>
      <c r="D376" s="19" t="n"/>
      <c r="E376" s="19" t="n"/>
      <c r="F376" s="19" t="n"/>
      <c r="G376" s="17" t="n"/>
      <c r="H376" s="20" t="n"/>
      <c r="I376" s="20" t="n"/>
    </row>
    <row r="377">
      <c r="A377" s="12" t="n"/>
      <c r="B377" s="12" t="n"/>
      <c r="C377" s="12" t="n"/>
      <c r="D377" s="14" t="n"/>
      <c r="E377" s="14" t="n"/>
      <c r="F377" s="14" t="n"/>
      <c r="G377" s="12" t="n"/>
      <c r="H377" s="15" t="n"/>
      <c r="I377" s="15" t="n"/>
    </row>
    <row r="378">
      <c r="A378" s="17" t="n"/>
      <c r="B378" s="17" t="n"/>
      <c r="C378" s="17" t="n"/>
      <c r="D378" s="19" t="n"/>
      <c r="E378" s="19" t="n"/>
      <c r="F378" s="19" t="n"/>
      <c r="G378" s="17" t="n"/>
      <c r="H378" s="20" t="n"/>
      <c r="I378" s="20" t="n"/>
    </row>
    <row r="379">
      <c r="A379" s="12" t="n"/>
      <c r="B379" s="12" t="n"/>
      <c r="C379" s="12" t="n"/>
      <c r="D379" s="14" t="n"/>
      <c r="E379" s="14" t="n"/>
      <c r="F379" s="14" t="n"/>
      <c r="G379" s="12" t="n"/>
      <c r="H379" s="15" t="n"/>
      <c r="I379" s="15" t="n"/>
    </row>
    <row r="380">
      <c r="A380" s="17" t="n"/>
      <c r="B380" s="17" t="n"/>
      <c r="C380" s="17" t="n"/>
      <c r="D380" s="19" t="n"/>
      <c r="E380" s="19" t="n"/>
      <c r="F380" s="19" t="n"/>
      <c r="G380" s="17" t="n"/>
      <c r="H380" s="20" t="n"/>
      <c r="I380" s="20" t="n"/>
    </row>
    <row r="381">
      <c r="A381" s="12" t="n"/>
      <c r="B381" s="12" t="n"/>
      <c r="C381" s="12" t="n"/>
      <c r="D381" s="14" t="n"/>
      <c r="E381" s="14" t="n"/>
      <c r="F381" s="14" t="n"/>
      <c r="G381" s="12" t="n"/>
      <c r="H381" s="15" t="n"/>
      <c r="I381" s="15" t="n"/>
    </row>
    <row r="382">
      <c r="A382" s="17" t="n"/>
      <c r="B382" s="17" t="n"/>
      <c r="C382" s="17" t="n"/>
      <c r="D382" s="19" t="n"/>
      <c r="E382" s="19" t="n"/>
      <c r="F382" s="19" t="n"/>
      <c r="G382" s="17" t="n"/>
      <c r="H382" s="20" t="n"/>
      <c r="I382" s="20" t="n"/>
    </row>
    <row r="383">
      <c r="A383" s="12" t="n"/>
      <c r="B383" s="12" t="n"/>
      <c r="C383" s="12" t="n"/>
      <c r="D383" s="14" t="n"/>
      <c r="E383" s="14" t="n"/>
      <c r="F383" s="14" t="n"/>
      <c r="G383" s="12" t="n"/>
      <c r="H383" s="15" t="n"/>
      <c r="I383" s="15" t="n"/>
    </row>
    <row r="384">
      <c r="A384" s="17" t="n"/>
      <c r="B384" s="17" t="n"/>
      <c r="C384" s="17" t="n"/>
      <c r="D384" s="19" t="n"/>
      <c r="E384" s="19" t="n"/>
      <c r="F384" s="19" t="n"/>
      <c r="G384" s="17" t="n"/>
      <c r="H384" s="20" t="n"/>
      <c r="I384" s="20" t="n"/>
    </row>
    <row r="385">
      <c r="A385" s="12" t="n"/>
      <c r="B385" s="12" t="n"/>
      <c r="C385" s="12" t="n"/>
      <c r="D385" s="14" t="n"/>
      <c r="E385" s="14" t="n"/>
      <c r="F385" s="14" t="n"/>
      <c r="G385" s="12" t="n"/>
      <c r="H385" s="15" t="n"/>
      <c r="I385" s="15" t="n"/>
    </row>
    <row r="386">
      <c r="A386" s="17" t="n"/>
      <c r="B386" s="17" t="n"/>
      <c r="C386" s="17" t="n"/>
      <c r="D386" s="19" t="n"/>
      <c r="E386" s="19" t="n"/>
      <c r="F386" s="19" t="n"/>
      <c r="G386" s="17" t="n"/>
      <c r="H386" s="20" t="n"/>
      <c r="I386" s="20" t="n"/>
    </row>
    <row r="387">
      <c r="A387" s="12" t="n"/>
      <c r="B387" s="12" t="n"/>
      <c r="C387" s="12" t="n"/>
      <c r="D387" s="14" t="n"/>
      <c r="E387" s="14" t="n"/>
      <c r="F387" s="14" t="n"/>
      <c r="G387" s="12" t="n"/>
      <c r="H387" s="15" t="n"/>
      <c r="I387" s="15" t="n"/>
    </row>
    <row r="388">
      <c r="A388" s="17" t="n"/>
      <c r="B388" s="17" t="n"/>
      <c r="C388" s="17" t="n"/>
      <c r="D388" s="19" t="n"/>
      <c r="E388" s="19" t="n"/>
      <c r="F388" s="19" t="n"/>
      <c r="G388" s="17" t="n"/>
      <c r="H388" s="20" t="n"/>
      <c r="I388" s="20" t="n"/>
    </row>
    <row r="389">
      <c r="A389" s="12" t="n"/>
      <c r="B389" s="12" t="n"/>
      <c r="C389" s="12" t="n"/>
      <c r="D389" s="14" t="n"/>
      <c r="E389" s="14" t="n"/>
      <c r="F389" s="14" t="n"/>
      <c r="G389" s="12" t="n"/>
      <c r="H389" s="15" t="n"/>
      <c r="I389" s="15" t="n"/>
    </row>
    <row r="390">
      <c r="A390" s="17" t="n"/>
      <c r="B390" s="17" t="n"/>
      <c r="C390" s="17" t="n"/>
      <c r="D390" s="19" t="n"/>
      <c r="E390" s="19" t="n"/>
      <c r="F390" s="19" t="n"/>
      <c r="G390" s="17" t="n"/>
      <c r="H390" s="20" t="n"/>
      <c r="I390" s="20" t="n"/>
    </row>
    <row r="391">
      <c r="A391" s="12" t="n"/>
      <c r="B391" s="12" t="n"/>
      <c r="C391" s="12" t="n"/>
      <c r="D391" s="14" t="n"/>
      <c r="E391" s="14" t="n"/>
      <c r="F391" s="14" t="n"/>
      <c r="G391" s="12" t="n"/>
      <c r="H391" s="15" t="n"/>
      <c r="I391" s="15" t="n"/>
    </row>
    <row r="392">
      <c r="A392" s="17" t="n"/>
      <c r="B392" s="17" t="n"/>
      <c r="C392" s="17" t="n"/>
      <c r="D392" s="19" t="n"/>
      <c r="E392" s="19" t="n"/>
      <c r="F392" s="19" t="n"/>
      <c r="G392" s="17" t="n"/>
      <c r="H392" s="20" t="n"/>
      <c r="I392" s="20" t="n"/>
    </row>
    <row r="393">
      <c r="A393" s="12" t="n"/>
      <c r="B393" s="12" t="n"/>
      <c r="C393" s="12" t="n"/>
      <c r="D393" s="14" t="n"/>
      <c r="E393" s="14" t="n"/>
      <c r="F393" s="14" t="n"/>
      <c r="G393" s="12" t="n"/>
      <c r="H393" s="15" t="n"/>
      <c r="I393" s="15" t="n"/>
    </row>
    <row r="394">
      <c r="A394" s="17" t="n"/>
      <c r="B394" s="17" t="n"/>
      <c r="C394" s="17" t="n"/>
      <c r="D394" s="19" t="n"/>
      <c r="E394" s="19" t="n"/>
      <c r="F394" s="19" t="n"/>
      <c r="G394" s="17" t="n"/>
      <c r="H394" s="20" t="n"/>
      <c r="I394" s="20" t="n"/>
    </row>
    <row r="395">
      <c r="A395" s="12" t="n"/>
      <c r="B395" s="12" t="n"/>
      <c r="C395" s="12" t="n"/>
      <c r="D395" s="14" t="n"/>
      <c r="E395" s="14" t="n"/>
      <c r="F395" s="14" t="n"/>
      <c r="G395" s="12" t="n"/>
      <c r="H395" s="15" t="n"/>
      <c r="I395" s="15" t="n"/>
    </row>
    <row r="396">
      <c r="A396" s="17" t="n"/>
      <c r="B396" s="17" t="n"/>
      <c r="C396" s="17" t="n"/>
      <c r="D396" s="19" t="n"/>
      <c r="E396" s="19" t="n"/>
      <c r="F396" s="19" t="n"/>
      <c r="G396" s="17" t="n"/>
      <c r="H396" s="20" t="n"/>
      <c r="I396" s="20" t="n"/>
    </row>
    <row r="397">
      <c r="A397" s="12" t="n"/>
      <c r="B397" s="12" t="n"/>
      <c r="C397" s="12" t="n"/>
      <c r="D397" s="14" t="n"/>
      <c r="E397" s="14" t="n"/>
      <c r="F397" s="14" t="n"/>
      <c r="G397" s="12" t="n"/>
      <c r="H397" s="15" t="n"/>
      <c r="I397" s="15" t="n"/>
    </row>
    <row r="398">
      <c r="A398" s="17" t="n"/>
      <c r="B398" s="17" t="n"/>
      <c r="C398" s="17" t="n"/>
      <c r="D398" s="19" t="n"/>
      <c r="E398" s="19" t="n"/>
      <c r="F398" s="19" t="n"/>
      <c r="G398" s="17" t="n"/>
      <c r="H398" s="20" t="n"/>
      <c r="I398" s="20" t="n"/>
    </row>
    <row r="399">
      <c r="A399" s="12" t="n"/>
      <c r="B399" s="12" t="n"/>
      <c r="C399" s="12" t="n"/>
      <c r="D399" s="14" t="n"/>
      <c r="E399" s="14" t="n"/>
      <c r="F399" s="14" t="n"/>
      <c r="G399" s="12" t="n"/>
      <c r="H399" s="15" t="n"/>
      <c r="I399" s="15" t="n"/>
    </row>
    <row r="400">
      <c r="A400" s="17" t="n"/>
      <c r="B400" s="17" t="n"/>
      <c r="C400" s="17" t="n"/>
      <c r="D400" s="19" t="n"/>
      <c r="E400" s="19" t="n"/>
      <c r="F400" s="19" t="n"/>
      <c r="G400" s="17" t="n"/>
      <c r="H400" s="20" t="n"/>
      <c r="I400" s="20" t="n"/>
    </row>
    <row r="401">
      <c r="A401" s="12" t="n"/>
      <c r="B401" s="12" t="n"/>
      <c r="C401" s="12" t="n"/>
      <c r="D401" s="14" t="n"/>
      <c r="E401" s="14" t="n"/>
      <c r="F401" s="14" t="n"/>
      <c r="G401" s="12" t="n"/>
      <c r="H401" s="15" t="n"/>
      <c r="I401" s="15" t="n"/>
    </row>
    <row r="402">
      <c r="A402" s="17" t="n"/>
      <c r="B402" s="17" t="n"/>
      <c r="C402" s="17" t="n"/>
      <c r="D402" s="19" t="n"/>
      <c r="E402" s="19" t="n"/>
      <c r="F402" s="19" t="n"/>
      <c r="G402" s="17" t="n"/>
      <c r="H402" s="20" t="n"/>
      <c r="I402" s="20" t="n"/>
    </row>
    <row r="403">
      <c r="A403" s="12" t="n"/>
      <c r="B403" s="12" t="n"/>
      <c r="C403" s="12" t="n"/>
      <c r="D403" s="14" t="n"/>
      <c r="E403" s="14" t="n"/>
      <c r="F403" s="14" t="n"/>
      <c r="G403" s="12" t="n"/>
      <c r="H403" s="15" t="n"/>
      <c r="I403" s="15" t="n"/>
    </row>
    <row r="404">
      <c r="A404" s="17" t="n"/>
      <c r="B404" s="17" t="n"/>
      <c r="C404" s="17" t="n"/>
      <c r="D404" s="19" t="n"/>
      <c r="E404" s="19" t="n"/>
      <c r="F404" s="19" t="n"/>
      <c r="G404" s="17" t="n"/>
      <c r="H404" s="20" t="n"/>
      <c r="I404" s="20" t="n"/>
    </row>
    <row r="405">
      <c r="A405" s="12" t="n"/>
      <c r="B405" s="12" t="n"/>
      <c r="C405" s="12" t="n"/>
      <c r="D405" s="14" t="n"/>
      <c r="E405" s="14" t="n"/>
      <c r="F405" s="14" t="n"/>
      <c r="G405" s="12" t="n"/>
      <c r="H405" s="15" t="n"/>
      <c r="I405" s="15" t="n"/>
    </row>
    <row r="406">
      <c r="A406" s="17" t="n"/>
      <c r="B406" s="17" t="n"/>
      <c r="C406" s="17" t="n"/>
      <c r="D406" s="19" t="n"/>
      <c r="E406" s="19" t="n"/>
      <c r="F406" s="19" t="n"/>
      <c r="G406" s="17" t="n"/>
      <c r="H406" s="20" t="n"/>
      <c r="I406" s="20" t="n"/>
    </row>
    <row r="407">
      <c r="A407" s="12" t="n"/>
      <c r="B407" s="12" t="n"/>
      <c r="C407" s="12" t="n"/>
      <c r="D407" s="14" t="n"/>
      <c r="E407" s="14" t="n"/>
      <c r="F407" s="14" t="n"/>
      <c r="G407" s="12" t="n"/>
      <c r="H407" s="15" t="n"/>
      <c r="I407" s="15" t="n"/>
    </row>
    <row r="408">
      <c r="A408" s="17" t="n"/>
      <c r="B408" s="17" t="n"/>
      <c r="C408" s="17" t="n"/>
      <c r="D408" s="19" t="n"/>
      <c r="E408" s="19" t="n"/>
      <c r="F408" s="19" t="n"/>
      <c r="G408" s="17" t="n"/>
      <c r="H408" s="20" t="n"/>
      <c r="I408" s="20" t="n"/>
    </row>
    <row r="409">
      <c r="A409" s="12" t="n"/>
      <c r="B409" s="12" t="n"/>
      <c r="C409" s="12" t="n"/>
      <c r="D409" s="14" t="n"/>
      <c r="E409" s="14" t="n"/>
      <c r="F409" s="14" t="n"/>
      <c r="G409" s="12" t="n"/>
      <c r="H409" s="15" t="n"/>
      <c r="I409" s="15" t="n"/>
    </row>
    <row r="410">
      <c r="A410" s="17" t="n"/>
      <c r="B410" s="17" t="n"/>
      <c r="C410" s="17" t="n"/>
      <c r="D410" s="19" t="n"/>
      <c r="E410" s="19" t="n"/>
      <c r="F410" s="19" t="n"/>
      <c r="G410" s="17" t="n"/>
      <c r="H410" s="20" t="n"/>
      <c r="I410" s="20" t="n"/>
    </row>
    <row r="411">
      <c r="A411" s="12" t="n"/>
      <c r="B411" s="12" t="n"/>
      <c r="C411" s="12" t="n"/>
      <c r="D411" s="14" t="n"/>
      <c r="E411" s="14" t="n"/>
      <c r="F411" s="14" t="n"/>
      <c r="G411" s="12" t="n"/>
      <c r="H411" s="15" t="n"/>
      <c r="I411" s="15" t="n"/>
    </row>
    <row r="412">
      <c r="A412" s="17" t="n"/>
      <c r="B412" s="17" t="n"/>
      <c r="C412" s="17" t="n"/>
      <c r="D412" s="19" t="n"/>
      <c r="E412" s="19" t="n"/>
      <c r="F412" s="19" t="n"/>
      <c r="G412" s="17" t="n"/>
      <c r="H412" s="20" t="n"/>
      <c r="I412" s="20" t="n"/>
    </row>
    <row r="413">
      <c r="A413" s="12" t="n"/>
      <c r="B413" s="12" t="n"/>
      <c r="C413" s="12" t="n"/>
      <c r="D413" s="14" t="n"/>
      <c r="E413" s="14" t="n"/>
      <c r="F413" s="14" t="n"/>
      <c r="G413" s="12" t="n"/>
      <c r="H413" s="15" t="n"/>
      <c r="I413" s="15" t="n"/>
    </row>
    <row r="414">
      <c r="A414" s="17" t="n"/>
      <c r="B414" s="17" t="n"/>
      <c r="C414" s="17" t="n"/>
      <c r="D414" s="19" t="n"/>
      <c r="E414" s="19" t="n"/>
      <c r="F414" s="19" t="n"/>
      <c r="G414" s="17" t="n"/>
      <c r="H414" s="20" t="n"/>
      <c r="I414" s="20" t="n"/>
    </row>
    <row r="415">
      <c r="A415" s="12" t="n"/>
      <c r="B415" s="12" t="n"/>
      <c r="C415" s="12" t="n"/>
      <c r="D415" s="14" t="n"/>
      <c r="E415" s="14" t="n"/>
      <c r="F415" s="14" t="n"/>
      <c r="G415" s="12" t="n"/>
      <c r="H415" s="15" t="n"/>
      <c r="I415" s="15" t="n"/>
    </row>
    <row r="416">
      <c r="A416" s="17" t="n"/>
      <c r="B416" s="17" t="n"/>
      <c r="C416" s="17" t="n"/>
      <c r="D416" s="19" t="n"/>
      <c r="E416" s="19" t="n"/>
      <c r="F416" s="19" t="n"/>
      <c r="G416" s="17" t="n"/>
      <c r="H416" s="20" t="n"/>
      <c r="I416" s="20" t="n"/>
    </row>
    <row r="417">
      <c r="A417" s="12" t="n"/>
      <c r="B417" s="12" t="n"/>
      <c r="C417" s="12" t="n"/>
      <c r="D417" s="14" t="n"/>
      <c r="E417" s="14" t="n"/>
      <c r="F417" s="14" t="n"/>
      <c r="G417" s="12" t="n"/>
      <c r="H417" s="15" t="n"/>
      <c r="I417" s="15" t="n"/>
    </row>
    <row r="418">
      <c r="A418" s="17" t="n"/>
      <c r="B418" s="17" t="n"/>
      <c r="C418" s="17" t="n"/>
      <c r="D418" s="19" t="n"/>
      <c r="E418" s="19" t="n"/>
      <c r="F418" s="19" t="n"/>
      <c r="G418" s="17" t="n"/>
      <c r="H418" s="20" t="n"/>
      <c r="I418" s="20" t="n"/>
    </row>
    <row r="419">
      <c r="A419" s="12" t="n"/>
      <c r="B419" s="12" t="n"/>
      <c r="C419" s="12" t="n"/>
      <c r="D419" s="14" t="n"/>
      <c r="E419" s="14" t="n"/>
      <c r="F419" s="14" t="n"/>
      <c r="G419" s="12" t="n"/>
      <c r="H419" s="15" t="n"/>
      <c r="I419" s="15" t="n"/>
    </row>
    <row r="420">
      <c r="A420" s="17" t="n"/>
      <c r="B420" s="17" t="n"/>
      <c r="C420" s="17" t="n"/>
      <c r="D420" s="19" t="n"/>
      <c r="E420" s="19" t="n"/>
      <c r="F420" s="19" t="n"/>
      <c r="G420" s="17" t="n"/>
      <c r="H420" s="20" t="n"/>
      <c r="I420" s="20" t="n"/>
    </row>
    <row r="421">
      <c r="A421" s="12" t="n"/>
      <c r="B421" s="12" t="n"/>
      <c r="C421" s="12" t="n"/>
      <c r="D421" s="14" t="n"/>
      <c r="E421" s="14" t="n"/>
      <c r="F421" s="14" t="n"/>
      <c r="G421" s="12" t="n"/>
      <c r="H421" s="15" t="n"/>
      <c r="I421" s="15" t="n"/>
    </row>
    <row r="422">
      <c r="A422" s="17" t="n"/>
      <c r="B422" s="17" t="n"/>
      <c r="C422" s="17" t="n"/>
      <c r="D422" s="19" t="n"/>
      <c r="E422" s="19" t="n"/>
      <c r="F422" s="19" t="n"/>
      <c r="G422" s="17" t="n"/>
      <c r="H422" s="20" t="n"/>
      <c r="I422" s="20" t="n"/>
    </row>
    <row r="423">
      <c r="A423" s="12" t="n"/>
      <c r="B423" s="12" t="n"/>
      <c r="C423" s="12" t="n"/>
      <c r="D423" s="14" t="n"/>
      <c r="E423" s="14" t="n"/>
      <c r="F423" s="14" t="n"/>
      <c r="G423" s="12" t="n"/>
      <c r="H423" s="15" t="n"/>
      <c r="I423" s="15" t="n"/>
    </row>
    <row r="424">
      <c r="A424" s="17" t="n"/>
      <c r="B424" s="17" t="n"/>
      <c r="C424" s="17" t="n"/>
      <c r="D424" s="19" t="n"/>
      <c r="E424" s="19" t="n"/>
      <c r="F424" s="19" t="n"/>
      <c r="G424" s="17" t="n"/>
      <c r="H424" s="20" t="n"/>
      <c r="I424" s="20" t="n"/>
    </row>
    <row r="425">
      <c r="A425" s="12" t="n"/>
      <c r="B425" s="12" t="n"/>
      <c r="C425" s="12" t="n"/>
      <c r="D425" s="14" t="n"/>
      <c r="E425" s="14" t="n"/>
      <c r="F425" s="14" t="n"/>
      <c r="G425" s="12" t="n"/>
      <c r="H425" s="15" t="n"/>
      <c r="I425" s="15" t="n"/>
    </row>
    <row r="426">
      <c r="A426" s="17" t="n"/>
      <c r="B426" s="17" t="n"/>
      <c r="C426" s="17" t="n"/>
      <c r="D426" s="19" t="n"/>
      <c r="E426" s="19" t="n"/>
      <c r="F426" s="19" t="n"/>
      <c r="G426" s="17" t="n"/>
      <c r="H426" s="20" t="n"/>
      <c r="I426" s="20" t="n"/>
    </row>
    <row r="427">
      <c r="A427" s="12" t="n"/>
      <c r="B427" s="12" t="n"/>
      <c r="C427" s="12" t="n"/>
      <c r="D427" s="14" t="n"/>
      <c r="E427" s="14" t="n"/>
      <c r="F427" s="14" t="n"/>
      <c r="G427" s="12" t="n"/>
      <c r="H427" s="15" t="n"/>
      <c r="I427" s="15" t="n"/>
    </row>
    <row r="428">
      <c r="A428" s="17" t="n"/>
      <c r="B428" s="17" t="n"/>
      <c r="C428" s="17" t="n"/>
      <c r="D428" s="19" t="n"/>
      <c r="E428" s="19" t="n"/>
      <c r="F428" s="19" t="n"/>
      <c r="G428" s="17" t="n"/>
      <c r="H428" s="20" t="n"/>
      <c r="I428" s="20" t="n"/>
    </row>
    <row r="429">
      <c r="A429" s="12" t="n"/>
      <c r="B429" s="12" t="n"/>
      <c r="C429" s="12" t="n"/>
      <c r="D429" s="14" t="n"/>
      <c r="E429" s="14" t="n"/>
      <c r="F429" s="14" t="n"/>
      <c r="G429" s="12" t="n"/>
      <c r="H429" s="15" t="n"/>
      <c r="I429" s="15" t="n"/>
    </row>
    <row r="430">
      <c r="A430" s="17" t="n"/>
      <c r="B430" s="17" t="n"/>
      <c r="C430" s="17" t="n"/>
      <c r="D430" s="19" t="n"/>
      <c r="E430" s="19" t="n"/>
      <c r="F430" s="19" t="n"/>
      <c r="G430" s="17" t="n"/>
      <c r="H430" s="20" t="n"/>
      <c r="I430" s="20" t="n"/>
    </row>
    <row r="431">
      <c r="A431" s="12" t="n"/>
      <c r="B431" s="12" t="n"/>
      <c r="C431" s="12" t="n"/>
      <c r="D431" s="14" t="n"/>
      <c r="E431" s="14" t="n"/>
      <c r="F431" s="14" t="n"/>
      <c r="G431" s="12" t="n"/>
      <c r="H431" s="15" t="n"/>
      <c r="I431" s="15" t="n"/>
    </row>
    <row r="432">
      <c r="A432" s="17" t="n"/>
      <c r="B432" s="17" t="n"/>
      <c r="C432" s="17" t="n"/>
      <c r="D432" s="19" t="n"/>
      <c r="E432" s="19" t="n"/>
      <c r="F432" s="19" t="n"/>
      <c r="G432" s="17" t="n"/>
      <c r="H432" s="20" t="n"/>
      <c r="I432" s="20" t="n"/>
    </row>
    <row r="433">
      <c r="A433" s="12" t="n"/>
      <c r="B433" s="12" t="n"/>
      <c r="C433" s="12" t="n"/>
      <c r="D433" s="14" t="n"/>
      <c r="E433" s="14" t="n"/>
      <c r="F433" s="14" t="n"/>
      <c r="G433" s="12" t="n"/>
      <c r="H433" s="15" t="n"/>
      <c r="I433" s="15" t="n"/>
    </row>
    <row r="434">
      <c r="A434" s="17" t="n"/>
      <c r="B434" s="17" t="n"/>
      <c r="C434" s="17" t="n"/>
      <c r="D434" s="19" t="n"/>
      <c r="E434" s="19" t="n"/>
      <c r="F434" s="19" t="n"/>
      <c r="G434" s="17" t="n"/>
      <c r="H434" s="20" t="n"/>
      <c r="I434" s="20" t="n"/>
    </row>
    <row r="435">
      <c r="A435" s="12" t="n"/>
      <c r="B435" s="12" t="n"/>
      <c r="C435" s="12" t="n"/>
      <c r="D435" s="14" t="n"/>
      <c r="E435" s="14" t="n"/>
      <c r="F435" s="14" t="n"/>
      <c r="G435" s="12" t="n"/>
      <c r="H435" s="15" t="n"/>
      <c r="I435" s="15" t="n"/>
    </row>
    <row r="436">
      <c r="A436" s="17" t="n"/>
      <c r="B436" s="17" t="n"/>
      <c r="C436" s="17" t="n"/>
      <c r="D436" s="19" t="n"/>
      <c r="E436" s="19" t="n"/>
      <c r="F436" s="19" t="n"/>
      <c r="G436" s="17" t="n"/>
      <c r="H436" s="20" t="n"/>
      <c r="I436" s="20" t="n"/>
    </row>
    <row r="437">
      <c r="A437" s="12" t="n"/>
      <c r="B437" s="12" t="n"/>
      <c r="C437" s="12" t="n"/>
      <c r="D437" s="14" t="n"/>
      <c r="E437" s="14" t="n"/>
      <c r="F437" s="14" t="n"/>
      <c r="G437" s="12" t="n"/>
      <c r="H437" s="15" t="n"/>
      <c r="I437" s="15" t="n"/>
    </row>
    <row r="438">
      <c r="A438" s="17" t="n"/>
      <c r="B438" s="17" t="n"/>
      <c r="C438" s="17" t="n"/>
      <c r="D438" s="19" t="n"/>
      <c r="E438" s="19" t="n"/>
      <c r="F438" s="19" t="n"/>
      <c r="G438" s="17" t="n"/>
      <c r="H438" s="20" t="n"/>
      <c r="I438" s="20" t="n"/>
    </row>
    <row r="439">
      <c r="A439" s="12" t="n"/>
      <c r="B439" s="12" t="n"/>
      <c r="C439" s="12" t="n"/>
      <c r="D439" s="14" t="n"/>
      <c r="E439" s="14" t="n"/>
      <c r="F439" s="14" t="n"/>
      <c r="G439" s="12" t="n"/>
      <c r="H439" s="15" t="n"/>
      <c r="I439" s="15" t="n"/>
    </row>
    <row r="440">
      <c r="A440" s="17" t="n"/>
      <c r="B440" s="17" t="n"/>
      <c r="C440" s="17" t="n"/>
      <c r="D440" s="19" t="n"/>
      <c r="E440" s="19" t="n"/>
      <c r="F440" s="19" t="n"/>
      <c r="G440" s="17" t="n"/>
      <c r="H440" s="20" t="n"/>
      <c r="I440" s="20" t="n"/>
    </row>
    <row r="441">
      <c r="A441" s="12" t="n"/>
      <c r="B441" s="12" t="n"/>
      <c r="C441" s="12" t="n"/>
      <c r="D441" s="14" t="n"/>
      <c r="E441" s="14" t="n"/>
      <c r="F441" s="14" t="n"/>
      <c r="G441" s="12" t="n"/>
      <c r="H441" s="15" t="n"/>
      <c r="I441" s="15" t="n"/>
    </row>
    <row r="442">
      <c r="A442" s="17" t="n"/>
      <c r="B442" s="17" t="n"/>
      <c r="C442" s="17" t="n"/>
      <c r="D442" s="19" t="n"/>
      <c r="E442" s="19" t="n"/>
      <c r="F442" s="19" t="n"/>
      <c r="G442" s="17" t="n"/>
      <c r="H442" s="20" t="n"/>
      <c r="I442" s="20" t="n"/>
    </row>
    <row r="443">
      <c r="A443" s="12" t="n"/>
      <c r="B443" s="12" t="n"/>
      <c r="C443" s="12" t="n"/>
      <c r="D443" s="14" t="n"/>
      <c r="E443" s="14" t="n"/>
      <c r="F443" s="14" t="n"/>
      <c r="G443" s="12" t="n"/>
      <c r="H443" s="15" t="n"/>
      <c r="I443" s="15" t="n"/>
    </row>
    <row r="444">
      <c r="A444" s="17" t="n"/>
      <c r="B444" s="17" t="n"/>
      <c r="C444" s="17" t="n"/>
      <c r="D444" s="19" t="n"/>
      <c r="E444" s="19" t="n"/>
      <c r="F444" s="19" t="n"/>
      <c r="G444" s="17" t="n"/>
      <c r="H444" s="20" t="n"/>
      <c r="I444" s="20" t="n"/>
    </row>
    <row r="445">
      <c r="A445" s="12" t="n"/>
      <c r="B445" s="12" t="n"/>
      <c r="C445" s="12" t="n"/>
      <c r="D445" s="14" t="n"/>
      <c r="E445" s="14" t="n"/>
      <c r="F445" s="14" t="n"/>
      <c r="G445" s="12" t="n"/>
      <c r="H445" s="15" t="n"/>
      <c r="I445" s="15" t="n"/>
    </row>
    <row r="446">
      <c r="A446" s="17" t="n"/>
      <c r="B446" s="17" t="n"/>
      <c r="C446" s="17" t="n"/>
      <c r="D446" s="19" t="n"/>
      <c r="E446" s="19" t="n"/>
      <c r="F446" s="19" t="n"/>
      <c r="G446" s="17" t="n"/>
      <c r="H446" s="20" t="n"/>
      <c r="I446" s="20" t="n"/>
    </row>
    <row r="447">
      <c r="A447" s="12" t="n"/>
      <c r="B447" s="12" t="n"/>
      <c r="C447" s="12" t="n"/>
      <c r="D447" s="14" t="n"/>
      <c r="E447" s="14" t="n"/>
      <c r="F447" s="14" t="n"/>
      <c r="G447" s="12" t="n"/>
      <c r="H447" s="15" t="n"/>
      <c r="I447" s="15" t="n"/>
    </row>
    <row r="448">
      <c r="A448" s="17" t="n"/>
      <c r="B448" s="17" t="n"/>
      <c r="C448" s="17" t="n"/>
      <c r="D448" s="19" t="n"/>
      <c r="E448" s="19" t="n"/>
      <c r="F448" s="19" t="n"/>
      <c r="G448" s="17" t="n"/>
      <c r="H448" s="20" t="n"/>
      <c r="I448" s="20" t="n"/>
    </row>
    <row r="449">
      <c r="A449" s="12" t="n"/>
      <c r="B449" s="12" t="n"/>
      <c r="C449" s="12" t="n"/>
      <c r="D449" s="14" t="n"/>
      <c r="E449" s="14" t="n"/>
      <c r="F449" s="14" t="n"/>
      <c r="G449" s="12" t="n"/>
      <c r="H449" s="15" t="n"/>
      <c r="I449" s="15" t="n"/>
    </row>
    <row r="450">
      <c r="A450" s="17" t="n"/>
      <c r="B450" s="17" t="n"/>
      <c r="C450" s="17" t="n"/>
      <c r="D450" s="19" t="n"/>
      <c r="E450" s="19" t="n"/>
      <c r="F450" s="19" t="n"/>
      <c r="G450" s="17" t="n"/>
      <c r="H450" s="20" t="n"/>
      <c r="I450" s="20" t="n"/>
    </row>
    <row r="451">
      <c r="A451" s="12" t="n"/>
      <c r="B451" s="12" t="n"/>
      <c r="C451" s="12" t="n"/>
      <c r="D451" s="14" t="n"/>
      <c r="E451" s="14" t="n"/>
      <c r="F451" s="14" t="n"/>
      <c r="G451" s="12" t="n"/>
      <c r="H451" s="15" t="n"/>
      <c r="I451" s="15" t="n"/>
    </row>
    <row r="452">
      <c r="A452" s="17" t="n"/>
      <c r="B452" s="17" t="n"/>
      <c r="C452" s="17" t="n"/>
      <c r="D452" s="19" t="n"/>
      <c r="E452" s="19" t="n"/>
      <c r="F452" s="19" t="n"/>
      <c r="G452" s="17" t="n"/>
      <c r="H452" s="20" t="n"/>
      <c r="I452" s="20" t="n"/>
    </row>
    <row r="453">
      <c r="A453" s="12" t="n"/>
      <c r="B453" s="12" t="n"/>
      <c r="C453" s="12" t="n"/>
      <c r="D453" s="14" t="n"/>
      <c r="E453" s="14" t="n"/>
      <c r="F453" s="14" t="n"/>
      <c r="G453" s="12" t="n"/>
      <c r="H453" s="15" t="n"/>
      <c r="I453" s="15" t="n"/>
    </row>
    <row r="454">
      <c r="A454" s="17" t="n"/>
      <c r="B454" s="17" t="n"/>
      <c r="C454" s="17" t="n"/>
      <c r="D454" s="19" t="n"/>
      <c r="E454" s="19" t="n"/>
      <c r="F454" s="19" t="n"/>
      <c r="G454" s="17" t="n"/>
      <c r="H454" s="20" t="n"/>
      <c r="I454" s="20" t="n"/>
    </row>
    <row r="455">
      <c r="A455" s="12" t="n"/>
      <c r="B455" s="12" t="n"/>
      <c r="C455" s="12" t="n"/>
      <c r="D455" s="14" t="n"/>
      <c r="E455" s="14" t="n"/>
      <c r="F455" s="14" t="n"/>
      <c r="G455" s="12" t="n"/>
      <c r="H455" s="15" t="n"/>
      <c r="I455" s="15" t="n"/>
    </row>
    <row r="456">
      <c r="A456" s="17" t="n"/>
      <c r="B456" s="17" t="n"/>
      <c r="C456" s="17" t="n"/>
      <c r="D456" s="19" t="n"/>
      <c r="E456" s="19" t="n"/>
      <c r="F456" s="19" t="n"/>
      <c r="G456" s="17" t="n"/>
      <c r="H456" s="20" t="n"/>
      <c r="I456" s="20" t="n"/>
    </row>
    <row r="457">
      <c r="A457" s="12" t="n"/>
      <c r="B457" s="12" t="n"/>
      <c r="C457" s="12" t="n"/>
      <c r="D457" s="14" t="n"/>
      <c r="E457" s="14" t="n"/>
      <c r="F457" s="14" t="n"/>
      <c r="G457" s="12" t="n"/>
      <c r="H457" s="15" t="n"/>
      <c r="I457" s="15" t="n"/>
    </row>
    <row r="458">
      <c r="A458" s="17" t="n"/>
      <c r="B458" s="17" t="n"/>
      <c r="C458" s="17" t="n"/>
      <c r="D458" s="19" t="n"/>
      <c r="E458" s="19" t="n"/>
      <c r="F458" s="19" t="n"/>
      <c r="G458" s="17" t="n"/>
      <c r="H458" s="20" t="n"/>
      <c r="I458" s="20" t="n"/>
    </row>
    <row r="459">
      <c r="A459" s="12" t="n"/>
      <c r="B459" s="12" t="n"/>
      <c r="C459" s="12" t="n"/>
      <c r="D459" s="14" t="n"/>
      <c r="E459" s="14" t="n"/>
      <c r="F459" s="14" t="n"/>
      <c r="G459" s="12" t="n"/>
      <c r="H459" s="15" t="n"/>
      <c r="I459" s="15" t="n"/>
    </row>
    <row r="460">
      <c r="A460" s="17" t="n"/>
      <c r="B460" s="17" t="n"/>
      <c r="C460" s="17" t="n"/>
      <c r="D460" s="19" t="n"/>
      <c r="E460" s="19" t="n"/>
      <c r="F460" s="19" t="n"/>
      <c r="G460" s="17" t="n"/>
      <c r="H460" s="20" t="n"/>
      <c r="I460" s="20" t="n"/>
    </row>
    <row r="461">
      <c r="A461" s="12" t="n"/>
      <c r="B461" s="12" t="n"/>
      <c r="C461" s="12" t="n"/>
      <c r="D461" s="14" t="n"/>
      <c r="E461" s="14" t="n"/>
      <c r="F461" s="14" t="n"/>
      <c r="G461" s="12" t="n"/>
      <c r="H461" s="15" t="n"/>
      <c r="I461" s="15" t="n"/>
    </row>
    <row r="462">
      <c r="A462" s="17" t="n"/>
      <c r="B462" s="17" t="n"/>
      <c r="C462" s="17" t="n"/>
      <c r="D462" s="19" t="n"/>
      <c r="E462" s="19" t="n"/>
      <c r="F462" s="19" t="n"/>
      <c r="G462" s="17" t="n"/>
      <c r="H462" s="20" t="n"/>
      <c r="I462" s="20" t="n"/>
    </row>
    <row r="463">
      <c r="A463" s="12" t="n"/>
      <c r="B463" s="12" t="n"/>
      <c r="C463" s="12" t="n"/>
      <c r="D463" s="14" t="n"/>
      <c r="E463" s="14" t="n"/>
      <c r="F463" s="14" t="n"/>
      <c r="G463" s="12" t="n"/>
      <c r="H463" s="15" t="n"/>
      <c r="I463" s="15" t="n"/>
    </row>
    <row r="464">
      <c r="A464" s="17" t="n"/>
      <c r="B464" s="17" t="n"/>
      <c r="C464" s="17" t="n"/>
      <c r="D464" s="19" t="n"/>
      <c r="E464" s="19" t="n"/>
      <c r="F464" s="19" t="n"/>
      <c r="G464" s="17" t="n"/>
      <c r="H464" s="20" t="n"/>
      <c r="I464" s="20" t="n"/>
    </row>
    <row r="465">
      <c r="A465" s="12" t="n"/>
      <c r="B465" s="12" t="n"/>
      <c r="C465" s="12" t="n"/>
      <c r="D465" s="14" t="n"/>
      <c r="E465" s="14" t="n"/>
      <c r="F465" s="14" t="n"/>
      <c r="G465" s="12" t="n"/>
      <c r="H465" s="15" t="n"/>
      <c r="I465" s="15" t="n"/>
    </row>
    <row r="466">
      <c r="A466" s="17" t="n"/>
      <c r="B466" s="17" t="n"/>
      <c r="C466" s="17" t="n"/>
      <c r="D466" s="19" t="n"/>
      <c r="E466" s="19" t="n"/>
      <c r="F466" s="19" t="n"/>
      <c r="G466" s="17" t="n"/>
      <c r="H466" s="20" t="n"/>
      <c r="I466" s="20" t="n"/>
    </row>
    <row r="467">
      <c r="A467" s="12" t="n"/>
      <c r="B467" s="12" t="n"/>
      <c r="C467" s="12" t="n"/>
      <c r="D467" s="14" t="n"/>
      <c r="E467" s="14" t="n"/>
      <c r="F467" s="14" t="n"/>
      <c r="G467" s="12" t="n"/>
      <c r="H467" s="15" t="n"/>
      <c r="I467" s="15" t="n"/>
    </row>
    <row r="468">
      <c r="A468" s="17" t="n"/>
      <c r="B468" s="17" t="n"/>
      <c r="C468" s="17" t="n"/>
      <c r="D468" s="19" t="n"/>
      <c r="E468" s="19" t="n"/>
      <c r="F468" s="19" t="n"/>
      <c r="G468" s="17" t="n"/>
      <c r="H468" s="20" t="n"/>
      <c r="I468" s="20" t="n"/>
    </row>
    <row r="469">
      <c r="A469" s="12" t="n"/>
      <c r="B469" s="12" t="n"/>
      <c r="C469" s="12" t="n"/>
      <c r="D469" s="14" t="n"/>
      <c r="E469" s="14" t="n"/>
      <c r="F469" s="14" t="n"/>
      <c r="G469" s="12" t="n"/>
      <c r="H469" s="15" t="n"/>
      <c r="I469" s="15" t="n"/>
    </row>
    <row r="470">
      <c r="A470" s="17" t="n"/>
      <c r="B470" s="17" t="n"/>
      <c r="C470" s="17" t="n"/>
      <c r="D470" s="19" t="n"/>
      <c r="E470" s="19" t="n"/>
      <c r="F470" s="19" t="n"/>
      <c r="G470" s="17" t="n"/>
      <c r="H470" s="20" t="n"/>
      <c r="I470" s="20" t="n"/>
    </row>
    <row r="471">
      <c r="A471" s="12" t="n"/>
      <c r="B471" s="12" t="n"/>
      <c r="C471" s="12" t="n"/>
      <c r="D471" s="14" t="n"/>
      <c r="E471" s="14" t="n"/>
      <c r="F471" s="14" t="n"/>
      <c r="G471" s="12" t="n"/>
      <c r="H471" s="15" t="n"/>
      <c r="I471" s="15" t="n"/>
    </row>
    <row r="472">
      <c r="A472" s="17" t="n"/>
      <c r="B472" s="17" t="n"/>
      <c r="C472" s="17" t="n"/>
      <c r="D472" s="19" t="n"/>
      <c r="E472" s="19" t="n"/>
      <c r="F472" s="19" t="n"/>
      <c r="G472" s="17" t="n"/>
      <c r="H472" s="20" t="n"/>
      <c r="I472" s="20" t="n"/>
    </row>
    <row r="473">
      <c r="A473" s="12" t="n"/>
      <c r="B473" s="12" t="n"/>
      <c r="C473" s="12" t="n"/>
      <c r="D473" s="14" t="n"/>
      <c r="E473" s="14" t="n"/>
      <c r="F473" s="14" t="n"/>
      <c r="G473" s="12" t="n"/>
      <c r="H473" s="15" t="n"/>
      <c r="I473" s="15" t="n"/>
    </row>
    <row r="474">
      <c r="A474" s="17" t="n"/>
      <c r="B474" s="17" t="n"/>
      <c r="C474" s="17" t="n"/>
      <c r="D474" s="19" t="n"/>
      <c r="E474" s="19" t="n"/>
      <c r="F474" s="19" t="n"/>
      <c r="G474" s="17" t="n"/>
      <c r="H474" s="20" t="n"/>
      <c r="I474" s="20" t="n"/>
    </row>
    <row r="475">
      <c r="A475" s="12" t="n"/>
      <c r="B475" s="12" t="n"/>
      <c r="C475" s="12" t="n"/>
      <c r="D475" s="14" t="n"/>
      <c r="E475" s="14" t="n"/>
      <c r="F475" s="14" t="n"/>
      <c r="G475" s="12" t="n"/>
      <c r="H475" s="15" t="n"/>
      <c r="I475" s="15" t="n"/>
    </row>
    <row r="476">
      <c r="A476" s="17" t="n"/>
      <c r="B476" s="17" t="n"/>
      <c r="C476" s="17" t="n"/>
      <c r="D476" s="19" t="n"/>
      <c r="E476" s="19" t="n"/>
      <c r="F476" s="19" t="n"/>
      <c r="G476" s="17" t="n"/>
      <c r="H476" s="20" t="n"/>
      <c r="I476" s="20" t="n"/>
    </row>
    <row r="477">
      <c r="A477" s="12" t="n"/>
      <c r="B477" s="12" t="n"/>
      <c r="C477" s="12" t="n"/>
      <c r="D477" s="14" t="n"/>
      <c r="E477" s="14" t="n"/>
      <c r="F477" s="14" t="n"/>
      <c r="G477" s="12" t="n"/>
      <c r="H477" s="15" t="n"/>
      <c r="I477" s="15" t="n"/>
    </row>
    <row r="478">
      <c r="A478" s="17" t="n"/>
      <c r="B478" s="17" t="n"/>
      <c r="C478" s="17" t="n"/>
      <c r="D478" s="19" t="n"/>
      <c r="E478" s="19" t="n"/>
      <c r="F478" s="19" t="n"/>
      <c r="G478" s="17" t="n"/>
      <c r="H478" s="20" t="n"/>
      <c r="I478" s="20" t="n"/>
    </row>
    <row r="479">
      <c r="A479" s="12" t="n"/>
      <c r="B479" s="12" t="n"/>
      <c r="C479" s="12" t="n"/>
      <c r="D479" s="14" t="n"/>
      <c r="E479" s="14" t="n"/>
      <c r="F479" s="14" t="n"/>
      <c r="G479" s="12" t="n"/>
      <c r="H479" s="15" t="n"/>
      <c r="I479" s="15" t="n"/>
    </row>
    <row r="480">
      <c r="A480" s="17" t="n"/>
      <c r="B480" s="17" t="n"/>
      <c r="C480" s="17" t="n"/>
      <c r="D480" s="19" t="n"/>
      <c r="E480" s="19" t="n"/>
      <c r="F480" s="19" t="n"/>
      <c r="G480" s="17" t="n"/>
      <c r="H480" s="20" t="n"/>
      <c r="I480" s="20" t="n"/>
    </row>
    <row r="481">
      <c r="A481" s="12" t="n"/>
      <c r="B481" s="12" t="n"/>
      <c r="C481" s="12" t="n"/>
      <c r="D481" s="14" t="n"/>
      <c r="E481" s="14" t="n"/>
      <c r="F481" s="14" t="n"/>
      <c r="G481" s="12" t="n"/>
      <c r="H481" s="15" t="n"/>
      <c r="I481" s="15" t="n"/>
    </row>
    <row r="482">
      <c r="A482" s="17" t="n"/>
      <c r="B482" s="17" t="n"/>
      <c r="C482" s="17" t="n"/>
      <c r="D482" s="19" t="n"/>
      <c r="E482" s="19" t="n"/>
      <c r="F482" s="19" t="n"/>
      <c r="G482" s="17" t="n"/>
      <c r="H482" s="20" t="n"/>
      <c r="I482" s="20" t="n"/>
    </row>
    <row r="483">
      <c r="A483" s="12" t="n"/>
      <c r="B483" s="12" t="n"/>
      <c r="C483" s="12" t="n"/>
      <c r="D483" s="14" t="n"/>
      <c r="E483" s="14" t="n"/>
      <c r="F483" s="14" t="n"/>
      <c r="G483" s="12" t="n"/>
      <c r="H483" s="15" t="n"/>
      <c r="I483" s="15" t="n"/>
    </row>
    <row r="484">
      <c r="A484" s="17" t="n"/>
      <c r="B484" s="17" t="n"/>
      <c r="C484" s="17" t="n"/>
      <c r="D484" s="19" t="n"/>
      <c r="E484" s="19" t="n"/>
      <c r="F484" s="19" t="n"/>
      <c r="G484" s="17" t="n"/>
      <c r="H484" s="20" t="n"/>
      <c r="I484" s="20" t="n"/>
    </row>
    <row r="485">
      <c r="A485" s="12" t="n"/>
      <c r="B485" s="12" t="n"/>
      <c r="C485" s="12" t="n"/>
      <c r="D485" s="14" t="n"/>
      <c r="E485" s="14" t="n"/>
      <c r="F485" s="14" t="n"/>
      <c r="G485" s="12" t="n"/>
      <c r="H485" s="15" t="n"/>
      <c r="I485" s="15" t="n"/>
    </row>
    <row r="486">
      <c r="A486" s="17" t="n"/>
      <c r="B486" s="17" t="n"/>
      <c r="C486" s="17" t="n"/>
      <c r="D486" s="19" t="n"/>
      <c r="E486" s="19" t="n"/>
      <c r="F486" s="19" t="n"/>
      <c r="G486" s="17" t="n"/>
      <c r="H486" s="20" t="n"/>
      <c r="I486" s="20" t="n"/>
    </row>
    <row r="487">
      <c r="A487" s="12" t="n"/>
      <c r="B487" s="12" t="n"/>
      <c r="C487" s="12" t="n"/>
      <c r="D487" s="14" t="n"/>
      <c r="E487" s="14" t="n"/>
      <c r="F487" s="14" t="n"/>
      <c r="G487" s="12" t="n"/>
      <c r="H487" s="15" t="n"/>
      <c r="I487" s="15" t="n"/>
    </row>
    <row r="488">
      <c r="A488" s="17" t="n"/>
      <c r="B488" s="17" t="n"/>
      <c r="C488" s="17" t="n"/>
      <c r="D488" s="19" t="n"/>
      <c r="E488" s="19" t="n"/>
      <c r="F488" s="19" t="n"/>
      <c r="G488" s="17" t="n"/>
      <c r="H488" s="20" t="n"/>
      <c r="I488" s="20" t="n"/>
    </row>
    <row r="489">
      <c r="A489" s="12" t="n"/>
      <c r="B489" s="12" t="n"/>
      <c r="C489" s="12" t="n"/>
      <c r="D489" s="14" t="n"/>
      <c r="E489" s="14" t="n"/>
      <c r="F489" s="14" t="n"/>
      <c r="G489" s="12" t="n"/>
      <c r="H489" s="15" t="n"/>
      <c r="I489" s="15" t="n"/>
    </row>
    <row r="490">
      <c r="A490" s="17" t="n"/>
      <c r="B490" s="17" t="n"/>
      <c r="C490" s="17" t="n"/>
      <c r="D490" s="19" t="n"/>
      <c r="E490" s="19" t="n"/>
      <c r="F490" s="19" t="n"/>
      <c r="G490" s="17" t="n"/>
      <c r="H490" s="20" t="n"/>
      <c r="I490" s="20" t="n"/>
    </row>
    <row r="491">
      <c r="A491" s="12" t="n"/>
      <c r="B491" s="12" t="n"/>
      <c r="C491" s="12" t="n"/>
      <c r="D491" s="14" t="n"/>
      <c r="E491" s="14" t="n"/>
      <c r="F491" s="14" t="n"/>
      <c r="G491" s="12" t="n"/>
      <c r="H491" s="15" t="n"/>
      <c r="I491" s="15" t="n"/>
    </row>
    <row r="492">
      <c r="A492" s="17" t="n"/>
      <c r="B492" s="17" t="n"/>
      <c r="C492" s="17" t="n"/>
      <c r="D492" s="19" t="n"/>
      <c r="E492" s="19" t="n"/>
      <c r="F492" s="19" t="n"/>
      <c r="G492" s="17" t="n"/>
      <c r="H492" s="20" t="n"/>
      <c r="I492" s="20" t="n"/>
    </row>
    <row r="493">
      <c r="A493" s="12" t="n"/>
      <c r="B493" s="12" t="n"/>
      <c r="C493" s="12" t="n"/>
      <c r="D493" s="14" t="n"/>
      <c r="E493" s="14" t="n"/>
      <c r="F493" s="14" t="n"/>
      <c r="G493" s="12" t="n"/>
      <c r="H493" s="15" t="n"/>
      <c r="I493" s="15" t="n"/>
    </row>
    <row r="494">
      <c r="A494" s="17" t="n"/>
      <c r="B494" s="17" t="n"/>
      <c r="C494" s="17" t="n"/>
      <c r="D494" s="19" t="n"/>
      <c r="E494" s="19" t="n"/>
      <c r="F494" s="19" t="n"/>
      <c r="G494" s="17" t="n"/>
      <c r="H494" s="20" t="n"/>
      <c r="I494" s="20" t="n"/>
    </row>
    <row r="495">
      <c r="A495" s="12" t="n"/>
      <c r="B495" s="12" t="n"/>
      <c r="C495" s="12" t="n"/>
      <c r="D495" s="14" t="n"/>
      <c r="E495" s="14" t="n"/>
      <c r="F495" s="14" t="n"/>
      <c r="G495" s="12" t="n"/>
      <c r="H495" s="15" t="n"/>
      <c r="I495" s="15" t="n"/>
    </row>
    <row r="496">
      <c r="A496" s="17" t="n"/>
      <c r="B496" s="17" t="n"/>
      <c r="C496" s="17" t="n"/>
      <c r="D496" s="19" t="n"/>
      <c r="E496" s="19" t="n"/>
      <c r="F496" s="19" t="n"/>
      <c r="G496" s="17" t="n"/>
      <c r="H496" s="20" t="n"/>
      <c r="I496" s="20" t="n"/>
    </row>
    <row r="497">
      <c r="A497" s="12" t="n"/>
      <c r="B497" s="12" t="n"/>
      <c r="C497" s="12" t="n"/>
      <c r="D497" s="14" t="n"/>
      <c r="E497" s="14" t="n"/>
      <c r="F497" s="14" t="n"/>
      <c r="G497" s="12" t="n"/>
      <c r="H497" s="15" t="n"/>
      <c r="I497" s="15" t="n"/>
    </row>
    <row r="498">
      <c r="A498" s="17" t="n"/>
      <c r="B498" s="17" t="n"/>
      <c r="C498" s="17" t="n"/>
      <c r="D498" s="19" t="n"/>
      <c r="E498" s="19" t="n"/>
      <c r="F498" s="19" t="n"/>
      <c r="G498" s="17" t="n"/>
      <c r="H498" s="20" t="n"/>
      <c r="I498" s="20" t="n"/>
    </row>
    <row r="499">
      <c r="A499" s="12" t="n"/>
      <c r="B499" s="12" t="n"/>
      <c r="C499" s="12" t="n"/>
      <c r="D499" s="14" t="n"/>
      <c r="E499" s="14" t="n"/>
      <c r="F499" s="14" t="n"/>
      <c r="G499" s="12" t="n"/>
      <c r="H499" s="15" t="n"/>
      <c r="I499" s="15" t="n"/>
    </row>
    <row r="500">
      <c r="A500" s="17" t="n"/>
      <c r="B500" s="17" t="n"/>
      <c r="C500" s="17" t="n"/>
      <c r="D500" s="19" t="n"/>
      <c r="E500" s="19" t="n"/>
      <c r="F500" s="19" t="n"/>
      <c r="G500" s="17" t="n"/>
      <c r="H500" s="20" t="n"/>
      <c r="I500" s="20" t="n"/>
    </row>
    <row r="501">
      <c r="A501" s="12" t="n"/>
      <c r="B501" s="12" t="n"/>
      <c r="C501" s="12" t="n"/>
      <c r="D501" s="14" t="n"/>
      <c r="E501" s="14" t="n"/>
      <c r="F501" s="14" t="n"/>
      <c r="G501" s="12" t="n"/>
      <c r="H501" s="15" t="n"/>
      <c r="I501" s="15" t="n"/>
    </row>
    <row r="502">
      <c r="A502" s="17" t="n"/>
      <c r="B502" s="17" t="n"/>
      <c r="C502" s="17" t="n"/>
      <c r="D502" s="19" t="n"/>
      <c r="E502" s="19" t="n"/>
      <c r="F502" s="19" t="n"/>
      <c r="G502" s="17" t="n"/>
      <c r="H502" s="20" t="n"/>
      <c r="I502" s="20" t="n"/>
    </row>
    <row r="503">
      <c r="A503" s="12" t="n"/>
      <c r="B503" s="12" t="n"/>
      <c r="C503" s="12" t="n"/>
      <c r="D503" s="14" t="n"/>
      <c r="E503" s="14" t="n"/>
      <c r="F503" s="14" t="n"/>
      <c r="G503" s="12" t="n"/>
      <c r="H503" s="15" t="n"/>
      <c r="I503" s="15" t="n"/>
    </row>
    <row r="504">
      <c r="A504" s="17" t="n"/>
      <c r="B504" s="17" t="n"/>
      <c r="C504" s="17" t="n"/>
      <c r="D504" s="19" t="n"/>
      <c r="E504" s="19" t="n"/>
      <c r="F504" s="19" t="n"/>
      <c r="G504" s="17" t="n"/>
      <c r="H504" s="20" t="n"/>
      <c r="I504" s="20" t="n"/>
    </row>
    <row r="505">
      <c r="A505" s="12" t="n"/>
      <c r="B505" s="12" t="n"/>
      <c r="C505" s="12" t="n"/>
      <c r="D505" s="14" t="n"/>
      <c r="E505" s="14" t="n"/>
      <c r="F505" s="14" t="n"/>
      <c r="G505" s="12" t="n"/>
      <c r="H505" s="15" t="n"/>
      <c r="I505" s="15" t="n"/>
    </row>
    <row r="506">
      <c r="A506" s="17" t="n"/>
      <c r="B506" s="17" t="n"/>
      <c r="C506" s="17" t="n"/>
      <c r="D506" s="19" t="n"/>
      <c r="E506" s="19" t="n"/>
      <c r="F506" s="19" t="n"/>
      <c r="G506" s="17" t="n"/>
      <c r="H506" s="20" t="n"/>
      <c r="I506" s="20" t="n"/>
    </row>
    <row r="507">
      <c r="A507" s="12" t="n"/>
      <c r="B507" s="12" t="n"/>
      <c r="C507" s="12" t="n"/>
      <c r="D507" s="14" t="n"/>
      <c r="E507" s="14" t="n"/>
      <c r="F507" s="14" t="n"/>
      <c r="G507" s="12" t="n"/>
      <c r="H507" s="15" t="n"/>
      <c r="I507" s="15" t="n"/>
    </row>
    <row r="508">
      <c r="A508" s="17" t="n"/>
      <c r="B508" s="17" t="n"/>
      <c r="C508" s="17" t="n"/>
      <c r="D508" s="19" t="n"/>
      <c r="E508" s="19" t="n"/>
      <c r="F508" s="19" t="n"/>
      <c r="G508" s="17" t="n"/>
      <c r="H508" s="20" t="n"/>
      <c r="I508" s="20" t="n"/>
    </row>
    <row r="509">
      <c r="A509" s="12" t="n"/>
      <c r="B509" s="12" t="n"/>
      <c r="C509" s="12" t="n"/>
      <c r="D509" s="14" t="n"/>
      <c r="E509" s="14" t="n"/>
      <c r="F509" s="14" t="n"/>
      <c r="G509" s="12" t="n"/>
      <c r="H509" s="15" t="n"/>
      <c r="I509" s="15" t="n"/>
    </row>
    <row r="510">
      <c r="A510" s="17" t="n"/>
      <c r="B510" s="17" t="n"/>
      <c r="C510" s="17" t="n"/>
      <c r="D510" s="19" t="n"/>
      <c r="E510" s="19" t="n"/>
      <c r="F510" s="19" t="n"/>
      <c r="G510" s="17" t="n"/>
      <c r="H510" s="20" t="n"/>
      <c r="I510" s="20" t="n"/>
    </row>
    <row r="511">
      <c r="A511" s="12" t="n"/>
      <c r="B511" s="12" t="n"/>
      <c r="C511" s="12" t="n"/>
      <c r="D511" s="14" t="n"/>
      <c r="E511" s="14" t="n"/>
      <c r="F511" s="14" t="n"/>
      <c r="G511" s="12" t="n"/>
      <c r="H511" s="15" t="n"/>
      <c r="I511" s="15" t="n"/>
    </row>
    <row r="512">
      <c r="A512" s="17" t="n"/>
      <c r="B512" s="17" t="n"/>
      <c r="C512" s="17" t="n"/>
      <c r="D512" s="19" t="n"/>
      <c r="E512" s="19" t="n"/>
      <c r="F512" s="19" t="n"/>
      <c r="G512" s="17" t="n"/>
      <c r="H512" s="20" t="n"/>
      <c r="I512" s="20" t="n"/>
    </row>
    <row r="513">
      <c r="A513" s="12" t="n"/>
      <c r="B513" s="12" t="n"/>
      <c r="C513" s="12" t="n"/>
      <c r="D513" s="14" t="n"/>
      <c r="E513" s="14" t="n"/>
      <c r="F513" s="14" t="n"/>
      <c r="G513" s="12" t="n"/>
      <c r="H513" s="15" t="n"/>
      <c r="I513" s="15" t="n"/>
    </row>
    <row r="514">
      <c r="A514" s="17" t="n"/>
      <c r="B514" s="17" t="n"/>
      <c r="C514" s="17" t="n"/>
      <c r="D514" s="19" t="n"/>
      <c r="E514" s="19" t="n"/>
      <c r="F514" s="19" t="n"/>
      <c r="G514" s="17" t="n"/>
      <c r="H514" s="20" t="n"/>
      <c r="I514" s="20" t="n"/>
    </row>
    <row r="515">
      <c r="A515" s="12" t="n"/>
      <c r="B515" s="12" t="n"/>
      <c r="C515" s="12" t="n"/>
      <c r="D515" s="14" t="n"/>
      <c r="E515" s="14" t="n"/>
      <c r="F515" s="14" t="n"/>
      <c r="G515" s="12" t="n"/>
      <c r="H515" s="15" t="n"/>
      <c r="I515" s="15" t="n"/>
    </row>
    <row r="516">
      <c r="A516" s="17" t="n"/>
      <c r="B516" s="17" t="n"/>
      <c r="C516" s="17" t="n"/>
      <c r="D516" s="19" t="n"/>
      <c r="E516" s="19" t="n"/>
      <c r="F516" s="19" t="n"/>
      <c r="G516" s="17" t="n"/>
      <c r="H516" s="20" t="n"/>
      <c r="I516" s="20" t="n"/>
    </row>
    <row r="517">
      <c r="A517" s="12" t="n"/>
      <c r="B517" s="12" t="n"/>
      <c r="C517" s="12" t="n"/>
      <c r="D517" s="14" t="n"/>
      <c r="E517" s="14" t="n"/>
      <c r="F517" s="14" t="n"/>
      <c r="G517" s="12" t="n"/>
      <c r="H517" s="15" t="n"/>
      <c r="I517" s="15" t="n"/>
    </row>
    <row r="518">
      <c r="A518" s="17" t="n"/>
      <c r="B518" s="17" t="n"/>
      <c r="C518" s="17" t="n"/>
      <c r="D518" s="19" t="n"/>
      <c r="E518" s="19" t="n"/>
      <c r="F518" s="19" t="n"/>
      <c r="G518" s="17" t="n"/>
      <c r="H518" s="20" t="n"/>
      <c r="I518" s="20" t="n"/>
    </row>
    <row r="519">
      <c r="A519" s="12" t="n"/>
      <c r="B519" s="12" t="n"/>
      <c r="C519" s="12" t="n"/>
      <c r="D519" s="14" t="n"/>
      <c r="E519" s="14" t="n"/>
      <c r="F519" s="14" t="n"/>
      <c r="G519" s="12" t="n"/>
      <c r="H519" s="15" t="n"/>
      <c r="I519" s="15" t="n"/>
    </row>
    <row r="520">
      <c r="A520" s="17" t="n"/>
      <c r="B520" s="17" t="n"/>
      <c r="C520" s="17" t="n"/>
      <c r="D520" s="19" t="n"/>
      <c r="E520" s="19" t="n"/>
      <c r="F520" s="19" t="n"/>
      <c r="G520" s="17" t="n"/>
      <c r="H520" s="20" t="n"/>
      <c r="I520" s="20" t="n"/>
    </row>
    <row r="521">
      <c r="A521" s="12" t="n"/>
      <c r="B521" s="12" t="n"/>
      <c r="C521" s="12" t="n"/>
      <c r="D521" s="14" t="n"/>
      <c r="E521" s="14" t="n"/>
      <c r="F521" s="14" t="n"/>
      <c r="G521" s="12" t="n"/>
      <c r="H521" s="15" t="n"/>
      <c r="I521" s="15" t="n"/>
    </row>
    <row r="522">
      <c r="A522" s="17" t="n"/>
      <c r="B522" s="17" t="n"/>
      <c r="C522" s="17" t="n"/>
      <c r="D522" s="19" t="n"/>
      <c r="E522" s="19" t="n"/>
      <c r="F522" s="19" t="n"/>
      <c r="G522" s="17" t="n"/>
      <c r="H522" s="20" t="n"/>
      <c r="I522" s="20" t="n"/>
    </row>
    <row r="523">
      <c r="A523" s="12" t="n"/>
      <c r="B523" s="12" t="n"/>
      <c r="C523" s="12" t="n"/>
      <c r="D523" s="14" t="n"/>
      <c r="E523" s="14" t="n"/>
      <c r="F523" s="14" t="n"/>
      <c r="G523" s="12" t="n"/>
      <c r="H523" s="15" t="n"/>
      <c r="I523" s="15" t="n"/>
    </row>
    <row r="524">
      <c r="A524" s="17" t="n"/>
      <c r="B524" s="17" t="n"/>
      <c r="C524" s="17" t="n"/>
      <c r="D524" s="19" t="n"/>
      <c r="E524" s="19" t="n"/>
      <c r="F524" s="19" t="n"/>
      <c r="G524" s="17" t="n"/>
      <c r="H524" s="20" t="n"/>
      <c r="I524" s="20" t="n"/>
    </row>
    <row r="525">
      <c r="A525" s="12" t="n"/>
      <c r="B525" s="12" t="n"/>
      <c r="C525" s="12" t="n"/>
      <c r="D525" s="14" t="n"/>
      <c r="E525" s="14" t="n"/>
      <c r="F525" s="14" t="n"/>
      <c r="G525" s="12" t="n"/>
      <c r="H525" s="15" t="n"/>
      <c r="I525" s="15" t="n"/>
    </row>
    <row r="526">
      <c r="A526" s="17" t="n"/>
      <c r="B526" s="17" t="n"/>
      <c r="C526" s="17" t="n"/>
      <c r="D526" s="19" t="n"/>
      <c r="E526" s="19" t="n"/>
      <c r="F526" s="19" t="n"/>
      <c r="G526" s="17" t="n"/>
      <c r="H526" s="20" t="n"/>
      <c r="I526" s="20" t="n"/>
    </row>
    <row r="527">
      <c r="A527" s="12" t="n"/>
      <c r="B527" s="12" t="n"/>
      <c r="C527" s="12" t="n"/>
      <c r="D527" s="14" t="n"/>
      <c r="E527" s="14" t="n"/>
      <c r="F527" s="14" t="n"/>
      <c r="G527" s="12" t="n"/>
      <c r="H527" s="15" t="n"/>
      <c r="I527" s="15" t="n"/>
    </row>
    <row r="528">
      <c r="A528" s="17" t="n"/>
      <c r="B528" s="17" t="n"/>
      <c r="C528" s="17" t="n"/>
      <c r="D528" s="19" t="n"/>
      <c r="E528" s="19" t="n"/>
      <c r="F528" s="19" t="n"/>
      <c r="G528" s="17" t="n"/>
      <c r="H528" s="20" t="n"/>
      <c r="I528" s="20" t="n"/>
    </row>
    <row r="529">
      <c r="A529" s="12" t="n"/>
      <c r="B529" s="12" t="n"/>
      <c r="C529" s="12" t="n"/>
      <c r="D529" s="14" t="n"/>
      <c r="E529" s="14" t="n"/>
      <c r="F529" s="14" t="n"/>
      <c r="G529" s="12" t="n"/>
      <c r="H529" s="15" t="n"/>
      <c r="I529" s="15" t="n"/>
    </row>
    <row r="530">
      <c r="A530" s="17" t="n"/>
      <c r="B530" s="17" t="n"/>
      <c r="C530" s="17" t="n"/>
      <c r="D530" s="19" t="n"/>
      <c r="E530" s="19" t="n"/>
      <c r="F530" s="19" t="n"/>
      <c r="G530" s="17" t="n"/>
      <c r="H530" s="20" t="n"/>
      <c r="I530" s="20" t="n"/>
    </row>
    <row r="531">
      <c r="A531" s="12" t="n"/>
      <c r="B531" s="12" t="n"/>
      <c r="C531" s="12" t="n"/>
      <c r="D531" s="14" t="n"/>
      <c r="E531" s="14" t="n"/>
      <c r="F531" s="14" t="n"/>
      <c r="G531" s="12" t="n"/>
      <c r="H531" s="15" t="n"/>
      <c r="I531" s="15" t="n"/>
    </row>
    <row r="532">
      <c r="A532" s="17" t="n"/>
      <c r="B532" s="17" t="n"/>
      <c r="C532" s="17" t="n"/>
      <c r="D532" s="19" t="n"/>
      <c r="E532" s="19" t="n"/>
      <c r="F532" s="19" t="n"/>
      <c r="G532" s="17" t="n"/>
      <c r="H532" s="20" t="n"/>
      <c r="I532" s="20" t="n"/>
    </row>
    <row r="533">
      <c r="A533" s="12" t="n"/>
      <c r="B533" s="12" t="n"/>
      <c r="C533" s="12" t="n"/>
      <c r="D533" s="14" t="n"/>
      <c r="E533" s="14" t="n"/>
      <c r="F533" s="14" t="n"/>
      <c r="G533" s="12" t="n"/>
      <c r="H533" s="15" t="n"/>
      <c r="I533" s="15" t="n"/>
    </row>
    <row r="534">
      <c r="A534" s="17" t="n"/>
      <c r="B534" s="17" t="n"/>
      <c r="C534" s="17" t="n"/>
      <c r="D534" s="19" t="n"/>
      <c r="E534" s="19" t="n"/>
      <c r="F534" s="19" t="n"/>
      <c r="G534" s="17" t="n"/>
      <c r="H534" s="20" t="n"/>
      <c r="I534" s="20" t="n"/>
    </row>
    <row r="535">
      <c r="A535" s="12" t="n"/>
      <c r="B535" s="12" t="n"/>
      <c r="C535" s="12" t="n"/>
      <c r="D535" s="14" t="n"/>
      <c r="E535" s="14" t="n"/>
      <c r="F535" s="14" t="n"/>
      <c r="G535" s="12" t="n"/>
      <c r="H535" s="15" t="n"/>
      <c r="I535" s="15" t="n"/>
    </row>
    <row r="536">
      <c r="A536" s="17" t="n"/>
      <c r="B536" s="17" t="n"/>
      <c r="C536" s="17" t="n"/>
      <c r="D536" s="19" t="n"/>
      <c r="E536" s="19" t="n"/>
      <c r="F536" s="19" t="n"/>
      <c r="G536" s="17" t="n"/>
      <c r="H536" s="20" t="n"/>
      <c r="I536" s="20" t="n"/>
    </row>
    <row r="537">
      <c r="A537" s="12" t="n"/>
      <c r="B537" s="12" t="n"/>
      <c r="C537" s="12" t="n"/>
      <c r="D537" s="14" t="n"/>
      <c r="E537" s="14" t="n"/>
      <c r="F537" s="14" t="n"/>
      <c r="G537" s="12" t="n"/>
      <c r="H537" s="15" t="n"/>
      <c r="I537" s="15" t="n"/>
    </row>
    <row r="538">
      <c r="A538" s="17" t="n"/>
      <c r="B538" s="17" t="n"/>
      <c r="C538" s="17" t="n"/>
      <c r="D538" s="19" t="n"/>
      <c r="E538" s="19" t="n"/>
      <c r="F538" s="19" t="n"/>
      <c r="G538" s="17" t="n"/>
      <c r="H538" s="20" t="n"/>
      <c r="I538" s="20" t="n"/>
    </row>
    <row r="539">
      <c r="A539" s="12" t="n"/>
      <c r="B539" s="12" t="n"/>
      <c r="C539" s="12" t="n"/>
      <c r="D539" s="14" t="n"/>
      <c r="E539" s="14" t="n"/>
      <c r="F539" s="14" t="n"/>
      <c r="G539" s="12" t="n"/>
      <c r="H539" s="15" t="n"/>
      <c r="I539" s="15" t="n"/>
    </row>
    <row r="540">
      <c r="A540" s="17" t="n"/>
      <c r="B540" s="17" t="n"/>
      <c r="C540" s="17" t="n"/>
      <c r="D540" s="19" t="n"/>
      <c r="E540" s="19" t="n"/>
      <c r="F540" s="19" t="n"/>
      <c r="G540" s="17" t="n"/>
      <c r="H540" s="20" t="n"/>
      <c r="I540" s="20" t="n"/>
    </row>
    <row r="541">
      <c r="A541" s="12" t="n"/>
      <c r="B541" s="12" t="n"/>
      <c r="C541" s="12" t="n"/>
      <c r="D541" s="14" t="n"/>
      <c r="E541" s="14" t="n"/>
      <c r="F541" s="14" t="n"/>
      <c r="G541" s="12" t="n"/>
      <c r="H541" s="15" t="n"/>
      <c r="I541" s="15" t="n"/>
    </row>
    <row r="542">
      <c r="A542" s="17" t="n"/>
      <c r="B542" s="17" t="n"/>
      <c r="C542" s="17" t="n"/>
      <c r="D542" s="19" t="n"/>
      <c r="E542" s="19" t="n"/>
      <c r="F542" s="19" t="n"/>
      <c r="G542" s="17" t="n"/>
      <c r="H542" s="20" t="n"/>
      <c r="I542" s="20" t="n"/>
    </row>
    <row r="543">
      <c r="A543" s="12" t="n"/>
      <c r="B543" s="12" t="n"/>
      <c r="C543" s="12" t="n"/>
      <c r="D543" s="14" t="n"/>
      <c r="E543" s="14" t="n"/>
      <c r="F543" s="14" t="n"/>
      <c r="G543" s="12" t="n"/>
      <c r="H543" s="15" t="n"/>
      <c r="I543" s="15" t="n"/>
    </row>
    <row r="544">
      <c r="A544" s="17" t="n"/>
      <c r="B544" s="17" t="n"/>
      <c r="C544" s="17" t="n"/>
      <c r="D544" s="19" t="n"/>
      <c r="E544" s="19" t="n"/>
      <c r="F544" s="19" t="n"/>
      <c r="G544" s="17" t="n"/>
      <c r="H544" s="20" t="n"/>
      <c r="I544" s="20" t="n"/>
    </row>
    <row r="545">
      <c r="A545" s="12" t="n"/>
      <c r="B545" s="12" t="n"/>
      <c r="C545" s="12" t="n"/>
      <c r="D545" s="14" t="n"/>
      <c r="E545" s="14" t="n"/>
      <c r="F545" s="14" t="n"/>
      <c r="G545" s="12" t="n"/>
      <c r="H545" s="15" t="n"/>
      <c r="I545" s="15" t="n"/>
    </row>
    <row r="546">
      <c r="A546" s="17" t="n"/>
      <c r="B546" s="17" t="n"/>
      <c r="C546" s="17" t="n"/>
      <c r="D546" s="19" t="n"/>
      <c r="E546" s="19" t="n"/>
      <c r="F546" s="19" t="n"/>
      <c r="G546" s="17" t="n"/>
      <c r="H546" s="20" t="n"/>
      <c r="I546" s="20" t="n"/>
    </row>
    <row r="547">
      <c r="A547" s="12" t="n"/>
      <c r="B547" s="12" t="n"/>
      <c r="C547" s="12" t="n"/>
      <c r="D547" s="14" t="n"/>
      <c r="E547" s="14" t="n"/>
      <c r="F547" s="14" t="n"/>
      <c r="G547" s="12" t="n"/>
      <c r="H547" s="15" t="n"/>
      <c r="I547" s="15" t="n"/>
    </row>
    <row r="548">
      <c r="A548" s="17" t="n"/>
      <c r="B548" s="17" t="n"/>
      <c r="C548" s="17" t="n"/>
      <c r="D548" s="19" t="n"/>
      <c r="E548" s="19" t="n"/>
      <c r="F548" s="19" t="n"/>
      <c r="G548" s="17" t="n"/>
      <c r="H548" s="20" t="n"/>
      <c r="I548" s="20" t="n"/>
    </row>
    <row r="549">
      <c r="A549" s="12" t="n"/>
      <c r="B549" s="12" t="n"/>
      <c r="C549" s="12" t="n"/>
      <c r="D549" s="14" t="n"/>
      <c r="E549" s="14" t="n"/>
      <c r="F549" s="14" t="n"/>
      <c r="G549" s="12" t="n"/>
      <c r="H549" s="15" t="n"/>
      <c r="I549" s="15" t="n"/>
    </row>
    <row r="550">
      <c r="A550" s="17" t="n"/>
      <c r="B550" s="17" t="n"/>
      <c r="C550" s="17" t="n"/>
      <c r="D550" s="19" t="n"/>
      <c r="E550" s="19" t="n"/>
      <c r="F550" s="19" t="n"/>
      <c r="G550" s="17" t="n"/>
      <c r="H550" s="20" t="n"/>
      <c r="I550" s="20" t="n"/>
    </row>
    <row r="551">
      <c r="A551" s="12" t="n"/>
      <c r="B551" s="12" t="n"/>
      <c r="C551" s="12" t="n"/>
      <c r="D551" s="14" t="n"/>
      <c r="E551" s="14" t="n"/>
      <c r="F551" s="14" t="n"/>
      <c r="G551" s="12" t="n"/>
      <c r="H551" s="15" t="n"/>
      <c r="I551" s="15" t="n"/>
    </row>
    <row r="552">
      <c r="A552" s="17" t="n"/>
      <c r="B552" s="17" t="n"/>
      <c r="C552" s="17" t="n"/>
      <c r="D552" s="19" t="n"/>
      <c r="E552" s="19" t="n"/>
      <c r="F552" s="19" t="n"/>
      <c r="G552" s="17" t="n"/>
      <c r="H552" s="20" t="n"/>
      <c r="I552" s="20" t="n"/>
    </row>
    <row r="553">
      <c r="A553" s="12" t="n"/>
      <c r="B553" s="12" t="n"/>
      <c r="C553" s="12" t="n"/>
      <c r="D553" s="14" t="n"/>
      <c r="E553" s="14" t="n"/>
      <c r="F553" s="14" t="n"/>
      <c r="G553" s="12" t="n"/>
      <c r="H553" s="15" t="n"/>
      <c r="I553" s="15" t="n"/>
    </row>
    <row r="554">
      <c r="A554" s="17" t="n"/>
      <c r="B554" s="17" t="n"/>
      <c r="C554" s="17" t="n"/>
      <c r="D554" s="19" t="n"/>
      <c r="E554" s="19" t="n"/>
      <c r="F554" s="19" t="n"/>
      <c r="G554" s="17" t="n"/>
      <c r="H554" s="20" t="n"/>
      <c r="I554" s="20" t="n"/>
    </row>
    <row r="555">
      <c r="A555" s="12" t="n"/>
      <c r="B555" s="12" t="n"/>
      <c r="C555" s="12" t="n"/>
      <c r="D555" s="14" t="n"/>
      <c r="E555" s="14" t="n"/>
      <c r="F555" s="14" t="n"/>
      <c r="G555" s="12" t="n"/>
      <c r="H555" s="15" t="n"/>
      <c r="I555" s="15" t="n"/>
    </row>
    <row r="556">
      <c r="A556" s="17" t="n"/>
      <c r="B556" s="17" t="n"/>
      <c r="C556" s="17" t="n"/>
      <c r="D556" s="19" t="n"/>
      <c r="E556" s="19" t="n"/>
      <c r="F556" s="19" t="n"/>
      <c r="G556" s="17" t="n"/>
      <c r="H556" s="20" t="n"/>
      <c r="I556" s="20" t="n"/>
    </row>
    <row r="557">
      <c r="A557" s="12" t="n"/>
      <c r="B557" s="12" t="n"/>
      <c r="C557" s="12" t="n"/>
      <c r="D557" s="14" t="n"/>
      <c r="E557" s="14" t="n"/>
      <c r="F557" s="14" t="n"/>
      <c r="G557" s="12" t="n"/>
      <c r="H557" s="15" t="n"/>
      <c r="I557" s="15" t="n"/>
    </row>
    <row r="558">
      <c r="A558" s="17" t="n"/>
      <c r="B558" s="17" t="n"/>
      <c r="C558" s="17" t="n"/>
      <c r="D558" s="19" t="n"/>
      <c r="E558" s="19" t="n"/>
      <c r="F558" s="19" t="n"/>
      <c r="G558" s="17" t="n"/>
      <c r="H558" s="20" t="n"/>
      <c r="I558" s="20" t="n"/>
    </row>
    <row r="559">
      <c r="A559" s="12" t="n"/>
      <c r="B559" s="12" t="n"/>
      <c r="C559" s="12" t="n"/>
      <c r="D559" s="14" t="n"/>
      <c r="E559" s="14" t="n"/>
      <c r="F559" s="14" t="n"/>
      <c r="G559" s="12" t="n"/>
      <c r="H559" s="15" t="n"/>
      <c r="I559" s="15" t="n"/>
    </row>
    <row r="560">
      <c r="A560" s="17" t="n"/>
      <c r="B560" s="17" t="n"/>
      <c r="C560" s="17" t="n"/>
      <c r="D560" s="19" t="n"/>
      <c r="E560" s="19" t="n"/>
      <c r="F560" s="19" t="n"/>
      <c r="G560" s="17" t="n"/>
      <c r="H560" s="20" t="n"/>
      <c r="I560" s="20" t="n"/>
    </row>
    <row r="561">
      <c r="A561" s="12" t="n"/>
      <c r="B561" s="12" t="n"/>
      <c r="C561" s="12" t="n"/>
      <c r="D561" s="14" t="n"/>
      <c r="E561" s="14" t="n"/>
      <c r="F561" s="14" t="n"/>
      <c r="G561" s="12" t="n"/>
      <c r="H561" s="15" t="n"/>
      <c r="I561" s="15" t="n"/>
    </row>
    <row r="562">
      <c r="A562" s="17" t="n"/>
      <c r="B562" s="17" t="n"/>
      <c r="C562" s="17" t="n"/>
      <c r="D562" s="19" t="n"/>
      <c r="E562" s="19" t="n"/>
      <c r="F562" s="19" t="n"/>
      <c r="G562" s="17" t="n"/>
      <c r="H562" s="20" t="n"/>
      <c r="I562" s="20" t="n"/>
    </row>
    <row r="563">
      <c r="A563" s="12" t="n"/>
      <c r="B563" s="12" t="n"/>
      <c r="C563" s="12" t="n"/>
      <c r="D563" s="14" t="n"/>
      <c r="E563" s="14" t="n"/>
      <c r="F563" s="14" t="n"/>
      <c r="G563" s="12" t="n"/>
      <c r="H563" s="15" t="n"/>
      <c r="I563" s="15" t="n"/>
    </row>
    <row r="564">
      <c r="A564" s="17" t="n"/>
      <c r="B564" s="17" t="n"/>
      <c r="C564" s="17" t="n"/>
      <c r="D564" s="19" t="n"/>
      <c r="E564" s="19" t="n"/>
      <c r="F564" s="19" t="n"/>
      <c r="G564" s="17" t="n"/>
      <c r="H564" s="20" t="n"/>
      <c r="I564" s="20" t="n"/>
    </row>
    <row r="565">
      <c r="A565" s="12" t="n"/>
      <c r="B565" s="12" t="n"/>
      <c r="C565" s="12" t="n"/>
      <c r="D565" s="14" t="n"/>
      <c r="E565" s="14" t="n"/>
      <c r="F565" s="14" t="n"/>
      <c r="G565" s="12" t="n"/>
      <c r="H565" s="15" t="n"/>
      <c r="I565" s="15" t="n"/>
    </row>
    <row r="566">
      <c r="A566" s="17" t="n"/>
      <c r="B566" s="17" t="n"/>
      <c r="C566" s="17" t="n"/>
      <c r="D566" s="19" t="n"/>
      <c r="E566" s="19" t="n"/>
      <c r="F566" s="19" t="n"/>
      <c r="G566" s="17" t="n"/>
      <c r="H566" s="20" t="n"/>
      <c r="I566" s="20" t="n"/>
    </row>
    <row r="567">
      <c r="A567" s="12" t="n"/>
      <c r="B567" s="12" t="n"/>
      <c r="C567" s="12" t="n"/>
      <c r="D567" s="14" t="n"/>
      <c r="E567" s="14" t="n"/>
      <c r="F567" s="14" t="n"/>
      <c r="G567" s="12" t="n"/>
      <c r="H567" s="15" t="n"/>
      <c r="I567" s="15" t="n"/>
    </row>
    <row r="568">
      <c r="A568" s="17" t="n"/>
      <c r="B568" s="17" t="n"/>
      <c r="C568" s="17" t="n"/>
      <c r="D568" s="19" t="n"/>
      <c r="E568" s="19" t="n"/>
      <c r="F568" s="19" t="n"/>
      <c r="G568" s="17" t="n"/>
      <c r="H568" s="20" t="n"/>
      <c r="I568" s="20" t="n"/>
    </row>
    <row r="569">
      <c r="A569" s="12" t="n"/>
      <c r="B569" s="12" t="n"/>
      <c r="C569" s="12" t="n"/>
      <c r="D569" s="14" t="n"/>
      <c r="E569" s="14" t="n"/>
      <c r="F569" s="14" t="n"/>
      <c r="G569" s="12" t="n"/>
      <c r="H569" s="15" t="n"/>
      <c r="I569" s="15" t="n"/>
    </row>
    <row r="570">
      <c r="A570" s="17" t="n"/>
      <c r="B570" s="17" t="n"/>
      <c r="C570" s="17" t="n"/>
      <c r="D570" s="19" t="n"/>
      <c r="E570" s="19" t="n"/>
      <c r="F570" s="19" t="n"/>
      <c r="G570" s="17" t="n"/>
      <c r="H570" s="20" t="n"/>
      <c r="I570" s="20" t="n"/>
    </row>
    <row r="571">
      <c r="A571" s="12" t="n"/>
      <c r="B571" s="12" t="n"/>
      <c r="C571" s="12" t="n"/>
      <c r="D571" s="14" t="n"/>
      <c r="E571" s="14" t="n"/>
      <c r="F571" s="14" t="n"/>
      <c r="G571" s="12" t="n"/>
      <c r="H571" s="15" t="n"/>
      <c r="I571" s="15" t="n"/>
    </row>
    <row r="572">
      <c r="A572" s="17" t="n"/>
      <c r="B572" s="17" t="n"/>
      <c r="C572" s="17" t="n"/>
      <c r="D572" s="19" t="n"/>
      <c r="E572" s="19" t="n"/>
      <c r="F572" s="19" t="n"/>
      <c r="G572" s="17" t="n"/>
      <c r="H572" s="20" t="n"/>
      <c r="I572" s="20" t="n"/>
    </row>
    <row r="573">
      <c r="A573" s="12" t="n"/>
      <c r="B573" s="12" t="n"/>
      <c r="C573" s="12" t="n"/>
      <c r="D573" s="14" t="n"/>
      <c r="E573" s="14" t="n"/>
      <c r="F573" s="14" t="n"/>
      <c r="G573" s="12" t="n"/>
      <c r="H573" s="15" t="n"/>
      <c r="I573" s="15" t="n"/>
    </row>
    <row r="574">
      <c r="A574" s="17" t="n"/>
      <c r="B574" s="17" t="n"/>
      <c r="C574" s="17" t="n"/>
      <c r="D574" s="19" t="n"/>
      <c r="E574" s="19" t="n"/>
      <c r="F574" s="19" t="n"/>
      <c r="G574" s="17" t="n"/>
      <c r="H574" s="20" t="n"/>
      <c r="I574" s="20" t="n"/>
    </row>
    <row r="575">
      <c r="A575" s="12" t="n"/>
      <c r="B575" s="12" t="n"/>
      <c r="C575" s="12" t="n"/>
      <c r="D575" s="14" t="n"/>
      <c r="E575" s="14" t="n"/>
      <c r="F575" s="14" t="n"/>
      <c r="G575" s="12" t="n"/>
      <c r="H575" s="15" t="n"/>
      <c r="I575" s="15" t="n"/>
    </row>
    <row r="576">
      <c r="A576" s="17" t="n"/>
      <c r="B576" s="17" t="n"/>
      <c r="C576" s="17" t="n"/>
      <c r="D576" s="19" t="n"/>
      <c r="E576" s="19" t="n"/>
      <c r="F576" s="19" t="n"/>
      <c r="G576" s="17" t="n"/>
      <c r="H576" s="20" t="n"/>
      <c r="I576" s="20" t="n"/>
    </row>
    <row r="577">
      <c r="A577" s="12" t="n"/>
      <c r="B577" s="12" t="n"/>
      <c r="C577" s="12" t="n"/>
      <c r="D577" s="14" t="n"/>
      <c r="E577" s="14" t="n"/>
      <c r="F577" s="14" t="n"/>
      <c r="G577" s="12" t="n"/>
      <c r="H577" s="15" t="n"/>
      <c r="I577" s="15" t="n"/>
    </row>
    <row r="578">
      <c r="A578" s="17" t="n"/>
      <c r="B578" s="17" t="n"/>
      <c r="C578" s="17" t="n"/>
      <c r="D578" s="19" t="n"/>
      <c r="E578" s="19" t="n"/>
      <c r="F578" s="19" t="n"/>
      <c r="G578" s="17" t="n"/>
      <c r="H578" s="20" t="n"/>
      <c r="I578" s="20" t="n"/>
    </row>
    <row r="579">
      <c r="A579" s="12" t="n"/>
      <c r="B579" s="12" t="n"/>
      <c r="C579" s="12" t="n"/>
      <c r="D579" s="14" t="n"/>
      <c r="E579" s="14" t="n"/>
      <c r="F579" s="14" t="n"/>
      <c r="G579" s="12" t="n"/>
      <c r="H579" s="15" t="n"/>
      <c r="I579" s="15" t="n"/>
    </row>
    <row r="580">
      <c r="A580" s="17" t="n"/>
      <c r="B580" s="17" t="n"/>
      <c r="C580" s="17" t="n"/>
      <c r="D580" s="19" t="n"/>
      <c r="E580" s="19" t="n"/>
      <c r="F580" s="19" t="n"/>
      <c r="G580" s="17" t="n"/>
      <c r="H580" s="20" t="n"/>
      <c r="I580" s="20" t="n"/>
    </row>
    <row r="581">
      <c r="A581" s="12" t="n"/>
      <c r="B581" s="12" t="n"/>
      <c r="C581" s="12" t="n"/>
      <c r="D581" s="14" t="n"/>
      <c r="E581" s="14" t="n"/>
      <c r="F581" s="14" t="n"/>
      <c r="G581" s="12" t="n"/>
      <c r="H581" s="15" t="n"/>
      <c r="I581" s="15" t="n"/>
    </row>
    <row r="582">
      <c r="A582" s="17" t="n"/>
      <c r="B582" s="17" t="n"/>
      <c r="C582" s="17" t="n"/>
      <c r="D582" s="19" t="n"/>
      <c r="E582" s="19" t="n"/>
      <c r="F582" s="19" t="n"/>
      <c r="G582" s="17" t="n"/>
      <c r="H582" s="20" t="n"/>
      <c r="I582" s="20" t="n"/>
    </row>
    <row r="583">
      <c r="A583" s="12" t="n"/>
      <c r="B583" s="12" t="n"/>
      <c r="C583" s="12" t="n"/>
      <c r="D583" s="14" t="n"/>
      <c r="E583" s="14" t="n"/>
      <c r="F583" s="14" t="n"/>
      <c r="G583" s="12" t="n"/>
      <c r="H583" s="15" t="n"/>
      <c r="I583" s="15" t="n"/>
    </row>
    <row r="584">
      <c r="A584" s="17" t="n"/>
      <c r="B584" s="17" t="n"/>
      <c r="C584" s="17" t="n"/>
      <c r="D584" s="19" t="n"/>
      <c r="E584" s="19" t="n"/>
      <c r="F584" s="19" t="n"/>
      <c r="G584" s="17" t="n"/>
      <c r="H584" s="20" t="n"/>
      <c r="I584" s="20" t="n"/>
    </row>
    <row r="585">
      <c r="A585" s="12" t="n"/>
      <c r="B585" s="12" t="n"/>
      <c r="C585" s="12" t="n"/>
      <c r="D585" s="14" t="n"/>
      <c r="E585" s="14" t="n"/>
      <c r="F585" s="14" t="n"/>
      <c r="G585" s="12" t="n"/>
      <c r="H585" s="15" t="n"/>
      <c r="I585" s="15" t="n"/>
    </row>
    <row r="586">
      <c r="A586" s="17" t="n"/>
      <c r="B586" s="17" t="n"/>
      <c r="C586" s="17" t="n"/>
      <c r="D586" s="19" t="n"/>
      <c r="E586" s="19" t="n"/>
      <c r="F586" s="19" t="n"/>
      <c r="G586" s="17" t="n"/>
      <c r="H586" s="20" t="n"/>
      <c r="I586" s="20" t="n"/>
    </row>
    <row r="587">
      <c r="A587" s="12" t="n"/>
      <c r="B587" s="12" t="n"/>
      <c r="C587" s="12" t="n"/>
      <c r="D587" s="14" t="n"/>
      <c r="E587" s="14" t="n"/>
      <c r="F587" s="14" t="n"/>
      <c r="G587" s="12" t="n"/>
      <c r="H587" s="15" t="n"/>
      <c r="I587" s="15" t="n"/>
    </row>
    <row r="588">
      <c r="A588" s="17" t="n"/>
      <c r="B588" s="17" t="n"/>
      <c r="C588" s="17" t="n"/>
      <c r="D588" s="19" t="n"/>
      <c r="E588" s="19" t="n"/>
      <c r="F588" s="19" t="n"/>
      <c r="G588" s="17" t="n"/>
      <c r="H588" s="20" t="n"/>
      <c r="I588" s="20" t="n"/>
    </row>
    <row r="589">
      <c r="A589" s="12" t="n"/>
      <c r="B589" s="12" t="n"/>
      <c r="C589" s="12" t="n"/>
      <c r="D589" s="14" t="n"/>
      <c r="E589" s="14" t="n"/>
      <c r="F589" s="14" t="n"/>
      <c r="G589" s="12" t="n"/>
      <c r="H589" s="15" t="n"/>
      <c r="I589" s="15" t="n"/>
    </row>
    <row r="590">
      <c r="A590" s="17" t="n"/>
      <c r="B590" s="17" t="n"/>
      <c r="C590" s="17" t="n"/>
      <c r="D590" s="19" t="n"/>
      <c r="E590" s="19" t="n"/>
      <c r="F590" s="19" t="n"/>
      <c r="G590" s="17" t="n"/>
      <c r="H590" s="20" t="n"/>
      <c r="I590" s="20" t="n"/>
    </row>
    <row r="591">
      <c r="A591" s="12" t="n"/>
      <c r="B591" s="12" t="n"/>
      <c r="C591" s="12" t="n"/>
      <c r="D591" s="14" t="n"/>
      <c r="E591" s="14" t="n"/>
      <c r="F591" s="14" t="n"/>
      <c r="G591" s="12" t="n"/>
      <c r="H591" s="15" t="n"/>
      <c r="I591" s="15" t="n"/>
    </row>
    <row r="592">
      <c r="A592" s="17" t="n"/>
      <c r="B592" s="17" t="n"/>
      <c r="C592" s="17" t="n"/>
      <c r="D592" s="19" t="n"/>
      <c r="E592" s="19" t="n"/>
      <c r="F592" s="19" t="n"/>
      <c r="G592" s="17" t="n"/>
      <c r="H592" s="20" t="n"/>
      <c r="I592" s="20" t="n"/>
    </row>
    <row r="593">
      <c r="A593" s="12" t="n"/>
      <c r="B593" s="12" t="n"/>
      <c r="C593" s="12" t="n"/>
      <c r="D593" s="14" t="n"/>
      <c r="E593" s="14" t="n"/>
      <c r="F593" s="14" t="n"/>
      <c r="G593" s="12" t="n"/>
      <c r="H593" s="15" t="n"/>
      <c r="I593" s="15" t="n"/>
    </row>
    <row r="594">
      <c r="A594" s="17" t="n"/>
      <c r="B594" s="17" t="n"/>
      <c r="C594" s="17" t="n"/>
      <c r="D594" s="19" t="n"/>
      <c r="E594" s="19" t="n"/>
      <c r="F594" s="19" t="n"/>
      <c r="G594" s="17" t="n"/>
      <c r="H594" s="20" t="n"/>
      <c r="I594" s="20" t="n"/>
    </row>
    <row r="595">
      <c r="A595" s="12" t="n"/>
      <c r="B595" s="12" t="n"/>
      <c r="C595" s="12" t="n"/>
      <c r="D595" s="14" t="n"/>
      <c r="E595" s="14" t="n"/>
      <c r="F595" s="14" t="n"/>
      <c r="G595" s="12" t="n"/>
      <c r="H595" s="15" t="n"/>
      <c r="I595" s="15" t="n"/>
    </row>
    <row r="596">
      <c r="A596" s="17" t="n"/>
      <c r="B596" s="17" t="n"/>
      <c r="C596" s="17" t="n"/>
      <c r="D596" s="19" t="n"/>
      <c r="E596" s="19" t="n"/>
      <c r="F596" s="19" t="n"/>
      <c r="G596" s="17" t="n"/>
      <c r="H596" s="20" t="n"/>
      <c r="I596" s="20" t="n"/>
    </row>
    <row r="597">
      <c r="A597" s="12" t="n"/>
      <c r="B597" s="12" t="n"/>
      <c r="C597" s="12" t="n"/>
      <c r="D597" s="14" t="n"/>
      <c r="E597" s="14" t="n"/>
      <c r="F597" s="14" t="n"/>
      <c r="G597" s="12" t="n"/>
      <c r="H597" s="15" t="n"/>
      <c r="I597" s="15" t="n"/>
    </row>
    <row r="598">
      <c r="A598" s="17" t="n"/>
      <c r="B598" s="17" t="n"/>
      <c r="C598" s="17" t="n"/>
      <c r="D598" s="19" t="n"/>
      <c r="E598" s="19" t="n"/>
      <c r="F598" s="19" t="n"/>
      <c r="G598" s="17" t="n"/>
      <c r="H598" s="20" t="n"/>
      <c r="I598" s="20" t="n"/>
    </row>
    <row r="599">
      <c r="A599" s="12" t="n"/>
      <c r="B599" s="12" t="n"/>
      <c r="C599" s="12" t="n"/>
      <c r="D599" s="14" t="n"/>
      <c r="E599" s="14" t="n"/>
      <c r="F599" s="14" t="n"/>
      <c r="G599" s="12" t="n"/>
      <c r="H599" s="15" t="n"/>
      <c r="I599" s="15" t="n"/>
    </row>
    <row r="600">
      <c r="A600" s="17" t="n"/>
      <c r="B600" s="17" t="n"/>
      <c r="C600" s="17" t="n"/>
      <c r="D600" s="19" t="n"/>
      <c r="E600" s="19" t="n"/>
      <c r="F600" s="19" t="n"/>
      <c r="G600" s="17" t="n"/>
      <c r="H600" s="20" t="n"/>
      <c r="I600" s="20" t="n"/>
    </row>
    <row r="601">
      <c r="A601" s="12" t="n"/>
      <c r="B601" s="12" t="n"/>
      <c r="C601" s="12" t="n"/>
      <c r="D601" s="14" t="n"/>
      <c r="E601" s="14" t="n"/>
      <c r="F601" s="14" t="n"/>
      <c r="G601" s="12" t="n"/>
      <c r="H601" s="15" t="n"/>
      <c r="I601" s="15" t="n"/>
    </row>
    <row r="602">
      <c r="A602" s="17" t="n"/>
      <c r="B602" s="17" t="n"/>
      <c r="C602" s="17" t="n"/>
      <c r="D602" s="19" t="n"/>
      <c r="E602" s="19" t="n"/>
      <c r="F602" s="19" t="n"/>
      <c r="G602" s="17" t="n"/>
      <c r="H602" s="20" t="n"/>
      <c r="I602" s="20" t="n"/>
    </row>
    <row r="603">
      <c r="A603" s="12" t="n"/>
      <c r="B603" s="12" t="n"/>
      <c r="C603" s="12" t="n"/>
      <c r="D603" s="14" t="n"/>
      <c r="E603" s="14" t="n"/>
      <c r="F603" s="14" t="n"/>
      <c r="G603" s="12" t="n"/>
      <c r="H603" s="15" t="n"/>
      <c r="I603" s="15" t="n"/>
    </row>
    <row r="604">
      <c r="A604" s="17" t="n"/>
      <c r="B604" s="17" t="n"/>
      <c r="C604" s="17" t="n"/>
      <c r="D604" s="19" t="n"/>
      <c r="E604" s="19" t="n"/>
      <c r="F604" s="19" t="n"/>
      <c r="G604" s="17" t="n"/>
      <c r="H604" s="20" t="n"/>
      <c r="I604" s="20" t="n"/>
    </row>
    <row r="605">
      <c r="A605" s="12" t="n"/>
      <c r="B605" s="12" t="n"/>
      <c r="C605" s="12" t="n"/>
      <c r="D605" s="14" t="n"/>
      <c r="E605" s="14" t="n"/>
      <c r="F605" s="14" t="n"/>
      <c r="G605" s="12" t="n"/>
      <c r="H605" s="15" t="n"/>
      <c r="I605" s="15" t="n"/>
    </row>
    <row r="606">
      <c r="A606" s="17" t="n"/>
      <c r="B606" s="17" t="n"/>
      <c r="C606" s="17" t="n"/>
      <c r="D606" s="19" t="n"/>
      <c r="E606" s="19" t="n"/>
      <c r="F606" s="19" t="n"/>
      <c r="G606" s="17" t="n"/>
      <c r="H606" s="20" t="n"/>
      <c r="I606" s="20" t="n"/>
    </row>
    <row r="607">
      <c r="A607" s="12" t="n"/>
      <c r="B607" s="12" t="n"/>
      <c r="C607" s="12" t="n"/>
      <c r="D607" s="14" t="n"/>
      <c r="E607" s="14" t="n"/>
      <c r="F607" s="14" t="n"/>
      <c r="G607" s="12" t="n"/>
      <c r="H607" s="15" t="n"/>
      <c r="I607" s="15" t="n"/>
    </row>
    <row r="608">
      <c r="A608" s="17" t="n"/>
      <c r="B608" s="17" t="n"/>
      <c r="C608" s="17" t="n"/>
      <c r="D608" s="19" t="n"/>
      <c r="E608" s="19" t="n"/>
      <c r="F608" s="19" t="n"/>
      <c r="G608" s="17" t="n"/>
      <c r="H608" s="20" t="n"/>
      <c r="I608" s="20" t="n"/>
    </row>
    <row r="609">
      <c r="A609" s="12" t="n"/>
      <c r="B609" s="12" t="n"/>
      <c r="C609" s="12" t="n"/>
      <c r="D609" s="14" t="n"/>
      <c r="E609" s="14" t="n"/>
      <c r="F609" s="14" t="n"/>
      <c r="G609" s="12" t="n"/>
      <c r="H609" s="15" t="n"/>
      <c r="I609" s="15" t="n"/>
    </row>
    <row r="610">
      <c r="A610" s="17" t="n"/>
      <c r="B610" s="17" t="n"/>
      <c r="C610" s="17" t="n"/>
      <c r="D610" s="19" t="n"/>
      <c r="E610" s="19" t="n"/>
      <c r="F610" s="19" t="n"/>
      <c r="G610" s="17" t="n"/>
      <c r="H610" s="20" t="n"/>
      <c r="I610" s="20" t="n"/>
    </row>
    <row r="611">
      <c r="A611" s="12" t="n"/>
      <c r="B611" s="12" t="n"/>
      <c r="C611" s="12" t="n"/>
      <c r="D611" s="14" t="n"/>
      <c r="E611" s="14" t="n"/>
      <c r="F611" s="14" t="n"/>
      <c r="G611" s="12" t="n"/>
      <c r="H611" s="15" t="n"/>
      <c r="I611" s="15" t="n"/>
    </row>
    <row r="612">
      <c r="A612" s="17" t="n"/>
      <c r="B612" s="17" t="n"/>
      <c r="C612" s="17" t="n"/>
      <c r="D612" s="19" t="n"/>
      <c r="E612" s="19" t="n"/>
      <c r="F612" s="19" t="n"/>
      <c r="G612" s="17" t="n"/>
      <c r="H612" s="20" t="n"/>
      <c r="I612" s="20" t="n"/>
    </row>
    <row r="613">
      <c r="A613" s="12" t="n"/>
      <c r="B613" s="12" t="n"/>
      <c r="C613" s="12" t="n"/>
      <c r="D613" s="14" t="n"/>
      <c r="E613" s="14" t="n"/>
      <c r="F613" s="14" t="n"/>
      <c r="G613" s="12" t="n"/>
      <c r="H613" s="15" t="n"/>
      <c r="I613" s="15" t="n"/>
    </row>
    <row r="614">
      <c r="A614" s="17" t="n"/>
      <c r="B614" s="17" t="n"/>
      <c r="C614" s="17" t="n"/>
      <c r="D614" s="19" t="n"/>
      <c r="E614" s="19" t="n"/>
      <c r="F614" s="19" t="n"/>
      <c r="G614" s="17" t="n"/>
      <c r="H614" s="20" t="n"/>
      <c r="I614" s="20" t="n"/>
    </row>
    <row r="615">
      <c r="A615" s="12" t="n"/>
      <c r="B615" s="12" t="n"/>
      <c r="C615" s="12" t="n"/>
      <c r="D615" s="14" t="n"/>
      <c r="E615" s="14" t="n"/>
      <c r="F615" s="14" t="n"/>
      <c r="G615" s="12" t="n"/>
      <c r="H615" s="15" t="n"/>
      <c r="I615" s="15" t="n"/>
    </row>
    <row r="616">
      <c r="A616" s="17" t="n"/>
      <c r="B616" s="17" t="n"/>
      <c r="C616" s="17" t="n"/>
      <c r="D616" s="19" t="n"/>
      <c r="E616" s="19" t="n"/>
      <c r="F616" s="19" t="n"/>
      <c r="G616" s="17" t="n"/>
      <c r="H616" s="20" t="n"/>
      <c r="I616" s="20" t="n"/>
    </row>
    <row r="617">
      <c r="A617" s="12" t="n"/>
      <c r="B617" s="12" t="n"/>
      <c r="C617" s="12" t="n"/>
      <c r="D617" s="14" t="n"/>
      <c r="E617" s="14" t="n"/>
      <c r="F617" s="14" t="n"/>
      <c r="G617" s="12" t="n"/>
      <c r="H617" s="15" t="n"/>
      <c r="I617" s="15" t="n"/>
    </row>
    <row r="618">
      <c r="A618" s="17" t="n"/>
      <c r="B618" s="17" t="n"/>
      <c r="C618" s="17" t="n"/>
      <c r="D618" s="19" t="n"/>
      <c r="E618" s="19" t="n"/>
      <c r="F618" s="19" t="n"/>
      <c r="G618" s="17" t="n"/>
      <c r="H618" s="20" t="n"/>
      <c r="I618" s="20" t="n"/>
    </row>
    <row r="619">
      <c r="A619" s="12" t="n"/>
      <c r="B619" s="12" t="n"/>
      <c r="C619" s="12" t="n"/>
      <c r="D619" s="14" t="n"/>
      <c r="E619" s="14" t="n"/>
      <c r="F619" s="14" t="n"/>
      <c r="G619" s="12" t="n"/>
      <c r="H619" s="15" t="n"/>
      <c r="I619" s="15" t="n"/>
    </row>
    <row r="620">
      <c r="A620" s="17" t="n"/>
      <c r="B620" s="17" t="n"/>
      <c r="C620" s="17" t="n"/>
      <c r="D620" s="19" t="n"/>
      <c r="E620" s="19" t="n"/>
      <c r="F620" s="19" t="n"/>
      <c r="G620" s="17" t="n"/>
      <c r="H620" s="20" t="n"/>
      <c r="I620" s="20" t="n"/>
    </row>
    <row r="621">
      <c r="A621" s="12" t="n"/>
      <c r="B621" s="12" t="n"/>
      <c r="C621" s="12" t="n"/>
      <c r="D621" s="14" t="n"/>
      <c r="E621" s="14" t="n"/>
      <c r="F621" s="14" t="n"/>
      <c r="G621" s="12" t="n"/>
      <c r="H621" s="15" t="n"/>
      <c r="I621" s="15" t="n"/>
    </row>
    <row r="622">
      <c r="A622" s="17" t="n"/>
      <c r="B622" s="17" t="n"/>
      <c r="C622" s="17" t="n"/>
      <c r="D622" s="19" t="n"/>
      <c r="E622" s="19" t="n"/>
      <c r="F622" s="19" t="n"/>
      <c r="G622" s="17" t="n"/>
      <c r="H622" s="20" t="n"/>
      <c r="I622" s="20" t="n"/>
    </row>
    <row r="623">
      <c r="A623" s="12" t="n"/>
      <c r="B623" s="12" t="n"/>
      <c r="C623" s="12" t="n"/>
      <c r="D623" s="14" t="n"/>
      <c r="E623" s="14" t="n"/>
      <c r="F623" s="14" t="n"/>
      <c r="G623" s="12" t="n"/>
      <c r="H623" s="15" t="n"/>
      <c r="I623" s="15" t="n"/>
    </row>
    <row r="624">
      <c r="A624" s="17" t="n"/>
      <c r="B624" s="17" t="n"/>
      <c r="C624" s="17" t="n"/>
      <c r="D624" s="19" t="n"/>
      <c r="E624" s="19" t="n"/>
      <c r="F624" s="19" t="n"/>
      <c r="G624" s="17" t="n"/>
      <c r="H624" s="20" t="n"/>
      <c r="I624" s="20" t="n"/>
    </row>
    <row r="625">
      <c r="A625" s="12" t="n"/>
      <c r="B625" s="12" t="n"/>
      <c r="C625" s="12" t="n"/>
      <c r="D625" s="14" t="n"/>
      <c r="E625" s="14" t="n"/>
      <c r="F625" s="14" t="n"/>
      <c r="G625" s="12" t="n"/>
      <c r="H625" s="15" t="n"/>
      <c r="I625" s="15" t="n"/>
    </row>
    <row r="626">
      <c r="A626" s="17" t="n"/>
      <c r="B626" s="17" t="n"/>
      <c r="C626" s="17" t="n"/>
      <c r="D626" s="19" t="n"/>
      <c r="E626" s="19" t="n"/>
      <c r="F626" s="19" t="n"/>
      <c r="G626" s="17" t="n"/>
      <c r="H626" s="20" t="n"/>
      <c r="I626" s="20" t="n"/>
    </row>
    <row r="627">
      <c r="A627" s="12" t="n"/>
      <c r="B627" s="12" t="n"/>
      <c r="C627" s="12" t="n"/>
      <c r="D627" s="14" t="n"/>
      <c r="E627" s="14" t="n"/>
      <c r="F627" s="14" t="n"/>
      <c r="G627" s="12" t="n"/>
      <c r="H627" s="15" t="n"/>
      <c r="I627" s="15" t="n"/>
    </row>
    <row r="628">
      <c r="A628" s="17" t="n"/>
      <c r="B628" s="17" t="n"/>
      <c r="C628" s="17" t="n"/>
      <c r="D628" s="19" t="n"/>
      <c r="E628" s="19" t="n"/>
      <c r="F628" s="19" t="n"/>
      <c r="G628" s="17" t="n"/>
      <c r="H628" s="20" t="n"/>
      <c r="I628" s="20" t="n"/>
    </row>
    <row r="629">
      <c r="A629" s="12" t="n"/>
      <c r="B629" s="12" t="n"/>
      <c r="C629" s="12" t="n"/>
      <c r="D629" s="14" t="n"/>
      <c r="E629" s="14" t="n"/>
      <c r="F629" s="14" t="n"/>
      <c r="G629" s="12" t="n"/>
      <c r="H629" s="15" t="n"/>
      <c r="I629" s="15" t="n"/>
    </row>
    <row r="630">
      <c r="A630" s="17" t="n"/>
      <c r="B630" s="17" t="n"/>
      <c r="C630" s="17" t="n"/>
      <c r="D630" s="19" t="n"/>
      <c r="E630" s="19" t="n"/>
      <c r="F630" s="19" t="n"/>
      <c r="G630" s="17" t="n"/>
      <c r="H630" s="20" t="n"/>
      <c r="I630" s="20" t="n"/>
    </row>
    <row r="631">
      <c r="A631" s="12" t="n"/>
      <c r="B631" s="12" t="n"/>
      <c r="C631" s="12" t="n"/>
      <c r="D631" s="14" t="n"/>
      <c r="E631" s="14" t="n"/>
      <c r="F631" s="14" t="n"/>
      <c r="G631" s="12" t="n"/>
      <c r="H631" s="15" t="n"/>
      <c r="I631" s="15" t="n"/>
    </row>
    <row r="632">
      <c r="A632" s="17" t="n"/>
      <c r="B632" s="17" t="n"/>
      <c r="C632" s="17" t="n"/>
      <c r="D632" s="19" t="n"/>
      <c r="E632" s="19" t="n"/>
      <c r="F632" s="19" t="n"/>
      <c r="G632" s="17" t="n"/>
      <c r="H632" s="20" t="n"/>
      <c r="I632" s="20" t="n"/>
    </row>
    <row r="633">
      <c r="A633" s="12" t="n"/>
      <c r="B633" s="12" t="n"/>
      <c r="C633" s="12" t="n"/>
      <c r="D633" s="14" t="n"/>
      <c r="E633" s="14" t="n"/>
      <c r="F633" s="14" t="n"/>
      <c r="G633" s="12" t="n"/>
      <c r="H633" s="15" t="n"/>
      <c r="I633" s="15" t="n"/>
    </row>
    <row r="634">
      <c r="A634" s="17" t="n"/>
      <c r="B634" s="17" t="n"/>
      <c r="C634" s="17" t="n"/>
      <c r="D634" s="19" t="n"/>
      <c r="E634" s="19" t="n"/>
      <c r="F634" s="19" t="n"/>
      <c r="G634" s="17" t="n"/>
      <c r="H634" s="20" t="n"/>
      <c r="I634" s="20" t="n"/>
    </row>
    <row r="635">
      <c r="A635" s="12" t="n"/>
      <c r="B635" s="12" t="n"/>
      <c r="C635" s="12" t="n"/>
      <c r="D635" s="14" t="n"/>
      <c r="E635" s="14" t="n"/>
      <c r="F635" s="14" t="n"/>
      <c r="G635" s="12" t="n"/>
      <c r="H635" s="15" t="n"/>
      <c r="I635" s="15" t="n"/>
    </row>
    <row r="636">
      <c r="A636" s="17" t="n"/>
      <c r="B636" s="17" t="n"/>
      <c r="C636" s="17" t="n"/>
      <c r="D636" s="19" t="n"/>
      <c r="E636" s="19" t="n"/>
      <c r="F636" s="19" t="n"/>
      <c r="G636" s="17" t="n"/>
      <c r="H636" s="20" t="n"/>
      <c r="I636" s="20" t="n"/>
    </row>
    <row r="637">
      <c r="A637" s="12" t="n"/>
      <c r="B637" s="12" t="n"/>
      <c r="C637" s="12" t="n"/>
      <c r="D637" s="14" t="n"/>
      <c r="E637" s="14" t="n"/>
      <c r="F637" s="14" t="n"/>
      <c r="G637" s="12" t="n"/>
      <c r="H637" s="15" t="n"/>
      <c r="I637" s="15" t="n"/>
    </row>
    <row r="638">
      <c r="A638" s="17" t="n"/>
      <c r="B638" s="17" t="n"/>
      <c r="C638" s="17" t="n"/>
      <c r="D638" s="19" t="n"/>
      <c r="E638" s="19" t="n"/>
      <c r="F638" s="19" t="n"/>
      <c r="G638" s="17" t="n"/>
      <c r="H638" s="20" t="n"/>
      <c r="I638" s="20" t="n"/>
    </row>
    <row r="639">
      <c r="A639" s="12" t="n"/>
      <c r="B639" s="12" t="n"/>
      <c r="C639" s="12" t="n"/>
      <c r="D639" s="14" t="n"/>
      <c r="E639" s="14" t="n"/>
      <c r="F639" s="14" t="n"/>
      <c r="G639" s="12" t="n"/>
      <c r="H639" s="15" t="n"/>
      <c r="I639" s="15" t="n"/>
    </row>
    <row r="640">
      <c r="A640" s="17" t="n"/>
      <c r="B640" s="17" t="n"/>
      <c r="C640" s="17" t="n"/>
      <c r="D640" s="19" t="n"/>
      <c r="E640" s="19" t="n"/>
      <c r="F640" s="19" t="n"/>
      <c r="G640" s="17" t="n"/>
      <c r="H640" s="20" t="n"/>
      <c r="I640" s="20" t="n"/>
    </row>
    <row r="641">
      <c r="A641" s="12" t="n"/>
      <c r="B641" s="12" t="n"/>
      <c r="C641" s="12" t="n"/>
      <c r="D641" s="14" t="n"/>
      <c r="E641" s="14" t="n"/>
      <c r="F641" s="14" t="n"/>
      <c r="G641" s="12" t="n"/>
      <c r="H641" s="15" t="n"/>
      <c r="I641" s="15" t="n"/>
    </row>
    <row r="642">
      <c r="A642" s="17" t="n"/>
      <c r="B642" s="17" t="n"/>
      <c r="C642" s="17" t="n"/>
      <c r="D642" s="19" t="n"/>
      <c r="E642" s="19" t="n"/>
      <c r="F642" s="19" t="n"/>
      <c r="G642" s="17" t="n"/>
      <c r="H642" s="20" t="n"/>
      <c r="I642" s="20" t="n"/>
    </row>
    <row r="643">
      <c r="A643" s="12" t="n"/>
      <c r="B643" s="12" t="n"/>
      <c r="C643" s="12" t="n"/>
      <c r="D643" s="14" t="n"/>
      <c r="E643" s="14" t="n"/>
      <c r="F643" s="14" t="n"/>
      <c r="G643" s="12" t="n"/>
      <c r="H643" s="15" t="n"/>
      <c r="I643" s="15" t="n"/>
    </row>
    <row r="644">
      <c r="A644" s="17" t="n"/>
      <c r="B644" s="17" t="n"/>
      <c r="C644" s="17" t="n"/>
      <c r="D644" s="19" t="n"/>
      <c r="E644" s="19" t="n"/>
      <c r="F644" s="19" t="n"/>
      <c r="G644" s="17" t="n"/>
      <c r="H644" s="20" t="n"/>
      <c r="I644" s="20" t="n"/>
    </row>
    <row r="645">
      <c r="A645" s="12" t="n"/>
      <c r="B645" s="12" t="n"/>
      <c r="C645" s="12" t="n"/>
      <c r="D645" s="14" t="n"/>
      <c r="E645" s="14" t="n"/>
      <c r="F645" s="14" t="n"/>
      <c r="G645" s="12" t="n"/>
      <c r="H645" s="15" t="n"/>
      <c r="I645" s="15" t="n"/>
    </row>
    <row r="646">
      <c r="A646" s="17" t="n"/>
      <c r="B646" s="17" t="n"/>
      <c r="C646" s="17" t="n"/>
      <c r="D646" s="19" t="n"/>
      <c r="E646" s="19" t="n"/>
      <c r="F646" s="19" t="n"/>
      <c r="G646" s="17" t="n"/>
      <c r="H646" s="20" t="n"/>
      <c r="I646" s="20" t="n"/>
    </row>
    <row r="647">
      <c r="A647" s="12" t="n"/>
      <c r="B647" s="12" t="n"/>
      <c r="C647" s="12" t="n"/>
      <c r="D647" s="14" t="n"/>
      <c r="E647" s="14" t="n"/>
      <c r="F647" s="14" t="n"/>
      <c r="G647" s="12" t="n"/>
      <c r="H647" s="15" t="n"/>
      <c r="I647" s="15" t="n"/>
    </row>
    <row r="648">
      <c r="A648" s="17" t="n"/>
      <c r="B648" s="17" t="n"/>
      <c r="C648" s="17" t="n"/>
      <c r="D648" s="19" t="n"/>
      <c r="E648" s="19" t="n"/>
      <c r="F648" s="19" t="n"/>
      <c r="G648" s="17" t="n"/>
      <c r="H648" s="20" t="n"/>
      <c r="I648" s="20" t="n"/>
    </row>
    <row r="649">
      <c r="A649" s="12" t="n"/>
      <c r="B649" s="12" t="n"/>
      <c r="C649" s="12" t="n"/>
      <c r="D649" s="14" t="n"/>
      <c r="E649" s="14" t="n"/>
      <c r="F649" s="14" t="n"/>
      <c r="G649" s="12" t="n"/>
      <c r="H649" s="15" t="n"/>
      <c r="I649" s="15" t="n"/>
    </row>
    <row r="650">
      <c r="A650" s="17" t="n"/>
      <c r="B650" s="17" t="n"/>
      <c r="C650" s="17" t="n"/>
      <c r="D650" s="19" t="n"/>
      <c r="E650" s="19" t="n"/>
      <c r="F650" s="19" t="n"/>
      <c r="G650" s="17" t="n"/>
      <c r="H650" s="20" t="n"/>
      <c r="I650" s="20" t="n"/>
    </row>
    <row r="651">
      <c r="A651" s="12" t="n"/>
      <c r="B651" s="12" t="n"/>
      <c r="C651" s="12" t="n"/>
      <c r="D651" s="14" t="n"/>
      <c r="E651" s="14" t="n"/>
      <c r="F651" s="14" t="n"/>
      <c r="G651" s="12" t="n"/>
      <c r="H651" s="15" t="n"/>
      <c r="I651" s="15" t="n"/>
    </row>
    <row r="652">
      <c r="A652" s="17" t="n"/>
      <c r="B652" s="17" t="n"/>
      <c r="C652" s="17" t="n"/>
      <c r="D652" s="19" t="n"/>
      <c r="E652" s="19" t="n"/>
      <c r="F652" s="19" t="n"/>
      <c r="G652" s="17" t="n"/>
      <c r="H652" s="20" t="n"/>
      <c r="I652" s="20" t="n"/>
    </row>
    <row r="653">
      <c r="A653" s="12" t="n"/>
      <c r="B653" s="12" t="n"/>
      <c r="C653" s="12" t="n"/>
      <c r="D653" s="14" t="n"/>
      <c r="E653" s="14" t="n"/>
      <c r="F653" s="14" t="n"/>
      <c r="G653" s="12" t="n"/>
      <c r="H653" s="15" t="n"/>
      <c r="I653" s="15" t="n"/>
    </row>
    <row r="654">
      <c r="A654" s="17" t="n"/>
      <c r="B654" s="17" t="n"/>
      <c r="C654" s="17" t="n"/>
      <c r="D654" s="19" t="n"/>
      <c r="E654" s="19" t="n"/>
      <c r="F654" s="19" t="n"/>
      <c r="G654" s="17" t="n"/>
      <c r="H654" s="20" t="n"/>
      <c r="I654" s="20" t="n"/>
    </row>
    <row r="655">
      <c r="A655" s="12" t="n"/>
      <c r="B655" s="12" t="n"/>
      <c r="C655" s="12" t="n"/>
      <c r="D655" s="14" t="n"/>
      <c r="E655" s="14" t="n"/>
      <c r="F655" s="14" t="n"/>
      <c r="G655" s="12" t="n"/>
      <c r="H655" s="15" t="n"/>
      <c r="I655" s="15" t="n"/>
    </row>
    <row r="656">
      <c r="A656" s="17" t="n"/>
      <c r="B656" s="17" t="n"/>
      <c r="C656" s="17" t="n"/>
      <c r="D656" s="19" t="n"/>
      <c r="E656" s="19" t="n"/>
      <c r="F656" s="19" t="n"/>
      <c r="G656" s="17" t="n"/>
      <c r="H656" s="20" t="n"/>
      <c r="I656" s="20" t="n"/>
    </row>
    <row r="657">
      <c r="A657" s="12" t="n"/>
      <c r="B657" s="12" t="n"/>
      <c r="C657" s="12" t="n"/>
      <c r="D657" s="14" t="n"/>
      <c r="E657" s="14" t="n"/>
      <c r="F657" s="14" t="n"/>
      <c r="G657" s="12" t="n"/>
      <c r="H657" s="15" t="n"/>
      <c r="I657" s="15" t="n"/>
    </row>
    <row r="658">
      <c r="A658" s="17" t="n"/>
      <c r="B658" s="17" t="n"/>
      <c r="C658" s="17" t="n"/>
      <c r="D658" s="19" t="n"/>
      <c r="E658" s="19" t="n"/>
      <c r="F658" s="19" t="n"/>
      <c r="G658" s="17" t="n"/>
      <c r="H658" s="20" t="n"/>
      <c r="I658" s="20" t="n"/>
    </row>
    <row r="659">
      <c r="A659" s="12" t="n"/>
      <c r="B659" s="12" t="n"/>
      <c r="C659" s="12" t="n"/>
      <c r="D659" s="14" t="n"/>
      <c r="E659" s="14" t="n"/>
      <c r="F659" s="14" t="n"/>
      <c r="G659" s="12" t="n"/>
      <c r="H659" s="15" t="n"/>
      <c r="I659" s="15" t="n"/>
    </row>
    <row r="660">
      <c r="A660" s="17" t="n"/>
      <c r="B660" s="17" t="n"/>
      <c r="C660" s="17" t="n"/>
      <c r="D660" s="19" t="n"/>
      <c r="E660" s="19" t="n"/>
      <c r="F660" s="19" t="n"/>
      <c r="G660" s="17" t="n"/>
      <c r="H660" s="20" t="n"/>
      <c r="I660" s="20" t="n"/>
    </row>
    <row r="661">
      <c r="A661" s="12" t="n"/>
      <c r="B661" s="12" t="n"/>
      <c r="C661" s="12" t="n"/>
      <c r="D661" s="14" t="n"/>
      <c r="E661" s="14" t="n"/>
      <c r="F661" s="14" t="n"/>
      <c r="G661" s="12" t="n"/>
      <c r="H661" s="15" t="n"/>
      <c r="I661" s="15" t="n"/>
    </row>
    <row r="662">
      <c r="A662" s="17" t="n"/>
      <c r="B662" s="17" t="n"/>
      <c r="C662" s="17" t="n"/>
      <c r="D662" s="19" t="n"/>
      <c r="E662" s="19" t="n"/>
      <c r="F662" s="19" t="n"/>
      <c r="G662" s="17" t="n"/>
      <c r="H662" s="20" t="n"/>
      <c r="I662" s="20" t="n"/>
    </row>
    <row r="663">
      <c r="A663" s="12" t="n"/>
      <c r="B663" s="12" t="n"/>
      <c r="C663" s="12" t="n"/>
      <c r="D663" s="14" t="n"/>
      <c r="E663" s="14" t="n"/>
      <c r="F663" s="14" t="n"/>
      <c r="G663" s="12" t="n"/>
      <c r="H663" s="15" t="n"/>
      <c r="I663" s="15" t="n"/>
    </row>
    <row r="664">
      <c r="A664" s="17" t="n"/>
      <c r="B664" s="17" t="n"/>
      <c r="C664" s="17" t="n"/>
      <c r="D664" s="19" t="n"/>
      <c r="E664" s="19" t="n"/>
      <c r="F664" s="19" t="n"/>
      <c r="G664" s="17" t="n"/>
      <c r="H664" s="20" t="n"/>
      <c r="I664" s="20" t="n"/>
    </row>
    <row r="665">
      <c r="A665" s="12" t="n"/>
      <c r="B665" s="12" t="n"/>
      <c r="C665" s="12" t="n"/>
      <c r="D665" s="14" t="n"/>
      <c r="E665" s="14" t="n"/>
      <c r="F665" s="14" t="n"/>
      <c r="G665" s="12" t="n"/>
      <c r="H665" s="15" t="n"/>
      <c r="I665" s="15" t="n"/>
    </row>
    <row r="666">
      <c r="A666" s="17" t="n"/>
      <c r="B666" s="17" t="n"/>
      <c r="C666" s="17" t="n"/>
      <c r="D666" s="19" t="n"/>
      <c r="E666" s="19" t="n"/>
      <c r="F666" s="19" t="n"/>
      <c r="G666" s="17" t="n"/>
      <c r="H666" s="20" t="n"/>
      <c r="I666" s="20" t="n"/>
    </row>
    <row r="667">
      <c r="A667" s="12" t="n"/>
      <c r="B667" s="12" t="n"/>
      <c r="C667" s="12" t="n"/>
      <c r="D667" s="14" t="n"/>
      <c r="E667" s="14" t="n"/>
      <c r="F667" s="14" t="n"/>
      <c r="G667" s="12" t="n"/>
      <c r="H667" s="15" t="n"/>
      <c r="I667" s="15" t="n"/>
    </row>
    <row r="668">
      <c r="A668" s="17" t="n"/>
      <c r="B668" s="17" t="n"/>
      <c r="C668" s="17" t="n"/>
      <c r="D668" s="19" t="n"/>
      <c r="E668" s="19" t="n"/>
      <c r="F668" s="19" t="n"/>
      <c r="G668" s="17" t="n"/>
      <c r="H668" s="20" t="n"/>
      <c r="I668" s="20" t="n"/>
    </row>
    <row r="669">
      <c r="A669" s="12" t="n"/>
      <c r="B669" s="12" t="n"/>
      <c r="C669" s="12" t="n"/>
      <c r="D669" s="14" t="n"/>
      <c r="E669" s="14" t="n"/>
      <c r="F669" s="14" t="n"/>
      <c r="G669" s="12" t="n"/>
      <c r="H669" s="15" t="n"/>
      <c r="I669" s="15" t="n"/>
    </row>
    <row r="670">
      <c r="A670" s="17" t="n"/>
      <c r="B670" s="17" t="n"/>
      <c r="C670" s="17" t="n"/>
      <c r="D670" s="19" t="n"/>
      <c r="E670" s="19" t="n"/>
      <c r="F670" s="19" t="n"/>
      <c r="G670" s="17" t="n"/>
      <c r="H670" s="20" t="n"/>
      <c r="I670" s="20" t="n"/>
    </row>
    <row r="671">
      <c r="A671" s="12" t="n"/>
      <c r="B671" s="12" t="n"/>
      <c r="C671" s="12" t="n"/>
      <c r="D671" s="14" t="n"/>
      <c r="E671" s="14" t="n"/>
      <c r="F671" s="14" t="n"/>
      <c r="G671" s="12" t="n"/>
      <c r="H671" s="15" t="n"/>
      <c r="I671" s="15" t="n"/>
    </row>
    <row r="672">
      <c r="A672" s="17" t="n"/>
      <c r="B672" s="17" t="n"/>
      <c r="C672" s="17" t="n"/>
      <c r="D672" s="19" t="n"/>
      <c r="E672" s="19" t="n"/>
      <c r="F672" s="19" t="n"/>
      <c r="G672" s="17" t="n"/>
      <c r="H672" s="20" t="n"/>
      <c r="I672" s="20" t="n"/>
    </row>
    <row r="673">
      <c r="A673" s="12" t="n"/>
      <c r="B673" s="12" t="n"/>
      <c r="C673" s="12" t="n"/>
      <c r="D673" s="14" t="n"/>
      <c r="E673" s="14" t="n"/>
      <c r="F673" s="14" t="n"/>
      <c r="G673" s="12" t="n"/>
      <c r="H673" s="15" t="n"/>
      <c r="I673" s="15" t="n"/>
    </row>
    <row r="674">
      <c r="A674" s="17" t="n"/>
      <c r="B674" s="17" t="n"/>
      <c r="C674" s="17" t="n"/>
      <c r="D674" s="19" t="n"/>
      <c r="E674" s="19" t="n"/>
      <c r="F674" s="19" t="n"/>
      <c r="G674" s="17" t="n"/>
      <c r="H674" s="20" t="n"/>
      <c r="I674" s="20" t="n"/>
    </row>
    <row r="675">
      <c r="A675" s="12" t="n"/>
      <c r="B675" s="12" t="n"/>
      <c r="C675" s="12" t="n"/>
      <c r="D675" s="14" t="n"/>
      <c r="E675" s="14" t="n"/>
      <c r="F675" s="14" t="n"/>
      <c r="G675" s="12" t="n"/>
      <c r="H675" s="15" t="n"/>
      <c r="I675" s="15" t="n"/>
    </row>
    <row r="676">
      <c r="A676" s="17" t="n"/>
      <c r="B676" s="17" t="n"/>
      <c r="C676" s="17" t="n"/>
      <c r="D676" s="19" t="n"/>
      <c r="E676" s="19" t="n"/>
      <c r="F676" s="19" t="n"/>
      <c r="G676" s="17" t="n"/>
      <c r="H676" s="20" t="n"/>
      <c r="I676" s="20" t="n"/>
    </row>
    <row r="677">
      <c r="A677" s="12" t="n"/>
      <c r="B677" s="12" t="n"/>
      <c r="C677" s="12" t="n"/>
      <c r="D677" s="14" t="n"/>
      <c r="E677" s="14" t="n"/>
      <c r="F677" s="14" t="n"/>
      <c r="G677" s="12" t="n"/>
      <c r="H677" s="15" t="n"/>
      <c r="I677" s="15" t="n"/>
    </row>
    <row r="678">
      <c r="A678" s="17" t="n"/>
      <c r="B678" s="17" t="n"/>
      <c r="C678" s="17" t="n"/>
      <c r="D678" s="19" t="n"/>
      <c r="E678" s="19" t="n"/>
      <c r="F678" s="19" t="n"/>
      <c r="G678" s="17" t="n"/>
      <c r="H678" s="20" t="n"/>
      <c r="I678" s="20" t="n"/>
    </row>
    <row r="679">
      <c r="A679" s="12" t="n"/>
      <c r="B679" s="12" t="n"/>
      <c r="C679" s="12" t="n"/>
      <c r="D679" s="14" t="n"/>
      <c r="E679" s="14" t="n"/>
      <c r="F679" s="14" t="n"/>
      <c r="G679" s="12" t="n"/>
      <c r="H679" s="15" t="n"/>
      <c r="I679" s="15" t="n"/>
    </row>
    <row r="680">
      <c r="A680" s="17" t="n"/>
      <c r="B680" s="17" t="n"/>
      <c r="C680" s="17" t="n"/>
      <c r="D680" s="19" t="n"/>
      <c r="E680" s="19" t="n"/>
      <c r="F680" s="19" t="n"/>
      <c r="G680" s="17" t="n"/>
      <c r="H680" s="20" t="n"/>
      <c r="I680" s="20" t="n"/>
    </row>
    <row r="681">
      <c r="A681" s="12" t="n"/>
      <c r="B681" s="12" t="n"/>
      <c r="C681" s="12" t="n"/>
      <c r="D681" s="14" t="n"/>
      <c r="E681" s="14" t="n"/>
      <c r="F681" s="14" t="n"/>
      <c r="G681" s="12" t="n"/>
      <c r="H681" s="15" t="n"/>
      <c r="I681" s="15" t="n"/>
    </row>
    <row r="682">
      <c r="A682" s="17" t="n"/>
      <c r="B682" s="17" t="n"/>
      <c r="C682" s="17" t="n"/>
      <c r="D682" s="19" t="n"/>
      <c r="E682" s="19" t="n"/>
      <c r="F682" s="19" t="n"/>
      <c r="G682" s="17" t="n"/>
      <c r="H682" s="20" t="n"/>
      <c r="I682" s="20" t="n"/>
    </row>
    <row r="683">
      <c r="A683" s="12" t="n"/>
      <c r="B683" s="12" t="n"/>
      <c r="C683" s="12" t="n"/>
      <c r="D683" s="14" t="n"/>
      <c r="E683" s="14" t="n"/>
      <c r="F683" s="14" t="n"/>
      <c r="G683" s="12" t="n"/>
      <c r="H683" s="15" t="n"/>
      <c r="I683" s="15" t="n"/>
    </row>
    <row r="684">
      <c r="A684" s="17" t="n"/>
      <c r="B684" s="17" t="n"/>
      <c r="C684" s="17" t="n"/>
      <c r="D684" s="19" t="n"/>
      <c r="E684" s="19" t="n"/>
      <c r="F684" s="19" t="n"/>
      <c r="G684" s="17" t="n"/>
      <c r="H684" s="20" t="n"/>
      <c r="I684" s="20" t="n"/>
    </row>
    <row r="685">
      <c r="A685" s="12" t="n"/>
      <c r="B685" s="12" t="n"/>
      <c r="C685" s="12" t="n"/>
      <c r="D685" s="14" t="n"/>
      <c r="E685" s="14" t="n"/>
      <c r="F685" s="14" t="n"/>
      <c r="G685" s="12" t="n"/>
      <c r="H685" s="15" t="n"/>
      <c r="I685" s="15" t="n"/>
    </row>
    <row r="686">
      <c r="A686" s="17" t="n"/>
      <c r="B686" s="17" t="n"/>
      <c r="C686" s="17" t="n"/>
      <c r="D686" s="19" t="n"/>
      <c r="E686" s="19" t="n"/>
      <c r="F686" s="19" t="n"/>
      <c r="G686" s="17" t="n"/>
      <c r="H686" s="20" t="n"/>
      <c r="I686" s="20" t="n"/>
    </row>
    <row r="687">
      <c r="A687" s="12" t="n"/>
      <c r="B687" s="12" t="n"/>
      <c r="C687" s="12" t="n"/>
      <c r="D687" s="14" t="n"/>
      <c r="E687" s="14" t="n"/>
      <c r="F687" s="14" t="n"/>
      <c r="G687" s="12" t="n"/>
      <c r="H687" s="15" t="n"/>
      <c r="I687" s="15" t="n"/>
    </row>
    <row r="688">
      <c r="A688" s="17" t="n"/>
      <c r="B688" s="17" t="n"/>
      <c r="C688" s="17" t="n"/>
      <c r="D688" s="19" t="n"/>
      <c r="E688" s="19" t="n"/>
      <c r="F688" s="19" t="n"/>
      <c r="G688" s="17" t="n"/>
      <c r="H688" s="20" t="n"/>
      <c r="I688" s="20" t="n"/>
    </row>
    <row r="689">
      <c r="A689" s="12" t="n"/>
      <c r="B689" s="12" t="n"/>
      <c r="C689" s="12" t="n"/>
      <c r="D689" s="14" t="n"/>
      <c r="E689" s="14" t="n"/>
      <c r="F689" s="14" t="n"/>
      <c r="G689" s="12" t="n"/>
      <c r="H689" s="15" t="n"/>
      <c r="I689" s="15" t="n"/>
    </row>
    <row r="690">
      <c r="A690" s="17" t="n"/>
      <c r="B690" s="17" t="n"/>
      <c r="C690" s="17" t="n"/>
      <c r="D690" s="19" t="n"/>
      <c r="E690" s="19" t="n"/>
      <c r="F690" s="19" t="n"/>
      <c r="G690" s="17" t="n"/>
      <c r="H690" s="20" t="n"/>
      <c r="I690" s="20" t="n"/>
    </row>
    <row r="691">
      <c r="A691" s="12" t="n"/>
      <c r="B691" s="12" t="n"/>
      <c r="C691" s="12" t="n"/>
      <c r="D691" s="14" t="n"/>
      <c r="E691" s="14" t="n"/>
      <c r="F691" s="14" t="n"/>
      <c r="G691" s="12" t="n"/>
      <c r="H691" s="15" t="n"/>
      <c r="I691" s="15" t="n"/>
    </row>
    <row r="692">
      <c r="A692" s="17" t="n"/>
      <c r="B692" s="17" t="n"/>
      <c r="C692" s="17" t="n"/>
      <c r="D692" s="19" t="n"/>
      <c r="E692" s="19" t="n"/>
      <c r="F692" s="19" t="n"/>
      <c r="G692" s="17" t="n"/>
      <c r="H692" s="20" t="n"/>
      <c r="I692" s="20" t="n"/>
    </row>
    <row r="693">
      <c r="A693" s="12" t="n"/>
      <c r="B693" s="12" t="n"/>
      <c r="C693" s="12" t="n"/>
      <c r="D693" s="14" t="n"/>
      <c r="E693" s="14" t="n"/>
      <c r="F693" s="14" t="n"/>
      <c r="G693" s="12" t="n"/>
      <c r="H693" s="15" t="n"/>
      <c r="I693" s="15" t="n"/>
    </row>
    <row r="694">
      <c r="A694" s="17" t="n"/>
      <c r="B694" s="17" t="n"/>
      <c r="C694" s="17" t="n"/>
      <c r="D694" s="19" t="n"/>
      <c r="E694" s="19" t="n"/>
      <c r="F694" s="19" t="n"/>
      <c r="G694" s="17" t="n"/>
      <c r="H694" s="20" t="n"/>
      <c r="I694" s="20" t="n"/>
    </row>
    <row r="695">
      <c r="A695" s="12" t="n"/>
      <c r="B695" s="12" t="n"/>
      <c r="C695" s="12" t="n"/>
      <c r="D695" s="14" t="n"/>
      <c r="E695" s="14" t="n"/>
      <c r="F695" s="14" t="n"/>
      <c r="G695" s="12" t="n"/>
      <c r="H695" s="15" t="n"/>
      <c r="I695" s="15" t="n"/>
    </row>
    <row r="696">
      <c r="A696" s="17" t="n"/>
      <c r="B696" s="17" t="n"/>
      <c r="C696" s="17" t="n"/>
      <c r="D696" s="19" t="n"/>
      <c r="E696" s="19" t="n"/>
      <c r="F696" s="19" t="n"/>
      <c r="G696" s="17" t="n"/>
      <c r="H696" s="20" t="n"/>
      <c r="I696" s="20" t="n"/>
    </row>
    <row r="697">
      <c r="A697" s="12" t="n"/>
      <c r="B697" s="12" t="n"/>
      <c r="C697" s="12" t="n"/>
      <c r="D697" s="14" t="n"/>
      <c r="E697" s="14" t="n"/>
      <c r="F697" s="14" t="n"/>
      <c r="G697" s="12" t="n"/>
      <c r="H697" s="15" t="n"/>
      <c r="I697" s="15" t="n"/>
    </row>
    <row r="698">
      <c r="A698" s="17" t="n"/>
      <c r="B698" s="17" t="n"/>
      <c r="C698" s="17" t="n"/>
      <c r="D698" s="19" t="n"/>
      <c r="E698" s="19" t="n"/>
      <c r="F698" s="19" t="n"/>
      <c r="G698" s="17" t="n"/>
      <c r="H698" s="20" t="n"/>
      <c r="I698" s="20" t="n"/>
    </row>
    <row r="699">
      <c r="A699" s="12" t="n"/>
      <c r="B699" s="12" t="n"/>
      <c r="C699" s="12" t="n"/>
      <c r="D699" s="14" t="n"/>
      <c r="E699" s="14" t="n"/>
      <c r="F699" s="14" t="n"/>
      <c r="G699" s="12" t="n"/>
      <c r="H699" s="15" t="n"/>
      <c r="I699" s="15" t="n"/>
    </row>
    <row r="700">
      <c r="A700" s="17" t="n"/>
      <c r="B700" s="17" t="n"/>
      <c r="C700" s="17" t="n"/>
      <c r="D700" s="19" t="n"/>
      <c r="E700" s="19" t="n"/>
      <c r="F700" s="19" t="n"/>
      <c r="G700" s="17" t="n"/>
      <c r="H700" s="20" t="n"/>
      <c r="I700" s="20" t="n"/>
    </row>
    <row r="701">
      <c r="A701" s="12" t="n"/>
      <c r="B701" s="12" t="n"/>
      <c r="C701" s="12" t="n"/>
      <c r="D701" s="14" t="n"/>
      <c r="E701" s="14" t="n"/>
      <c r="F701" s="14" t="n"/>
      <c r="G701" s="12" t="n"/>
      <c r="H701" s="15" t="n"/>
      <c r="I701" s="15" t="n"/>
    </row>
    <row r="702">
      <c r="A702" s="17" t="n"/>
      <c r="B702" s="17" t="n"/>
      <c r="C702" s="17" t="n"/>
      <c r="D702" s="19" t="n"/>
      <c r="E702" s="19" t="n"/>
      <c r="F702" s="19" t="n"/>
      <c r="G702" s="17" t="n"/>
      <c r="H702" s="20" t="n"/>
      <c r="I702" s="20" t="n"/>
    </row>
    <row r="703">
      <c r="A703" s="12" t="n"/>
      <c r="B703" s="12" t="n"/>
      <c r="C703" s="12" t="n"/>
      <c r="D703" s="14" t="n"/>
      <c r="E703" s="14" t="n"/>
      <c r="F703" s="14" t="n"/>
      <c r="G703" s="12" t="n"/>
      <c r="H703" s="15" t="n"/>
      <c r="I703" s="15" t="n"/>
    </row>
    <row r="704">
      <c r="A704" s="17" t="n"/>
      <c r="B704" s="17" t="n"/>
      <c r="C704" s="17" t="n"/>
      <c r="D704" s="19" t="n"/>
      <c r="E704" s="19" t="n"/>
      <c r="F704" s="19" t="n"/>
      <c r="G704" s="17" t="n"/>
      <c r="H704" s="20" t="n"/>
      <c r="I704" s="20" t="n"/>
    </row>
    <row r="705">
      <c r="A705" s="12" t="n"/>
      <c r="B705" s="12" t="n"/>
      <c r="C705" s="12" t="n"/>
      <c r="D705" s="14" t="n"/>
      <c r="E705" s="14" t="n"/>
      <c r="F705" s="14" t="n"/>
      <c r="G705" s="12" t="n"/>
      <c r="H705" s="15" t="n"/>
      <c r="I705" s="15" t="n"/>
    </row>
    <row r="706">
      <c r="A706" s="17" t="n"/>
      <c r="B706" s="17" t="n"/>
      <c r="C706" s="17" t="n"/>
      <c r="D706" s="19" t="n"/>
      <c r="E706" s="19" t="n"/>
      <c r="F706" s="19" t="n"/>
      <c r="G706" s="17" t="n"/>
      <c r="H706" s="20" t="n"/>
      <c r="I706" s="20" t="n"/>
    </row>
    <row r="707">
      <c r="A707" s="12" t="n"/>
      <c r="B707" s="12" t="n"/>
      <c r="C707" s="12" t="n"/>
      <c r="D707" s="14" t="n"/>
      <c r="E707" s="14" t="n"/>
      <c r="F707" s="14" t="n"/>
      <c r="G707" s="12" t="n"/>
      <c r="H707" s="15" t="n"/>
      <c r="I707" s="15" t="n"/>
    </row>
    <row r="708">
      <c r="A708" s="17" t="n"/>
      <c r="B708" s="17" t="n"/>
      <c r="C708" s="17" t="n"/>
      <c r="D708" s="19" t="n"/>
      <c r="E708" s="19" t="n"/>
      <c r="F708" s="19" t="n"/>
      <c r="G708" s="17" t="n"/>
      <c r="H708" s="20" t="n"/>
      <c r="I708" s="20" t="n"/>
    </row>
    <row r="709">
      <c r="A709" s="12" t="n"/>
      <c r="B709" s="12" t="n"/>
      <c r="C709" s="12" t="n"/>
      <c r="D709" s="14" t="n"/>
      <c r="E709" s="14" t="n"/>
      <c r="F709" s="14" t="n"/>
      <c r="G709" s="12" t="n"/>
      <c r="H709" s="15" t="n"/>
      <c r="I709" s="15" t="n"/>
    </row>
    <row r="710">
      <c r="A710" s="17" t="n"/>
      <c r="B710" s="17" t="n"/>
      <c r="C710" s="17" t="n"/>
      <c r="D710" s="19" t="n"/>
      <c r="E710" s="19" t="n"/>
      <c r="F710" s="19" t="n"/>
      <c r="G710" s="17" t="n"/>
      <c r="H710" s="20" t="n"/>
      <c r="I710" s="20" t="n"/>
    </row>
    <row r="711">
      <c r="A711" s="12" t="n"/>
      <c r="B711" s="12" t="n"/>
      <c r="C711" s="12" t="n"/>
      <c r="D711" s="14" t="n"/>
      <c r="E711" s="14" t="n"/>
      <c r="F711" s="14" t="n"/>
      <c r="G711" s="12" t="n"/>
      <c r="H711" s="15" t="n"/>
      <c r="I711" s="15" t="n"/>
    </row>
    <row r="712">
      <c r="A712" s="17" t="n"/>
      <c r="B712" s="17" t="n"/>
      <c r="C712" s="17" t="n"/>
      <c r="D712" s="19" t="n"/>
      <c r="E712" s="19" t="n"/>
      <c r="F712" s="19" t="n"/>
      <c r="G712" s="17" t="n"/>
      <c r="H712" s="20" t="n"/>
      <c r="I712" s="20" t="n"/>
    </row>
    <row r="713">
      <c r="A713" s="12" t="n"/>
      <c r="B713" s="12" t="n"/>
      <c r="C713" s="12" t="n"/>
      <c r="D713" s="14" t="n"/>
      <c r="E713" s="14" t="n"/>
      <c r="F713" s="14" t="n"/>
      <c r="G713" s="12" t="n"/>
      <c r="H713" s="15" t="n"/>
      <c r="I713" s="15" t="n"/>
    </row>
    <row r="714">
      <c r="A714" s="17" t="n"/>
      <c r="B714" s="17" t="n"/>
      <c r="C714" s="17" t="n"/>
      <c r="D714" s="19" t="n"/>
      <c r="E714" s="19" t="n"/>
      <c r="F714" s="19" t="n"/>
      <c r="G714" s="17" t="n"/>
      <c r="H714" s="20" t="n"/>
      <c r="I714" s="20" t="n"/>
    </row>
    <row r="715">
      <c r="A715" s="12" t="n"/>
      <c r="B715" s="12" t="n"/>
      <c r="C715" s="12" t="n"/>
      <c r="D715" s="14" t="n"/>
      <c r="E715" s="14" t="n"/>
      <c r="F715" s="14" t="n"/>
      <c r="G715" s="12" t="n"/>
      <c r="H715" s="15" t="n"/>
      <c r="I715" s="15" t="n"/>
    </row>
    <row r="716">
      <c r="A716" s="17" t="n"/>
      <c r="B716" s="17" t="n"/>
      <c r="C716" s="17" t="n"/>
      <c r="D716" s="19" t="n"/>
      <c r="E716" s="19" t="n"/>
      <c r="F716" s="19" t="n"/>
      <c r="G716" s="17" t="n"/>
      <c r="H716" s="20" t="n"/>
      <c r="I716" s="20" t="n"/>
    </row>
    <row r="717">
      <c r="A717" s="12" t="n"/>
      <c r="B717" s="12" t="n"/>
      <c r="C717" s="12" t="n"/>
      <c r="D717" s="14" t="n"/>
      <c r="E717" s="14" t="n"/>
      <c r="F717" s="14" t="n"/>
      <c r="G717" s="12" t="n"/>
      <c r="H717" s="15" t="n"/>
      <c r="I717" s="15" t="n"/>
    </row>
    <row r="718">
      <c r="A718" s="17" t="n"/>
      <c r="B718" s="17" t="n"/>
      <c r="C718" s="17" t="n"/>
      <c r="D718" s="19" t="n"/>
      <c r="E718" s="19" t="n"/>
      <c r="F718" s="19" t="n"/>
      <c r="G718" s="17" t="n"/>
      <c r="H718" s="20" t="n"/>
      <c r="I718" s="20" t="n"/>
    </row>
    <row r="719">
      <c r="A719" s="12" t="n"/>
      <c r="B719" s="12" t="n"/>
      <c r="C719" s="12" t="n"/>
      <c r="D719" s="14" t="n"/>
      <c r="E719" s="14" t="n"/>
      <c r="F719" s="14" t="n"/>
      <c r="G719" s="12" t="n"/>
      <c r="H719" s="15" t="n"/>
      <c r="I719" s="15" t="n"/>
    </row>
    <row r="720">
      <c r="A720" s="17" t="n"/>
      <c r="B720" s="17" t="n"/>
      <c r="C720" s="17" t="n"/>
      <c r="D720" s="19" t="n"/>
      <c r="E720" s="19" t="n"/>
      <c r="F720" s="19" t="n"/>
      <c r="G720" s="17" t="n"/>
      <c r="H720" s="20" t="n"/>
      <c r="I720" s="20" t="n"/>
    </row>
    <row r="721">
      <c r="A721" s="12" t="n"/>
      <c r="B721" s="12" t="n"/>
      <c r="C721" s="12" t="n"/>
      <c r="D721" s="14" t="n"/>
      <c r="E721" s="14" t="n"/>
      <c r="F721" s="14" t="n"/>
      <c r="G721" s="12" t="n"/>
      <c r="H721" s="15" t="n"/>
      <c r="I721" s="15" t="n"/>
    </row>
    <row r="722">
      <c r="A722" s="17" t="n"/>
      <c r="B722" s="17" t="n"/>
      <c r="C722" s="17" t="n"/>
      <c r="D722" s="19" t="n"/>
      <c r="E722" s="19" t="n"/>
      <c r="F722" s="19" t="n"/>
      <c r="G722" s="17" t="n"/>
      <c r="H722" s="20" t="n"/>
      <c r="I722" s="20" t="n"/>
    </row>
    <row r="723">
      <c r="A723" s="12" t="n"/>
      <c r="B723" s="12" t="n"/>
      <c r="C723" s="12" t="n"/>
      <c r="D723" s="14" t="n"/>
      <c r="E723" s="14" t="n"/>
      <c r="F723" s="14" t="n"/>
      <c r="G723" s="12" t="n"/>
      <c r="H723" s="15" t="n"/>
      <c r="I723" s="15" t="n"/>
    </row>
    <row r="724">
      <c r="A724" s="17" t="n"/>
      <c r="B724" s="17" t="n"/>
      <c r="C724" s="17" t="n"/>
      <c r="D724" s="19" t="n"/>
      <c r="E724" s="19" t="n"/>
      <c r="F724" s="19" t="n"/>
      <c r="G724" s="17" t="n"/>
      <c r="H724" s="20" t="n"/>
      <c r="I724" s="20" t="n"/>
    </row>
    <row r="725">
      <c r="A725" s="12" t="n"/>
      <c r="B725" s="12" t="n"/>
      <c r="C725" s="12" t="n"/>
      <c r="D725" s="14" t="n"/>
      <c r="E725" s="14" t="n"/>
      <c r="F725" s="14" t="n"/>
      <c r="G725" s="12" t="n"/>
      <c r="H725" s="15" t="n"/>
      <c r="I725" s="15" t="n"/>
    </row>
    <row r="726">
      <c r="A726" s="17" t="n"/>
      <c r="B726" s="17" t="n"/>
      <c r="C726" s="17" t="n"/>
      <c r="D726" s="19" t="n"/>
      <c r="E726" s="19" t="n"/>
      <c r="F726" s="19" t="n"/>
      <c r="G726" s="17" t="n"/>
      <c r="H726" s="20" t="n"/>
      <c r="I726" s="20" t="n"/>
    </row>
    <row r="727">
      <c r="A727" s="12" t="n"/>
      <c r="B727" s="12" t="n"/>
      <c r="C727" s="12" t="n"/>
      <c r="D727" s="14" t="n"/>
      <c r="E727" s="14" t="n"/>
      <c r="F727" s="14" t="n"/>
      <c r="G727" s="12" t="n"/>
      <c r="H727" s="15" t="n"/>
      <c r="I727" s="15" t="n"/>
    </row>
    <row r="728">
      <c r="A728" s="17" t="n"/>
      <c r="B728" s="17" t="n"/>
      <c r="C728" s="17" t="n"/>
      <c r="D728" s="19" t="n"/>
      <c r="E728" s="19" t="n"/>
      <c r="F728" s="19" t="n"/>
      <c r="G728" s="17" t="n"/>
      <c r="H728" s="20" t="n"/>
      <c r="I728" s="20" t="n"/>
    </row>
    <row r="729">
      <c r="A729" s="12" t="n"/>
      <c r="B729" s="12" t="n"/>
      <c r="C729" s="12" t="n"/>
      <c r="D729" s="14" t="n"/>
      <c r="E729" s="14" t="n"/>
      <c r="F729" s="14" t="n"/>
      <c r="G729" s="12" t="n"/>
      <c r="H729" s="15" t="n"/>
      <c r="I729" s="15" t="n"/>
    </row>
    <row r="730">
      <c r="A730" s="17" t="n"/>
      <c r="B730" s="17" t="n"/>
      <c r="C730" s="17" t="n"/>
      <c r="D730" s="19" t="n"/>
      <c r="E730" s="19" t="n"/>
      <c r="F730" s="19" t="n"/>
      <c r="G730" s="17" t="n"/>
      <c r="H730" s="20" t="n"/>
      <c r="I730" s="20" t="n"/>
    </row>
    <row r="731">
      <c r="A731" s="12" t="n"/>
      <c r="B731" s="12" t="n"/>
      <c r="C731" s="12" t="n"/>
      <c r="D731" s="14" t="n"/>
      <c r="E731" s="14" t="n"/>
      <c r="F731" s="14" t="n"/>
      <c r="G731" s="12" t="n"/>
      <c r="H731" s="15" t="n"/>
      <c r="I731" s="15" t="n"/>
    </row>
    <row r="732">
      <c r="A732" s="17" t="n"/>
      <c r="B732" s="17" t="n"/>
      <c r="C732" s="17" t="n"/>
      <c r="D732" s="19" t="n"/>
      <c r="E732" s="19" t="n"/>
      <c r="F732" s="19" t="n"/>
      <c r="G732" s="17" t="n"/>
      <c r="H732" s="20" t="n"/>
      <c r="I732" s="20" t="n"/>
    </row>
    <row r="733">
      <c r="A733" s="12" t="n"/>
      <c r="B733" s="12" t="n"/>
      <c r="C733" s="12" t="n"/>
      <c r="D733" s="14" t="n"/>
      <c r="E733" s="14" t="n"/>
      <c r="F733" s="14" t="n"/>
      <c r="G733" s="12" t="n"/>
      <c r="H733" s="15" t="n"/>
      <c r="I733" s="15" t="n"/>
    </row>
    <row r="734">
      <c r="A734" s="17" t="n"/>
      <c r="B734" s="17" t="n"/>
      <c r="C734" s="17" t="n"/>
      <c r="D734" s="19" t="n"/>
      <c r="E734" s="19" t="n"/>
      <c r="F734" s="19" t="n"/>
      <c r="G734" s="17" t="n"/>
      <c r="H734" s="20" t="n"/>
      <c r="I734" s="20" t="n"/>
    </row>
    <row r="735">
      <c r="A735" s="12" t="n"/>
      <c r="B735" s="12" t="n"/>
      <c r="C735" s="12" t="n"/>
      <c r="D735" s="14" t="n"/>
      <c r="E735" s="14" t="n"/>
      <c r="F735" s="14" t="n"/>
      <c r="G735" s="12" t="n"/>
      <c r="H735" s="15" t="n"/>
      <c r="I735" s="15" t="n"/>
    </row>
    <row r="736">
      <c r="A736" s="17" t="n"/>
      <c r="B736" s="17" t="n"/>
      <c r="C736" s="17" t="n"/>
      <c r="D736" s="19" t="n"/>
      <c r="E736" s="19" t="n"/>
      <c r="F736" s="19" t="n"/>
      <c r="G736" s="17" t="n"/>
      <c r="H736" s="20" t="n"/>
      <c r="I736" s="20" t="n"/>
    </row>
    <row r="737">
      <c r="A737" s="12" t="n"/>
      <c r="B737" s="12" t="n"/>
      <c r="C737" s="12" t="n"/>
      <c r="D737" s="14" t="n"/>
      <c r="E737" s="14" t="n"/>
      <c r="F737" s="14" t="n"/>
      <c r="G737" s="12" t="n"/>
      <c r="H737" s="15" t="n"/>
      <c r="I737" s="15" t="n"/>
    </row>
    <row r="738">
      <c r="A738" s="17" t="n"/>
      <c r="B738" s="17" t="n"/>
      <c r="C738" s="17" t="n"/>
      <c r="D738" s="19" t="n"/>
      <c r="E738" s="19" t="n"/>
      <c r="F738" s="19" t="n"/>
      <c r="G738" s="17" t="n"/>
      <c r="H738" s="20" t="n"/>
      <c r="I738" s="20" t="n"/>
    </row>
    <row r="739">
      <c r="A739" s="12" t="n"/>
      <c r="B739" s="12" t="n"/>
      <c r="C739" s="12" t="n"/>
      <c r="D739" s="14" t="n"/>
      <c r="E739" s="14" t="n"/>
      <c r="F739" s="14" t="n"/>
      <c r="G739" s="12" t="n"/>
      <c r="H739" s="15" t="n"/>
      <c r="I739" s="15" t="n"/>
    </row>
    <row r="740">
      <c r="A740" s="17" t="n"/>
      <c r="B740" s="17" t="n"/>
      <c r="C740" s="17" t="n"/>
      <c r="D740" s="19" t="n"/>
      <c r="E740" s="19" t="n"/>
      <c r="F740" s="19" t="n"/>
      <c r="G740" s="17" t="n"/>
      <c r="H740" s="20" t="n"/>
      <c r="I740" s="20" t="n"/>
    </row>
    <row r="741">
      <c r="A741" s="12" t="n"/>
      <c r="B741" s="12" t="n"/>
      <c r="C741" s="12" t="n"/>
      <c r="D741" s="14" t="n"/>
      <c r="E741" s="14" t="n"/>
      <c r="F741" s="14" t="n"/>
      <c r="G741" s="12" t="n"/>
      <c r="H741" s="15" t="n"/>
      <c r="I741" s="15" t="n"/>
    </row>
    <row r="742">
      <c r="A742" s="17" t="n"/>
      <c r="B742" s="17" t="n"/>
      <c r="C742" s="17" t="n"/>
      <c r="D742" s="19" t="n"/>
      <c r="E742" s="19" t="n"/>
      <c r="F742" s="19" t="n"/>
      <c r="G742" s="17" t="n"/>
      <c r="H742" s="20" t="n"/>
      <c r="I742" s="20" t="n"/>
    </row>
    <row r="743">
      <c r="A743" s="12" t="n"/>
      <c r="B743" s="12" t="n"/>
      <c r="C743" s="12" t="n"/>
      <c r="D743" s="14" t="n"/>
      <c r="E743" s="14" t="n"/>
      <c r="F743" s="14" t="n"/>
      <c r="G743" s="12" t="n"/>
      <c r="H743" s="15" t="n"/>
      <c r="I743" s="15" t="n"/>
    </row>
    <row r="744">
      <c r="A744" s="17" t="n"/>
      <c r="B744" s="17" t="n"/>
      <c r="C744" s="17" t="n"/>
      <c r="D744" s="19" t="n"/>
      <c r="E744" s="19" t="n"/>
      <c r="F744" s="19" t="n"/>
      <c r="G744" s="17" t="n"/>
      <c r="H744" s="20" t="n"/>
      <c r="I744" s="20" t="n"/>
    </row>
    <row r="745">
      <c r="A745" s="12" t="n"/>
      <c r="B745" s="12" t="n"/>
      <c r="C745" s="12" t="n"/>
      <c r="D745" s="14" t="n"/>
      <c r="E745" s="14" t="n"/>
      <c r="F745" s="14" t="n"/>
      <c r="G745" s="12" t="n"/>
      <c r="H745" s="15" t="n"/>
      <c r="I745" s="15" t="n"/>
    </row>
    <row r="746">
      <c r="A746" s="17" t="n"/>
      <c r="B746" s="17" t="n"/>
      <c r="C746" s="17" t="n"/>
      <c r="D746" s="19" t="n"/>
      <c r="E746" s="19" t="n"/>
      <c r="F746" s="19" t="n"/>
      <c r="G746" s="17" t="n"/>
      <c r="H746" s="20" t="n"/>
      <c r="I746" s="20" t="n"/>
    </row>
    <row r="747">
      <c r="A747" s="12" t="n"/>
      <c r="B747" s="12" t="n"/>
      <c r="C747" s="12" t="n"/>
      <c r="D747" s="14" t="n"/>
      <c r="E747" s="14" t="n"/>
      <c r="F747" s="14" t="n"/>
      <c r="G747" s="12" t="n"/>
      <c r="H747" s="15" t="n"/>
      <c r="I747" s="15" t="n"/>
    </row>
    <row r="748">
      <c r="A748" s="17" t="n"/>
      <c r="B748" s="17" t="n"/>
      <c r="C748" s="17" t="n"/>
      <c r="D748" s="19" t="n"/>
      <c r="E748" s="19" t="n"/>
      <c r="F748" s="19" t="n"/>
      <c r="G748" s="17" t="n"/>
      <c r="H748" s="20" t="n"/>
      <c r="I748" s="20" t="n"/>
    </row>
    <row r="749">
      <c r="A749" s="12" t="n"/>
      <c r="B749" s="12" t="n"/>
      <c r="C749" s="12" t="n"/>
      <c r="D749" s="14" t="n"/>
      <c r="E749" s="14" t="n"/>
      <c r="F749" s="14" t="n"/>
      <c r="G749" s="12" t="n"/>
      <c r="H749" s="15" t="n"/>
      <c r="I749" s="15" t="n"/>
    </row>
    <row r="750">
      <c r="A750" s="17" t="n"/>
      <c r="B750" s="17" t="n"/>
      <c r="C750" s="17" t="n"/>
      <c r="D750" s="19" t="n"/>
      <c r="E750" s="19" t="n"/>
      <c r="F750" s="19" t="n"/>
      <c r="G750" s="17" t="n"/>
      <c r="H750" s="20" t="n"/>
      <c r="I750" s="20" t="n"/>
    </row>
    <row r="751">
      <c r="A751" s="12" t="n"/>
      <c r="B751" s="12" t="n"/>
      <c r="C751" s="12" t="n"/>
      <c r="D751" s="14" t="n"/>
      <c r="E751" s="14" t="n"/>
      <c r="F751" s="14" t="n"/>
      <c r="G751" s="12" t="n"/>
      <c r="H751" s="15" t="n"/>
      <c r="I751" s="15" t="n"/>
    </row>
    <row r="752">
      <c r="A752" s="17" t="n"/>
      <c r="B752" s="17" t="n"/>
      <c r="C752" s="17" t="n"/>
      <c r="D752" s="19" t="n"/>
      <c r="E752" s="19" t="n"/>
      <c r="F752" s="19" t="n"/>
      <c r="G752" s="17" t="n"/>
      <c r="H752" s="20" t="n"/>
      <c r="I752" s="20" t="n"/>
    </row>
    <row r="753">
      <c r="A753" s="12" t="n"/>
      <c r="B753" s="12" t="n"/>
      <c r="C753" s="12" t="n"/>
      <c r="D753" s="14" t="n"/>
      <c r="E753" s="14" t="n"/>
      <c r="F753" s="14" t="n"/>
      <c r="G753" s="12" t="n"/>
      <c r="H753" s="15" t="n"/>
      <c r="I753" s="15" t="n"/>
    </row>
    <row r="754">
      <c r="A754" s="17" t="n"/>
      <c r="B754" s="17" t="n"/>
      <c r="C754" s="17" t="n"/>
      <c r="D754" s="19" t="n"/>
      <c r="E754" s="19" t="n"/>
      <c r="F754" s="19" t="n"/>
      <c r="G754" s="17" t="n"/>
      <c r="H754" s="20" t="n"/>
      <c r="I754" s="20" t="n"/>
    </row>
    <row r="755">
      <c r="A755" s="12" t="n"/>
      <c r="B755" s="12" t="n"/>
      <c r="C755" s="12" t="n"/>
      <c r="D755" s="14" t="n"/>
      <c r="E755" s="14" t="n"/>
      <c r="F755" s="14" t="n"/>
      <c r="G755" s="12" t="n"/>
      <c r="H755" s="15" t="n"/>
      <c r="I755" s="15" t="n"/>
    </row>
    <row r="756">
      <c r="A756" s="17" t="n"/>
      <c r="B756" s="17" t="n"/>
      <c r="C756" s="17" t="n"/>
      <c r="D756" s="19" t="n"/>
      <c r="E756" s="19" t="n"/>
      <c r="F756" s="19" t="n"/>
      <c r="G756" s="17" t="n"/>
      <c r="H756" s="20" t="n"/>
      <c r="I756" s="20" t="n"/>
    </row>
    <row r="757">
      <c r="A757" s="12" t="n"/>
      <c r="B757" s="12" t="n"/>
      <c r="C757" s="12" t="n"/>
      <c r="D757" s="14" t="n"/>
      <c r="E757" s="14" t="n"/>
      <c r="F757" s="14" t="n"/>
      <c r="G757" s="12" t="n"/>
      <c r="H757" s="15" t="n"/>
      <c r="I757" s="15" t="n"/>
    </row>
    <row r="758">
      <c r="A758" s="17" t="n"/>
      <c r="B758" s="17" t="n"/>
      <c r="C758" s="17" t="n"/>
      <c r="D758" s="19" t="n"/>
      <c r="E758" s="19" t="n"/>
      <c r="F758" s="19" t="n"/>
      <c r="G758" s="17" t="n"/>
      <c r="H758" s="20" t="n"/>
      <c r="I758" s="20" t="n"/>
    </row>
    <row r="759">
      <c r="A759" s="12" t="n"/>
      <c r="B759" s="12" t="n"/>
      <c r="C759" s="12" t="n"/>
      <c r="D759" s="14" t="n"/>
      <c r="E759" s="14" t="n"/>
      <c r="F759" s="14" t="n"/>
      <c r="G759" s="12" t="n"/>
      <c r="H759" s="15" t="n"/>
      <c r="I759" s="15" t="n"/>
    </row>
    <row r="760">
      <c r="A760" s="17" t="n"/>
      <c r="B760" s="17" t="n"/>
      <c r="C760" s="17" t="n"/>
      <c r="D760" s="19" t="n"/>
      <c r="E760" s="19" t="n"/>
      <c r="F760" s="19" t="n"/>
      <c r="G760" s="17" t="n"/>
      <c r="H760" s="20" t="n"/>
      <c r="I760" s="20" t="n"/>
    </row>
    <row r="761">
      <c r="A761" s="12" t="n"/>
      <c r="B761" s="12" t="n"/>
      <c r="C761" s="12" t="n"/>
      <c r="D761" s="14" t="n"/>
      <c r="E761" s="14" t="n"/>
      <c r="F761" s="14" t="n"/>
      <c r="G761" s="12" t="n"/>
      <c r="H761" s="15" t="n"/>
      <c r="I761" s="15" t="n"/>
    </row>
    <row r="762">
      <c r="A762" s="17" t="n"/>
      <c r="B762" s="17" t="n"/>
      <c r="C762" s="17" t="n"/>
      <c r="D762" s="19" t="n"/>
      <c r="E762" s="19" t="n"/>
      <c r="F762" s="19" t="n"/>
      <c r="G762" s="17" t="n"/>
      <c r="H762" s="20" t="n"/>
      <c r="I762" s="20" t="n"/>
    </row>
    <row r="763">
      <c r="A763" s="12" t="n"/>
      <c r="B763" s="12" t="n"/>
      <c r="C763" s="12" t="n"/>
      <c r="D763" s="14" t="n"/>
      <c r="E763" s="14" t="n"/>
      <c r="F763" s="14" t="n"/>
      <c r="G763" s="12" t="n"/>
      <c r="H763" s="15" t="n"/>
      <c r="I763" s="15" t="n"/>
    </row>
    <row r="764">
      <c r="A764" s="17" t="n"/>
      <c r="B764" s="17" t="n"/>
      <c r="C764" s="17" t="n"/>
      <c r="D764" s="19" t="n"/>
      <c r="E764" s="19" t="n"/>
      <c r="F764" s="19" t="n"/>
      <c r="G764" s="17" t="n"/>
      <c r="H764" s="20" t="n"/>
      <c r="I764" s="20" t="n"/>
    </row>
    <row r="765">
      <c r="A765" s="12" t="n"/>
      <c r="B765" s="12" t="n"/>
      <c r="C765" s="12" t="n"/>
      <c r="D765" s="14" t="n"/>
      <c r="E765" s="14" t="n"/>
      <c r="F765" s="14" t="n"/>
      <c r="G765" s="12" t="n"/>
      <c r="H765" s="15" t="n"/>
      <c r="I765" s="15" t="n"/>
    </row>
    <row r="766">
      <c r="A766" s="17" t="n"/>
      <c r="B766" s="17" t="n"/>
      <c r="C766" s="17" t="n"/>
      <c r="D766" s="19" t="n"/>
      <c r="E766" s="19" t="n"/>
      <c r="F766" s="19" t="n"/>
      <c r="G766" s="17" t="n"/>
      <c r="H766" s="20" t="n"/>
      <c r="I766" s="20" t="n"/>
    </row>
    <row r="767">
      <c r="A767" s="12" t="n"/>
      <c r="B767" s="12" t="n"/>
      <c r="C767" s="12" t="n"/>
      <c r="D767" s="14" t="n"/>
      <c r="E767" s="14" t="n"/>
      <c r="F767" s="14" t="n"/>
      <c r="G767" s="12" t="n"/>
      <c r="H767" s="15" t="n"/>
      <c r="I767" s="15" t="n"/>
    </row>
    <row r="768">
      <c r="A768" s="17" t="n"/>
      <c r="B768" s="17" t="n"/>
      <c r="C768" s="17" t="n"/>
      <c r="D768" s="19" t="n"/>
      <c r="E768" s="19" t="n"/>
      <c r="F768" s="19" t="n"/>
      <c r="G768" s="17" t="n"/>
      <c r="H768" s="20" t="n"/>
      <c r="I768" s="20" t="n"/>
    </row>
    <row r="769">
      <c r="A769" s="12" t="n"/>
      <c r="B769" s="12" t="n"/>
      <c r="C769" s="12" t="n"/>
      <c r="D769" s="14" t="n"/>
      <c r="E769" s="14" t="n"/>
      <c r="F769" s="14" t="n"/>
      <c r="G769" s="12" t="n"/>
      <c r="H769" s="15" t="n"/>
      <c r="I769" s="15" t="n"/>
    </row>
    <row r="770">
      <c r="A770" s="17" t="n"/>
      <c r="B770" s="17" t="n"/>
      <c r="C770" s="17" t="n"/>
      <c r="D770" s="19" t="n"/>
      <c r="E770" s="19" t="n"/>
      <c r="F770" s="19" t="n"/>
      <c r="G770" s="17" t="n"/>
      <c r="H770" s="20" t="n"/>
      <c r="I770" s="20" t="n"/>
    </row>
    <row r="771">
      <c r="A771" s="12" t="n"/>
      <c r="B771" s="12" t="n"/>
      <c r="C771" s="12" t="n"/>
      <c r="D771" s="14" t="n"/>
      <c r="E771" s="14" t="n"/>
      <c r="F771" s="14" t="n"/>
      <c r="G771" s="12" t="n"/>
      <c r="H771" s="15" t="n"/>
      <c r="I771" s="15" t="n"/>
    </row>
    <row r="772">
      <c r="A772" s="17" t="n"/>
      <c r="B772" s="17" t="n"/>
      <c r="C772" s="17" t="n"/>
      <c r="D772" s="19" t="n"/>
      <c r="E772" s="19" t="n"/>
      <c r="F772" s="19" t="n"/>
      <c r="G772" s="17" t="n"/>
      <c r="H772" s="20" t="n"/>
      <c r="I772" s="20" t="n"/>
    </row>
    <row r="773">
      <c r="A773" s="12" t="n"/>
      <c r="B773" s="12" t="n"/>
      <c r="C773" s="12" t="n"/>
      <c r="D773" s="14" t="n"/>
      <c r="E773" s="14" t="n"/>
      <c r="F773" s="14" t="n"/>
      <c r="G773" s="12" t="n"/>
      <c r="H773" s="15" t="n"/>
      <c r="I773" s="15" t="n"/>
    </row>
    <row r="774">
      <c r="A774" s="17" t="n"/>
      <c r="B774" s="17" t="n"/>
      <c r="C774" s="17" t="n"/>
      <c r="D774" s="19" t="n"/>
      <c r="E774" s="19" t="n"/>
      <c r="F774" s="19" t="n"/>
      <c r="G774" s="17" t="n"/>
      <c r="H774" s="20" t="n"/>
      <c r="I774" s="20" t="n"/>
    </row>
    <row r="775">
      <c r="A775" s="12" t="n"/>
      <c r="B775" s="12" t="n"/>
      <c r="C775" s="12" t="n"/>
      <c r="D775" s="14" t="n"/>
      <c r="E775" s="14" t="n"/>
      <c r="F775" s="14" t="n"/>
      <c r="G775" s="12" t="n"/>
      <c r="H775" s="15" t="n"/>
      <c r="I775" s="15" t="n"/>
    </row>
    <row r="776">
      <c r="A776" s="17" t="n"/>
      <c r="B776" s="17" t="n"/>
      <c r="C776" s="17" t="n"/>
      <c r="D776" s="19" t="n"/>
      <c r="E776" s="19" t="n"/>
      <c r="F776" s="19" t="n"/>
      <c r="G776" s="17" t="n"/>
      <c r="H776" s="20" t="n"/>
      <c r="I776" s="20" t="n"/>
    </row>
    <row r="777">
      <c r="A777" s="12" t="n"/>
      <c r="B777" s="12" t="n"/>
      <c r="C777" s="12" t="n"/>
      <c r="D777" s="14" t="n"/>
      <c r="E777" s="14" t="n"/>
      <c r="F777" s="14" t="n"/>
      <c r="G777" s="12" t="n"/>
      <c r="H777" s="15" t="n"/>
      <c r="I777" s="15" t="n"/>
    </row>
    <row r="778">
      <c r="A778" s="17" t="n"/>
      <c r="B778" s="17" t="n"/>
      <c r="C778" s="17" t="n"/>
      <c r="D778" s="19" t="n"/>
      <c r="E778" s="19" t="n"/>
      <c r="F778" s="19" t="n"/>
      <c r="G778" s="17" t="n"/>
      <c r="H778" s="20" t="n"/>
      <c r="I778" s="20" t="n"/>
    </row>
    <row r="779">
      <c r="A779" s="12" t="n"/>
      <c r="B779" s="12" t="n"/>
      <c r="C779" s="12" t="n"/>
      <c r="D779" s="14" t="n"/>
      <c r="E779" s="14" t="n"/>
      <c r="F779" s="14" t="n"/>
      <c r="G779" s="12" t="n"/>
      <c r="H779" s="15" t="n"/>
      <c r="I779" s="15" t="n"/>
    </row>
    <row r="780">
      <c r="A780" s="17" t="n"/>
      <c r="B780" s="17" t="n"/>
      <c r="C780" s="17" t="n"/>
      <c r="D780" s="19" t="n"/>
      <c r="E780" s="19" t="n"/>
      <c r="F780" s="19" t="n"/>
      <c r="G780" s="17" t="n"/>
      <c r="H780" s="20" t="n"/>
      <c r="I780" s="20" t="n"/>
    </row>
    <row r="781">
      <c r="A781" s="12" t="n"/>
      <c r="B781" s="12" t="n"/>
      <c r="C781" s="12" t="n"/>
      <c r="D781" s="14" t="n"/>
      <c r="E781" s="14" t="n"/>
      <c r="F781" s="14" t="n"/>
      <c r="G781" s="12" t="n"/>
      <c r="H781" s="15" t="n"/>
      <c r="I781" s="15" t="n"/>
    </row>
    <row r="782">
      <c r="A782" s="17" t="n"/>
      <c r="B782" s="17" t="n"/>
      <c r="C782" s="17" t="n"/>
      <c r="D782" s="19" t="n"/>
      <c r="E782" s="19" t="n"/>
      <c r="F782" s="19" t="n"/>
      <c r="G782" s="17" t="n"/>
      <c r="H782" s="20" t="n"/>
      <c r="I782" s="20" t="n"/>
    </row>
    <row r="783">
      <c r="A783" s="12" t="n"/>
      <c r="B783" s="12" t="n"/>
      <c r="C783" s="12" t="n"/>
      <c r="D783" s="14" t="n"/>
      <c r="E783" s="14" t="n"/>
      <c r="F783" s="14" t="n"/>
      <c r="G783" s="12" t="n"/>
      <c r="H783" s="15" t="n"/>
      <c r="I783" s="15" t="n"/>
    </row>
    <row r="784">
      <c r="A784" s="17" t="n"/>
      <c r="B784" s="17" t="n"/>
      <c r="C784" s="17" t="n"/>
      <c r="D784" s="19" t="n"/>
      <c r="E784" s="19" t="n"/>
      <c r="F784" s="19" t="n"/>
      <c r="G784" s="17" t="n"/>
      <c r="H784" s="20" t="n"/>
      <c r="I784" s="20" t="n"/>
    </row>
    <row r="785">
      <c r="A785" s="12" t="n"/>
      <c r="B785" s="12" t="n"/>
      <c r="C785" s="12" t="n"/>
      <c r="D785" s="14" t="n"/>
      <c r="E785" s="14" t="n"/>
      <c r="F785" s="14" t="n"/>
      <c r="G785" s="12" t="n"/>
      <c r="H785" s="15" t="n"/>
      <c r="I785" s="15" t="n"/>
    </row>
    <row r="786">
      <c r="A786" s="17" t="n"/>
      <c r="B786" s="17" t="n"/>
      <c r="C786" s="17" t="n"/>
      <c r="D786" s="19" t="n"/>
      <c r="E786" s="19" t="n"/>
      <c r="F786" s="19" t="n"/>
      <c r="G786" s="17" t="n"/>
      <c r="H786" s="20" t="n"/>
      <c r="I786" s="20" t="n"/>
    </row>
    <row r="787">
      <c r="A787" s="12" t="n"/>
      <c r="B787" s="12" t="n"/>
      <c r="C787" s="12" t="n"/>
      <c r="D787" s="14" t="n"/>
      <c r="E787" s="14" t="n"/>
      <c r="F787" s="14" t="n"/>
      <c r="G787" s="12" t="n"/>
      <c r="H787" s="15" t="n"/>
      <c r="I787" s="15" t="n"/>
    </row>
    <row r="788">
      <c r="A788" s="17" t="n"/>
      <c r="B788" s="17" t="n"/>
      <c r="C788" s="17" t="n"/>
      <c r="D788" s="19" t="n"/>
      <c r="E788" s="19" t="n"/>
      <c r="F788" s="19" t="n"/>
      <c r="G788" s="17" t="n"/>
      <c r="H788" s="20" t="n"/>
      <c r="I788" s="20" t="n"/>
    </row>
    <row r="789">
      <c r="A789" s="12" t="n"/>
      <c r="B789" s="12" t="n"/>
      <c r="C789" s="12" t="n"/>
      <c r="D789" s="14" t="n"/>
      <c r="E789" s="14" t="n"/>
      <c r="F789" s="14" t="n"/>
      <c r="G789" s="12" t="n"/>
      <c r="H789" s="15" t="n"/>
      <c r="I789" s="15" t="n"/>
    </row>
    <row r="790">
      <c r="A790" s="17" t="n"/>
      <c r="B790" s="17" t="n"/>
      <c r="C790" s="17" t="n"/>
      <c r="D790" s="19" t="n"/>
      <c r="E790" s="19" t="n"/>
      <c r="F790" s="19" t="n"/>
      <c r="G790" s="17" t="n"/>
      <c r="H790" s="20" t="n"/>
      <c r="I790" s="20" t="n"/>
    </row>
    <row r="791">
      <c r="A791" s="12" t="n"/>
      <c r="B791" s="12" t="n"/>
      <c r="C791" s="12" t="n"/>
      <c r="D791" s="14" t="n"/>
      <c r="E791" s="14" t="n"/>
      <c r="F791" s="14" t="n"/>
      <c r="G791" s="12" t="n"/>
      <c r="H791" s="15" t="n"/>
      <c r="I791" s="15" t="n"/>
    </row>
    <row r="792">
      <c r="A792" s="17" t="n"/>
      <c r="B792" s="17" t="n"/>
      <c r="C792" s="17" t="n"/>
      <c r="D792" s="19" t="n"/>
      <c r="E792" s="19" t="n"/>
      <c r="F792" s="19" t="n"/>
      <c r="G792" s="17" t="n"/>
      <c r="H792" s="20" t="n"/>
      <c r="I792" s="20" t="n"/>
    </row>
    <row r="793">
      <c r="A793" s="12" t="n"/>
      <c r="B793" s="12" t="n"/>
      <c r="C793" s="12" t="n"/>
      <c r="D793" s="14" t="n"/>
      <c r="E793" s="14" t="n"/>
      <c r="F793" s="14" t="n"/>
      <c r="G793" s="12" t="n"/>
      <c r="H793" s="15" t="n"/>
      <c r="I793" s="15" t="n"/>
    </row>
    <row r="794">
      <c r="A794" s="17" t="n"/>
      <c r="B794" s="17" t="n"/>
      <c r="C794" s="17" t="n"/>
      <c r="D794" s="19" t="n"/>
      <c r="E794" s="19" t="n"/>
      <c r="F794" s="19" t="n"/>
      <c r="G794" s="17" t="n"/>
      <c r="H794" s="20" t="n"/>
      <c r="I794" s="20" t="n"/>
    </row>
    <row r="795">
      <c r="A795" s="12" t="n"/>
      <c r="B795" s="12" t="n"/>
      <c r="C795" s="12" t="n"/>
      <c r="D795" s="14" t="n"/>
      <c r="E795" s="14" t="n"/>
      <c r="F795" s="14" t="n"/>
      <c r="G795" s="12" t="n"/>
      <c r="H795" s="15" t="n"/>
      <c r="I795" s="15" t="n"/>
    </row>
    <row r="796">
      <c r="A796" s="17" t="n"/>
      <c r="B796" s="17" t="n"/>
      <c r="C796" s="17" t="n"/>
      <c r="D796" s="19" t="n"/>
      <c r="E796" s="19" t="n"/>
      <c r="F796" s="19" t="n"/>
      <c r="G796" s="17" t="n"/>
      <c r="H796" s="20" t="n"/>
      <c r="I796" s="20" t="n"/>
    </row>
    <row r="797">
      <c r="A797" s="12" t="n"/>
      <c r="B797" s="12" t="n"/>
      <c r="C797" s="12" t="n"/>
      <c r="D797" s="14" t="n"/>
      <c r="E797" s="14" t="n"/>
      <c r="F797" s="14" t="n"/>
      <c r="G797" s="12" t="n"/>
      <c r="H797" s="15" t="n"/>
      <c r="I797" s="15" t="n"/>
    </row>
    <row r="798">
      <c r="A798" s="17" t="n"/>
      <c r="B798" s="17" t="n"/>
      <c r="C798" s="17" t="n"/>
      <c r="D798" s="19" t="n"/>
      <c r="E798" s="19" t="n"/>
      <c r="F798" s="19" t="n"/>
      <c r="G798" s="17" t="n"/>
      <c r="H798" s="20" t="n"/>
      <c r="I798" s="20" t="n"/>
    </row>
    <row r="799">
      <c r="A799" s="12" t="n"/>
      <c r="B799" s="12" t="n"/>
      <c r="C799" s="12" t="n"/>
      <c r="D799" s="14" t="n"/>
      <c r="E799" s="14" t="n"/>
      <c r="F799" s="14" t="n"/>
      <c r="G799" s="12" t="n"/>
      <c r="H799" s="15" t="n"/>
      <c r="I799" s="15" t="n"/>
    </row>
    <row r="800">
      <c r="A800" s="17" t="n"/>
      <c r="B800" s="17" t="n"/>
      <c r="C800" s="17" t="n"/>
      <c r="D800" s="19" t="n"/>
      <c r="E800" s="19" t="n"/>
      <c r="F800" s="19" t="n"/>
      <c r="G800" s="17" t="n"/>
      <c r="H800" s="20" t="n"/>
      <c r="I800" s="20" t="n"/>
    </row>
    <row r="801">
      <c r="A801" s="12" t="n"/>
      <c r="B801" s="12" t="n"/>
      <c r="C801" s="12" t="n"/>
      <c r="D801" s="14" t="n"/>
      <c r="E801" s="14" t="n"/>
      <c r="F801" s="14" t="n"/>
      <c r="G801" s="12" t="n"/>
      <c r="H801" s="15" t="n"/>
      <c r="I801" s="15" t="n"/>
    </row>
    <row r="802">
      <c r="A802" s="17" t="n"/>
      <c r="B802" s="17" t="n"/>
      <c r="C802" s="17" t="n"/>
      <c r="D802" s="19" t="n"/>
      <c r="E802" s="19" t="n"/>
      <c r="F802" s="19" t="n"/>
      <c r="G802" s="17" t="n"/>
      <c r="H802" s="20" t="n"/>
      <c r="I802" s="20" t="n"/>
    </row>
    <row r="803">
      <c r="A803" s="12" t="n"/>
      <c r="B803" s="12" t="n"/>
      <c r="C803" s="12" t="n"/>
      <c r="D803" s="14" t="n"/>
      <c r="E803" s="14" t="n"/>
      <c r="F803" s="14" t="n"/>
      <c r="G803" s="12" t="n"/>
      <c r="H803" s="15" t="n"/>
      <c r="I803" s="15" t="n"/>
    </row>
    <row r="804">
      <c r="A804" s="17" t="n"/>
      <c r="B804" s="17" t="n"/>
      <c r="C804" s="17" t="n"/>
      <c r="D804" s="19" t="n"/>
      <c r="E804" s="19" t="n"/>
      <c r="F804" s="19" t="n"/>
      <c r="G804" s="17" t="n"/>
      <c r="H804" s="20" t="n"/>
      <c r="I804" s="20" t="n"/>
    </row>
    <row r="805">
      <c r="A805" s="12" t="n"/>
      <c r="B805" s="12" t="n"/>
      <c r="C805" s="12" t="n"/>
      <c r="D805" s="14" t="n"/>
      <c r="E805" s="14" t="n"/>
      <c r="F805" s="14" t="n"/>
      <c r="G805" s="12" t="n"/>
      <c r="H805" s="15" t="n"/>
      <c r="I805" s="15" t="n"/>
    </row>
    <row r="806">
      <c r="A806" s="17" t="n"/>
      <c r="B806" s="17" t="n"/>
      <c r="C806" s="17" t="n"/>
      <c r="D806" s="19" t="n"/>
      <c r="E806" s="19" t="n"/>
      <c r="F806" s="19" t="n"/>
      <c r="G806" s="17" t="n"/>
      <c r="H806" s="20" t="n"/>
      <c r="I806" s="20" t="n"/>
    </row>
    <row r="807">
      <c r="A807" s="12" t="n"/>
      <c r="B807" s="12" t="n"/>
      <c r="C807" s="12" t="n"/>
      <c r="D807" s="14" t="n"/>
      <c r="E807" s="14" t="n"/>
      <c r="F807" s="14" t="n"/>
      <c r="G807" s="12" t="n"/>
      <c r="H807" s="15" t="n"/>
      <c r="I807" s="15" t="n"/>
    </row>
    <row r="808">
      <c r="A808" s="17" t="n"/>
      <c r="B808" s="17" t="n"/>
      <c r="C808" s="17" t="n"/>
      <c r="D808" s="19" t="n"/>
      <c r="E808" s="19" t="n"/>
      <c r="F808" s="19" t="n"/>
      <c r="G808" s="17" t="n"/>
      <c r="H808" s="20" t="n"/>
      <c r="I808" s="20" t="n"/>
    </row>
    <row r="809">
      <c r="A809" s="12" t="n"/>
      <c r="B809" s="12" t="n"/>
      <c r="C809" s="12" t="n"/>
      <c r="D809" s="14" t="n"/>
      <c r="E809" s="14" t="n"/>
      <c r="F809" s="14" t="n"/>
      <c r="G809" s="12" t="n"/>
      <c r="H809" s="15" t="n"/>
      <c r="I809" s="15" t="n"/>
    </row>
    <row r="810">
      <c r="A810" s="17" t="n"/>
      <c r="B810" s="17" t="n"/>
      <c r="C810" s="17" t="n"/>
      <c r="D810" s="19" t="n"/>
      <c r="E810" s="19" t="n"/>
      <c r="F810" s="19" t="n"/>
      <c r="G810" s="17" t="n"/>
      <c r="H810" s="20" t="n"/>
      <c r="I810" s="20" t="n"/>
    </row>
    <row r="811">
      <c r="A811" s="12" t="n"/>
      <c r="B811" s="12" t="n"/>
      <c r="C811" s="12" t="n"/>
      <c r="D811" s="14" t="n"/>
      <c r="E811" s="14" t="n"/>
      <c r="F811" s="14" t="n"/>
      <c r="G811" s="12" t="n"/>
      <c r="H811" s="15" t="n"/>
      <c r="I811" s="15" t="n"/>
    </row>
    <row r="812">
      <c r="A812" s="17" t="n"/>
      <c r="B812" s="17" t="n"/>
      <c r="C812" s="17" t="n"/>
      <c r="D812" s="19" t="n"/>
      <c r="E812" s="19" t="n"/>
      <c r="F812" s="19" t="n"/>
      <c r="G812" s="17" t="n"/>
      <c r="H812" s="20" t="n"/>
      <c r="I812" s="20" t="n"/>
    </row>
    <row r="813">
      <c r="A813" s="12" t="n"/>
      <c r="B813" s="12" t="n"/>
      <c r="C813" s="12" t="n"/>
      <c r="D813" s="14" t="n"/>
      <c r="E813" s="14" t="n"/>
      <c r="F813" s="14" t="n"/>
      <c r="G813" s="12" t="n"/>
      <c r="H813" s="15" t="n"/>
      <c r="I813" s="15" t="n"/>
    </row>
    <row r="814">
      <c r="A814" s="17" t="n"/>
      <c r="B814" s="17" t="n"/>
      <c r="C814" s="17" t="n"/>
      <c r="D814" s="19" t="n"/>
      <c r="E814" s="19" t="n"/>
      <c r="F814" s="19" t="n"/>
      <c r="G814" s="17" t="n"/>
      <c r="H814" s="20" t="n"/>
      <c r="I814" s="20" t="n"/>
    </row>
    <row r="815">
      <c r="A815" s="12" t="n"/>
      <c r="B815" s="12" t="n"/>
      <c r="C815" s="12" t="n"/>
      <c r="D815" s="14" t="n"/>
      <c r="E815" s="14" t="n"/>
      <c r="F815" s="14" t="n"/>
      <c r="G815" s="12" t="n"/>
      <c r="H815" s="15" t="n"/>
      <c r="I815" s="15" t="n"/>
    </row>
    <row r="816">
      <c r="A816" s="17" t="n"/>
      <c r="B816" s="17" t="n"/>
      <c r="C816" s="17" t="n"/>
      <c r="D816" s="19" t="n"/>
      <c r="E816" s="19" t="n"/>
      <c r="F816" s="19" t="n"/>
      <c r="G816" s="17" t="n"/>
      <c r="H816" s="20" t="n"/>
      <c r="I816" s="20" t="n"/>
    </row>
    <row r="817">
      <c r="A817" s="12" t="n"/>
      <c r="B817" s="12" t="n"/>
      <c r="C817" s="12" t="n"/>
      <c r="D817" s="14" t="n"/>
      <c r="E817" s="14" t="n"/>
      <c r="F817" s="14" t="n"/>
      <c r="G817" s="12" t="n"/>
      <c r="H817" s="15" t="n"/>
      <c r="I817" s="15" t="n"/>
    </row>
    <row r="818">
      <c r="A818" s="17" t="n"/>
      <c r="B818" s="17" t="n"/>
      <c r="C818" s="17" t="n"/>
      <c r="D818" s="19" t="n"/>
      <c r="E818" s="19" t="n"/>
      <c r="F818" s="19" t="n"/>
      <c r="G818" s="17" t="n"/>
      <c r="H818" s="20" t="n"/>
      <c r="I818" s="20" t="n"/>
    </row>
    <row r="819">
      <c r="A819" s="12" t="n"/>
      <c r="B819" s="12" t="n"/>
      <c r="C819" s="12" t="n"/>
      <c r="D819" s="14" t="n"/>
      <c r="E819" s="14" t="n"/>
      <c r="F819" s="14" t="n"/>
      <c r="G819" s="12" t="n"/>
      <c r="H819" s="15" t="n"/>
      <c r="I819" s="15" t="n"/>
    </row>
    <row r="820">
      <c r="A820" s="17" t="n"/>
      <c r="B820" s="17" t="n"/>
      <c r="C820" s="17" t="n"/>
      <c r="D820" s="19" t="n"/>
      <c r="E820" s="19" t="n"/>
      <c r="F820" s="19" t="n"/>
      <c r="G820" s="17" t="n"/>
      <c r="H820" s="20" t="n"/>
      <c r="I820" s="20" t="n"/>
    </row>
    <row r="821">
      <c r="A821" s="12" t="n"/>
      <c r="B821" s="12" t="n"/>
      <c r="C821" s="12" t="n"/>
      <c r="D821" s="14" t="n"/>
      <c r="E821" s="14" t="n"/>
      <c r="F821" s="14" t="n"/>
      <c r="G821" s="12" t="n"/>
      <c r="H821" s="15" t="n"/>
      <c r="I821" s="15" t="n"/>
    </row>
    <row r="822">
      <c r="A822" s="17" t="n"/>
      <c r="B822" s="17" t="n"/>
      <c r="C822" s="17" t="n"/>
      <c r="D822" s="19" t="n"/>
      <c r="E822" s="19" t="n"/>
      <c r="F822" s="19" t="n"/>
      <c r="G822" s="17" t="n"/>
      <c r="H822" s="20" t="n"/>
      <c r="I822" s="20" t="n"/>
    </row>
    <row r="823">
      <c r="A823" s="12" t="n"/>
      <c r="B823" s="12" t="n"/>
      <c r="C823" s="12" t="n"/>
      <c r="D823" s="14" t="n"/>
      <c r="E823" s="14" t="n"/>
      <c r="F823" s="14" t="n"/>
      <c r="G823" s="12" t="n"/>
      <c r="H823" s="15" t="n"/>
      <c r="I823" s="15" t="n"/>
    </row>
    <row r="824">
      <c r="A824" s="17" t="n"/>
      <c r="B824" s="17" t="n"/>
      <c r="C824" s="17" t="n"/>
      <c r="D824" s="19" t="n"/>
      <c r="E824" s="19" t="n"/>
      <c r="F824" s="19" t="n"/>
      <c r="G824" s="17" t="n"/>
      <c r="H824" s="20" t="n"/>
      <c r="I824" s="20" t="n"/>
    </row>
    <row r="825">
      <c r="A825" s="12" t="n"/>
      <c r="B825" s="12" t="n"/>
      <c r="C825" s="12" t="n"/>
      <c r="D825" s="14" t="n"/>
      <c r="E825" s="14" t="n"/>
      <c r="F825" s="14" t="n"/>
      <c r="G825" s="12" t="n"/>
      <c r="H825" s="15" t="n"/>
      <c r="I825" s="15" t="n"/>
    </row>
    <row r="826">
      <c r="A826" s="17" t="n"/>
      <c r="B826" s="17" t="n"/>
      <c r="C826" s="17" t="n"/>
      <c r="D826" s="19" t="n"/>
      <c r="E826" s="19" t="n"/>
      <c r="F826" s="19" t="n"/>
      <c r="G826" s="17" t="n"/>
      <c r="H826" s="20" t="n"/>
      <c r="I826" s="20" t="n"/>
    </row>
    <row r="827">
      <c r="A827" s="12" t="n"/>
      <c r="B827" s="12" t="n"/>
      <c r="C827" s="12" t="n"/>
      <c r="D827" s="14" t="n"/>
      <c r="E827" s="14" t="n"/>
      <c r="F827" s="14" t="n"/>
      <c r="G827" s="12" t="n"/>
      <c r="H827" s="15" t="n"/>
      <c r="I827" s="15" t="n"/>
    </row>
    <row r="828">
      <c r="A828" s="17" t="n"/>
      <c r="B828" s="17" t="n"/>
      <c r="C828" s="17" t="n"/>
      <c r="D828" s="19" t="n"/>
      <c r="E828" s="19" t="n"/>
      <c r="F828" s="19" t="n"/>
      <c r="G828" s="17" t="n"/>
      <c r="H828" s="20" t="n"/>
      <c r="I828" s="20" t="n"/>
    </row>
    <row r="829">
      <c r="A829" s="12" t="n"/>
      <c r="B829" s="12" t="n"/>
      <c r="C829" s="12" t="n"/>
      <c r="D829" s="14" t="n"/>
      <c r="E829" s="14" t="n"/>
      <c r="F829" s="14" t="n"/>
      <c r="G829" s="12" t="n"/>
      <c r="H829" s="15" t="n"/>
      <c r="I829" s="15" t="n"/>
    </row>
    <row r="830">
      <c r="A830" s="17" t="n"/>
      <c r="B830" s="17" t="n"/>
      <c r="C830" s="17" t="n"/>
      <c r="D830" s="19" t="n"/>
      <c r="E830" s="19" t="n"/>
      <c r="F830" s="19" t="n"/>
      <c r="G830" s="17" t="n"/>
      <c r="H830" s="20" t="n"/>
      <c r="I830" s="20" t="n"/>
    </row>
    <row r="831">
      <c r="A831" s="12" t="n"/>
      <c r="B831" s="12" t="n"/>
      <c r="C831" s="12" t="n"/>
      <c r="D831" s="14" t="n"/>
      <c r="E831" s="14" t="n"/>
      <c r="F831" s="14" t="n"/>
      <c r="G831" s="12" t="n"/>
      <c r="H831" s="15" t="n"/>
      <c r="I831" s="15" t="n"/>
    </row>
    <row r="832">
      <c r="A832" s="17" t="n"/>
      <c r="B832" s="17" t="n"/>
      <c r="C832" s="17" t="n"/>
      <c r="D832" s="19" t="n"/>
      <c r="E832" s="19" t="n"/>
      <c r="F832" s="19" t="n"/>
      <c r="G832" s="17" t="n"/>
      <c r="H832" s="20" t="n"/>
      <c r="I832" s="20" t="n"/>
    </row>
    <row r="833">
      <c r="A833" s="12" t="n"/>
      <c r="B833" s="12" t="n"/>
      <c r="C833" s="12" t="n"/>
      <c r="D833" s="14" t="n"/>
      <c r="E833" s="14" t="n"/>
      <c r="F833" s="14" t="n"/>
      <c r="G833" s="12" t="n"/>
      <c r="H833" s="15" t="n"/>
      <c r="I833" s="15" t="n"/>
    </row>
    <row r="834">
      <c r="A834" s="17" t="n"/>
      <c r="B834" s="17" t="n"/>
      <c r="C834" s="17" t="n"/>
      <c r="D834" s="19" t="n"/>
      <c r="E834" s="19" t="n"/>
      <c r="F834" s="19" t="n"/>
      <c r="G834" s="17" t="n"/>
      <c r="H834" s="20" t="n"/>
      <c r="I834" s="20" t="n"/>
    </row>
    <row r="835">
      <c r="A835" s="12" t="n"/>
      <c r="B835" s="12" t="n"/>
      <c r="C835" s="12" t="n"/>
      <c r="D835" s="14" t="n"/>
      <c r="E835" s="14" t="n"/>
      <c r="F835" s="14" t="n"/>
      <c r="G835" s="12" t="n"/>
      <c r="H835" s="15" t="n"/>
      <c r="I835" s="15" t="n"/>
    </row>
    <row r="836">
      <c r="A836" s="17" t="n"/>
      <c r="B836" s="17" t="n"/>
      <c r="C836" s="17" t="n"/>
      <c r="D836" s="19" t="n"/>
      <c r="E836" s="19" t="n"/>
      <c r="F836" s="19" t="n"/>
      <c r="G836" s="17" t="n"/>
      <c r="H836" s="20" t="n"/>
      <c r="I836" s="20" t="n"/>
    </row>
    <row r="837">
      <c r="A837" s="12" t="n"/>
      <c r="B837" s="12" t="n"/>
      <c r="C837" s="12" t="n"/>
      <c r="D837" s="14" t="n"/>
      <c r="E837" s="14" t="n"/>
      <c r="F837" s="14" t="n"/>
      <c r="G837" s="12" t="n"/>
      <c r="H837" s="15" t="n"/>
      <c r="I837" s="15" t="n"/>
    </row>
    <row r="838">
      <c r="A838" s="17" t="n"/>
      <c r="B838" s="17" t="n"/>
      <c r="C838" s="17" t="n"/>
      <c r="D838" s="19" t="n"/>
      <c r="E838" s="19" t="n"/>
      <c r="F838" s="19" t="n"/>
      <c r="G838" s="17" t="n"/>
      <c r="H838" s="20" t="n"/>
      <c r="I838" s="20" t="n"/>
    </row>
    <row r="839">
      <c r="A839" s="12" t="n"/>
      <c r="B839" s="12" t="n"/>
      <c r="C839" s="12" t="n"/>
      <c r="D839" s="14" t="n"/>
      <c r="E839" s="14" t="n"/>
      <c r="F839" s="14" t="n"/>
      <c r="G839" s="12" t="n"/>
      <c r="H839" s="15" t="n"/>
      <c r="I839" s="15" t="n"/>
    </row>
    <row r="840">
      <c r="A840" s="17" t="n"/>
      <c r="B840" s="17" t="n"/>
      <c r="C840" s="17" t="n"/>
      <c r="D840" s="19" t="n"/>
      <c r="E840" s="19" t="n"/>
      <c r="F840" s="19" t="n"/>
      <c r="G840" s="17" t="n"/>
      <c r="H840" s="20" t="n"/>
      <c r="I840" s="20" t="n"/>
    </row>
    <row r="841">
      <c r="A841" s="12" t="n"/>
      <c r="B841" s="12" t="n"/>
      <c r="C841" s="12" t="n"/>
      <c r="D841" s="14" t="n"/>
      <c r="E841" s="14" t="n"/>
      <c r="F841" s="14" t="n"/>
      <c r="G841" s="12" t="n"/>
      <c r="H841" s="15" t="n"/>
      <c r="I841" s="15" t="n"/>
    </row>
    <row r="842">
      <c r="A842" s="17" t="n"/>
      <c r="B842" s="17" t="n"/>
      <c r="C842" s="17" t="n"/>
      <c r="D842" s="19" t="n"/>
      <c r="E842" s="19" t="n"/>
      <c r="F842" s="19" t="n"/>
      <c r="G842" s="17" t="n"/>
      <c r="H842" s="20" t="n"/>
      <c r="I842" s="20" t="n"/>
    </row>
    <row r="843">
      <c r="A843" s="12" t="n"/>
      <c r="B843" s="12" t="n"/>
      <c r="C843" s="12" t="n"/>
      <c r="D843" s="14" t="n"/>
      <c r="E843" s="14" t="n"/>
      <c r="F843" s="14" t="n"/>
      <c r="G843" s="12" t="n"/>
      <c r="H843" s="15" t="n"/>
      <c r="I843" s="15" t="n"/>
    </row>
    <row r="844">
      <c r="A844" s="17" t="n"/>
      <c r="B844" s="17" t="n"/>
      <c r="C844" s="17" t="n"/>
      <c r="D844" s="19" t="n"/>
      <c r="E844" s="19" t="n"/>
      <c r="F844" s="19" t="n"/>
      <c r="G844" s="17" t="n"/>
      <c r="H844" s="20" t="n"/>
      <c r="I844" s="20" t="n"/>
    </row>
    <row r="845">
      <c r="A845" s="12" t="n"/>
      <c r="B845" s="12" t="n"/>
      <c r="C845" s="12" t="n"/>
      <c r="D845" s="14" t="n"/>
      <c r="E845" s="14" t="n"/>
      <c r="F845" s="14" t="n"/>
      <c r="G845" s="12" t="n"/>
      <c r="H845" s="15" t="n"/>
      <c r="I845" s="15" t="n"/>
    </row>
    <row r="846">
      <c r="A846" s="17" t="n"/>
      <c r="B846" s="17" t="n"/>
      <c r="C846" s="17" t="n"/>
      <c r="D846" s="19" t="n"/>
      <c r="E846" s="19" t="n"/>
      <c r="F846" s="19" t="n"/>
      <c r="G846" s="17" t="n"/>
      <c r="H846" s="20" t="n"/>
      <c r="I846" s="20" t="n"/>
    </row>
    <row r="847">
      <c r="A847" s="12" t="n"/>
      <c r="B847" s="12" t="n"/>
      <c r="C847" s="12" t="n"/>
      <c r="D847" s="14" t="n"/>
      <c r="E847" s="14" t="n"/>
      <c r="F847" s="14" t="n"/>
      <c r="G847" s="12" t="n"/>
      <c r="H847" s="15" t="n"/>
      <c r="I847" s="15" t="n"/>
    </row>
    <row r="848">
      <c r="A848" s="17" t="n"/>
      <c r="B848" s="17" t="n"/>
      <c r="C848" s="17" t="n"/>
      <c r="D848" s="19" t="n"/>
      <c r="E848" s="19" t="n"/>
      <c r="F848" s="19" t="n"/>
      <c r="G848" s="17" t="n"/>
      <c r="H848" s="20" t="n"/>
      <c r="I848" s="20" t="n"/>
    </row>
    <row r="849">
      <c r="A849" s="12" t="n"/>
      <c r="B849" s="12" t="n"/>
      <c r="C849" s="12" t="n"/>
      <c r="D849" s="14" t="n"/>
      <c r="E849" s="14" t="n"/>
      <c r="F849" s="14" t="n"/>
      <c r="G849" s="12" t="n"/>
      <c r="H849" s="15" t="n"/>
      <c r="I849" s="15" t="n"/>
    </row>
    <row r="850">
      <c r="A850" s="17" t="n"/>
      <c r="B850" s="17" t="n"/>
      <c r="C850" s="17" t="n"/>
      <c r="D850" s="19" t="n"/>
      <c r="E850" s="19" t="n"/>
      <c r="F850" s="19" t="n"/>
      <c r="G850" s="17" t="n"/>
      <c r="H850" s="20" t="n"/>
      <c r="I850" s="20" t="n"/>
    </row>
    <row r="851">
      <c r="A851" s="12" t="n"/>
      <c r="B851" s="12" t="n"/>
      <c r="C851" s="12" t="n"/>
      <c r="D851" s="14" t="n"/>
      <c r="E851" s="14" t="n"/>
      <c r="F851" s="14" t="n"/>
      <c r="G851" s="12" t="n"/>
      <c r="H851" s="15" t="n"/>
      <c r="I851" s="15" t="n"/>
    </row>
    <row r="852">
      <c r="A852" s="17" t="n"/>
      <c r="B852" s="17" t="n"/>
      <c r="C852" s="17" t="n"/>
      <c r="D852" s="19" t="n"/>
      <c r="E852" s="19" t="n"/>
      <c r="F852" s="19" t="n"/>
      <c r="G852" s="17" t="n"/>
      <c r="H852" s="20" t="n"/>
      <c r="I852" s="20" t="n"/>
    </row>
    <row r="853">
      <c r="A853" s="12" t="n"/>
      <c r="B853" s="12" t="n"/>
      <c r="C853" s="12" t="n"/>
      <c r="D853" s="14" t="n"/>
      <c r="E853" s="14" t="n"/>
      <c r="F853" s="14" t="n"/>
      <c r="G853" s="12" t="n"/>
      <c r="H853" s="15" t="n"/>
      <c r="I853" s="15" t="n"/>
    </row>
    <row r="854">
      <c r="A854" s="17" t="n"/>
      <c r="B854" s="17" t="n"/>
      <c r="C854" s="17" t="n"/>
      <c r="D854" s="19" t="n"/>
      <c r="E854" s="19" t="n"/>
      <c r="F854" s="19" t="n"/>
      <c r="G854" s="17" t="n"/>
      <c r="H854" s="20" t="n"/>
      <c r="I854" s="20" t="n"/>
    </row>
    <row r="855">
      <c r="A855" s="12" t="n"/>
      <c r="B855" s="12" t="n"/>
      <c r="C855" s="12" t="n"/>
      <c r="D855" s="14" t="n"/>
      <c r="E855" s="14" t="n"/>
      <c r="F855" s="14" t="n"/>
      <c r="G855" s="12" t="n"/>
      <c r="H855" s="15" t="n"/>
      <c r="I855" s="15" t="n"/>
    </row>
    <row r="856">
      <c r="A856" s="17" t="n"/>
      <c r="B856" s="17" t="n"/>
      <c r="C856" s="17" t="n"/>
      <c r="D856" s="19" t="n"/>
      <c r="E856" s="19" t="n"/>
      <c r="F856" s="19" t="n"/>
      <c r="G856" s="17" t="n"/>
      <c r="H856" s="20" t="n"/>
      <c r="I856" s="20" t="n"/>
    </row>
    <row r="857">
      <c r="A857" s="12" t="n"/>
      <c r="B857" s="12" t="n"/>
      <c r="C857" s="12" t="n"/>
      <c r="D857" s="14" t="n"/>
      <c r="E857" s="14" t="n"/>
      <c r="F857" s="14" t="n"/>
      <c r="G857" s="12" t="n"/>
      <c r="H857" s="15" t="n"/>
      <c r="I857" s="15" t="n"/>
    </row>
    <row r="858">
      <c r="A858" s="17" t="n"/>
      <c r="B858" s="17" t="n"/>
      <c r="C858" s="17" t="n"/>
      <c r="D858" s="19" t="n"/>
      <c r="E858" s="19" t="n"/>
      <c r="F858" s="19" t="n"/>
      <c r="G858" s="17" t="n"/>
      <c r="H858" s="20" t="n"/>
      <c r="I858" s="20" t="n"/>
    </row>
    <row r="859">
      <c r="A859" s="12" t="n"/>
      <c r="B859" s="12" t="n"/>
      <c r="C859" s="12" t="n"/>
      <c r="D859" s="14" t="n"/>
      <c r="E859" s="14" t="n"/>
      <c r="F859" s="14" t="n"/>
      <c r="G859" s="12" t="n"/>
      <c r="H859" s="15" t="n"/>
      <c r="I859" s="15" t="n"/>
    </row>
    <row r="860">
      <c r="A860" s="17" t="n"/>
      <c r="B860" s="17" t="n"/>
      <c r="C860" s="17" t="n"/>
      <c r="D860" s="19" t="n"/>
      <c r="E860" s="19" t="n"/>
      <c r="F860" s="19" t="n"/>
      <c r="G860" s="17" t="n"/>
      <c r="H860" s="20" t="n"/>
      <c r="I860" s="20" t="n"/>
    </row>
    <row r="861">
      <c r="A861" s="12" t="n"/>
      <c r="B861" s="12" t="n"/>
      <c r="C861" s="12" t="n"/>
      <c r="D861" s="14" t="n"/>
      <c r="E861" s="14" t="n"/>
      <c r="F861" s="14" t="n"/>
      <c r="G861" s="12" t="n"/>
      <c r="H861" s="15" t="n"/>
      <c r="I861" s="15" t="n"/>
    </row>
    <row r="862">
      <c r="A862" s="17" t="n"/>
      <c r="B862" s="17" t="n"/>
      <c r="C862" s="17" t="n"/>
      <c r="D862" s="19" t="n"/>
      <c r="E862" s="19" t="n"/>
      <c r="F862" s="19" t="n"/>
      <c r="G862" s="17" t="n"/>
      <c r="H862" s="20" t="n"/>
      <c r="I862" s="20" t="n"/>
    </row>
    <row r="863">
      <c r="A863" s="12" t="n"/>
      <c r="B863" s="12" t="n"/>
      <c r="C863" s="12" t="n"/>
      <c r="D863" s="14" t="n"/>
      <c r="E863" s="14" t="n"/>
      <c r="F863" s="14" t="n"/>
      <c r="G863" s="12" t="n"/>
      <c r="H863" s="15" t="n"/>
      <c r="I863" s="15" t="n"/>
    </row>
    <row r="864">
      <c r="A864" s="17" t="n"/>
      <c r="B864" s="17" t="n"/>
      <c r="C864" s="17" t="n"/>
      <c r="D864" s="19" t="n"/>
      <c r="E864" s="19" t="n"/>
      <c r="F864" s="19" t="n"/>
      <c r="G864" s="17" t="n"/>
      <c r="H864" s="20" t="n"/>
      <c r="I864" s="20" t="n"/>
    </row>
    <row r="865">
      <c r="A865" s="12" t="n"/>
      <c r="B865" s="12" t="n"/>
      <c r="C865" s="12" t="n"/>
      <c r="D865" s="14" t="n"/>
      <c r="E865" s="14" t="n"/>
      <c r="F865" s="14" t="n"/>
      <c r="G865" s="12" t="n"/>
      <c r="H865" s="15" t="n"/>
      <c r="I865" s="15" t="n"/>
    </row>
    <row r="866">
      <c r="A866" s="17" t="n"/>
      <c r="B866" s="17" t="n"/>
      <c r="C866" s="17" t="n"/>
      <c r="D866" s="19" t="n"/>
      <c r="E866" s="19" t="n"/>
      <c r="F866" s="19" t="n"/>
      <c r="G866" s="17" t="n"/>
      <c r="H866" s="20" t="n"/>
      <c r="I866" s="20" t="n"/>
    </row>
    <row r="867">
      <c r="A867" s="12" t="n"/>
      <c r="B867" s="12" t="n"/>
      <c r="C867" s="12" t="n"/>
      <c r="D867" s="14" t="n"/>
      <c r="E867" s="14" t="n"/>
      <c r="F867" s="14" t="n"/>
      <c r="G867" s="12" t="n"/>
      <c r="H867" s="15" t="n"/>
      <c r="I867" s="15" t="n"/>
    </row>
    <row r="868">
      <c r="A868" s="17" t="n"/>
      <c r="B868" s="17" t="n"/>
      <c r="C868" s="17" t="n"/>
      <c r="D868" s="19" t="n"/>
      <c r="E868" s="19" t="n"/>
      <c r="F868" s="19" t="n"/>
      <c r="G868" s="17" t="n"/>
      <c r="H868" s="20" t="n"/>
      <c r="I868" s="20" t="n"/>
    </row>
    <row r="869">
      <c r="A869" s="12" t="n"/>
      <c r="B869" s="12" t="n"/>
      <c r="C869" s="12" t="n"/>
      <c r="D869" s="14" t="n"/>
      <c r="E869" s="14" t="n"/>
      <c r="F869" s="14" t="n"/>
      <c r="G869" s="12" t="n"/>
      <c r="H869" s="15" t="n"/>
      <c r="I869" s="15" t="n"/>
    </row>
    <row r="870">
      <c r="A870" s="17" t="n"/>
      <c r="B870" s="17" t="n"/>
      <c r="C870" s="17" t="n"/>
      <c r="D870" s="19" t="n"/>
      <c r="E870" s="19" t="n"/>
      <c r="F870" s="19" t="n"/>
      <c r="G870" s="17" t="n"/>
      <c r="H870" s="20" t="n"/>
      <c r="I870" s="20" t="n"/>
    </row>
    <row r="871">
      <c r="A871" s="12" t="n"/>
      <c r="B871" s="12" t="n"/>
      <c r="C871" s="12" t="n"/>
      <c r="D871" s="14" t="n"/>
      <c r="E871" s="14" t="n"/>
      <c r="F871" s="14" t="n"/>
      <c r="G871" s="12" t="n"/>
      <c r="H871" s="15" t="n"/>
      <c r="I871" s="15" t="n"/>
    </row>
    <row r="872">
      <c r="A872" s="17" t="n"/>
      <c r="B872" s="17" t="n"/>
      <c r="C872" s="17" t="n"/>
      <c r="D872" s="19" t="n"/>
      <c r="E872" s="19" t="n"/>
      <c r="F872" s="19" t="n"/>
      <c r="G872" s="17" t="n"/>
      <c r="H872" s="20" t="n"/>
      <c r="I872" s="20" t="n"/>
    </row>
    <row r="873">
      <c r="A873" s="12" t="n"/>
      <c r="B873" s="12" t="n"/>
      <c r="C873" s="12" t="n"/>
      <c r="D873" s="14" t="n"/>
      <c r="E873" s="14" t="n"/>
      <c r="F873" s="14" t="n"/>
      <c r="G873" s="12" t="n"/>
      <c r="H873" s="15" t="n"/>
      <c r="I873" s="15" t="n"/>
    </row>
    <row r="874">
      <c r="A874" s="17" t="n"/>
      <c r="B874" s="17" t="n"/>
      <c r="C874" s="17" t="n"/>
      <c r="D874" s="19" t="n"/>
      <c r="E874" s="19" t="n"/>
      <c r="F874" s="19" t="n"/>
      <c r="G874" s="17" t="n"/>
      <c r="H874" s="20" t="n"/>
      <c r="I874" s="20" t="n"/>
    </row>
    <row r="875">
      <c r="A875" s="12" t="n"/>
      <c r="B875" s="12" t="n"/>
      <c r="C875" s="12" t="n"/>
      <c r="D875" s="14" t="n"/>
      <c r="E875" s="14" t="n"/>
      <c r="F875" s="14" t="n"/>
      <c r="G875" s="12" t="n"/>
      <c r="H875" s="15" t="n"/>
      <c r="I875" s="15" t="n"/>
    </row>
    <row r="876">
      <c r="A876" s="17" t="n"/>
      <c r="B876" s="17" t="n"/>
      <c r="C876" s="17" t="n"/>
      <c r="D876" s="19" t="n"/>
      <c r="E876" s="19" t="n"/>
      <c r="F876" s="19" t="n"/>
      <c r="G876" s="17" t="n"/>
      <c r="H876" s="20" t="n"/>
      <c r="I876" s="20" t="n"/>
    </row>
    <row r="877">
      <c r="A877" s="12" t="n"/>
      <c r="B877" s="12" t="n"/>
      <c r="C877" s="12" t="n"/>
      <c r="D877" s="14" t="n"/>
      <c r="E877" s="14" t="n"/>
      <c r="F877" s="14" t="n"/>
      <c r="G877" s="12" t="n"/>
      <c r="H877" s="15" t="n"/>
      <c r="I877" s="15" t="n"/>
    </row>
    <row r="878">
      <c r="A878" s="17" t="n"/>
      <c r="B878" s="17" t="n"/>
      <c r="C878" s="17" t="n"/>
      <c r="D878" s="19" t="n"/>
      <c r="E878" s="19" t="n"/>
      <c r="F878" s="19" t="n"/>
      <c r="G878" s="17" t="n"/>
      <c r="H878" s="20" t="n"/>
      <c r="I878" s="20" t="n"/>
    </row>
    <row r="879">
      <c r="A879" s="12" t="n"/>
      <c r="B879" s="12" t="n"/>
      <c r="C879" s="12" t="n"/>
      <c r="D879" s="14" t="n"/>
      <c r="E879" s="14" t="n"/>
      <c r="F879" s="14" t="n"/>
      <c r="G879" s="12" t="n"/>
      <c r="H879" s="15" t="n"/>
      <c r="I879" s="15" t="n"/>
    </row>
    <row r="880">
      <c r="A880" s="17" t="n"/>
      <c r="B880" s="17" t="n"/>
      <c r="C880" s="17" t="n"/>
      <c r="D880" s="19" t="n"/>
      <c r="E880" s="19" t="n"/>
      <c r="F880" s="19" t="n"/>
      <c r="G880" s="17" t="n"/>
      <c r="H880" s="20" t="n"/>
      <c r="I880" s="20" t="n"/>
    </row>
    <row r="881">
      <c r="A881" s="12" t="n"/>
      <c r="B881" s="12" t="n"/>
      <c r="C881" s="12" t="n"/>
      <c r="D881" s="14" t="n"/>
      <c r="E881" s="14" t="n"/>
      <c r="F881" s="14" t="n"/>
      <c r="G881" s="12" t="n"/>
      <c r="H881" s="15" t="n"/>
      <c r="I881" s="15" t="n"/>
    </row>
    <row r="882">
      <c r="A882" s="17" t="n"/>
      <c r="B882" s="17" t="n"/>
      <c r="C882" s="17" t="n"/>
      <c r="D882" s="19" t="n"/>
      <c r="E882" s="19" t="n"/>
      <c r="F882" s="19" t="n"/>
      <c r="G882" s="17" t="n"/>
      <c r="H882" s="20" t="n"/>
      <c r="I882" s="20" t="n"/>
    </row>
    <row r="883">
      <c r="A883" s="12" t="n"/>
      <c r="B883" s="12" t="n"/>
      <c r="C883" s="12" t="n"/>
      <c r="D883" s="14" t="n"/>
      <c r="E883" s="14" t="n"/>
      <c r="F883" s="14" t="n"/>
      <c r="G883" s="12" t="n"/>
      <c r="H883" s="15" t="n"/>
      <c r="I883" s="15" t="n"/>
    </row>
    <row r="884">
      <c r="A884" s="17" t="n"/>
      <c r="B884" s="17" t="n"/>
      <c r="C884" s="17" t="n"/>
      <c r="D884" s="19" t="n"/>
      <c r="E884" s="19" t="n"/>
      <c r="F884" s="19" t="n"/>
      <c r="G884" s="17" t="n"/>
      <c r="H884" s="20" t="n"/>
      <c r="I884" s="20" t="n"/>
    </row>
    <row r="885">
      <c r="A885" s="12" t="n"/>
      <c r="B885" s="12" t="n"/>
      <c r="C885" s="12" t="n"/>
      <c r="D885" s="14" t="n"/>
      <c r="E885" s="14" t="n"/>
      <c r="F885" s="14" t="n"/>
      <c r="G885" s="12" t="n"/>
      <c r="H885" s="15" t="n"/>
      <c r="I885" s="15" t="n"/>
    </row>
    <row r="886">
      <c r="A886" s="17" t="n"/>
      <c r="B886" s="17" t="n"/>
      <c r="C886" s="17" t="n"/>
      <c r="D886" s="19" t="n"/>
      <c r="E886" s="19" t="n"/>
      <c r="F886" s="19" t="n"/>
      <c r="G886" s="17" t="n"/>
      <c r="H886" s="20" t="n"/>
      <c r="I886" s="20" t="n"/>
    </row>
    <row r="887">
      <c r="A887" s="12" t="n"/>
      <c r="B887" s="12" t="n"/>
      <c r="C887" s="12" t="n"/>
      <c r="D887" s="14" t="n"/>
      <c r="E887" s="14" t="n"/>
      <c r="F887" s="14" t="n"/>
      <c r="G887" s="12" t="n"/>
      <c r="H887" s="15" t="n"/>
      <c r="I887" s="15" t="n"/>
    </row>
    <row r="888">
      <c r="A888" s="17" t="n"/>
      <c r="B888" s="17" t="n"/>
      <c r="C888" s="17" t="n"/>
      <c r="D888" s="19" t="n"/>
      <c r="E888" s="19" t="n"/>
      <c r="F888" s="19" t="n"/>
      <c r="G888" s="17" t="n"/>
      <c r="H888" s="20" t="n"/>
      <c r="I888" s="20" t="n"/>
    </row>
    <row r="889">
      <c r="A889" s="12" t="n"/>
      <c r="B889" s="12" t="n"/>
      <c r="C889" s="12" t="n"/>
      <c r="D889" s="14" t="n"/>
      <c r="E889" s="14" t="n"/>
      <c r="F889" s="14" t="n"/>
      <c r="G889" s="12" t="n"/>
      <c r="H889" s="15" t="n"/>
      <c r="I889" s="15" t="n"/>
    </row>
    <row r="890">
      <c r="A890" s="17" t="n"/>
      <c r="B890" s="17" t="n"/>
      <c r="C890" s="17" t="n"/>
      <c r="D890" s="19" t="n"/>
      <c r="E890" s="19" t="n"/>
      <c r="F890" s="19" t="n"/>
      <c r="G890" s="17" t="n"/>
      <c r="H890" s="20" t="n"/>
      <c r="I890" s="20" t="n"/>
    </row>
    <row r="891">
      <c r="A891" s="12" t="n"/>
      <c r="B891" s="12" t="n"/>
      <c r="C891" s="12" t="n"/>
      <c r="D891" s="14" t="n"/>
      <c r="E891" s="14" t="n"/>
      <c r="F891" s="14" t="n"/>
      <c r="G891" s="12" t="n"/>
      <c r="H891" s="15" t="n"/>
      <c r="I891" s="15" t="n"/>
    </row>
    <row r="892">
      <c r="A892" s="17" t="n"/>
      <c r="B892" s="17" t="n"/>
      <c r="C892" s="17" t="n"/>
      <c r="D892" s="19" t="n"/>
      <c r="E892" s="19" t="n"/>
      <c r="F892" s="19" t="n"/>
      <c r="G892" s="17" t="n"/>
      <c r="H892" s="20" t="n"/>
      <c r="I892" s="20" t="n"/>
    </row>
    <row r="893">
      <c r="A893" s="12" t="n"/>
      <c r="B893" s="12" t="n"/>
      <c r="C893" s="12" t="n"/>
      <c r="D893" s="14" t="n"/>
      <c r="E893" s="14" t="n"/>
      <c r="F893" s="14" t="n"/>
      <c r="G893" s="12" t="n"/>
      <c r="H893" s="15" t="n"/>
      <c r="I893" s="15" t="n"/>
    </row>
    <row r="894">
      <c r="A894" s="17" t="n"/>
      <c r="B894" s="17" t="n"/>
      <c r="C894" s="17" t="n"/>
      <c r="D894" s="19" t="n"/>
      <c r="E894" s="19" t="n"/>
      <c r="F894" s="19" t="n"/>
      <c r="G894" s="17" t="n"/>
      <c r="H894" s="20" t="n"/>
      <c r="I894" s="20" t="n"/>
    </row>
    <row r="895">
      <c r="A895" s="12" t="n"/>
      <c r="B895" s="12" t="n"/>
      <c r="C895" s="12" t="n"/>
      <c r="D895" s="14" t="n"/>
      <c r="E895" s="14" t="n"/>
      <c r="F895" s="14" t="n"/>
      <c r="G895" s="12" t="n"/>
      <c r="H895" s="15" t="n"/>
      <c r="I895" s="15" t="n"/>
    </row>
    <row r="896">
      <c r="A896" s="17" t="n"/>
      <c r="B896" s="17" t="n"/>
      <c r="C896" s="17" t="n"/>
      <c r="D896" s="19" t="n"/>
      <c r="E896" s="19" t="n"/>
      <c r="F896" s="19" t="n"/>
      <c r="G896" s="17" t="n"/>
      <c r="H896" s="20" t="n"/>
      <c r="I896" s="20" t="n"/>
    </row>
    <row r="897">
      <c r="A897" s="12" t="n"/>
      <c r="B897" s="12" t="n"/>
      <c r="C897" s="12" t="n"/>
      <c r="D897" s="14" t="n"/>
      <c r="E897" s="14" t="n"/>
      <c r="F897" s="14" t="n"/>
      <c r="G897" s="12" t="n"/>
      <c r="H897" s="15" t="n"/>
      <c r="I897" s="15" t="n"/>
    </row>
    <row r="898">
      <c r="A898" s="17" t="n"/>
      <c r="B898" s="17" t="n"/>
      <c r="C898" s="17" t="n"/>
      <c r="D898" s="19" t="n"/>
      <c r="E898" s="19" t="n"/>
      <c r="F898" s="19" t="n"/>
      <c r="G898" s="17" t="n"/>
      <c r="H898" s="20" t="n"/>
      <c r="I898" s="20" t="n"/>
    </row>
    <row r="899">
      <c r="A899" s="12" t="n"/>
      <c r="B899" s="12" t="n"/>
      <c r="C899" s="12" t="n"/>
      <c r="D899" s="14" t="n"/>
      <c r="E899" s="14" t="n"/>
      <c r="F899" s="14" t="n"/>
      <c r="G899" s="12" t="n"/>
      <c r="H899" s="15" t="n"/>
      <c r="I899" s="15" t="n"/>
    </row>
    <row r="900">
      <c r="A900" s="17" t="n"/>
      <c r="B900" s="17" t="n"/>
      <c r="C900" s="17" t="n"/>
      <c r="D900" s="19" t="n"/>
      <c r="E900" s="19" t="n"/>
      <c r="F900" s="19" t="n"/>
      <c r="G900" s="17" t="n"/>
      <c r="H900" s="20" t="n"/>
      <c r="I900" s="20" t="n"/>
    </row>
    <row r="901">
      <c r="A901" s="12" t="n"/>
      <c r="B901" s="12" t="n"/>
      <c r="C901" s="12" t="n"/>
      <c r="D901" s="14" t="n"/>
      <c r="E901" s="14" t="n"/>
      <c r="F901" s="14" t="n"/>
      <c r="G901" s="12" t="n"/>
      <c r="H901" s="15" t="n"/>
      <c r="I901" s="15" t="n"/>
    </row>
    <row r="902">
      <c r="A902" s="17" t="n"/>
      <c r="B902" s="17" t="n"/>
      <c r="C902" s="17" t="n"/>
      <c r="D902" s="19" t="n"/>
      <c r="E902" s="19" t="n"/>
      <c r="F902" s="19" t="n"/>
      <c r="G902" s="17" t="n"/>
      <c r="H902" s="20" t="n"/>
      <c r="I902" s="20" t="n"/>
    </row>
    <row r="903">
      <c r="A903" s="12" t="n"/>
      <c r="B903" s="12" t="n"/>
      <c r="C903" s="12" t="n"/>
      <c r="D903" s="14" t="n"/>
      <c r="E903" s="14" t="n"/>
      <c r="F903" s="14" t="n"/>
      <c r="G903" s="12" t="n"/>
      <c r="H903" s="15" t="n"/>
      <c r="I903" s="15" t="n"/>
    </row>
    <row r="904">
      <c r="A904" s="17" t="n"/>
      <c r="B904" s="17" t="n"/>
      <c r="C904" s="17" t="n"/>
      <c r="D904" s="19" t="n"/>
      <c r="E904" s="19" t="n"/>
      <c r="F904" s="19" t="n"/>
      <c r="G904" s="17" t="n"/>
      <c r="H904" s="20" t="n"/>
      <c r="I904" s="20" t="n"/>
    </row>
    <row r="905">
      <c r="A905" s="12" t="n"/>
      <c r="B905" s="12" t="n"/>
      <c r="C905" s="12" t="n"/>
      <c r="D905" s="14" t="n"/>
      <c r="E905" s="14" t="n"/>
      <c r="F905" s="14" t="n"/>
      <c r="G905" s="12" t="n"/>
      <c r="H905" s="15" t="n"/>
      <c r="I905" s="15" t="n"/>
    </row>
    <row r="906">
      <c r="A906" s="17" t="n"/>
      <c r="B906" s="17" t="n"/>
      <c r="C906" s="17" t="n"/>
      <c r="D906" s="19" t="n"/>
      <c r="E906" s="19" t="n"/>
      <c r="F906" s="19" t="n"/>
      <c r="G906" s="17" t="n"/>
      <c r="H906" s="20" t="n"/>
      <c r="I906" s="20" t="n"/>
    </row>
    <row r="907">
      <c r="A907" s="12" t="n"/>
      <c r="B907" s="12" t="n"/>
      <c r="C907" s="12" t="n"/>
      <c r="D907" s="14" t="n"/>
      <c r="E907" s="14" t="n"/>
      <c r="F907" s="14" t="n"/>
      <c r="G907" s="12" t="n"/>
      <c r="H907" s="15" t="n"/>
      <c r="I907" s="15" t="n"/>
    </row>
    <row r="908">
      <c r="A908" s="17" t="n"/>
      <c r="B908" s="17" t="n"/>
      <c r="C908" s="17" t="n"/>
      <c r="D908" s="19" t="n"/>
      <c r="E908" s="19" t="n"/>
      <c r="F908" s="19" t="n"/>
      <c r="G908" s="17" t="n"/>
      <c r="H908" s="20" t="n"/>
      <c r="I908" s="20" t="n"/>
    </row>
    <row r="909">
      <c r="A909" s="12" t="n"/>
      <c r="B909" s="12" t="n"/>
      <c r="C909" s="12" t="n"/>
      <c r="D909" s="14" t="n"/>
      <c r="E909" s="14" t="n"/>
      <c r="F909" s="14" t="n"/>
      <c r="G909" s="12" t="n"/>
      <c r="H909" s="15" t="n"/>
      <c r="I909" s="15" t="n"/>
    </row>
    <row r="910">
      <c r="A910" s="17" t="n"/>
      <c r="B910" s="17" t="n"/>
      <c r="C910" s="17" t="n"/>
      <c r="D910" s="19" t="n"/>
      <c r="E910" s="19" t="n"/>
      <c r="F910" s="19" t="n"/>
      <c r="G910" s="17" t="n"/>
      <c r="H910" s="20" t="n"/>
      <c r="I910" s="20" t="n"/>
    </row>
    <row r="911">
      <c r="A911" s="12" t="n"/>
      <c r="B911" s="12" t="n"/>
      <c r="C911" s="12" t="n"/>
      <c r="D911" s="14" t="n"/>
      <c r="E911" s="14" t="n"/>
      <c r="F911" s="14" t="n"/>
      <c r="G911" s="12" t="n"/>
      <c r="H911" s="15" t="n"/>
      <c r="I911" s="15" t="n"/>
    </row>
    <row r="912">
      <c r="A912" s="17" t="n"/>
      <c r="B912" s="17" t="n"/>
      <c r="C912" s="17" t="n"/>
      <c r="D912" s="19" t="n"/>
      <c r="E912" s="19" t="n"/>
      <c r="F912" s="19" t="n"/>
      <c r="G912" s="17" t="n"/>
      <c r="H912" s="20" t="n"/>
      <c r="I912" s="20" t="n"/>
    </row>
    <row r="913">
      <c r="A913" s="12" t="n"/>
      <c r="B913" s="12" t="n"/>
      <c r="C913" s="12" t="n"/>
      <c r="D913" s="14" t="n"/>
      <c r="E913" s="14" t="n"/>
      <c r="F913" s="14" t="n"/>
      <c r="G913" s="12" t="n"/>
      <c r="H913" s="15" t="n"/>
      <c r="I913" s="15" t="n"/>
    </row>
    <row r="914">
      <c r="A914" s="17" t="n"/>
      <c r="B914" s="17" t="n"/>
      <c r="C914" s="17" t="n"/>
      <c r="D914" s="19" t="n"/>
      <c r="E914" s="19" t="n"/>
      <c r="F914" s="19" t="n"/>
      <c r="G914" s="17" t="n"/>
      <c r="H914" s="20" t="n"/>
      <c r="I914" s="20" t="n"/>
    </row>
    <row r="915">
      <c r="A915" s="12" t="n"/>
      <c r="B915" s="12" t="n"/>
      <c r="C915" s="12" t="n"/>
      <c r="D915" s="14" t="n"/>
      <c r="E915" s="14" t="n"/>
      <c r="F915" s="14" t="n"/>
      <c r="G915" s="12" t="n"/>
      <c r="H915" s="15" t="n"/>
      <c r="I915" s="15" t="n"/>
    </row>
    <row r="916">
      <c r="A916" s="17" t="n"/>
      <c r="B916" s="17" t="n"/>
      <c r="C916" s="17" t="n"/>
      <c r="D916" s="19" t="n"/>
      <c r="E916" s="19" t="n"/>
      <c r="F916" s="19" t="n"/>
      <c r="G916" s="17" t="n"/>
      <c r="H916" s="20" t="n"/>
      <c r="I916" s="20" t="n"/>
    </row>
    <row r="917">
      <c r="A917" s="12" t="n"/>
      <c r="B917" s="12" t="n"/>
      <c r="C917" s="12" t="n"/>
      <c r="D917" s="14" t="n"/>
      <c r="E917" s="14" t="n"/>
      <c r="F917" s="14" t="n"/>
      <c r="G917" s="12" t="n"/>
      <c r="H917" s="15" t="n"/>
      <c r="I917" s="15" t="n"/>
    </row>
    <row r="918">
      <c r="A918" s="17" t="n"/>
      <c r="B918" s="17" t="n"/>
      <c r="C918" s="17" t="n"/>
      <c r="D918" s="19" t="n"/>
      <c r="E918" s="19" t="n"/>
      <c r="F918" s="19" t="n"/>
      <c r="G918" s="17" t="n"/>
      <c r="H918" s="20" t="n"/>
      <c r="I918" s="20" t="n"/>
    </row>
    <row r="919">
      <c r="A919" s="12" t="n"/>
      <c r="B919" s="12" t="n"/>
      <c r="C919" s="12" t="n"/>
      <c r="D919" s="14" t="n"/>
      <c r="E919" s="14" t="n"/>
      <c r="F919" s="14" t="n"/>
      <c r="G919" s="12" t="n"/>
      <c r="H919" s="15" t="n"/>
      <c r="I919" s="15" t="n"/>
    </row>
    <row r="920">
      <c r="A920" s="17" t="n"/>
      <c r="B920" s="17" t="n"/>
      <c r="C920" s="17" t="n"/>
      <c r="D920" s="19" t="n"/>
      <c r="E920" s="19" t="n"/>
      <c r="F920" s="19" t="n"/>
      <c r="G920" s="17" t="n"/>
      <c r="H920" s="20" t="n"/>
      <c r="I920" s="20" t="n"/>
    </row>
    <row r="921">
      <c r="A921" s="12" t="n"/>
      <c r="B921" s="12" t="n"/>
      <c r="C921" s="12" t="n"/>
      <c r="D921" s="14" t="n"/>
      <c r="E921" s="14" t="n"/>
      <c r="F921" s="14" t="n"/>
      <c r="G921" s="12" t="n"/>
      <c r="H921" s="15" t="n"/>
      <c r="I921" s="15" t="n"/>
    </row>
    <row r="922">
      <c r="A922" s="17" t="n"/>
      <c r="B922" s="17" t="n"/>
      <c r="C922" s="17" t="n"/>
      <c r="D922" s="19" t="n"/>
      <c r="E922" s="19" t="n"/>
      <c r="F922" s="19" t="n"/>
      <c r="G922" s="17" t="n"/>
      <c r="H922" s="20" t="n"/>
      <c r="I922" s="20" t="n"/>
    </row>
    <row r="923">
      <c r="A923" s="12" t="n"/>
      <c r="B923" s="12" t="n"/>
      <c r="C923" s="12" t="n"/>
      <c r="D923" s="14" t="n"/>
      <c r="E923" s="14" t="n"/>
      <c r="F923" s="14" t="n"/>
      <c r="G923" s="12" t="n"/>
      <c r="H923" s="15" t="n"/>
      <c r="I923" s="15" t="n"/>
    </row>
    <row r="924">
      <c r="A924" s="17" t="n"/>
      <c r="B924" s="17" t="n"/>
      <c r="C924" s="17" t="n"/>
      <c r="D924" s="19" t="n"/>
      <c r="E924" s="19" t="n"/>
      <c r="F924" s="19" t="n"/>
      <c r="G924" s="17" t="n"/>
      <c r="H924" s="20" t="n"/>
      <c r="I924" s="20" t="n"/>
    </row>
    <row r="925">
      <c r="A925" s="12" t="n"/>
      <c r="B925" s="12" t="n"/>
      <c r="C925" s="12" t="n"/>
      <c r="D925" s="14" t="n"/>
      <c r="E925" s="14" t="n"/>
      <c r="F925" s="14" t="n"/>
      <c r="G925" s="12" t="n"/>
      <c r="H925" s="15" t="n"/>
      <c r="I925" s="15" t="n"/>
    </row>
    <row r="926">
      <c r="A926" s="17" t="n"/>
      <c r="B926" s="17" t="n"/>
      <c r="C926" s="17" t="n"/>
      <c r="D926" s="19" t="n"/>
      <c r="E926" s="19" t="n"/>
      <c r="F926" s="19" t="n"/>
      <c r="G926" s="17" t="n"/>
      <c r="H926" s="20" t="n"/>
      <c r="I926" s="20" t="n"/>
    </row>
    <row r="927">
      <c r="A927" s="12" t="n"/>
      <c r="B927" s="12" t="n"/>
      <c r="C927" s="12" t="n"/>
      <c r="D927" s="14" t="n"/>
      <c r="E927" s="14" t="n"/>
      <c r="F927" s="14" t="n"/>
      <c r="G927" s="12" t="n"/>
      <c r="H927" s="15" t="n"/>
      <c r="I927" s="15" t="n"/>
    </row>
    <row r="928">
      <c r="A928" s="17" t="n"/>
      <c r="B928" s="17" t="n"/>
      <c r="C928" s="17" t="n"/>
      <c r="D928" s="19" t="n"/>
      <c r="E928" s="19" t="n"/>
      <c r="F928" s="19" t="n"/>
      <c r="G928" s="17" t="n"/>
      <c r="H928" s="20" t="n"/>
      <c r="I928" s="20" t="n"/>
    </row>
    <row r="929">
      <c r="A929" s="12" t="n"/>
      <c r="B929" s="12" t="n"/>
      <c r="C929" s="12" t="n"/>
      <c r="D929" s="14" t="n"/>
      <c r="E929" s="14" t="n"/>
      <c r="F929" s="14" t="n"/>
      <c r="G929" s="12" t="n"/>
      <c r="H929" s="15" t="n"/>
      <c r="I929" s="15" t="n"/>
    </row>
    <row r="930">
      <c r="A930" s="17" t="n"/>
      <c r="B930" s="17" t="n"/>
      <c r="C930" s="17" t="n"/>
      <c r="D930" s="19" t="n"/>
      <c r="E930" s="19" t="n"/>
      <c r="F930" s="19" t="n"/>
      <c r="G930" s="17" t="n"/>
      <c r="H930" s="20" t="n"/>
      <c r="I930" s="20" t="n"/>
    </row>
    <row r="931">
      <c r="A931" s="12" t="n"/>
      <c r="B931" s="12" t="n"/>
      <c r="C931" s="12" t="n"/>
      <c r="D931" s="14" t="n"/>
      <c r="E931" s="14" t="n"/>
      <c r="F931" s="14" t="n"/>
      <c r="G931" s="12" t="n"/>
      <c r="H931" s="15" t="n"/>
      <c r="I931" s="15" t="n"/>
    </row>
    <row r="932">
      <c r="A932" s="17" t="n"/>
      <c r="B932" s="17" t="n"/>
      <c r="C932" s="17" t="n"/>
      <c r="D932" s="19" t="n"/>
      <c r="E932" s="19" t="n"/>
      <c r="F932" s="19" t="n"/>
      <c r="G932" s="17" t="n"/>
      <c r="H932" s="20" t="n"/>
      <c r="I932" s="20" t="n"/>
    </row>
    <row r="933">
      <c r="A933" s="12" t="n"/>
      <c r="B933" s="12" t="n"/>
      <c r="C933" s="12" t="n"/>
      <c r="D933" s="14" t="n"/>
      <c r="E933" s="14" t="n"/>
      <c r="F933" s="14" t="n"/>
      <c r="G933" s="12" t="n"/>
      <c r="H933" s="15" t="n"/>
      <c r="I933" s="15" t="n"/>
    </row>
    <row r="934">
      <c r="A934" s="17" t="n"/>
      <c r="B934" s="17" t="n"/>
      <c r="C934" s="17" t="n"/>
      <c r="D934" s="19" t="n"/>
      <c r="E934" s="19" t="n"/>
      <c r="F934" s="19" t="n"/>
      <c r="G934" s="17" t="n"/>
      <c r="H934" s="20" t="n"/>
      <c r="I934" s="20" t="n"/>
    </row>
    <row r="935">
      <c r="A935" s="12" t="n"/>
      <c r="B935" s="12" t="n"/>
      <c r="C935" s="12" t="n"/>
      <c r="D935" s="14" t="n"/>
      <c r="E935" s="14" t="n"/>
      <c r="F935" s="14" t="n"/>
      <c r="G935" s="12" t="n"/>
      <c r="H935" s="15" t="n"/>
      <c r="I935" s="15" t="n"/>
    </row>
    <row r="936">
      <c r="A936" s="17" t="n"/>
      <c r="B936" s="17" t="n"/>
      <c r="C936" s="17" t="n"/>
      <c r="D936" s="19" t="n"/>
      <c r="E936" s="19" t="n"/>
      <c r="F936" s="19" t="n"/>
      <c r="G936" s="17" t="n"/>
      <c r="H936" s="20" t="n"/>
      <c r="I936" s="20" t="n"/>
    </row>
    <row r="937">
      <c r="A937" s="12" t="n"/>
      <c r="B937" s="12" t="n"/>
      <c r="C937" s="12" t="n"/>
      <c r="D937" s="14" t="n"/>
      <c r="E937" s="14" t="n"/>
      <c r="F937" s="14" t="n"/>
      <c r="G937" s="12" t="n"/>
      <c r="H937" s="15" t="n"/>
      <c r="I937" s="15" t="n"/>
    </row>
    <row r="938">
      <c r="A938" s="17" t="n"/>
      <c r="B938" s="17" t="n"/>
      <c r="C938" s="17" t="n"/>
      <c r="D938" s="19" t="n"/>
      <c r="E938" s="19" t="n"/>
      <c r="F938" s="19" t="n"/>
      <c r="G938" s="17" t="n"/>
      <c r="H938" s="20" t="n"/>
      <c r="I938" s="20" t="n"/>
    </row>
    <row r="939">
      <c r="A939" s="12" t="n"/>
      <c r="B939" s="12" t="n"/>
      <c r="C939" s="12" t="n"/>
      <c r="D939" s="14" t="n"/>
      <c r="E939" s="14" t="n"/>
      <c r="F939" s="14" t="n"/>
      <c r="G939" s="12" t="n"/>
      <c r="H939" s="15" t="n"/>
      <c r="I939" s="15" t="n"/>
    </row>
    <row r="940">
      <c r="A940" s="17" t="n"/>
      <c r="B940" s="17" t="n"/>
      <c r="C940" s="17" t="n"/>
      <c r="D940" s="19" t="n"/>
      <c r="E940" s="19" t="n"/>
      <c r="F940" s="19" t="n"/>
      <c r="G940" s="17" t="n"/>
      <c r="H940" s="20" t="n"/>
      <c r="I940" s="20" t="n"/>
    </row>
    <row r="941">
      <c r="A941" s="12" t="n"/>
      <c r="B941" s="12" t="n"/>
      <c r="C941" s="12" t="n"/>
      <c r="D941" s="14" t="n"/>
      <c r="E941" s="14" t="n"/>
      <c r="F941" s="14" t="n"/>
      <c r="G941" s="12" t="n"/>
      <c r="H941" s="15" t="n"/>
      <c r="I941" s="15" t="n"/>
    </row>
    <row r="942">
      <c r="A942" s="17" t="n"/>
      <c r="B942" s="17" t="n"/>
      <c r="C942" s="17" t="n"/>
      <c r="D942" s="19" t="n"/>
      <c r="E942" s="19" t="n"/>
      <c r="F942" s="19" t="n"/>
      <c r="G942" s="17" t="n"/>
      <c r="H942" s="20" t="n"/>
      <c r="I942" s="20" t="n"/>
    </row>
    <row r="943">
      <c r="A943" s="12" t="n"/>
      <c r="B943" s="12" t="n"/>
      <c r="C943" s="12" t="n"/>
      <c r="D943" s="14" t="n"/>
      <c r="E943" s="14" t="n"/>
      <c r="F943" s="14" t="n"/>
      <c r="G943" s="12" t="n"/>
      <c r="H943" s="15" t="n"/>
      <c r="I943" s="15" t="n"/>
    </row>
    <row r="944">
      <c r="A944" s="17" t="n"/>
      <c r="B944" s="17" t="n"/>
      <c r="C944" s="17" t="n"/>
      <c r="D944" s="19" t="n"/>
      <c r="E944" s="19" t="n"/>
      <c r="F944" s="19" t="n"/>
      <c r="G944" s="17" t="n"/>
      <c r="H944" s="20" t="n"/>
      <c r="I944" s="20" t="n"/>
    </row>
    <row r="945">
      <c r="A945" s="12" t="n"/>
      <c r="B945" s="12" t="n"/>
      <c r="C945" s="12" t="n"/>
      <c r="D945" s="14" t="n"/>
      <c r="E945" s="14" t="n"/>
      <c r="F945" s="14" t="n"/>
      <c r="G945" s="12" t="n"/>
      <c r="H945" s="15" t="n"/>
      <c r="I945" s="15" t="n"/>
    </row>
    <row r="946">
      <c r="A946" s="17" t="n"/>
      <c r="B946" s="17" t="n"/>
      <c r="C946" s="17" t="n"/>
      <c r="D946" s="19" t="n"/>
      <c r="E946" s="19" t="n"/>
      <c r="F946" s="19" t="n"/>
      <c r="G946" s="17" t="n"/>
      <c r="H946" s="20" t="n"/>
      <c r="I946" s="20" t="n"/>
    </row>
    <row r="947">
      <c r="A947" s="12" t="n"/>
      <c r="B947" s="12" t="n"/>
      <c r="C947" s="12" t="n"/>
      <c r="D947" s="14" t="n"/>
      <c r="E947" s="14" t="n"/>
      <c r="F947" s="14" t="n"/>
      <c r="G947" s="12" t="n"/>
      <c r="H947" s="15" t="n"/>
      <c r="I947" s="15" t="n"/>
    </row>
    <row r="948">
      <c r="A948" s="17" t="n"/>
      <c r="B948" s="17" t="n"/>
      <c r="C948" s="17" t="n"/>
      <c r="D948" s="19" t="n"/>
      <c r="E948" s="19" t="n"/>
      <c r="F948" s="19" t="n"/>
      <c r="G948" s="17" t="n"/>
      <c r="H948" s="20" t="n"/>
      <c r="I948" s="20" t="n"/>
    </row>
    <row r="949">
      <c r="A949" s="12" t="n"/>
      <c r="B949" s="12" t="n"/>
      <c r="C949" s="12" t="n"/>
      <c r="D949" s="14" t="n"/>
      <c r="E949" s="14" t="n"/>
      <c r="F949" s="14" t="n"/>
      <c r="G949" s="12" t="n"/>
      <c r="H949" s="15" t="n"/>
      <c r="I949" s="15" t="n"/>
    </row>
    <row r="950">
      <c r="A950" s="17" t="n"/>
      <c r="B950" s="17" t="n"/>
      <c r="C950" s="17" t="n"/>
      <c r="D950" s="19" t="n"/>
      <c r="E950" s="19" t="n"/>
      <c r="F950" s="19" t="n"/>
      <c r="G950" s="17" t="n"/>
      <c r="H950" s="20" t="n"/>
      <c r="I950" s="20" t="n"/>
    </row>
    <row r="951">
      <c r="A951" s="12" t="n"/>
      <c r="B951" s="12" t="n"/>
      <c r="C951" s="12" t="n"/>
      <c r="D951" s="14" t="n"/>
      <c r="E951" s="14" t="n"/>
      <c r="F951" s="14" t="n"/>
      <c r="G951" s="12" t="n"/>
      <c r="H951" s="15" t="n"/>
      <c r="I951" s="15" t="n"/>
    </row>
    <row r="952">
      <c r="A952" s="17" t="n"/>
      <c r="B952" s="17" t="n"/>
      <c r="C952" s="17" t="n"/>
      <c r="D952" s="19" t="n"/>
      <c r="E952" s="19" t="n"/>
      <c r="F952" s="19" t="n"/>
      <c r="G952" s="17" t="n"/>
      <c r="H952" s="20" t="n"/>
      <c r="I952" s="20" t="n"/>
    </row>
    <row r="953">
      <c r="A953" s="12" t="n"/>
      <c r="B953" s="12" t="n"/>
      <c r="C953" s="12" t="n"/>
      <c r="D953" s="14" t="n"/>
      <c r="E953" s="14" t="n"/>
      <c r="F953" s="14" t="n"/>
      <c r="G953" s="12" t="n"/>
      <c r="H953" s="15" t="n"/>
      <c r="I953" s="15" t="n"/>
    </row>
    <row r="954">
      <c r="A954" s="17" t="n"/>
      <c r="B954" s="17" t="n"/>
      <c r="C954" s="17" t="n"/>
      <c r="D954" s="19" t="n"/>
      <c r="E954" s="19" t="n"/>
      <c r="F954" s="19" t="n"/>
      <c r="G954" s="17" t="n"/>
      <c r="H954" s="20" t="n"/>
      <c r="I954" s="20" t="n"/>
    </row>
    <row r="955">
      <c r="A955" s="12" t="n"/>
      <c r="B955" s="12" t="n"/>
      <c r="C955" s="12" t="n"/>
      <c r="D955" s="14" t="n"/>
      <c r="E955" s="14" t="n"/>
      <c r="F955" s="14" t="n"/>
      <c r="G955" s="12" t="n"/>
      <c r="H955" s="15" t="n"/>
      <c r="I955" s="15" t="n"/>
    </row>
    <row r="956">
      <c r="A956" s="17" t="n"/>
      <c r="B956" s="17" t="n"/>
      <c r="C956" s="17" t="n"/>
      <c r="D956" s="19" t="n"/>
      <c r="E956" s="19" t="n"/>
      <c r="F956" s="19" t="n"/>
      <c r="G956" s="17" t="n"/>
      <c r="H956" s="20" t="n"/>
      <c r="I956" s="20" t="n"/>
    </row>
    <row r="957">
      <c r="A957" s="12" t="n"/>
      <c r="B957" s="12" t="n"/>
      <c r="C957" s="12" t="n"/>
      <c r="D957" s="14" t="n"/>
      <c r="E957" s="14" t="n"/>
      <c r="F957" s="14" t="n"/>
      <c r="G957" s="12" t="n"/>
      <c r="H957" s="15" t="n"/>
      <c r="I957" s="15" t="n"/>
    </row>
    <row r="958">
      <c r="A958" s="17" t="n"/>
      <c r="B958" s="17" t="n"/>
      <c r="C958" s="17" t="n"/>
      <c r="D958" s="19" t="n"/>
      <c r="E958" s="19" t="n"/>
      <c r="F958" s="19" t="n"/>
      <c r="G958" s="17" t="n"/>
      <c r="H958" s="20" t="n"/>
      <c r="I958" s="20" t="n"/>
    </row>
    <row r="959">
      <c r="A959" s="12" t="n"/>
      <c r="B959" s="12" t="n"/>
      <c r="C959" s="12" t="n"/>
      <c r="D959" s="14" t="n"/>
      <c r="E959" s="14" t="n"/>
      <c r="F959" s="14" t="n"/>
      <c r="G959" s="12" t="n"/>
      <c r="H959" s="15" t="n"/>
      <c r="I959" s="15" t="n"/>
    </row>
    <row r="960">
      <c r="A960" s="17" t="n"/>
      <c r="B960" s="17" t="n"/>
      <c r="C960" s="17" t="n"/>
      <c r="D960" s="19" t="n"/>
      <c r="E960" s="19" t="n"/>
      <c r="F960" s="19" t="n"/>
      <c r="G960" s="17" t="n"/>
      <c r="H960" s="20" t="n"/>
      <c r="I960" s="20" t="n"/>
    </row>
    <row r="961">
      <c r="A961" s="12" t="n"/>
      <c r="B961" s="12" t="n"/>
      <c r="C961" s="12" t="n"/>
      <c r="D961" s="14" t="n"/>
      <c r="E961" s="14" t="n"/>
      <c r="F961" s="14" t="n"/>
      <c r="G961" s="12" t="n"/>
      <c r="H961" s="15" t="n"/>
      <c r="I961" s="15" t="n"/>
    </row>
    <row r="962">
      <c r="A962" s="17" t="n"/>
      <c r="B962" s="17" t="n"/>
      <c r="C962" s="17" t="n"/>
      <c r="D962" s="19" t="n"/>
      <c r="E962" s="19" t="n"/>
      <c r="F962" s="19" t="n"/>
      <c r="G962" s="17" t="n"/>
      <c r="H962" s="20" t="n"/>
      <c r="I962" s="20" t="n"/>
    </row>
    <row r="963">
      <c r="A963" s="12" t="n"/>
      <c r="B963" s="12" t="n"/>
      <c r="C963" s="12" t="n"/>
      <c r="D963" s="14" t="n"/>
      <c r="E963" s="14" t="n"/>
      <c r="F963" s="14" t="n"/>
      <c r="G963" s="12" t="n"/>
      <c r="H963" s="15" t="n"/>
      <c r="I963" s="15" t="n"/>
    </row>
    <row r="964">
      <c r="A964" s="17" t="n"/>
      <c r="B964" s="17" t="n"/>
      <c r="C964" s="17" t="n"/>
      <c r="D964" s="19" t="n"/>
      <c r="E964" s="19" t="n"/>
      <c r="F964" s="19" t="n"/>
      <c r="G964" s="17" t="n"/>
      <c r="H964" s="20" t="n"/>
      <c r="I964" s="20" t="n"/>
    </row>
    <row r="965">
      <c r="A965" s="12" t="n"/>
      <c r="B965" s="12" t="n"/>
      <c r="C965" s="12" t="n"/>
      <c r="D965" s="14" t="n"/>
      <c r="E965" s="14" t="n"/>
      <c r="F965" s="14" t="n"/>
      <c r="G965" s="12" t="n"/>
      <c r="H965" s="15" t="n"/>
      <c r="I965" s="15" t="n"/>
    </row>
    <row r="966">
      <c r="A966" s="17" t="n"/>
      <c r="B966" s="17" t="n"/>
      <c r="C966" s="17" t="n"/>
      <c r="D966" s="19" t="n"/>
      <c r="E966" s="19" t="n"/>
      <c r="F966" s="19" t="n"/>
      <c r="G966" s="17" t="n"/>
      <c r="H966" s="20" t="n"/>
      <c r="I966" s="20" t="n"/>
    </row>
    <row r="967">
      <c r="A967" s="12" t="n"/>
      <c r="B967" s="12" t="n"/>
      <c r="C967" s="12" t="n"/>
      <c r="D967" s="14" t="n"/>
      <c r="E967" s="14" t="n"/>
      <c r="F967" s="14" t="n"/>
      <c r="G967" s="12" t="n"/>
      <c r="H967" s="15" t="n"/>
      <c r="I967" s="15" t="n"/>
    </row>
    <row r="968">
      <c r="A968" s="17" t="n"/>
      <c r="B968" s="17" t="n"/>
      <c r="C968" s="17" t="n"/>
      <c r="D968" s="19" t="n"/>
      <c r="E968" s="19" t="n"/>
      <c r="F968" s="19" t="n"/>
      <c r="G968" s="17" t="n"/>
      <c r="H968" s="20" t="n"/>
      <c r="I968" s="20" t="n"/>
    </row>
    <row r="969">
      <c r="A969" s="12" t="n"/>
      <c r="B969" s="12" t="n"/>
      <c r="C969" s="12" t="n"/>
      <c r="D969" s="14" t="n"/>
      <c r="E969" s="14" t="n"/>
      <c r="F969" s="14" t="n"/>
      <c r="G969" s="12" t="n"/>
      <c r="H969" s="15" t="n"/>
      <c r="I969" s="15" t="n"/>
    </row>
    <row r="970">
      <c r="A970" s="17" t="n"/>
      <c r="B970" s="17" t="n"/>
      <c r="C970" s="17" t="n"/>
      <c r="D970" s="19" t="n"/>
      <c r="E970" s="19" t="n"/>
      <c r="F970" s="19" t="n"/>
      <c r="G970" s="17" t="n"/>
      <c r="H970" s="20" t="n"/>
      <c r="I970" s="20" t="n"/>
    </row>
    <row r="971">
      <c r="A971" s="12" t="n"/>
      <c r="B971" s="12" t="n"/>
      <c r="C971" s="12" t="n"/>
      <c r="D971" s="14" t="n"/>
      <c r="E971" s="14" t="n"/>
      <c r="F971" s="14" t="n"/>
      <c r="G971" s="12" t="n"/>
      <c r="H971" s="15" t="n"/>
      <c r="I971" s="15" t="n"/>
    </row>
    <row r="972">
      <c r="A972" s="17" t="n"/>
      <c r="B972" s="17" t="n"/>
      <c r="C972" s="17" t="n"/>
      <c r="D972" s="19" t="n"/>
      <c r="E972" s="19" t="n"/>
      <c r="F972" s="19" t="n"/>
      <c r="G972" s="17" t="n"/>
      <c r="H972" s="20" t="n"/>
      <c r="I972" s="20" t="n"/>
    </row>
    <row r="973">
      <c r="A973" s="12" t="n"/>
      <c r="B973" s="12" t="n"/>
      <c r="C973" s="12" t="n"/>
      <c r="D973" s="14" t="n"/>
      <c r="E973" s="14" t="n"/>
      <c r="F973" s="14" t="n"/>
      <c r="G973" s="12" t="n"/>
      <c r="H973" s="15" t="n"/>
      <c r="I973" s="15" t="n"/>
    </row>
    <row r="974">
      <c r="A974" s="17" t="n"/>
      <c r="B974" s="17" t="n"/>
      <c r="C974" s="17" t="n"/>
      <c r="D974" s="19" t="n"/>
      <c r="E974" s="19" t="n"/>
      <c r="F974" s="19" t="n"/>
      <c r="G974" s="17" t="n"/>
      <c r="H974" s="20" t="n"/>
      <c r="I974" s="20" t="n"/>
    </row>
    <row r="975">
      <c r="A975" s="12" t="n"/>
      <c r="B975" s="12" t="n"/>
      <c r="C975" s="12" t="n"/>
      <c r="D975" s="14" t="n"/>
      <c r="E975" s="14" t="n"/>
      <c r="F975" s="14" t="n"/>
      <c r="G975" s="12" t="n"/>
      <c r="H975" s="15" t="n"/>
      <c r="I975" s="15" t="n"/>
    </row>
    <row r="976">
      <c r="A976" s="17" t="n"/>
      <c r="B976" s="17" t="n"/>
      <c r="C976" s="17" t="n"/>
      <c r="D976" s="19" t="n"/>
      <c r="E976" s="19" t="n"/>
      <c r="F976" s="19" t="n"/>
      <c r="G976" s="17" t="n"/>
      <c r="H976" s="20" t="n"/>
      <c r="I976" s="20" t="n"/>
    </row>
    <row r="977">
      <c r="A977" s="12" t="n"/>
      <c r="B977" s="12" t="n"/>
      <c r="C977" s="12" t="n"/>
      <c r="D977" s="14" t="n"/>
      <c r="E977" s="14" t="n"/>
      <c r="F977" s="14" t="n"/>
      <c r="G977" s="12" t="n"/>
      <c r="H977" s="15" t="n"/>
      <c r="I977" s="15" t="n"/>
    </row>
    <row r="978">
      <c r="A978" s="17" t="n"/>
      <c r="B978" s="17" t="n"/>
      <c r="C978" s="17" t="n"/>
      <c r="D978" s="19" t="n"/>
      <c r="E978" s="19" t="n"/>
      <c r="F978" s="19" t="n"/>
      <c r="G978" s="17" t="n"/>
      <c r="H978" s="20" t="n"/>
      <c r="I978" s="20" t="n"/>
    </row>
    <row r="979">
      <c r="A979" s="12" t="n"/>
      <c r="B979" s="12" t="n"/>
      <c r="C979" s="12" t="n"/>
      <c r="D979" s="14" t="n"/>
      <c r="E979" s="14" t="n"/>
      <c r="F979" s="14" t="n"/>
      <c r="G979" s="12" t="n"/>
      <c r="H979" s="15" t="n"/>
      <c r="I979" s="15" t="n"/>
    </row>
    <row r="980">
      <c r="A980" s="17" t="n"/>
      <c r="B980" s="17" t="n"/>
      <c r="C980" s="17" t="n"/>
      <c r="D980" s="19" t="n"/>
      <c r="E980" s="19" t="n"/>
      <c r="F980" s="19" t="n"/>
      <c r="G980" s="17" t="n"/>
      <c r="H980" s="20" t="n"/>
      <c r="I980" s="20" t="n"/>
    </row>
    <row r="981">
      <c r="A981" s="12" t="n"/>
      <c r="B981" s="12" t="n"/>
      <c r="C981" s="12" t="n"/>
      <c r="D981" s="14" t="n"/>
      <c r="E981" s="14" t="n"/>
      <c r="F981" s="14" t="n"/>
      <c r="G981" s="12" t="n"/>
      <c r="H981" s="15" t="n"/>
      <c r="I981" s="15" t="n"/>
    </row>
    <row r="982">
      <c r="A982" s="17" t="n"/>
      <c r="B982" s="17" t="n"/>
      <c r="C982" s="17" t="n"/>
      <c r="D982" s="19" t="n"/>
      <c r="E982" s="19" t="n"/>
      <c r="F982" s="19" t="n"/>
      <c r="G982" s="17" t="n"/>
      <c r="H982" s="20" t="n"/>
      <c r="I982" s="20" t="n"/>
    </row>
    <row r="983">
      <c r="A983" s="12" t="n"/>
      <c r="B983" s="12" t="n"/>
      <c r="C983" s="12" t="n"/>
      <c r="D983" s="14" t="n"/>
      <c r="E983" s="14" t="n"/>
      <c r="F983" s="14" t="n"/>
      <c r="G983" s="12" t="n"/>
      <c r="H983" s="15" t="n"/>
      <c r="I983" s="15" t="n"/>
    </row>
    <row r="984">
      <c r="A984" s="17" t="n"/>
      <c r="B984" s="17" t="n"/>
      <c r="C984" s="17" t="n"/>
      <c r="D984" s="19" t="n"/>
      <c r="E984" s="19" t="n"/>
      <c r="F984" s="19" t="n"/>
      <c r="G984" s="17" t="n"/>
      <c r="H984" s="20" t="n"/>
      <c r="I984" s="20" t="n"/>
    </row>
    <row r="985">
      <c r="A985" s="12" t="n"/>
      <c r="B985" s="12" t="n"/>
      <c r="C985" s="12" t="n"/>
      <c r="D985" s="14" t="n"/>
      <c r="E985" s="14" t="n"/>
      <c r="F985" s="14" t="n"/>
      <c r="G985" s="12" t="n"/>
      <c r="H985" s="15" t="n"/>
      <c r="I985" s="15" t="n"/>
    </row>
    <row r="986">
      <c r="A986" s="17" t="n"/>
      <c r="B986" s="17" t="n"/>
      <c r="C986" s="17" t="n"/>
      <c r="D986" s="19" t="n"/>
      <c r="E986" s="19" t="n"/>
      <c r="F986" s="19" t="n"/>
      <c r="G986" s="17" t="n"/>
      <c r="H986" s="20" t="n"/>
      <c r="I986" s="20" t="n"/>
    </row>
    <row r="987">
      <c r="A987" s="12" t="n"/>
      <c r="B987" s="12" t="n"/>
      <c r="C987" s="12" t="n"/>
      <c r="D987" s="14" t="n"/>
      <c r="E987" s="14" t="n"/>
      <c r="F987" s="14" t="n"/>
      <c r="G987" s="12" t="n"/>
      <c r="H987" s="15" t="n"/>
      <c r="I987" s="15" t="n"/>
    </row>
    <row r="988">
      <c r="A988" s="17" t="n"/>
      <c r="B988" s="17" t="n"/>
      <c r="C988" s="17" t="n"/>
      <c r="D988" s="19" t="n"/>
      <c r="E988" s="19" t="n"/>
      <c r="F988" s="19" t="n"/>
      <c r="G988" s="17" t="n"/>
      <c r="H988" s="20" t="n"/>
      <c r="I988" s="20" t="n"/>
    </row>
    <row r="989">
      <c r="A989" s="12" t="n"/>
      <c r="B989" s="12" t="n"/>
      <c r="C989" s="12" t="n"/>
      <c r="D989" s="14" t="n"/>
      <c r="E989" s="14" t="n"/>
      <c r="F989" s="14" t="n"/>
      <c r="G989" s="12" t="n"/>
      <c r="H989" s="15" t="n"/>
      <c r="I989" s="15" t="n"/>
    </row>
    <row r="990">
      <c r="A990" s="17" t="n"/>
      <c r="B990" s="17" t="n"/>
      <c r="C990" s="17" t="n"/>
      <c r="D990" s="19" t="n"/>
      <c r="E990" s="19" t="n"/>
      <c r="F990" s="19" t="n"/>
      <c r="G990" s="17" t="n"/>
      <c r="H990" s="20" t="n"/>
      <c r="I990" s="20" t="n"/>
    </row>
    <row r="991">
      <c r="A991" s="12" t="n"/>
      <c r="B991" s="12" t="n"/>
      <c r="C991" s="12" t="n"/>
      <c r="D991" s="14" t="n"/>
      <c r="E991" s="14" t="n"/>
      <c r="F991" s="14" t="n"/>
      <c r="G991" s="12" t="n"/>
      <c r="H991" s="15" t="n"/>
      <c r="I991" s="15" t="n"/>
    </row>
    <row r="992">
      <c r="A992" s="17" t="n"/>
      <c r="B992" s="17" t="n"/>
      <c r="C992" s="17" t="n"/>
      <c r="D992" s="19" t="n"/>
      <c r="E992" s="19" t="n"/>
      <c r="F992" s="19" t="n"/>
      <c r="G992" s="17" t="n"/>
      <c r="H992" s="20" t="n"/>
      <c r="I992" s="20" t="n"/>
    </row>
    <row r="993">
      <c r="A993" s="12" t="n"/>
      <c r="B993" s="12" t="n"/>
      <c r="C993" s="12" t="n"/>
      <c r="D993" s="14" t="n"/>
      <c r="E993" s="14" t="n"/>
      <c r="F993" s="14" t="n"/>
      <c r="G993" s="12" t="n"/>
      <c r="H993" s="15" t="n"/>
      <c r="I993" s="15" t="n"/>
    </row>
    <row r="994">
      <c r="A994" s="17" t="n"/>
      <c r="B994" s="17" t="n"/>
      <c r="C994" s="17" t="n"/>
      <c r="D994" s="19" t="n"/>
      <c r="E994" s="19" t="n"/>
      <c r="F994" s="19" t="n"/>
      <c r="G994" s="17" t="n"/>
      <c r="H994" s="20" t="n"/>
      <c r="I994" s="20" t="n"/>
    </row>
    <row r="995">
      <c r="A995" s="12" t="n"/>
      <c r="B995" s="12" t="n"/>
      <c r="C995" s="12" t="n"/>
      <c r="D995" s="14" t="n"/>
      <c r="E995" s="14" t="n"/>
      <c r="F995" s="14" t="n"/>
      <c r="G995" s="12" t="n"/>
      <c r="H995" s="15" t="n"/>
      <c r="I995" s="15" t="n"/>
    </row>
    <row r="996">
      <c r="A996" s="17" t="n"/>
      <c r="B996" s="17" t="n"/>
      <c r="C996" s="17" t="n"/>
      <c r="D996" s="19" t="n"/>
      <c r="E996" s="19" t="n"/>
      <c r="F996" s="19" t="n"/>
      <c r="G996" s="17" t="n"/>
      <c r="H996" s="20" t="n"/>
      <c r="I996" s="20" t="n"/>
    </row>
    <row r="997">
      <c r="A997" s="12" t="n"/>
      <c r="B997" s="12" t="n"/>
      <c r="C997" s="12" t="n"/>
      <c r="D997" s="14" t="n"/>
      <c r="E997" s="14" t="n"/>
      <c r="F997" s="14" t="n"/>
      <c r="G997" s="12" t="n"/>
      <c r="H997" s="15" t="n"/>
      <c r="I997" s="15" t="n"/>
    </row>
    <row r="998">
      <c r="A998" s="17" t="n"/>
      <c r="B998" s="17" t="n"/>
      <c r="C998" s="17" t="n"/>
      <c r="D998" s="19" t="n"/>
      <c r="E998" s="19" t="n"/>
      <c r="F998" s="19" t="n"/>
      <c r="G998" s="17" t="n"/>
      <c r="H998" s="20" t="n"/>
      <c r="I998" s="20" t="n"/>
    </row>
    <row r="999">
      <c r="A999" s="12" t="n"/>
      <c r="B999" s="12" t="n"/>
      <c r="C999" s="12" t="n"/>
      <c r="D999" s="14" t="n"/>
      <c r="E999" s="14" t="n"/>
      <c r="F999" s="14" t="n"/>
      <c r="G999" s="12" t="n"/>
      <c r="H999" s="15" t="n"/>
      <c r="I999" s="15" t="n"/>
    </row>
    <row r="1000">
      <c r="A1000" s="17" t="n"/>
      <c r="B1000" s="17" t="n"/>
      <c r="C1000" s="17" t="n"/>
      <c r="D1000" s="19" t="n"/>
      <c r="E1000" s="19" t="n"/>
      <c r="F1000" s="19" t="n"/>
      <c r="G1000" s="17" t="n"/>
      <c r="H1000" s="20" t="n"/>
      <c r="I1000" s="20" t="n"/>
    </row>
  </sheetData>
  <autoFilter ref="A1:I100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B8C00"/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5" min="1" max="1"/>
    <col width="34" customWidth="1" style="25" min="2" max="2"/>
    <col width="14" customWidth="1" style="25" min="3" max="3"/>
    <col width="40" customWidth="1" style="25" min="4" max="4"/>
    <col width="12" customWidth="1" style="25" min="5" max="5"/>
    <col width="52" customWidth="1" style="25" min="6" max="6"/>
  </cols>
  <sheetData>
    <row r="1" ht="32" customHeight="1" s="25">
      <c r="A1" s="4" t="inlineStr">
        <is>
          <t>Kolom Master</t>
        </is>
      </c>
      <c r="B1" s="4" t="inlineStr">
        <is>
          <t>Asal Kolom</t>
        </is>
      </c>
      <c r="C1" s="4" t="inlineStr">
        <is>
          <t>Tipe</t>
        </is>
      </c>
      <c r="D1" s="4" t="inlineStr">
        <is>
          <t>Format/Nilai</t>
        </is>
      </c>
      <c r="E1" s="4" t="inlineStr">
        <is>
          <t>Wajib?</t>
        </is>
      </c>
      <c r="F1" s="4" t="inlineStr">
        <is>
          <t>Aturan</t>
        </is>
      </c>
    </row>
    <row r="2">
      <c r="A2" s="19" t="inlineStr">
        <is>
          <t>PC</t>
        </is>
      </c>
      <c r="B2" s="19" t="inlineStr">
        <is>
          <t>nama file/tab sumber</t>
        </is>
      </c>
      <c r="C2" s="19" t="inlineStr">
        <is>
          <t>enum</t>
        </is>
      </c>
      <c r="D2" s="19" t="inlineStr">
        <is>
          <t>PC NN (01..12)</t>
        </is>
      </c>
      <c r="E2" s="22" t="inlineStr">
        <is>
          <t>wajib</t>
        </is>
      </c>
      <c r="F2" s="19" t="inlineStr">
        <is>
          <t>dropdown; tidak boleh di luar daftar</t>
        </is>
      </c>
    </row>
    <row r="3">
      <c r="A3" s="19" t="inlineStr">
        <is>
          <t>Nama Karyawan</t>
        </is>
      </c>
      <c r="B3" s="19" t="inlineStr">
        <is>
          <t>baru (opsional)</t>
        </is>
      </c>
      <c r="C3" s="19" t="inlineStr">
        <is>
          <t>teks</t>
        </is>
      </c>
      <c r="D3" s="19" t="inlineStr">
        <is>
          <t>nama lengkap</t>
        </is>
      </c>
      <c r="E3" s="23" t="inlineStr">
        <is>
          <t>opsional</t>
        </is>
      </c>
      <c r="F3" s="19" t="inlineStr">
        <is>
          <t>satu karyawan boleh beberapa PC</t>
        </is>
      </c>
    </row>
    <row r="4">
      <c r="A4" s="19" t="inlineStr">
        <is>
          <t>Worker ID</t>
        </is>
      </c>
      <c r="B4" s="19" t="inlineStr">
        <is>
          <t>Worker ID sumber</t>
        </is>
      </c>
      <c r="C4" s="19" t="inlineStr">
        <is>
          <t>teks</t>
        </is>
      </c>
      <c r="D4" s="19" t="inlineStr">
        <is>
          <t>PC07-0001 (disarankan)</t>
        </is>
      </c>
      <c r="E4" s="22" t="inlineStr">
        <is>
          <t>wajib</t>
        </is>
      </c>
      <c r="F4" s="19" t="inlineStr">
        <is>
          <t>unik di dalam PC</t>
        </is>
      </c>
    </row>
    <row r="5">
      <c r="A5" s="19" t="inlineStr">
        <is>
          <t>Update Date</t>
        </is>
      </c>
      <c r="B5" s="19" t="inlineStr">
        <is>
          <t>Update Date sumber</t>
        </is>
      </c>
      <c r="C5" s="19" t="inlineStr">
        <is>
          <t>tanggal-jam</t>
        </is>
      </c>
      <c r="D5" s="19" t="inlineStr">
        <is>
          <t>YYYY-MM-DD HH:MM</t>
        </is>
      </c>
      <c r="E5" s="22" t="inlineStr">
        <is>
          <t>wajib</t>
        </is>
      </c>
      <c r="F5" s="19" t="inlineStr">
        <is>
          <t>harus benar-benar bertipe tanggal</t>
        </is>
      </c>
    </row>
    <row r="6">
      <c r="A6" s="19" t="inlineStr">
        <is>
          <t>Song ID YT</t>
        </is>
      </c>
      <c r="B6" s="19" t="inlineStr">
        <is>
          <t>Song ID YT sumber (trim spasi)</t>
        </is>
      </c>
      <c r="C6" s="19" t="inlineStr">
        <is>
          <t>teks</t>
        </is>
      </c>
      <c r="D6" s="19" t="inlineStr">
        <is>
          <t>ID video, contoh x7pB0nE1g4M</t>
        </is>
      </c>
      <c r="E6" s="22" t="inlineStr">
        <is>
          <t>wajib</t>
        </is>
      </c>
      <c r="F6" s="19" t="inlineStr">
        <is>
          <t>bukan URL</t>
        </is>
      </c>
    </row>
    <row r="7">
      <c r="A7" s="19" t="inlineStr">
        <is>
          <t>Judul Lagu Kompilasi</t>
        </is>
      </c>
      <c r="B7" s="19" t="inlineStr">
        <is>
          <t>Judul Lagu Kompilasi sumber</t>
        </is>
      </c>
      <c r="C7" s="19" t="inlineStr">
        <is>
          <t>teks</t>
        </is>
      </c>
      <c r="D7" s="19" t="inlineStr">
        <is>
          <t>judul bebas</t>
        </is>
      </c>
      <c r="E7" s="22" t="inlineStr">
        <is>
          <t>wajib</t>
        </is>
      </c>
      <c r="F7" s="19" t="inlineStr">
        <is>
          <t>tanpa pindah baris</t>
        </is>
      </c>
    </row>
    <row r="8">
      <c r="A8" s="19" t="inlineStr">
        <is>
          <t>Aggregator</t>
        </is>
      </c>
      <c r="B8" s="19" t="inlineStr">
        <is>
          <t>Aggregator sumber</t>
        </is>
      </c>
      <c r="C8" s="19" t="inlineStr">
        <is>
          <t>enum</t>
        </is>
      </c>
      <c r="D8" s="19" t="inlineStr">
        <is>
          <t>TuneCore, DistroKid, TooLost, SoundOn, Ditto, Believe, CD Baby, Amuse, Symphonic Distribution, ONErpm, RouteNote, LANDR, Horus Music, Indie</t>
        </is>
      </c>
      <c r="E8" s="23" t="inlineStr">
        <is>
          <t>opsional</t>
        </is>
      </c>
      <c r="F8" s="19" t="inlineStr">
        <is>
          <t>dropdown daftar baku</t>
        </is>
      </c>
    </row>
    <row r="9">
      <c r="A9" s="19" t="inlineStr">
        <is>
          <t>Genre</t>
        </is>
      </c>
      <c r="B9" s="19" t="inlineStr">
        <is>
          <t>Genre sumber (trim spasi)</t>
        </is>
      </c>
      <c r="C9" s="19" t="inlineStr">
        <is>
          <t>enum</t>
        </is>
      </c>
      <c r="D9" s="19" t="inlineStr">
        <is>
          <t>Pop, Jazz, Hip-Hop, Soul, Indie, Dangdut, Rock, R&amp;B, Electronic, K-Pop, Nasional, Daerah, Alternative, Folk, Country, Metal, Reggae, Latin, Classical, Soundtrack, Gospel, Blues, Funk, EDM</t>
        </is>
      </c>
      <c r="E9" s="22" t="inlineStr">
        <is>
          <t>wajib</t>
        </is>
      </c>
      <c r="F9" s="19" t="inlineStr">
        <is>
          <t>pilih 1-2, pisahkan koma</t>
        </is>
      </c>
    </row>
    <row r="10">
      <c r="A10" s="19" t="inlineStr">
        <is>
          <t>Nama Channel</t>
        </is>
      </c>
      <c r="B10" s="19" t="inlineStr">
        <is>
          <t>Nama Channel sumber</t>
        </is>
      </c>
      <c r="C10" s="19" t="inlineStr">
        <is>
          <t>teks</t>
        </is>
      </c>
      <c r="D10" s="19" t="inlineStr">
        <is>
          <t>nama persis channel</t>
        </is>
      </c>
      <c r="E10" s="22" t="inlineStr">
        <is>
          <t>wajib</t>
        </is>
      </c>
      <c r="F10" s="19" t="inlineStr">
        <is>
          <t>satu PC bisa &gt;1 channel</t>
        </is>
      </c>
    </row>
    <row r="11">
      <c r="A11" s="19" t="inlineStr">
        <is>
          <t>Link Channel YT</t>
        </is>
      </c>
      <c r="B11" s="19" t="inlineStr">
        <is>
          <t>Link Channel YT sumber</t>
        </is>
      </c>
      <c r="C11" s="19" t="inlineStr">
        <is>
          <t>URL</t>
        </is>
      </c>
      <c r="D11" s="19" t="inlineStr">
        <is>
          <t>https://www.youtube.com/@... atau https://youtu.be/...</t>
        </is>
      </c>
      <c r="E11" s="22" t="inlineStr">
        <is>
          <t>wajib</t>
        </is>
      </c>
      <c r="F11" s="19" t="inlineStr">
        <is>
          <t>boleh youtube.com atau youtu.be</t>
        </is>
      </c>
    </row>
    <row r="12">
      <c r="A12" s="19" t="inlineStr">
        <is>
          <t>Link Video YT</t>
        </is>
      </c>
      <c r="B12" s="19" t="inlineStr">
        <is>
          <t>Link Video YT sumber</t>
        </is>
      </c>
      <c r="C12" s="19" t="inlineStr">
        <is>
          <t>URL</t>
        </is>
      </c>
      <c r="D12" s="19" t="inlineStr">
        <is>
          <t>https://www.youtube.com/watch?v=... atau https://youtu.be/...</t>
        </is>
      </c>
      <c r="E12" s="22" t="inlineStr">
        <is>
          <t>wajib</t>
        </is>
      </c>
      <c r="F12" s="19" t="inlineStr">
        <is>
          <t>boleh youtube.com atau youtu.be</t>
        </is>
      </c>
    </row>
    <row r="13">
      <c r="A13" s="19" t="inlineStr">
        <is>
          <t>Tanggal Video Dibuat</t>
        </is>
      </c>
      <c r="B13" s="19" t="inlineStr">
        <is>
          <t>Tanggal Video Dibuat sumber</t>
        </is>
      </c>
      <c r="C13" s="19" t="inlineStr">
        <is>
          <t>tanggal</t>
        </is>
      </c>
      <c r="D13" s="19" t="inlineStr">
        <is>
          <t>YYYY-MM-DD</t>
        </is>
      </c>
      <c r="E13" s="22" t="inlineStr">
        <is>
          <t>wajib</t>
        </is>
      </c>
      <c r="F13" s="19" t="inlineStr">
        <is>
          <t>harus bertipe tanggal</t>
        </is>
      </c>
    </row>
    <row r="14">
      <c r="A14" s="19" t="inlineStr">
        <is>
          <t>Tanggal Video Dipublish</t>
        </is>
      </c>
      <c r="B14" s="19" t="inlineStr">
        <is>
          <t>Tanggal Video Dipublish sumber</t>
        </is>
      </c>
      <c r="C14" s="19" t="inlineStr">
        <is>
          <t>tanggal</t>
        </is>
      </c>
      <c r="D14" s="19" t="inlineStr">
        <is>
          <t>YYYY-MM-DD</t>
        </is>
      </c>
      <c r="E14" s="23" t="inlineStr">
        <is>
          <t>opsional</t>
        </is>
      </c>
      <c r="F14" s="19" t="inlineStr">
        <is>
          <t>&gt;= tanggal Dibuat</t>
        </is>
      </c>
    </row>
    <row r="15">
      <c r="A15" s="19" t="inlineStr">
        <is>
          <t>Status Upload</t>
        </is>
      </c>
      <c r="B15" s="19" t="inlineStr">
        <is>
          <t>Status Upload sumber</t>
        </is>
      </c>
      <c r="C15" s="19" t="inlineStr">
        <is>
          <t>enum</t>
        </is>
      </c>
      <c r="D15" s="19" t="inlineStr">
        <is>
          <t>Draft, Menunggu Review, Revisi, Terjadwal, Upload, Publish, Published, Batal</t>
        </is>
      </c>
      <c r="E15" s="22" t="inlineStr">
        <is>
          <t>wajib</t>
        </is>
      </c>
      <c r="F15" s="19" t="inlineStr">
        <is>
          <t>dropdown; default Draft</t>
        </is>
      </c>
    </row>
    <row r="16">
      <c r="A16" s="19" t="inlineStr">
        <is>
          <t>PIC channel</t>
        </is>
      </c>
      <c r="B16" s="19" t="inlineStr">
        <is>
          <t>PIC channel sumber (trim spasi)</t>
        </is>
      </c>
      <c r="C16" s="19" t="inlineStr">
        <is>
          <t>teks</t>
        </is>
      </c>
      <c r="D16" s="19" t="inlineStr">
        <is>
          <t>nama PIC</t>
        </is>
      </c>
      <c r="E16" s="23" t="inlineStr">
        <is>
          <t>opsional</t>
        </is>
      </c>
      <c r="F16" s="19" t="inlineStr">
        <is>
          <t>boleh kosong</t>
        </is>
      </c>
    </row>
    <row r="17">
      <c r="A17" s="19" t="inlineStr">
        <is>
          <t>Masa Produksi (hari)</t>
        </is>
      </c>
      <c r="B17" s="19" t="inlineStr">
        <is>
          <t>formula P</t>
        </is>
      </c>
      <c r="C17" s="19" t="inlineStr">
        <is>
          <t>angka</t>
        </is>
      </c>
      <c r="D17" s="19" t="inlineStr">
        <is>
          <t>hari</t>
        </is>
      </c>
      <c r="E17" s="23" t="inlineStr">
        <is>
          <t>otomatis</t>
        </is>
      </c>
      <c r="F17" s="19" t="inlineStr">
        <is>
          <t>Dipublish - Dibuat</t>
        </is>
      </c>
    </row>
    <row r="18">
      <c r="A18" s="19" t="inlineStr">
        <is>
          <t>Umur Data (hari)</t>
        </is>
      </c>
      <c r="B18" s="19" t="inlineStr">
        <is>
          <t>formula Q</t>
        </is>
      </c>
      <c r="C18" s="19" t="inlineStr">
        <is>
          <t>angka</t>
        </is>
      </c>
      <c r="D18" s="19" t="inlineStr">
        <is>
          <t>hari</t>
        </is>
      </c>
      <c r="E18" s="23" t="inlineStr">
        <is>
          <t>otomatis</t>
        </is>
      </c>
      <c r="F18" s="19" t="inlineStr">
        <is>
          <t>hari ini - Update Date</t>
        </is>
      </c>
    </row>
    <row r="19">
      <c r="A19" s="19" t="inlineStr">
        <is>
          <t>Validasi Master</t>
        </is>
      </c>
      <c r="B19" s="19" t="inlineStr">
        <is>
          <t>formula R</t>
        </is>
      </c>
      <c r="C19" s="19" t="inlineStr">
        <is>
          <t>teks</t>
        </is>
      </c>
      <c r="D19" s="19" t="inlineStr">
        <is>
          <t>daftar masalah</t>
        </is>
      </c>
      <c r="E19" s="23" t="inlineStr">
        <is>
          <t>otomatis</t>
        </is>
      </c>
      <c r="F19" s="19" t="inlineStr">
        <is>
          <t>termasuk Update Date, Song ID, Tgl Dibuat, Status; kosong bila bersih</t>
        </is>
      </c>
    </row>
    <row r="20">
      <c r="A20" s="19" t="inlineStr">
        <is>
          <t>Duplikat?</t>
        </is>
      </c>
      <c r="B20" s="19" t="inlineStr">
        <is>
          <t>formula S</t>
        </is>
      </c>
      <c r="C20" s="19" t="inlineStr">
        <is>
          <t>enum</t>
        </is>
      </c>
      <c r="D20" s="19" t="inlineStr">
        <is>
          <t>DUPLICAT / kosong</t>
        </is>
      </c>
      <c r="E20" s="23" t="inlineStr">
        <is>
          <t>otomatis</t>
        </is>
      </c>
      <c r="F20" s="19" t="inlineStr">
        <is>
          <t>berdasarkan (PC, Worker ID)</t>
        </is>
      </c>
    </row>
  </sheetData>
  <autoFilter ref="A1:F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E35B1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48" customWidth="1" style="25" min="2" max="2"/>
    <col width="12" customWidth="1" style="25" min="3" max="3"/>
    <col width="16" customWidth="1" style="25" min="4" max="4"/>
    <col width="14" customWidth="1" style="25" min="5" max="5"/>
    <col width="14" customWidth="1" style="25" min="6" max="6"/>
    <col width="14" customWidth="1" style="25" min="7" max="7"/>
    <col width="12" customWidth="1" style="25" min="8" max="8"/>
    <col width="22" customWidth="1" style="25" min="9" max="9"/>
    <col width="20" customWidth="1" style="25" min="10" max="10"/>
  </cols>
  <sheetData>
    <row r="1" ht="32" customHeight="1" s="25">
      <c r="A1" s="4" t="inlineStr">
        <is>
          <t>PC</t>
        </is>
      </c>
      <c r="B1" s="4" t="inlineStr">
        <is>
          <t>Spreadsheet ID</t>
        </is>
      </c>
      <c r="C1" s="4" t="inlineStr">
        <is>
          <t>Baris Data</t>
        </is>
      </c>
      <c r="D1" s="4" t="inlineStr">
        <is>
          <t>Link Video Kosong</t>
        </is>
      </c>
      <c r="E1" s="4" t="inlineStr">
        <is>
          <t>Genre Kosong</t>
        </is>
      </c>
      <c r="F1" s="4" t="inlineStr">
        <is>
          <t>Status Kosong</t>
        </is>
      </c>
      <c r="G1" s="4" t="inlineStr">
        <is>
          <t>Status Invalid</t>
        </is>
      </c>
      <c r="H1" s="4" t="inlineStr">
        <is>
          <t>Duplikat</t>
        </is>
      </c>
      <c r="I1" s="4" t="inlineStr">
        <is>
          <t>Link Video Bukan YouTube</t>
        </is>
      </c>
      <c r="J1" s="4" t="inlineStr">
        <is>
          <t>Rata-rata Masa Produksi</t>
        </is>
      </c>
    </row>
    <row r="2">
      <c r="A2" s="5" t="inlineStr">
        <is>
          <t>PC 01</t>
        </is>
      </c>
      <c r="B2" s="5" t="inlineStr">
        <is>
          <t>1zyh70PK5RKhZU1ncTr5yDBIitVcT-d6aS71qqRR2hd0</t>
        </is>
      </c>
      <c r="C2" s="5">
        <f>SUMPRODUCT(--('RAW_PC01'!$D$2:$D$1000&lt;&gt;""))</f>
        <v/>
      </c>
      <c r="D2" s="5">
        <f>SUMPRODUCT(('RAW_PC01'!$D$2:$D$1000&lt;&gt;"")*('RAW_PC01'!$I$2:$I$1000=""))</f>
        <v/>
      </c>
      <c r="E2" s="5">
        <f>SUMPRODUCT(('RAW_PC01'!$D$2:$D$1000&lt;&gt;"")*('RAW_PC01'!$F$2:$F$1000=""))</f>
        <v/>
      </c>
      <c r="F2" s="5">
        <f>SUMPRODUCT(('RAW_PC01'!$D$2:$D$1000&lt;&gt;"")*('RAW_PC01'!$L$2:$L$1000=""))</f>
        <v/>
      </c>
      <c r="G2" s="5">
        <f>SUMPRODUCT(('RAW_PC01'!$D$2:$D$1000&lt;&gt;"")*('RAW_PC01'!$L$2:$L$1000&lt;&gt;"")*ISERROR(MATCH('RAW_PC01'!$L$2:$L$1000,{"Draft","Menunggu Review","Revisi","Terjadwal","Upload","Publish","Published","Batal"},0)))</f>
        <v/>
      </c>
      <c r="H2" s="5">
        <f>SUMPRODUCT(--(COUNTIF('RAW_PC01'!$A$2:$A$1000,'RAW_PC01'!$A$2:$A$1000)&gt;1)*('RAW_PC01'!$A$2:$A$1000&lt;&gt;""))</f>
        <v/>
      </c>
      <c r="I2" s="5">
        <f>SUMPRODUCT(('RAW_PC01'!$D$2:$D$1000&lt;&gt;"")*('RAW_PC01'!$I$2:$I$1000&lt;&gt;""))-SUMPRODUCT(--ISNUMBER(SEARCH("youtu",'RAW_PC01'!$I$2:$I$1000&amp;"")))</f>
        <v/>
      </c>
      <c r="J2" s="5">
        <f>IFERROR(SUMPRODUCT(ISNUMBER('RAW_PC01'!$J$2:$J$1000)*ISNUMBER('RAW_PC01'!$K$2:$K$1000)*('RAW_PC01'!$K$2:$K$1000&gt;='RAW_PC01'!$J$2:$J$1000)*('RAW_PC01'!$K$2:$K$1000-'RAW_PC01'!$J$2:$J$1000))/SUMPRODUCT(ISNUMBER('RAW_PC01'!$J$2:$J$1000)*ISNUMBER('RAW_PC01'!$K$2:$K$1000)*('RAW_PC01'!$K$2:$K$1000&gt;='RAW_PC01'!$J$2:$J$1000)),"")</f>
        <v/>
      </c>
    </row>
    <row r="3">
      <c r="A3" s="5" t="inlineStr">
        <is>
          <t>PC 02</t>
        </is>
      </c>
      <c r="B3" s="5" t="inlineStr">
        <is>
          <t>11rrPrMVpvnXkzCf3Eyr18SJ3vIGbYtarFEk9AqKiOl8</t>
        </is>
      </c>
      <c r="C3" s="5">
        <f>SUMPRODUCT(--('RAW_PC02'!$D$2:$D$1000&lt;&gt;""))</f>
        <v/>
      </c>
      <c r="D3" s="5">
        <f>SUMPRODUCT(('RAW_PC02'!$D$2:$D$1000&lt;&gt;"")*('RAW_PC02'!$I$2:$I$1000=""))</f>
        <v/>
      </c>
      <c r="E3" s="5">
        <f>SUMPRODUCT(('RAW_PC02'!$D$2:$D$1000&lt;&gt;"")*('RAW_PC02'!$F$2:$F$1000=""))</f>
        <v/>
      </c>
      <c r="F3" s="5">
        <f>SUMPRODUCT(('RAW_PC02'!$D$2:$D$1000&lt;&gt;"")*('RAW_PC02'!$L$2:$L$1000=""))</f>
        <v/>
      </c>
      <c r="G3" s="5">
        <f>SUMPRODUCT(('RAW_PC02'!$D$2:$D$1000&lt;&gt;"")*('RAW_PC02'!$L$2:$L$1000&lt;&gt;"")*ISERROR(MATCH('RAW_PC02'!$L$2:$L$1000,{"Draft","Menunggu Review","Revisi","Terjadwal","Upload","Publish","Published","Batal"},0)))</f>
        <v/>
      </c>
      <c r="H3" s="5">
        <f>SUMPRODUCT(--(COUNTIF('RAW_PC02'!$A$2:$A$1000,'RAW_PC02'!$A$2:$A$1000)&gt;1)*('RAW_PC02'!$A$2:$A$1000&lt;&gt;""))</f>
        <v/>
      </c>
      <c r="I3" s="5">
        <f>SUMPRODUCT(('RAW_PC02'!$D$2:$D$1000&lt;&gt;"")*('RAW_PC02'!$I$2:$I$1000&lt;&gt;""))-SUMPRODUCT(--ISNUMBER(SEARCH("youtu",'RAW_PC02'!$I$2:$I$1000&amp;"")))</f>
        <v/>
      </c>
      <c r="J3" s="5">
        <f>IFERROR(SUMPRODUCT(ISNUMBER('RAW_PC02'!$J$2:$J$1000)*ISNUMBER('RAW_PC02'!$K$2:$K$1000)*('RAW_PC02'!$K$2:$K$1000&gt;='RAW_PC02'!$J$2:$J$1000)*('RAW_PC02'!$K$2:$K$1000-'RAW_PC02'!$J$2:$J$1000))/SUMPRODUCT(ISNUMBER('RAW_PC02'!$J$2:$J$1000)*ISNUMBER('RAW_PC02'!$K$2:$K$1000)*('RAW_PC02'!$K$2:$K$1000&gt;='RAW_PC02'!$J$2:$J$1000)),"")</f>
        <v/>
      </c>
    </row>
    <row r="4">
      <c r="A4" s="5" t="inlineStr">
        <is>
          <t>PC 03</t>
        </is>
      </c>
      <c r="B4" s="5" t="inlineStr">
        <is>
          <t>1tf-vi6Eo4c1UMvKI0ddYbYgYg_dIC33IHmI1Cwx9hvs</t>
        </is>
      </c>
      <c r="C4" s="5">
        <f>SUMPRODUCT(--('RAW_PC03'!$D$2:$D$1000&lt;&gt;""))</f>
        <v/>
      </c>
      <c r="D4" s="5">
        <f>SUMPRODUCT(('RAW_PC03'!$D$2:$D$1000&lt;&gt;"")*('RAW_PC03'!$I$2:$I$1000=""))</f>
        <v/>
      </c>
      <c r="E4" s="5">
        <f>SUMPRODUCT(('RAW_PC03'!$D$2:$D$1000&lt;&gt;"")*('RAW_PC03'!$F$2:$F$1000=""))</f>
        <v/>
      </c>
      <c r="F4" s="5">
        <f>SUMPRODUCT(('RAW_PC03'!$D$2:$D$1000&lt;&gt;"")*('RAW_PC03'!$L$2:$L$1000=""))</f>
        <v/>
      </c>
      <c r="G4" s="5">
        <f>SUMPRODUCT(('RAW_PC03'!$D$2:$D$1000&lt;&gt;"")*('RAW_PC03'!$L$2:$L$1000&lt;&gt;"")*ISERROR(MATCH('RAW_PC03'!$L$2:$L$1000,{"Draft","Menunggu Review","Revisi","Terjadwal","Upload","Publish","Published","Batal"},0)))</f>
        <v/>
      </c>
      <c r="H4" s="5">
        <f>SUMPRODUCT(--(COUNTIF('RAW_PC03'!$A$2:$A$1000,'RAW_PC03'!$A$2:$A$1000)&gt;1)*('RAW_PC03'!$A$2:$A$1000&lt;&gt;""))</f>
        <v/>
      </c>
      <c r="I4" s="5">
        <f>SUMPRODUCT(('RAW_PC03'!$D$2:$D$1000&lt;&gt;"")*('RAW_PC03'!$I$2:$I$1000&lt;&gt;""))-SUMPRODUCT(--ISNUMBER(SEARCH("youtu",'RAW_PC03'!$I$2:$I$1000&amp;"")))</f>
        <v/>
      </c>
      <c r="J4" s="5">
        <f>IFERROR(SUMPRODUCT(ISNUMBER('RAW_PC03'!$J$2:$J$1000)*ISNUMBER('RAW_PC03'!$K$2:$K$1000)*('RAW_PC03'!$K$2:$K$1000&gt;='RAW_PC03'!$J$2:$J$1000)*('RAW_PC03'!$K$2:$K$1000-'RAW_PC03'!$J$2:$J$1000))/SUMPRODUCT(ISNUMBER('RAW_PC03'!$J$2:$J$1000)*ISNUMBER('RAW_PC03'!$K$2:$K$1000)*('RAW_PC03'!$K$2:$K$1000&gt;='RAW_PC03'!$J$2:$J$1000)),"")</f>
        <v/>
      </c>
    </row>
    <row r="5">
      <c r="A5" s="5" t="inlineStr">
        <is>
          <t>PC 04</t>
        </is>
      </c>
      <c r="B5" s="5" t="inlineStr">
        <is>
          <t>1UrefG8uOVvi3h1Vm8k4MzCN3vrlVVrmGGOo9cqTUQLM</t>
        </is>
      </c>
      <c r="C5" s="5">
        <f>SUMPRODUCT(--('RAW_PC04'!$D$2:$D$1000&lt;&gt;""))</f>
        <v/>
      </c>
      <c r="D5" s="5">
        <f>SUMPRODUCT(('RAW_PC04'!$D$2:$D$1000&lt;&gt;"")*('RAW_PC04'!$I$2:$I$1000=""))</f>
        <v/>
      </c>
      <c r="E5" s="5">
        <f>SUMPRODUCT(('RAW_PC04'!$D$2:$D$1000&lt;&gt;"")*('RAW_PC04'!$F$2:$F$1000=""))</f>
        <v/>
      </c>
      <c r="F5" s="5">
        <f>SUMPRODUCT(('RAW_PC04'!$D$2:$D$1000&lt;&gt;"")*('RAW_PC04'!$L$2:$L$1000=""))</f>
        <v/>
      </c>
      <c r="G5" s="5">
        <f>SUMPRODUCT(('RAW_PC04'!$D$2:$D$1000&lt;&gt;"")*('RAW_PC04'!$L$2:$L$1000&lt;&gt;"")*ISERROR(MATCH('RAW_PC04'!$L$2:$L$1000,{"Draft","Menunggu Review","Revisi","Terjadwal","Upload","Publish","Published","Batal"},0)))</f>
        <v/>
      </c>
      <c r="H5" s="5">
        <f>SUMPRODUCT(--(COUNTIF('RAW_PC04'!$A$2:$A$1000,'RAW_PC04'!$A$2:$A$1000)&gt;1)*('RAW_PC04'!$A$2:$A$1000&lt;&gt;""))</f>
        <v/>
      </c>
      <c r="I5" s="5">
        <f>SUMPRODUCT(('RAW_PC04'!$D$2:$D$1000&lt;&gt;"")*('RAW_PC04'!$I$2:$I$1000&lt;&gt;""))-SUMPRODUCT(--ISNUMBER(SEARCH("youtu",'RAW_PC04'!$I$2:$I$1000&amp;"")))</f>
        <v/>
      </c>
      <c r="J5" s="5">
        <f>IFERROR(SUMPRODUCT(ISNUMBER('RAW_PC04'!$J$2:$J$1000)*ISNUMBER('RAW_PC04'!$K$2:$K$1000)*('RAW_PC04'!$K$2:$K$1000&gt;='RAW_PC04'!$J$2:$J$1000)*('RAW_PC04'!$K$2:$K$1000-'RAW_PC04'!$J$2:$J$1000))/SUMPRODUCT(ISNUMBER('RAW_PC04'!$J$2:$J$1000)*ISNUMBER('RAW_PC04'!$K$2:$K$1000)*('RAW_PC04'!$K$2:$K$1000&gt;='RAW_PC04'!$J$2:$J$1000)),"")</f>
        <v/>
      </c>
    </row>
    <row r="6">
      <c r="A6" s="5" t="inlineStr">
        <is>
          <t>PC 05</t>
        </is>
      </c>
      <c r="B6" s="5" t="inlineStr">
        <is>
          <t>1WC4V1NNldEs7uS_Xld51393uiRI5p7eKxYgC5BlC5MY</t>
        </is>
      </c>
      <c r="C6" s="5">
        <f>SUMPRODUCT(--('RAW_PC05'!$D$2:$D$1000&lt;&gt;""))</f>
        <v/>
      </c>
      <c r="D6" s="5">
        <f>SUMPRODUCT(('RAW_PC05'!$D$2:$D$1000&lt;&gt;"")*('RAW_PC05'!$I$2:$I$1000=""))</f>
        <v/>
      </c>
      <c r="E6" s="5">
        <f>SUMPRODUCT(('RAW_PC05'!$D$2:$D$1000&lt;&gt;"")*('RAW_PC05'!$F$2:$F$1000=""))</f>
        <v/>
      </c>
      <c r="F6" s="5">
        <f>SUMPRODUCT(('RAW_PC05'!$D$2:$D$1000&lt;&gt;"")*('RAW_PC05'!$L$2:$L$1000=""))</f>
        <v/>
      </c>
      <c r="G6" s="5">
        <f>SUMPRODUCT(('RAW_PC05'!$D$2:$D$1000&lt;&gt;"")*('RAW_PC05'!$L$2:$L$1000&lt;&gt;"")*ISERROR(MATCH('RAW_PC05'!$L$2:$L$1000,{"Draft","Menunggu Review","Revisi","Terjadwal","Upload","Publish","Published","Batal"},0)))</f>
        <v/>
      </c>
      <c r="H6" s="5">
        <f>SUMPRODUCT(--(COUNTIF('RAW_PC05'!$A$2:$A$1000,'RAW_PC05'!$A$2:$A$1000)&gt;1)*('RAW_PC05'!$A$2:$A$1000&lt;&gt;""))</f>
        <v/>
      </c>
      <c r="I6" s="5">
        <f>SUMPRODUCT(('RAW_PC05'!$D$2:$D$1000&lt;&gt;"")*('RAW_PC05'!$I$2:$I$1000&lt;&gt;""))-SUMPRODUCT(--ISNUMBER(SEARCH("youtu",'RAW_PC05'!$I$2:$I$1000&amp;"")))</f>
        <v/>
      </c>
      <c r="J6" s="5">
        <f>IFERROR(SUMPRODUCT(ISNUMBER('RAW_PC05'!$J$2:$J$1000)*ISNUMBER('RAW_PC05'!$K$2:$K$1000)*('RAW_PC05'!$K$2:$K$1000&gt;='RAW_PC05'!$J$2:$J$1000)*('RAW_PC05'!$K$2:$K$1000-'RAW_PC05'!$J$2:$J$1000))/SUMPRODUCT(ISNUMBER('RAW_PC05'!$J$2:$J$1000)*ISNUMBER('RAW_PC05'!$K$2:$K$1000)*('RAW_PC05'!$K$2:$K$1000&gt;='RAW_PC05'!$J$2:$J$1000)),"")</f>
        <v/>
      </c>
    </row>
    <row r="7">
      <c r="A7" s="5" t="inlineStr">
        <is>
          <t>PC 06</t>
        </is>
      </c>
      <c r="B7" s="5" t="inlineStr">
        <is>
          <t>168OJEbH7e1qnqa81nyyUy0ZTJYft4Y50cYUyEqubs48</t>
        </is>
      </c>
      <c r="C7" s="5">
        <f>SUMPRODUCT(--('RAW_PC06'!$D$2:$D$1000&lt;&gt;""))</f>
        <v/>
      </c>
      <c r="D7" s="5">
        <f>SUMPRODUCT(('RAW_PC06'!$D$2:$D$1000&lt;&gt;"")*('RAW_PC06'!$I$2:$I$1000=""))</f>
        <v/>
      </c>
      <c r="E7" s="5">
        <f>SUMPRODUCT(('RAW_PC06'!$D$2:$D$1000&lt;&gt;"")*('RAW_PC06'!$F$2:$F$1000=""))</f>
        <v/>
      </c>
      <c r="F7" s="5">
        <f>SUMPRODUCT(('RAW_PC06'!$D$2:$D$1000&lt;&gt;"")*('RAW_PC06'!$L$2:$L$1000=""))</f>
        <v/>
      </c>
      <c r="G7" s="5">
        <f>SUMPRODUCT(('RAW_PC06'!$D$2:$D$1000&lt;&gt;"")*('RAW_PC06'!$L$2:$L$1000&lt;&gt;"")*ISERROR(MATCH('RAW_PC06'!$L$2:$L$1000,{"Draft","Menunggu Review","Revisi","Terjadwal","Upload","Publish","Published","Batal"},0)))</f>
        <v/>
      </c>
      <c r="H7" s="5">
        <f>SUMPRODUCT(--(COUNTIF('RAW_PC06'!$A$2:$A$1000,'RAW_PC06'!$A$2:$A$1000)&gt;1)*('RAW_PC06'!$A$2:$A$1000&lt;&gt;""))</f>
        <v/>
      </c>
      <c r="I7" s="5">
        <f>SUMPRODUCT(('RAW_PC06'!$D$2:$D$1000&lt;&gt;"")*('RAW_PC06'!$I$2:$I$1000&lt;&gt;""))-SUMPRODUCT(--ISNUMBER(SEARCH("youtu",'RAW_PC06'!$I$2:$I$1000&amp;"")))</f>
        <v/>
      </c>
      <c r="J7" s="5">
        <f>IFERROR(SUMPRODUCT(ISNUMBER('RAW_PC06'!$J$2:$J$1000)*ISNUMBER('RAW_PC06'!$K$2:$K$1000)*('RAW_PC06'!$K$2:$K$1000&gt;='RAW_PC06'!$J$2:$J$1000)*('RAW_PC06'!$K$2:$K$1000-'RAW_PC06'!$J$2:$J$1000))/SUMPRODUCT(ISNUMBER('RAW_PC06'!$J$2:$J$1000)*ISNUMBER('RAW_PC06'!$K$2:$K$1000)*('RAW_PC06'!$K$2:$K$1000&gt;='RAW_PC06'!$J$2:$J$1000)),"")</f>
        <v/>
      </c>
    </row>
    <row r="8">
      <c r="A8" s="5" t="inlineStr">
        <is>
          <t>PC 07</t>
        </is>
      </c>
      <c r="B8" s="5" t="inlineStr">
        <is>
          <t>1wwz_1KFb9PpJW47tzZqoOqb2LaYl6JRvko5-WiommwM</t>
        </is>
      </c>
      <c r="C8" s="5">
        <f>SUMPRODUCT(--('RAW_PC07'!$D$2:$D$1000&lt;&gt;""))</f>
        <v/>
      </c>
      <c r="D8" s="5">
        <f>SUMPRODUCT(('RAW_PC07'!$D$2:$D$1000&lt;&gt;"")*('RAW_PC07'!$I$2:$I$1000=""))</f>
        <v/>
      </c>
      <c r="E8" s="5">
        <f>SUMPRODUCT(('RAW_PC07'!$D$2:$D$1000&lt;&gt;"")*('RAW_PC07'!$F$2:$F$1000=""))</f>
        <v/>
      </c>
      <c r="F8" s="5">
        <f>SUMPRODUCT(('RAW_PC07'!$D$2:$D$1000&lt;&gt;"")*('RAW_PC07'!$L$2:$L$1000=""))</f>
        <v/>
      </c>
      <c r="G8" s="5">
        <f>SUMPRODUCT(('RAW_PC07'!$D$2:$D$1000&lt;&gt;"")*('RAW_PC07'!$L$2:$L$1000&lt;&gt;"")*ISERROR(MATCH('RAW_PC07'!$L$2:$L$1000,{"Draft","Menunggu Review","Revisi","Terjadwal","Upload","Publish","Published","Batal"},0)))</f>
        <v/>
      </c>
      <c r="H8" s="5">
        <f>SUMPRODUCT(--(COUNTIF('RAW_PC07'!$A$2:$A$1000,'RAW_PC07'!$A$2:$A$1000)&gt;1)*('RAW_PC07'!$A$2:$A$1000&lt;&gt;""))</f>
        <v/>
      </c>
      <c r="I8" s="5">
        <f>SUMPRODUCT(('RAW_PC07'!$D$2:$D$1000&lt;&gt;"")*('RAW_PC07'!$I$2:$I$1000&lt;&gt;""))-SUMPRODUCT(--ISNUMBER(SEARCH("youtu",'RAW_PC07'!$I$2:$I$1000&amp;"")))</f>
        <v/>
      </c>
      <c r="J8" s="5">
        <f>IFERROR(SUMPRODUCT(ISNUMBER('RAW_PC07'!$J$2:$J$1000)*ISNUMBER('RAW_PC07'!$K$2:$K$1000)*('RAW_PC07'!$K$2:$K$1000&gt;='RAW_PC07'!$J$2:$J$1000)*('RAW_PC07'!$K$2:$K$1000-'RAW_PC07'!$J$2:$J$1000))/SUMPRODUCT(ISNUMBER('RAW_PC07'!$J$2:$J$1000)*ISNUMBER('RAW_PC07'!$K$2:$K$1000)*('RAW_PC07'!$K$2:$K$1000&gt;='RAW_PC07'!$J$2:$J$1000)),"")</f>
        <v/>
      </c>
    </row>
    <row r="9">
      <c r="A9" s="5" t="inlineStr">
        <is>
          <t>PC 08</t>
        </is>
      </c>
      <c r="B9" s="5" t="inlineStr">
        <is>
          <t>1GlKsgFKe7JGm9lgOKt-4tH2DRZA0r_Xfxf89dpb1Sac</t>
        </is>
      </c>
      <c r="C9" s="5">
        <f>SUMPRODUCT(--('RAW_PC08'!$D$2:$D$1000&lt;&gt;""))</f>
        <v/>
      </c>
      <c r="D9" s="5">
        <f>SUMPRODUCT(('RAW_PC08'!$D$2:$D$1000&lt;&gt;"")*('RAW_PC08'!$I$2:$I$1000=""))</f>
        <v/>
      </c>
      <c r="E9" s="5">
        <f>SUMPRODUCT(('RAW_PC08'!$D$2:$D$1000&lt;&gt;"")*('RAW_PC08'!$F$2:$F$1000=""))</f>
        <v/>
      </c>
      <c r="F9" s="5">
        <f>SUMPRODUCT(('RAW_PC08'!$D$2:$D$1000&lt;&gt;"")*('RAW_PC08'!$L$2:$L$1000=""))</f>
        <v/>
      </c>
      <c r="G9" s="5">
        <f>SUMPRODUCT(('RAW_PC08'!$D$2:$D$1000&lt;&gt;"")*('RAW_PC08'!$L$2:$L$1000&lt;&gt;"")*ISERROR(MATCH('RAW_PC08'!$L$2:$L$1000,{"Draft","Menunggu Review","Revisi","Terjadwal","Upload","Publish","Published","Batal"},0)))</f>
        <v/>
      </c>
      <c r="H9" s="5">
        <f>SUMPRODUCT(--(COUNTIF('RAW_PC08'!$A$2:$A$1000,'RAW_PC08'!$A$2:$A$1000)&gt;1)*('RAW_PC08'!$A$2:$A$1000&lt;&gt;""))</f>
        <v/>
      </c>
      <c r="I9" s="5">
        <f>SUMPRODUCT(('RAW_PC08'!$D$2:$D$1000&lt;&gt;"")*('RAW_PC08'!$I$2:$I$1000&lt;&gt;""))-SUMPRODUCT(--ISNUMBER(SEARCH("youtu",'RAW_PC08'!$I$2:$I$1000&amp;"")))</f>
        <v/>
      </c>
      <c r="J9" s="5">
        <f>IFERROR(SUMPRODUCT(ISNUMBER('RAW_PC08'!$J$2:$J$1000)*ISNUMBER('RAW_PC08'!$K$2:$K$1000)*('RAW_PC08'!$K$2:$K$1000&gt;='RAW_PC08'!$J$2:$J$1000)*('RAW_PC08'!$K$2:$K$1000-'RAW_PC08'!$J$2:$J$1000))/SUMPRODUCT(ISNUMBER('RAW_PC08'!$J$2:$J$1000)*ISNUMBER('RAW_PC08'!$K$2:$K$1000)*('RAW_PC08'!$K$2:$K$1000&gt;='RAW_PC08'!$J$2:$J$1000)),"")</f>
        <v/>
      </c>
    </row>
    <row r="10">
      <c r="A10" s="5" t="inlineStr">
        <is>
          <t>PC 09</t>
        </is>
      </c>
      <c r="B10" s="5" t="inlineStr">
        <is>
          <t>1VwYa2VUseoVskqWsBmMoHp-Hqshnay2q11Bvwm2Tuzk</t>
        </is>
      </c>
      <c r="C10" s="5">
        <f>SUMPRODUCT(--('RAW_PC09'!$D$2:$D$1000&lt;&gt;""))</f>
        <v/>
      </c>
      <c r="D10" s="5">
        <f>SUMPRODUCT(('RAW_PC09'!$D$2:$D$1000&lt;&gt;"")*('RAW_PC09'!$I$2:$I$1000=""))</f>
        <v/>
      </c>
      <c r="E10" s="5">
        <f>SUMPRODUCT(('RAW_PC09'!$D$2:$D$1000&lt;&gt;"")*('RAW_PC09'!$F$2:$F$1000=""))</f>
        <v/>
      </c>
      <c r="F10" s="5">
        <f>SUMPRODUCT(('RAW_PC09'!$D$2:$D$1000&lt;&gt;"")*('RAW_PC09'!$L$2:$L$1000=""))</f>
        <v/>
      </c>
      <c r="G10" s="5">
        <f>SUMPRODUCT(('RAW_PC09'!$D$2:$D$1000&lt;&gt;"")*('RAW_PC09'!$L$2:$L$1000&lt;&gt;"")*ISERROR(MATCH('RAW_PC09'!$L$2:$L$1000,{"Draft","Menunggu Review","Revisi","Terjadwal","Upload","Publish","Published","Batal"},0)))</f>
        <v/>
      </c>
      <c r="H10" s="5">
        <f>SUMPRODUCT(--(COUNTIF('RAW_PC09'!$A$2:$A$1000,'RAW_PC09'!$A$2:$A$1000)&gt;1)*('RAW_PC09'!$A$2:$A$1000&lt;&gt;""))</f>
        <v/>
      </c>
      <c r="I10" s="5">
        <f>SUMPRODUCT(('RAW_PC09'!$D$2:$D$1000&lt;&gt;"")*('RAW_PC09'!$I$2:$I$1000&lt;&gt;""))-SUMPRODUCT(--ISNUMBER(SEARCH("youtu",'RAW_PC09'!$I$2:$I$1000&amp;"")))</f>
        <v/>
      </c>
      <c r="J10" s="5">
        <f>IFERROR(SUMPRODUCT(ISNUMBER('RAW_PC09'!$J$2:$J$1000)*ISNUMBER('RAW_PC09'!$K$2:$K$1000)*('RAW_PC09'!$K$2:$K$1000&gt;='RAW_PC09'!$J$2:$J$1000)*('RAW_PC09'!$K$2:$K$1000-'RAW_PC09'!$J$2:$J$1000))/SUMPRODUCT(ISNUMBER('RAW_PC09'!$J$2:$J$1000)*ISNUMBER('RAW_PC09'!$K$2:$K$1000)*('RAW_PC09'!$K$2:$K$1000&gt;='RAW_PC09'!$J$2:$J$1000)),"")</f>
        <v/>
      </c>
    </row>
    <row r="11">
      <c r="A11" s="5" t="inlineStr">
        <is>
          <t>PC 10</t>
        </is>
      </c>
      <c r="B11" s="5" t="inlineStr">
        <is>
          <t>1pUaz4vPmOKyplO5LHm7nRLLcjDRFRgYLNC0lsRuxT1U</t>
        </is>
      </c>
      <c r="C11" s="5">
        <f>SUMPRODUCT(--('RAW_PC10'!$D$2:$D$1000&lt;&gt;""))</f>
        <v/>
      </c>
      <c r="D11" s="5">
        <f>SUMPRODUCT(('RAW_PC10'!$D$2:$D$1000&lt;&gt;"")*('RAW_PC10'!$I$2:$I$1000=""))</f>
        <v/>
      </c>
      <c r="E11" s="5">
        <f>SUMPRODUCT(('RAW_PC10'!$D$2:$D$1000&lt;&gt;"")*('RAW_PC10'!$F$2:$F$1000=""))</f>
        <v/>
      </c>
      <c r="F11" s="5">
        <f>SUMPRODUCT(('RAW_PC10'!$D$2:$D$1000&lt;&gt;"")*('RAW_PC10'!$L$2:$L$1000=""))</f>
        <v/>
      </c>
      <c r="G11" s="5">
        <f>SUMPRODUCT(('RAW_PC10'!$D$2:$D$1000&lt;&gt;"")*('RAW_PC10'!$L$2:$L$1000&lt;&gt;"")*ISERROR(MATCH('RAW_PC10'!$L$2:$L$1000,{"Draft","Menunggu Review","Revisi","Terjadwal","Upload","Publish","Published","Batal"},0)))</f>
        <v/>
      </c>
      <c r="H11" s="5">
        <f>SUMPRODUCT(--(COUNTIF('RAW_PC10'!$A$2:$A$1000,'RAW_PC10'!$A$2:$A$1000)&gt;1)*('RAW_PC10'!$A$2:$A$1000&lt;&gt;""))</f>
        <v/>
      </c>
      <c r="I11" s="5">
        <f>SUMPRODUCT(('RAW_PC10'!$D$2:$D$1000&lt;&gt;"")*('RAW_PC10'!$I$2:$I$1000&lt;&gt;""))-SUMPRODUCT(--ISNUMBER(SEARCH("youtu",'RAW_PC10'!$I$2:$I$1000&amp;"")))</f>
        <v/>
      </c>
      <c r="J11" s="5">
        <f>IFERROR(SUMPRODUCT(ISNUMBER('RAW_PC10'!$J$2:$J$1000)*ISNUMBER('RAW_PC10'!$K$2:$K$1000)*('RAW_PC10'!$K$2:$K$1000&gt;='RAW_PC10'!$J$2:$J$1000)*('RAW_PC10'!$K$2:$K$1000-'RAW_PC10'!$J$2:$J$1000))/SUMPRODUCT(ISNUMBER('RAW_PC10'!$J$2:$J$1000)*ISNUMBER('RAW_PC10'!$K$2:$K$1000)*('RAW_PC10'!$K$2:$K$1000&gt;='RAW_PC10'!$J$2:$J$1000)),"")</f>
        <v/>
      </c>
    </row>
    <row r="12">
      <c r="A12" s="5" t="inlineStr">
        <is>
          <t>PC 11</t>
        </is>
      </c>
      <c r="B12" s="5" t="inlineStr">
        <is>
          <t>1W3ajRQiHjL4rqDQYWfkyYqAOQE_O7D42FQ5CWb6avMs</t>
        </is>
      </c>
      <c r="C12" s="5">
        <f>SUMPRODUCT(--('RAW_PC11'!$D$2:$D$1000&lt;&gt;""))</f>
        <v/>
      </c>
      <c r="D12" s="5">
        <f>SUMPRODUCT(('RAW_PC11'!$D$2:$D$1000&lt;&gt;"")*('RAW_PC11'!$I$2:$I$1000=""))</f>
        <v/>
      </c>
      <c r="E12" s="5">
        <f>SUMPRODUCT(('RAW_PC11'!$D$2:$D$1000&lt;&gt;"")*('RAW_PC11'!$F$2:$F$1000=""))</f>
        <v/>
      </c>
      <c r="F12" s="5">
        <f>SUMPRODUCT(('RAW_PC11'!$D$2:$D$1000&lt;&gt;"")*('RAW_PC11'!$L$2:$L$1000=""))</f>
        <v/>
      </c>
      <c r="G12" s="5">
        <f>SUMPRODUCT(('RAW_PC11'!$D$2:$D$1000&lt;&gt;"")*('RAW_PC11'!$L$2:$L$1000&lt;&gt;"")*ISERROR(MATCH('RAW_PC11'!$L$2:$L$1000,{"Draft","Menunggu Review","Revisi","Terjadwal","Upload","Publish","Published","Batal"},0)))</f>
        <v/>
      </c>
      <c r="H12" s="5">
        <f>SUMPRODUCT(--(COUNTIF('RAW_PC11'!$A$2:$A$1000,'RAW_PC11'!$A$2:$A$1000)&gt;1)*('RAW_PC11'!$A$2:$A$1000&lt;&gt;""))</f>
        <v/>
      </c>
      <c r="I12" s="5">
        <f>SUMPRODUCT(('RAW_PC11'!$D$2:$D$1000&lt;&gt;"")*('RAW_PC11'!$I$2:$I$1000&lt;&gt;""))-SUMPRODUCT(--ISNUMBER(SEARCH("youtu",'RAW_PC11'!$I$2:$I$1000&amp;"")))</f>
        <v/>
      </c>
      <c r="J12" s="5">
        <f>IFERROR(SUMPRODUCT(ISNUMBER('RAW_PC11'!$J$2:$J$1000)*ISNUMBER('RAW_PC11'!$K$2:$K$1000)*('RAW_PC11'!$K$2:$K$1000&gt;='RAW_PC11'!$J$2:$J$1000)*('RAW_PC11'!$K$2:$K$1000-'RAW_PC11'!$J$2:$J$1000))/SUMPRODUCT(ISNUMBER('RAW_PC11'!$J$2:$J$1000)*ISNUMBER('RAW_PC11'!$K$2:$K$1000)*('RAW_PC11'!$K$2:$K$1000&gt;='RAW_PC11'!$J$2:$J$1000)),"")</f>
        <v/>
      </c>
    </row>
    <row r="13">
      <c r="A13" s="5" t="inlineStr">
        <is>
          <t>PC 12</t>
        </is>
      </c>
      <c r="B13" s="5" t="inlineStr">
        <is>
          <t>13ZTrmU9eZ0ltVSNirEcBuqq017_b-TB85qZEqfPPF5Q</t>
        </is>
      </c>
      <c r="C13" s="5">
        <f>SUMPRODUCT(--('RAW_PC12'!$D$2:$D$1000&lt;&gt;""))</f>
        <v/>
      </c>
      <c r="D13" s="5">
        <f>SUMPRODUCT(('RAW_PC12'!$D$2:$D$1000&lt;&gt;"")*('RAW_PC12'!$I$2:$I$1000=""))</f>
        <v/>
      </c>
      <c r="E13" s="5">
        <f>SUMPRODUCT(('RAW_PC12'!$D$2:$D$1000&lt;&gt;"")*('RAW_PC12'!$F$2:$F$1000=""))</f>
        <v/>
      </c>
      <c r="F13" s="5">
        <f>SUMPRODUCT(('RAW_PC12'!$D$2:$D$1000&lt;&gt;"")*('RAW_PC12'!$L$2:$L$1000=""))</f>
        <v/>
      </c>
      <c r="G13" s="5">
        <f>SUMPRODUCT(('RAW_PC12'!$D$2:$D$1000&lt;&gt;"")*('RAW_PC12'!$L$2:$L$1000&lt;&gt;"")*ISERROR(MATCH('RAW_PC12'!$L$2:$L$1000,{"Draft","Menunggu Review","Revisi","Terjadwal","Upload","Publish","Published","Batal"},0)))</f>
        <v/>
      </c>
      <c r="H13" s="5">
        <f>SUMPRODUCT(--(COUNTIF('RAW_PC12'!$A$2:$A$1000,'RAW_PC12'!$A$2:$A$1000)&gt;1)*('RAW_PC12'!$A$2:$A$1000&lt;&gt;""))</f>
        <v/>
      </c>
      <c r="I13" s="5">
        <f>SUMPRODUCT(('RAW_PC12'!$D$2:$D$1000&lt;&gt;"")*('RAW_PC12'!$I$2:$I$1000&lt;&gt;""))-SUMPRODUCT(--ISNUMBER(SEARCH("youtu",'RAW_PC12'!$I$2:$I$1000&amp;"")))</f>
        <v/>
      </c>
      <c r="J13" s="5">
        <f>IFERROR(SUMPRODUCT(ISNUMBER('RAW_PC12'!$J$2:$J$1000)*ISNUMBER('RAW_PC12'!$K$2:$K$1000)*('RAW_PC12'!$K$2:$K$1000&gt;='RAW_PC12'!$J$2:$J$1000)*('RAW_PC12'!$K$2:$K$1000-'RAW_PC12'!$J$2:$J$1000))/SUMPRODUCT(ISNUMBER('RAW_PC12'!$J$2:$J$1000)*ISNUMBER('RAW_PC12'!$K$2:$K$1000)*('RAW_PC12'!$K$2:$K$1000&gt;='RAW_PC12'!$J$2:$J$1000)),"")</f>
        <v/>
      </c>
    </row>
    <row r="15">
      <c r="A15" s="24" t="inlineStr">
        <is>
          <t>Catatan: RINGKASAN lokal dihitung dari RAW_PC01..RAW_PC12; versi live memakai IMPORTRANGE. Link Video Kosong/Bukan YouTube dihitung dari kolom I. Kumpulan Video memakai LET+QUERY dari MASTER dan hanya memuat link video unik (kemunculan pertama).</t>
        </is>
      </c>
    </row>
  </sheetData>
  <mergeCells count="1">
    <mergeCell ref="A15:J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B8C00"/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style="25" min="1" max="1"/>
  </cols>
  <sheetData>
    <row r="1" ht="32" customHeight="1" s="25">
      <c r="A1" s="4" t="inlineStr">
        <is>
          <t>Keterangan</t>
        </is>
      </c>
    </row>
    <row r="2">
      <c r="A2" t="inlineStr">
        <is>
          <t>Apps Script akan membuat tab VALIDASI di tiap file PC memakai blok formula di bawah.</t>
        </is>
      </c>
    </row>
    <row r="3">
      <c r="A3" s="26" t="inlineStr">
        <is>
          <t>Formula 'Masalah Ditemukan' per baris (tarik ke bawah):</t>
        </is>
      </c>
    </row>
    <row r="4" ht="80" customHeight="1" s="25">
      <c r="A4" s="27">
        <f>IF(COUNTA($A2:$M2)&lt;=1,"",TEXTJOIN(" | ",TRUE,IF($A2="","Worker ID kosong",""),IF($B2="","Update Date kosong",IF(NOT(ISNUMBER($B2)),"Update Date bukan tanggal","")),IF($C2="","Song ID YT kosong",""),IF($D2="","Judul kosong",""),IF(TRIM($E2)="","",IF(ISERROR(MATCH(TRIM($E2),{"TuneCore","DistroKid","TooLost","SoundOn","Ditto","Believe","CD Baby","Amuse","Symphonic Distribution","ONErpm","RouteNote","LANDR","Horus Music","Indie"},0)),"Aggregator di luar daftar","")),IF(TRIM($F2)="","Genre kosong",IF((LEN(SUBSTITUTE(SUBSTITUTE(SUBSTITUTE(TRIM($F2),"/",","),";",",")," ",""))-LEN(SUBSTITUTE(SUBSTITUTE(SUBSTITUTE(SUBSTITUTE(TRIM($F2),"/",","),";",",")," ",""),",",""))+1)&gt;2,"Genre maksimal 2",IF(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$F2),"/",","),";",",")," ","")&amp;",")))&lt;&gt;(LEN(SUBSTITUTE(SUBSTITUTE(SUBSTITUTE(TRIM($F2),"/",","),";",",")," ",""))-LEN(SUBSTITUTE(SUBSTITUTE(SUBSTITUTE(SUBSTITUTE(TRIM($F2),"/",","),";",",")," ",""),",",""))+1),"Genre di luar daftar",""))),IF($G2="","Nama Channel kosong",""),IF($H2="","Link Channel kosong",IF(ISERROR(SEARCH("youtu",$H2)),"Link Channel bukan youtube","")),IF($I2="","Link Video kosong",IF(ISERROR(SEARCH("youtu",$I2)),"Link Video bukan youtube","")),IF($J2="","Tgl Dibuat kosong",IF(NOT(ISNUMBER($J2)),"Tgl Dibuat bukan tanggal","")),IF($K2="","",IF(NOT(ISNUMBER($K2)),"Tgl Publish bukan tanggal","")),IF(AND(ISNUMBER($J2),ISNUMBER($K2),$K2&lt;$J2),"Tgl Publish &lt; Tgl buat",""),IF(TRIM($L2)="","Status kosong",IF(ISERROR(MATCH(TRIM($L2),{"Draft","Menunggu Review","Revisi","Terjadwal","Upload","Publish","Published","Batal"},0)),"Status di luar daftar",""))))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53935"/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25" min="1" max="1"/>
    <col width="52" customWidth="1" style="25" min="2" max="2"/>
    <col width="60" customWidth="1" style="25" min="3" max="3"/>
    <col width="16" customWidth="1" style="25" min="4" max="4"/>
    <col width="50" customWidth="1" style="25" min="5" max="5"/>
  </cols>
  <sheetData>
    <row r="1" ht="32" customHeight="1" s="25">
      <c r="A1" s="4" t="inlineStr">
        <is>
          <t>No</t>
        </is>
      </c>
      <c r="B1" s="4" t="inlineStr">
        <is>
          <t>Temuan</t>
        </is>
      </c>
      <c r="C1" s="4" t="inlineStr">
        <is>
          <t>Dampak / Penyebab</t>
        </is>
      </c>
      <c r="D1" s="4" t="inlineStr">
        <is>
          <t>Kategori</t>
        </is>
      </c>
      <c r="E1" s="4" t="inlineStr">
        <is>
          <t>Perlakuan di Master</t>
        </is>
      </c>
    </row>
    <row r="2">
      <c r="A2" s="19" t="n">
        <v>1</v>
      </c>
      <c r="B2" s="19" t="inlineStr">
        <is>
          <t>Spasi ekor pada header sumber (Song ID YT / Genre / PIC channel)</t>
        </is>
      </c>
      <c r="C2" s="19" t="inlineStr">
        <is>
          <t>Cek resep pembanding kolom; formula menonjok tidak cocok.</t>
        </is>
      </c>
      <c r="D2" s="23" t="inlineStr">
        <is>
          <t>Struktur</t>
        </is>
      </c>
      <c r="E2" s="19" t="inlineStr">
        <is>
          <t>Kolom master dibersihkan (tanpa spasi ekor); sumber tidak diubah.</t>
        </is>
      </c>
    </row>
    <row r="3">
      <c r="A3" s="19" t="n">
        <v>2</v>
      </c>
      <c r="B3" s="19" t="inlineStr">
        <is>
          <t>Nama tab tidak konsisten (PC 1 vs PC 02)</t>
        </is>
      </c>
      <c r="C3" s="19" t="inlineStr">
        <is>
          <t>Formula antar file bisa patah bila nama tab berubah.</t>
        </is>
      </c>
      <c r="D3" s="23" t="inlineStr">
        <is>
          <t>Struktur</t>
        </is>
      </c>
      <c r="E3" s="19" t="inlineStr">
        <is>
          <t>Master memakai label PC 01..PC 12; source tetap dipertahankan.</t>
        </is>
      </c>
    </row>
    <row r="4">
      <c r="A4" s="19" t="n">
        <v>3</v>
      </c>
      <c r="B4" s="19" t="inlineStr">
        <is>
          <t>Kolom 'Link YT' ambigu (channel / video)</t>
        </is>
      </c>
      <c r="C4" s="19" t="inlineStr">
        <is>
          <t>Berbahaya bagi analisis karena tipe data tidak eksplisit.</t>
        </is>
      </c>
      <c r="D4" s="23" t="inlineStr">
        <is>
          <t>Struktur</t>
        </is>
      </c>
      <c r="E4" s="19" t="inlineStr">
        <is>
          <t>Sumber sudah dipecah: H = Link Channel YT, I = Link Video YT; master J/K.</t>
        </is>
      </c>
    </row>
    <row r="5">
      <c r="A5" s="19" t="n">
        <v>4</v>
      </c>
      <c r="B5" s="19" t="inlineStr">
        <is>
          <t>Note header I masih menyalin note Link Channel YT</t>
        </is>
      </c>
      <c r="C5" s="19" t="inlineStr">
        <is>
          <t>Petunjuk isi kolom video salah.</t>
        </is>
      </c>
      <c r="D5" s="23" t="inlineStr">
        <is>
          <t>Struktur</t>
        </is>
      </c>
      <c r="E5" s="19" t="inlineStr">
        <is>
          <t>installAll versi 13 kolom memperbaiki note I; note J-M ikut bergeser.</t>
        </is>
      </c>
    </row>
    <row r="6">
      <c r="A6" s="19" t="n">
        <v>5</v>
      </c>
      <c r="B6" s="19" t="inlineStr">
        <is>
          <t>Link video PC 09 sempat hilang dari sumber</t>
        </is>
      </c>
      <c r="C6" s="19" t="inlineStr">
        <is>
          <t>Saat audit kolom I kosong; data lama hanya ada di backup.</t>
        </is>
      </c>
      <c r="D6" s="22" t="inlineStr">
        <is>
          <t>Data</t>
        </is>
      </c>
      <c r="E6" s="19" t="inlineStr">
        <is>
          <t>Saat verifikasi kolom I sudah terisi 24/24; backup output/backup/pc09_link_lama.csv tetap disimpan.</t>
        </is>
      </c>
    </row>
    <row r="7">
      <c r="A7" s="19" t="n">
        <v>6</v>
      </c>
      <c r="B7" s="19" t="inlineStr">
        <is>
          <t>Tanggal berisiko disimpan sebagai teks</t>
        </is>
      </c>
      <c r="C7" s="19" t="inlineStr">
        <is>
          <t>Rumus selisih tanggal &amp; pengurutan gagal.</t>
        </is>
      </c>
      <c r="D7" s="22" t="inlineStr">
        <is>
          <t>Data</t>
        </is>
      </c>
      <c r="E7" s="19" t="inlineStr">
        <is>
          <t>Master memakai number-format date + pemeriksaan Validasi Master.</t>
        </is>
      </c>
    </row>
    <row r="8">
      <c r="A8" s="19" t="n">
        <v>7</v>
      </c>
      <c r="B8" s="19" t="inlineStr">
        <is>
          <t>Daftar status/aggregator/genre belum seragam</t>
        </is>
      </c>
      <c r="C8" s="19" t="inlineStr">
        <is>
          <t>Analisis agregat sulit karena variasi penulisan dan dropdown berbeda antar file.</t>
        </is>
      </c>
      <c r="D8" s="23" t="inlineStr">
        <is>
          <t>Struktur</t>
        </is>
      </c>
      <c r="E8" s="19" t="inlineStr">
        <is>
          <t>Daftar baku disimpan di config/validation_lists.json; dropdown master dan Apps Script memakai daftar yang sama.</t>
        </is>
      </c>
    </row>
    <row r="9">
      <c r="A9" s="19" t="n">
        <v>8</v>
      </c>
      <c r="B9" s="19" t="inlineStr">
        <is>
          <t>Genre hanya mendukung satu nilai</t>
        </is>
      </c>
      <c r="C9" s="19" t="inlineStr">
        <is>
          <t>Kebutuhan genre silang (mis. Pop, Jazz) tidak bisa dicatat rapi.</t>
        </is>
      </c>
      <c r="D9" s="23" t="inlineStr">
        <is>
          <t>Struktur</t>
        </is>
      </c>
      <c r="E9" s="19" t="inlineStr">
        <is>
          <t>Validasi genre 1-2 nilai, dipisahkan koma; dropdown custom di master dan file PC.</t>
        </is>
      </c>
    </row>
    <row r="10">
      <c r="A10" s="19" t="n">
        <v>9</v>
      </c>
      <c r="B10" s="19" t="inlineStr">
        <is>
          <t>Tab tersembunyi 'Extract' dan 'Refresh &amp; manage'</t>
        </is>
      </c>
      <c r="C10" s="19" t="inlineStr">
        <is>
          <t>Berisikan header sama namun kosong; membingungkan parser.</t>
        </is>
      </c>
      <c r="D10" s="23" t="inlineStr">
        <is>
          <t>Struktur</t>
        </is>
      </c>
      <c r="E10" s="19" t="inlineStr">
        <is>
          <t>Tidak dimasukkan ke master; bisa diarsip melalui Apps Script jika diinginkan.</t>
        </is>
      </c>
    </row>
    <row r="11">
      <c r="A11" s="19" t="n">
        <v>10</v>
      </c>
      <c r="B11" s="19" t="inlineStr">
        <is>
          <t>Sebagian file PC sudah berisi data</t>
        </is>
      </c>
      <c r="C11" s="19" t="inlineStr">
        <is>
          <t>PC 01 = 20 baris (16 link video); PC 09 = 24 baris (24 link video); PC lain header saja.</t>
        </is>
      </c>
      <c r="D11" s="22" t="inlineStr">
        <is>
          <t>Data</t>
        </is>
      </c>
      <c r="E11" s="19" t="inlineStr">
        <is>
          <t>Master tetap dibangun sebagai template; RINGKASAN live terisi setelah data masuk.</t>
        </is>
      </c>
    </row>
    <row r="12">
      <c r="A12" s="19" t="n">
        <v>11</v>
      </c>
      <c r="B12" s="19" t="inlineStr">
        <is>
          <t>Tidak ada kolom Nama Karyawan di sumber</t>
        </is>
      </c>
      <c r="C12" s="19" t="inlineStr">
        <is>
          <t>Hubungan PC &lt;-&gt; karyawan tidak eksplisit.</t>
        </is>
      </c>
      <c r="D12" s="23" t="inlineStr">
        <is>
          <t>Struktur</t>
        </is>
      </c>
      <c r="E12" s="19" t="inlineStr">
        <is>
          <t>Master menambah kolom 'Nama Karyawan' (opsional).</t>
        </is>
      </c>
    </row>
    <row r="13">
      <c r="A13" s="19" t="n">
        <v>12</v>
      </c>
      <c r="B13" s="19" t="inlineStr">
        <is>
          <t>Worker ID berpotensi tidak unik bila digabung antar PC</t>
        </is>
      </c>
      <c r="C13" s="19" t="inlineStr">
        <is>
          <t>Baris bisa saling menindih saat merge.</t>
        </is>
      </c>
      <c r="D13" s="23" t="inlineStr">
        <is>
          <t>Struktur</t>
        </is>
      </c>
      <c r="E13" s="19" t="inlineStr">
        <is>
          <t>Kunci master = (PC, Worker ID); flag DUPLICAT otomatis.</t>
        </is>
      </c>
    </row>
    <row r="14">
      <c r="A14" s="19" t="n">
        <v>13</v>
      </c>
      <c r="B14" s="19" t="inlineStr">
        <is>
          <t>Tidak ada kolom catatan/inspection note</t>
        </is>
      </c>
      <c r="C14" s="19" t="inlineStr">
        <is>
          <t>Detail kejadian (revisi dsb.) tidak tercatat.</t>
        </is>
      </c>
      <c r="D14" s="23" t="inlineStr">
        <is>
          <t>Struktur</t>
        </is>
      </c>
      <c r="E14" s="19" t="inlineStr">
        <is>
          <t>Master menyarankan kolom catatan di file PC; Apps Script menyediakan tarikan.</t>
        </is>
      </c>
    </row>
    <row r="15">
      <c r="A15" s="19" t="n">
        <v>14</v>
      </c>
      <c r="B15" s="19" t="inlineStr">
        <is>
          <t>PIC channel vs Nama Karyawan tidak sepola</t>
        </is>
      </c>
      <c r="C15" s="19" t="inlineStr">
        <is>
          <t>Satu PC bisa multi channel; satu channel bisa multi PIC.</t>
        </is>
      </c>
      <c r="D15" s="23" t="inlineStr">
        <is>
          <t>Struktur</t>
        </is>
      </c>
      <c r="E15" s="19" t="inlineStr">
        <is>
          <t>Master menyediakan dua kolom terpisah (PC + PIC channel).</t>
        </is>
      </c>
    </row>
    <row r="16">
      <c r="A16" s="19" t="n">
        <v>15</v>
      </c>
      <c r="B16" s="19" t="inlineStr">
        <is>
          <t>Link video duplikat di PC 01</t>
        </is>
      </c>
      <c r="C16" s="19" t="inlineStr">
        <is>
          <t>7 kemunculan duplikat; hanya 9 link unik. Tanpa dedup, Kumpulan Video berisi link berulang.</t>
        </is>
      </c>
      <c r="D16" s="22" t="inlineStr">
        <is>
          <t>Data</t>
        </is>
      </c>
      <c r="E16" s="19" t="inlineStr">
        <is>
          <t>Kumpulan Video dedup exact URL dan mempertahankan kemunculan pertama; sumber tidak diubah.</t>
        </is>
      </c>
    </row>
    <row r="17">
      <c r="A17" s="19" t="n">
        <v>16</v>
      </c>
      <c r="B17" s="19" t="inlineStr">
        <is>
          <t>19 baris PC 01 tanpa Worker ID</t>
        </is>
      </c>
      <c r="C17" s="19" t="inlineStr">
        <is>
          <t>Kunci (PC, Worker ID) tidak dapat dipakai; Duplikat? tidak menandai sel kosong.</t>
        </is>
      </c>
      <c r="D17" s="22" t="inlineStr">
        <is>
          <t>Data</t>
        </is>
      </c>
      <c r="E17" s="19" t="inlineStr">
        <is>
          <t>Validasi Master menandai Worker ID kosong; sumber perlu dilengkapi.</t>
        </is>
      </c>
    </row>
    <row r="18">
      <c r="A18" s="19" t="n">
        <v>17</v>
      </c>
      <c r="B18" s="19" t="inlineStr">
        <is>
          <t>975 baris sampah PC 09 (hanya Aggregator Tuncore)</t>
        </is>
      </c>
      <c r="C18" s="19" t="inlineStr">
        <is>
          <t>Mengganggu getLastRow dan VALIDASI lama.</t>
        </is>
      </c>
      <c r="D18" s="22" t="inlineStr">
        <is>
          <t>Data</t>
        </is>
      </c>
      <c r="E18" s="19" t="inlineStr">
        <is>
          <t>Script 13 kolom mengabaikan baris tanpa Worker ID/Song ID/Judul; tab VALIDASI dibersihkan ulang.</t>
        </is>
      </c>
    </row>
    <row r="19">
      <c r="A19" s="19" t="n">
        <v>18</v>
      </c>
      <c r="B19" s="19" t="inlineStr">
        <is>
          <t>Status Upload / Genre di PC 01 di luar daftar lama</t>
        </is>
      </c>
      <c r="C19" s="19" t="inlineStr">
        <is>
          <t>3 baris Upload dan 5 baris JAZZ tidak sesuai daftar lama.</t>
        </is>
      </c>
      <c r="D19" s="22" t="inlineStr">
        <is>
          <t>Data</t>
        </is>
      </c>
      <c r="E19" s="19" t="inlineStr">
        <is>
          <t>Daftar diperluas: Upload dan Jazz valid; pencocokan tidak peka huruf besar/kecil.</t>
        </is>
      </c>
    </row>
    <row r="20">
      <c r="A20" s="19" t="n">
        <v>19</v>
      </c>
      <c r="B20" s="19" t="inlineStr">
        <is>
          <t>Manifest tab tidak akurat</t>
        </is>
      </c>
      <c r="C20" s="19" t="inlineStr">
        <is>
          <t>PC 02-12 tidak mencantumkan tab data; dapat menyesatkan proses inventaris.</t>
        </is>
      </c>
      <c r="D20" s="23" t="inlineStr">
        <is>
          <t>Struktur</t>
        </is>
      </c>
      <c r="E20" s="19" t="inlineStr">
        <is>
          <t>fetch_sheets.py diubah membaca sheetnames dari XLSX; manifest diperbarui.</t>
        </is>
      </c>
    </row>
    <row r="21">
      <c r="A21" s="19" t="n">
        <v>20</v>
      </c>
      <c r="B21" s="19" t="inlineStr">
        <is>
          <t>12 trigger lama dimiliki akun owner (Srijapar)</t>
        </is>
      </c>
      <c r="C21" s="19" t="inlineStr">
        <is>
          <t>Akun editor tidak dapat menghapus trigger milik akun lain; trigger menargetkan 12 file.</t>
        </is>
      </c>
      <c r="D21" s="22" t="inlineStr">
        <is>
          <t>Operasional</t>
        </is>
      </c>
      <c r="E21" s="19" t="inlineStr">
        <is>
          <t>Kode project PC 01 diperbarui ke 13 kolom; trigger lama tetap dipakai karena sudah mencakup 12 file. Jika owner menghapusnya, pasang ulang per file.</t>
        </is>
      </c>
    </row>
  </sheetData>
  <autoFilter ref="A1:E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897B"/>
    <outlinePr summaryBelow="1" summaryRight="1"/>
    <pageSetUpPr/>
  </sheetPr>
  <dimension ref="A1:M10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25" min="1" max="1"/>
    <col width="19" customWidth="1" style="25" min="2" max="2"/>
    <col width="16" customWidth="1" style="25" min="3" max="3"/>
    <col width="34" customWidth="1" style="25" min="4" max="4"/>
    <col width="14" customWidth="1" style="25" min="5" max="5"/>
    <col width="12" customWidth="1" style="25" min="6" max="6"/>
    <col width="22" customWidth="1" style="25" min="7" max="7"/>
    <col width="36" customWidth="1" style="25" min="8" max="8"/>
    <col width="36" customWidth="1" style="25" min="9" max="9"/>
    <col width="15" customWidth="1" style="25" min="10" max="10"/>
    <col width="16" customWidth="1" style="25" min="11" max="11"/>
    <col width="16" customWidth="1" style="25" min="12" max="12"/>
    <col width="18" customWidth="1" style="25" min="13" max="13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>Song ID YT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>Genre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>PIC channel</t>
        </is>
      </c>
    </row>
    <row r="2">
      <c r="A2" s="17" t="n"/>
      <c r="B2" s="18" t="n"/>
      <c r="C2" s="17" t="n"/>
      <c r="D2" s="19" t="n"/>
      <c r="E2" s="17" t="n"/>
      <c r="F2" s="17" t="n"/>
      <c r="G2" s="17" t="n"/>
      <c r="H2" s="19" t="n"/>
      <c r="I2" s="19" t="n"/>
      <c r="J2" s="20" t="n"/>
      <c r="K2" s="20" t="n"/>
      <c r="L2" s="17" t="n"/>
      <c r="M2" s="17" t="n"/>
    </row>
    <row r="3">
      <c r="A3" s="12" t="n"/>
      <c r="B3" s="13" t="n"/>
      <c r="C3" s="12" t="n"/>
      <c r="D3" s="14" t="n"/>
      <c r="E3" s="12" t="n"/>
      <c r="F3" s="12" t="n"/>
      <c r="G3" s="12" t="n"/>
      <c r="H3" s="14" t="n"/>
      <c r="I3" s="14" t="n"/>
      <c r="J3" s="15" t="n"/>
      <c r="K3" s="15" t="n"/>
      <c r="L3" s="12" t="n"/>
      <c r="M3" s="12" t="n"/>
    </row>
    <row r="4">
      <c r="A4" s="17" t="n"/>
      <c r="B4" s="18" t="n"/>
      <c r="C4" s="17" t="n"/>
      <c r="D4" s="19" t="n"/>
      <c r="E4" s="17" t="n"/>
      <c r="F4" s="17" t="n"/>
      <c r="G4" s="17" t="n"/>
      <c r="H4" s="19" t="n"/>
      <c r="I4" s="19" t="n"/>
      <c r="J4" s="20" t="n"/>
      <c r="K4" s="20" t="n"/>
      <c r="L4" s="17" t="n"/>
      <c r="M4" s="17" t="n"/>
    </row>
    <row r="5">
      <c r="A5" s="12" t="n"/>
      <c r="B5" s="13" t="n"/>
      <c r="C5" s="12" t="n"/>
      <c r="D5" s="14" t="n"/>
      <c r="E5" s="12" t="n"/>
      <c r="F5" s="12" t="n"/>
      <c r="G5" s="12" t="n"/>
      <c r="H5" s="14" t="n"/>
      <c r="I5" s="14" t="n"/>
      <c r="J5" s="15" t="n"/>
      <c r="K5" s="15" t="n"/>
      <c r="L5" s="12" t="n"/>
      <c r="M5" s="12" t="n"/>
    </row>
    <row r="6">
      <c r="A6" s="17" t="n"/>
      <c r="B6" s="18" t="n"/>
      <c r="C6" s="17" t="n"/>
      <c r="D6" s="19" t="n"/>
      <c r="E6" s="17" t="n"/>
      <c r="F6" s="17" t="n"/>
      <c r="G6" s="17" t="n"/>
      <c r="H6" s="19" t="n"/>
      <c r="I6" s="19" t="n"/>
      <c r="J6" s="20" t="n"/>
      <c r="K6" s="20" t="n"/>
      <c r="L6" s="17" t="n"/>
      <c r="M6" s="17" t="n"/>
    </row>
    <row r="7">
      <c r="A7" s="12" t="n"/>
      <c r="B7" s="13" t="n"/>
      <c r="C7" s="12" t="n"/>
      <c r="D7" s="14" t="n"/>
      <c r="E7" s="12" t="n"/>
      <c r="F7" s="12" t="n"/>
      <c r="G7" s="12" t="n"/>
      <c r="H7" s="14" t="n"/>
      <c r="I7" s="14" t="n"/>
      <c r="J7" s="15" t="n"/>
      <c r="K7" s="15" t="n"/>
      <c r="L7" s="12" t="n"/>
      <c r="M7" s="12" t="n"/>
    </row>
    <row r="8">
      <c r="A8" s="17" t="n"/>
      <c r="B8" s="18" t="n"/>
      <c r="C8" s="17" t="n"/>
      <c r="D8" s="19" t="n"/>
      <c r="E8" s="17" t="n"/>
      <c r="F8" s="17" t="n"/>
      <c r="G8" s="17" t="n"/>
      <c r="H8" s="19" t="n"/>
      <c r="I8" s="19" t="n"/>
      <c r="J8" s="20" t="n"/>
      <c r="K8" s="20" t="n"/>
      <c r="L8" s="17" t="n"/>
      <c r="M8" s="17" t="n"/>
    </row>
    <row r="9">
      <c r="A9" s="12" t="n"/>
      <c r="B9" s="13" t="n"/>
      <c r="C9" s="12" t="n"/>
      <c r="D9" s="14" t="n"/>
      <c r="E9" s="12" t="n"/>
      <c r="F9" s="12" t="n"/>
      <c r="G9" s="12" t="n"/>
      <c r="H9" s="14" t="n"/>
      <c r="I9" s="14" t="n"/>
      <c r="J9" s="15" t="n"/>
      <c r="K9" s="15" t="n"/>
      <c r="L9" s="12" t="n"/>
      <c r="M9" s="12" t="n"/>
    </row>
    <row r="10">
      <c r="A10" s="17" t="n"/>
      <c r="B10" s="18" t="n"/>
      <c r="C10" s="17" t="n"/>
      <c r="D10" s="19" t="n"/>
      <c r="E10" s="17" t="n"/>
      <c r="F10" s="17" t="n"/>
      <c r="G10" s="17" t="n"/>
      <c r="H10" s="19" t="n"/>
      <c r="I10" s="19" t="n"/>
      <c r="J10" s="20" t="n"/>
      <c r="K10" s="20" t="n"/>
      <c r="L10" s="17" t="n"/>
      <c r="M10" s="17" t="n"/>
    </row>
    <row r="11">
      <c r="A11" s="12" t="n"/>
      <c r="B11" s="13" t="n"/>
      <c r="C11" s="12" t="n"/>
      <c r="D11" s="14" t="n"/>
      <c r="E11" s="12" t="n"/>
      <c r="F11" s="12" t="n"/>
      <c r="G11" s="12" t="n"/>
      <c r="H11" s="14" t="n"/>
      <c r="I11" s="14" t="n"/>
      <c r="J11" s="15" t="n"/>
      <c r="K11" s="15" t="n"/>
      <c r="L11" s="12" t="n"/>
      <c r="M11" s="12" t="n"/>
    </row>
    <row r="12">
      <c r="A12" s="17" t="n"/>
      <c r="B12" s="18" t="n"/>
      <c r="C12" s="17" t="n"/>
      <c r="D12" s="19" t="n"/>
      <c r="E12" s="17" t="n"/>
      <c r="F12" s="17" t="n"/>
      <c r="G12" s="17" t="n"/>
      <c r="H12" s="19" t="n"/>
      <c r="I12" s="19" t="n"/>
      <c r="J12" s="20" t="n"/>
      <c r="K12" s="20" t="n"/>
      <c r="L12" s="17" t="n"/>
      <c r="M12" s="17" t="n"/>
    </row>
    <row r="13">
      <c r="A13" s="12" t="n"/>
      <c r="B13" s="13" t="n"/>
      <c r="C13" s="12" t="n"/>
      <c r="D13" s="14" t="n"/>
      <c r="E13" s="12" t="n"/>
      <c r="F13" s="12" t="n"/>
      <c r="G13" s="12" t="n"/>
      <c r="H13" s="14" t="n"/>
      <c r="I13" s="14" t="n"/>
      <c r="J13" s="15" t="n"/>
      <c r="K13" s="15" t="n"/>
      <c r="L13" s="12" t="n"/>
      <c r="M13" s="12" t="n"/>
    </row>
    <row r="14">
      <c r="A14" s="17" t="n"/>
      <c r="B14" s="18" t="n"/>
      <c r="C14" s="17" t="n"/>
      <c r="D14" s="19" t="n"/>
      <c r="E14" s="17" t="n"/>
      <c r="F14" s="17" t="n"/>
      <c r="G14" s="17" t="n"/>
      <c r="H14" s="19" t="n"/>
      <c r="I14" s="19" t="n"/>
      <c r="J14" s="20" t="n"/>
      <c r="K14" s="20" t="n"/>
      <c r="L14" s="17" t="n"/>
      <c r="M14" s="17" t="n"/>
    </row>
    <row r="15">
      <c r="A15" s="12" t="n"/>
      <c r="B15" s="13" t="n"/>
      <c r="C15" s="12" t="n"/>
      <c r="D15" s="14" t="n"/>
      <c r="E15" s="12" t="n"/>
      <c r="F15" s="12" t="n"/>
      <c r="G15" s="12" t="n"/>
      <c r="H15" s="14" t="n"/>
      <c r="I15" s="14" t="n"/>
      <c r="J15" s="15" t="n"/>
      <c r="K15" s="15" t="n"/>
      <c r="L15" s="12" t="n"/>
      <c r="M15" s="12" t="n"/>
    </row>
    <row r="16">
      <c r="A16" s="17" t="n"/>
      <c r="B16" s="18" t="n"/>
      <c r="C16" s="17" t="n"/>
      <c r="D16" s="19" t="n"/>
      <c r="E16" s="17" t="n"/>
      <c r="F16" s="17" t="n"/>
      <c r="G16" s="17" t="n"/>
      <c r="H16" s="19" t="n"/>
      <c r="I16" s="19" t="n"/>
      <c r="J16" s="20" t="n"/>
      <c r="K16" s="20" t="n"/>
      <c r="L16" s="17" t="n"/>
      <c r="M16" s="17" t="n"/>
    </row>
    <row r="17">
      <c r="A17" s="12" t="n"/>
      <c r="B17" s="13" t="n"/>
      <c r="C17" s="12" t="n"/>
      <c r="D17" s="14" t="n"/>
      <c r="E17" s="12" t="n"/>
      <c r="F17" s="12" t="n"/>
      <c r="G17" s="12" t="n"/>
      <c r="H17" s="14" t="n"/>
      <c r="I17" s="14" t="n"/>
      <c r="J17" s="15" t="n"/>
      <c r="K17" s="15" t="n"/>
      <c r="L17" s="12" t="n"/>
      <c r="M17" s="12" t="n"/>
    </row>
    <row r="18">
      <c r="A18" s="17" t="n"/>
      <c r="B18" s="18" t="n"/>
      <c r="C18" s="17" t="n"/>
      <c r="D18" s="19" t="n"/>
      <c r="E18" s="17" t="n"/>
      <c r="F18" s="17" t="n"/>
      <c r="G18" s="17" t="n"/>
      <c r="H18" s="19" t="n"/>
      <c r="I18" s="19" t="n"/>
      <c r="J18" s="20" t="n"/>
      <c r="K18" s="20" t="n"/>
      <c r="L18" s="17" t="n"/>
      <c r="M18" s="17" t="n"/>
    </row>
    <row r="19">
      <c r="A19" s="12" t="n"/>
      <c r="B19" s="13" t="n"/>
      <c r="C19" s="12" t="n"/>
      <c r="D19" s="14" t="n"/>
      <c r="E19" s="12" t="n"/>
      <c r="F19" s="12" t="n"/>
      <c r="G19" s="12" t="n"/>
      <c r="H19" s="14" t="n"/>
      <c r="I19" s="14" t="n"/>
      <c r="J19" s="15" t="n"/>
      <c r="K19" s="15" t="n"/>
      <c r="L19" s="12" t="n"/>
      <c r="M19" s="12" t="n"/>
    </row>
    <row r="20">
      <c r="A20" s="17" t="n"/>
      <c r="B20" s="18" t="n"/>
      <c r="C20" s="17" t="n"/>
      <c r="D20" s="19" t="n"/>
      <c r="E20" s="17" t="n"/>
      <c r="F20" s="17" t="n"/>
      <c r="G20" s="17" t="n"/>
      <c r="H20" s="19" t="n"/>
      <c r="I20" s="19" t="n"/>
      <c r="J20" s="20" t="n"/>
      <c r="K20" s="20" t="n"/>
      <c r="L20" s="17" t="n"/>
      <c r="M20" s="17" t="n"/>
    </row>
    <row r="21">
      <c r="A21" s="12" t="n"/>
      <c r="B21" s="13" t="n"/>
      <c r="C21" s="12" t="n"/>
      <c r="D21" s="14" t="n"/>
      <c r="E21" s="12" t="n"/>
      <c r="F21" s="12" t="n"/>
      <c r="G21" s="12" t="n"/>
      <c r="H21" s="14" t="n"/>
      <c r="I21" s="14" t="n"/>
      <c r="J21" s="15" t="n"/>
      <c r="K21" s="15" t="n"/>
      <c r="L21" s="12" t="n"/>
      <c r="M21" s="12" t="n"/>
    </row>
    <row r="22">
      <c r="A22" s="17" t="n"/>
      <c r="B22" s="18" t="n"/>
      <c r="C22" s="17" t="n"/>
      <c r="D22" s="19" t="n"/>
      <c r="E22" s="17" t="n"/>
      <c r="F22" s="17" t="n"/>
      <c r="G22" s="17" t="n"/>
      <c r="H22" s="19" t="n"/>
      <c r="I22" s="19" t="n"/>
      <c r="J22" s="20" t="n"/>
      <c r="K22" s="20" t="n"/>
      <c r="L22" s="17" t="n"/>
      <c r="M22" s="17" t="n"/>
    </row>
    <row r="23">
      <c r="A23" s="12" t="n"/>
      <c r="B23" s="13" t="n"/>
      <c r="C23" s="12" t="n"/>
      <c r="D23" s="14" t="n"/>
      <c r="E23" s="12" t="n"/>
      <c r="F23" s="12" t="n"/>
      <c r="G23" s="12" t="n"/>
      <c r="H23" s="14" t="n"/>
      <c r="I23" s="14" t="n"/>
      <c r="J23" s="15" t="n"/>
      <c r="K23" s="15" t="n"/>
      <c r="L23" s="12" t="n"/>
      <c r="M23" s="12" t="n"/>
    </row>
    <row r="24">
      <c r="A24" s="17" t="n"/>
      <c r="B24" s="18" t="n"/>
      <c r="C24" s="17" t="n"/>
      <c r="D24" s="19" t="n"/>
      <c r="E24" s="17" t="n"/>
      <c r="F24" s="17" t="n"/>
      <c r="G24" s="17" t="n"/>
      <c r="H24" s="19" t="n"/>
      <c r="I24" s="19" t="n"/>
      <c r="J24" s="20" t="n"/>
      <c r="K24" s="20" t="n"/>
      <c r="L24" s="17" t="n"/>
      <c r="M24" s="17" t="n"/>
    </row>
    <row r="25">
      <c r="A25" s="12" t="n"/>
      <c r="B25" s="13" t="n"/>
      <c r="C25" s="12" t="n"/>
      <c r="D25" s="14" t="n"/>
      <c r="E25" s="12" t="n"/>
      <c r="F25" s="12" t="n"/>
      <c r="G25" s="12" t="n"/>
      <c r="H25" s="14" t="n"/>
      <c r="I25" s="14" t="n"/>
      <c r="J25" s="15" t="n"/>
      <c r="K25" s="15" t="n"/>
      <c r="L25" s="12" t="n"/>
      <c r="M25" s="12" t="n"/>
    </row>
    <row r="26">
      <c r="A26" s="17" t="n"/>
      <c r="B26" s="18" t="n"/>
      <c r="C26" s="17" t="n"/>
      <c r="D26" s="19" t="n"/>
      <c r="E26" s="17" t="n"/>
      <c r="F26" s="17" t="n"/>
      <c r="G26" s="17" t="n"/>
      <c r="H26" s="19" t="n"/>
      <c r="I26" s="19" t="n"/>
      <c r="J26" s="20" t="n"/>
      <c r="K26" s="20" t="n"/>
      <c r="L26" s="17" t="n"/>
      <c r="M26" s="17" t="n"/>
    </row>
    <row r="27">
      <c r="A27" s="12" t="n"/>
      <c r="B27" s="13" t="n"/>
      <c r="C27" s="12" t="n"/>
      <c r="D27" s="14" t="n"/>
      <c r="E27" s="12" t="n"/>
      <c r="F27" s="12" t="n"/>
      <c r="G27" s="12" t="n"/>
      <c r="H27" s="14" t="n"/>
      <c r="I27" s="14" t="n"/>
      <c r="J27" s="15" t="n"/>
      <c r="K27" s="15" t="n"/>
      <c r="L27" s="12" t="n"/>
      <c r="M27" s="12" t="n"/>
    </row>
    <row r="28">
      <c r="A28" s="17" t="n"/>
      <c r="B28" s="18" t="n"/>
      <c r="C28" s="17" t="n"/>
      <c r="D28" s="19" t="n"/>
      <c r="E28" s="17" t="n"/>
      <c r="F28" s="17" t="n"/>
      <c r="G28" s="17" t="n"/>
      <c r="H28" s="19" t="n"/>
      <c r="I28" s="19" t="n"/>
      <c r="J28" s="20" t="n"/>
      <c r="K28" s="20" t="n"/>
      <c r="L28" s="17" t="n"/>
      <c r="M28" s="17" t="n"/>
    </row>
    <row r="29">
      <c r="A29" s="12" t="n"/>
      <c r="B29" s="13" t="n"/>
      <c r="C29" s="12" t="n"/>
      <c r="D29" s="14" t="n"/>
      <c r="E29" s="12" t="n"/>
      <c r="F29" s="12" t="n"/>
      <c r="G29" s="12" t="n"/>
      <c r="H29" s="14" t="n"/>
      <c r="I29" s="14" t="n"/>
      <c r="J29" s="15" t="n"/>
      <c r="K29" s="15" t="n"/>
      <c r="L29" s="12" t="n"/>
      <c r="M29" s="12" t="n"/>
    </row>
    <row r="30">
      <c r="A30" s="17" t="n"/>
      <c r="B30" s="18" t="n"/>
      <c r="C30" s="17" t="n"/>
      <c r="D30" s="19" t="n"/>
      <c r="E30" s="17" t="n"/>
      <c r="F30" s="17" t="n"/>
      <c r="G30" s="17" t="n"/>
      <c r="H30" s="19" t="n"/>
      <c r="I30" s="19" t="n"/>
      <c r="J30" s="20" t="n"/>
      <c r="K30" s="20" t="n"/>
      <c r="L30" s="17" t="n"/>
      <c r="M30" s="17" t="n"/>
    </row>
    <row r="31">
      <c r="A31" s="12" t="n"/>
      <c r="B31" s="13" t="n"/>
      <c r="C31" s="12" t="n"/>
      <c r="D31" s="14" t="n"/>
      <c r="E31" s="12" t="n"/>
      <c r="F31" s="12" t="n"/>
      <c r="G31" s="12" t="n"/>
      <c r="H31" s="14" t="n"/>
      <c r="I31" s="14" t="n"/>
      <c r="J31" s="15" t="n"/>
      <c r="K31" s="15" t="n"/>
      <c r="L31" s="12" t="n"/>
      <c r="M31" s="12" t="n"/>
    </row>
    <row r="32">
      <c r="A32" s="17" t="n"/>
      <c r="B32" s="18" t="n"/>
      <c r="C32" s="17" t="n"/>
      <c r="D32" s="19" t="n"/>
      <c r="E32" s="17" t="n"/>
      <c r="F32" s="17" t="n"/>
      <c r="G32" s="17" t="n"/>
      <c r="H32" s="19" t="n"/>
      <c r="I32" s="19" t="n"/>
      <c r="J32" s="20" t="n"/>
      <c r="K32" s="20" t="n"/>
      <c r="L32" s="17" t="n"/>
      <c r="M32" s="17" t="n"/>
    </row>
    <row r="33">
      <c r="A33" s="12" t="n"/>
      <c r="B33" s="13" t="n"/>
      <c r="C33" s="12" t="n"/>
      <c r="D33" s="14" t="n"/>
      <c r="E33" s="12" t="n"/>
      <c r="F33" s="12" t="n"/>
      <c r="G33" s="12" t="n"/>
      <c r="H33" s="14" t="n"/>
      <c r="I33" s="14" t="n"/>
      <c r="J33" s="15" t="n"/>
      <c r="K33" s="15" t="n"/>
      <c r="L33" s="12" t="n"/>
      <c r="M33" s="12" t="n"/>
    </row>
    <row r="34">
      <c r="A34" s="17" t="n"/>
      <c r="B34" s="18" t="n"/>
      <c r="C34" s="17" t="n"/>
      <c r="D34" s="19" t="n"/>
      <c r="E34" s="17" t="n"/>
      <c r="F34" s="17" t="n"/>
      <c r="G34" s="17" t="n"/>
      <c r="H34" s="19" t="n"/>
      <c r="I34" s="19" t="n"/>
      <c r="J34" s="20" t="n"/>
      <c r="K34" s="20" t="n"/>
      <c r="L34" s="17" t="n"/>
      <c r="M34" s="17" t="n"/>
    </row>
    <row r="35">
      <c r="A35" s="12" t="n"/>
      <c r="B35" s="13" t="n"/>
      <c r="C35" s="12" t="n"/>
      <c r="D35" s="14" t="n"/>
      <c r="E35" s="12" t="n"/>
      <c r="F35" s="12" t="n"/>
      <c r="G35" s="12" t="n"/>
      <c r="H35" s="14" t="n"/>
      <c r="I35" s="14" t="n"/>
      <c r="J35" s="15" t="n"/>
      <c r="K35" s="15" t="n"/>
      <c r="L35" s="12" t="n"/>
      <c r="M35" s="12" t="n"/>
    </row>
    <row r="36">
      <c r="A36" s="17" t="n"/>
      <c r="B36" s="18" t="n"/>
      <c r="C36" s="17" t="n"/>
      <c r="D36" s="19" t="n"/>
      <c r="E36" s="17" t="n"/>
      <c r="F36" s="17" t="n"/>
      <c r="G36" s="17" t="n"/>
      <c r="H36" s="19" t="n"/>
      <c r="I36" s="19" t="n"/>
      <c r="J36" s="20" t="n"/>
      <c r="K36" s="20" t="n"/>
      <c r="L36" s="17" t="n"/>
      <c r="M36" s="17" t="n"/>
    </row>
    <row r="37">
      <c r="A37" s="12" t="n"/>
      <c r="B37" s="13" t="n"/>
      <c r="C37" s="12" t="n"/>
      <c r="D37" s="14" t="n"/>
      <c r="E37" s="12" t="n"/>
      <c r="F37" s="12" t="n"/>
      <c r="G37" s="12" t="n"/>
      <c r="H37" s="14" t="n"/>
      <c r="I37" s="14" t="n"/>
      <c r="J37" s="15" t="n"/>
      <c r="K37" s="15" t="n"/>
      <c r="L37" s="12" t="n"/>
      <c r="M37" s="12" t="n"/>
    </row>
    <row r="38">
      <c r="A38" s="17" t="n"/>
      <c r="B38" s="18" t="n"/>
      <c r="C38" s="17" t="n"/>
      <c r="D38" s="19" t="n"/>
      <c r="E38" s="17" t="n"/>
      <c r="F38" s="17" t="n"/>
      <c r="G38" s="17" t="n"/>
      <c r="H38" s="19" t="n"/>
      <c r="I38" s="19" t="n"/>
      <c r="J38" s="20" t="n"/>
      <c r="K38" s="20" t="n"/>
      <c r="L38" s="17" t="n"/>
      <c r="M38" s="17" t="n"/>
    </row>
    <row r="39">
      <c r="A39" s="12" t="n"/>
      <c r="B39" s="13" t="n"/>
      <c r="C39" s="12" t="n"/>
      <c r="D39" s="14" t="n"/>
      <c r="E39" s="12" t="n"/>
      <c r="F39" s="12" t="n"/>
      <c r="G39" s="12" t="n"/>
      <c r="H39" s="14" t="n"/>
      <c r="I39" s="14" t="n"/>
      <c r="J39" s="15" t="n"/>
      <c r="K39" s="15" t="n"/>
      <c r="L39" s="12" t="n"/>
      <c r="M39" s="12" t="n"/>
    </row>
    <row r="40">
      <c r="A40" s="17" t="n"/>
      <c r="B40" s="18" t="n"/>
      <c r="C40" s="17" t="n"/>
      <c r="D40" s="19" t="n"/>
      <c r="E40" s="17" t="n"/>
      <c r="F40" s="17" t="n"/>
      <c r="G40" s="17" t="n"/>
      <c r="H40" s="19" t="n"/>
      <c r="I40" s="19" t="n"/>
      <c r="J40" s="20" t="n"/>
      <c r="K40" s="20" t="n"/>
      <c r="L40" s="17" t="n"/>
      <c r="M40" s="17" t="n"/>
    </row>
    <row r="41">
      <c r="A41" s="12" t="n"/>
      <c r="B41" s="13" t="n"/>
      <c r="C41" s="12" t="n"/>
      <c r="D41" s="14" t="n"/>
      <c r="E41" s="12" t="n"/>
      <c r="F41" s="12" t="n"/>
      <c r="G41" s="12" t="n"/>
      <c r="H41" s="14" t="n"/>
      <c r="I41" s="14" t="n"/>
      <c r="J41" s="15" t="n"/>
      <c r="K41" s="15" t="n"/>
      <c r="L41" s="12" t="n"/>
      <c r="M41" s="12" t="n"/>
    </row>
    <row r="42">
      <c r="A42" s="17" t="n"/>
      <c r="B42" s="18" t="n"/>
      <c r="C42" s="17" t="n"/>
      <c r="D42" s="19" t="n"/>
      <c r="E42" s="17" t="n"/>
      <c r="F42" s="17" t="n"/>
      <c r="G42" s="17" t="n"/>
      <c r="H42" s="19" t="n"/>
      <c r="I42" s="19" t="n"/>
      <c r="J42" s="20" t="n"/>
      <c r="K42" s="20" t="n"/>
      <c r="L42" s="17" t="n"/>
      <c r="M42" s="17" t="n"/>
    </row>
    <row r="43">
      <c r="A43" s="12" t="n"/>
      <c r="B43" s="13" t="n"/>
      <c r="C43" s="12" t="n"/>
      <c r="D43" s="14" t="n"/>
      <c r="E43" s="12" t="n"/>
      <c r="F43" s="12" t="n"/>
      <c r="G43" s="12" t="n"/>
      <c r="H43" s="14" t="n"/>
      <c r="I43" s="14" t="n"/>
      <c r="J43" s="15" t="n"/>
      <c r="K43" s="15" t="n"/>
      <c r="L43" s="12" t="n"/>
      <c r="M43" s="12" t="n"/>
    </row>
    <row r="44">
      <c r="A44" s="17" t="n"/>
      <c r="B44" s="18" t="n"/>
      <c r="C44" s="17" t="n"/>
      <c r="D44" s="19" t="n"/>
      <c r="E44" s="17" t="n"/>
      <c r="F44" s="17" t="n"/>
      <c r="G44" s="17" t="n"/>
      <c r="H44" s="19" t="n"/>
      <c r="I44" s="19" t="n"/>
      <c r="J44" s="20" t="n"/>
      <c r="K44" s="20" t="n"/>
      <c r="L44" s="17" t="n"/>
      <c r="M44" s="17" t="n"/>
    </row>
    <row r="45">
      <c r="A45" s="12" t="n"/>
      <c r="B45" s="13" t="n"/>
      <c r="C45" s="12" t="n"/>
      <c r="D45" s="14" t="n"/>
      <c r="E45" s="12" t="n"/>
      <c r="F45" s="12" t="n"/>
      <c r="G45" s="12" t="n"/>
      <c r="H45" s="14" t="n"/>
      <c r="I45" s="14" t="n"/>
      <c r="J45" s="15" t="n"/>
      <c r="K45" s="15" t="n"/>
      <c r="L45" s="12" t="n"/>
      <c r="M45" s="12" t="n"/>
    </row>
    <row r="46">
      <c r="A46" s="17" t="n"/>
      <c r="B46" s="18" t="n"/>
      <c r="C46" s="17" t="n"/>
      <c r="D46" s="19" t="n"/>
      <c r="E46" s="17" t="n"/>
      <c r="F46" s="17" t="n"/>
      <c r="G46" s="17" t="n"/>
      <c r="H46" s="19" t="n"/>
      <c r="I46" s="19" t="n"/>
      <c r="J46" s="20" t="n"/>
      <c r="K46" s="20" t="n"/>
      <c r="L46" s="17" t="n"/>
      <c r="M46" s="17" t="n"/>
    </row>
    <row r="47">
      <c r="A47" s="12" t="n"/>
      <c r="B47" s="13" t="n"/>
      <c r="C47" s="12" t="n"/>
      <c r="D47" s="14" t="n"/>
      <c r="E47" s="12" t="n"/>
      <c r="F47" s="12" t="n"/>
      <c r="G47" s="12" t="n"/>
      <c r="H47" s="14" t="n"/>
      <c r="I47" s="14" t="n"/>
      <c r="J47" s="15" t="n"/>
      <c r="K47" s="15" t="n"/>
      <c r="L47" s="12" t="n"/>
      <c r="M47" s="12" t="n"/>
    </row>
    <row r="48">
      <c r="A48" s="17" t="n"/>
      <c r="B48" s="18" t="n"/>
      <c r="C48" s="17" t="n"/>
      <c r="D48" s="19" t="n"/>
      <c r="E48" s="17" t="n"/>
      <c r="F48" s="17" t="n"/>
      <c r="G48" s="17" t="n"/>
      <c r="H48" s="19" t="n"/>
      <c r="I48" s="19" t="n"/>
      <c r="J48" s="20" t="n"/>
      <c r="K48" s="20" t="n"/>
      <c r="L48" s="17" t="n"/>
      <c r="M48" s="17" t="n"/>
    </row>
    <row r="49">
      <c r="A49" s="12" t="n"/>
      <c r="B49" s="13" t="n"/>
      <c r="C49" s="12" t="n"/>
      <c r="D49" s="14" t="n"/>
      <c r="E49" s="12" t="n"/>
      <c r="F49" s="12" t="n"/>
      <c r="G49" s="12" t="n"/>
      <c r="H49" s="14" t="n"/>
      <c r="I49" s="14" t="n"/>
      <c r="J49" s="15" t="n"/>
      <c r="K49" s="15" t="n"/>
      <c r="L49" s="12" t="n"/>
      <c r="M49" s="12" t="n"/>
    </row>
    <row r="50">
      <c r="A50" s="17" t="n"/>
      <c r="B50" s="18" t="n"/>
      <c r="C50" s="17" t="n"/>
      <c r="D50" s="19" t="n"/>
      <c r="E50" s="17" t="n"/>
      <c r="F50" s="17" t="n"/>
      <c r="G50" s="17" t="n"/>
      <c r="H50" s="19" t="n"/>
      <c r="I50" s="19" t="n"/>
      <c r="J50" s="20" t="n"/>
      <c r="K50" s="20" t="n"/>
      <c r="L50" s="17" t="n"/>
      <c r="M50" s="17" t="n"/>
    </row>
    <row r="51">
      <c r="A51" s="12" t="n"/>
      <c r="B51" s="13" t="n"/>
      <c r="C51" s="12" t="n"/>
      <c r="D51" s="14" t="n"/>
      <c r="E51" s="12" t="n"/>
      <c r="F51" s="12" t="n"/>
      <c r="G51" s="12" t="n"/>
      <c r="H51" s="14" t="n"/>
      <c r="I51" s="14" t="n"/>
      <c r="J51" s="15" t="n"/>
      <c r="K51" s="15" t="n"/>
      <c r="L51" s="12" t="n"/>
      <c r="M51" s="12" t="n"/>
    </row>
    <row r="52">
      <c r="A52" s="17" t="n"/>
      <c r="B52" s="18" t="n"/>
      <c r="C52" s="17" t="n"/>
      <c r="D52" s="19" t="n"/>
      <c r="E52" s="17" t="n"/>
      <c r="F52" s="17" t="n"/>
      <c r="G52" s="17" t="n"/>
      <c r="H52" s="19" t="n"/>
      <c r="I52" s="19" t="n"/>
      <c r="J52" s="20" t="n"/>
      <c r="K52" s="20" t="n"/>
      <c r="L52" s="17" t="n"/>
      <c r="M52" s="17" t="n"/>
    </row>
    <row r="53">
      <c r="A53" s="12" t="n"/>
      <c r="B53" s="13" t="n"/>
      <c r="C53" s="12" t="n"/>
      <c r="D53" s="14" t="n"/>
      <c r="E53" s="12" t="n"/>
      <c r="F53" s="12" t="n"/>
      <c r="G53" s="12" t="n"/>
      <c r="H53" s="14" t="n"/>
      <c r="I53" s="14" t="n"/>
      <c r="J53" s="15" t="n"/>
      <c r="K53" s="15" t="n"/>
      <c r="L53" s="12" t="n"/>
      <c r="M53" s="12" t="n"/>
    </row>
    <row r="54">
      <c r="A54" s="17" t="n"/>
      <c r="B54" s="18" t="n"/>
      <c r="C54" s="17" t="n"/>
      <c r="D54" s="19" t="n"/>
      <c r="E54" s="17" t="n"/>
      <c r="F54" s="17" t="n"/>
      <c r="G54" s="17" t="n"/>
      <c r="H54" s="19" t="n"/>
      <c r="I54" s="19" t="n"/>
      <c r="J54" s="20" t="n"/>
      <c r="K54" s="20" t="n"/>
      <c r="L54" s="17" t="n"/>
      <c r="M54" s="17" t="n"/>
    </row>
    <row r="55">
      <c r="A55" s="12" t="n"/>
      <c r="B55" s="13" t="n"/>
      <c r="C55" s="12" t="n"/>
      <c r="D55" s="14" t="n"/>
      <c r="E55" s="12" t="n"/>
      <c r="F55" s="12" t="n"/>
      <c r="G55" s="12" t="n"/>
      <c r="H55" s="14" t="n"/>
      <c r="I55" s="14" t="n"/>
      <c r="J55" s="15" t="n"/>
      <c r="K55" s="15" t="n"/>
      <c r="L55" s="12" t="n"/>
      <c r="M55" s="12" t="n"/>
    </row>
    <row r="56">
      <c r="A56" s="17" t="n"/>
      <c r="B56" s="18" t="n"/>
      <c r="C56" s="17" t="n"/>
      <c r="D56" s="19" t="n"/>
      <c r="E56" s="17" t="n"/>
      <c r="F56" s="17" t="n"/>
      <c r="G56" s="17" t="n"/>
      <c r="H56" s="19" t="n"/>
      <c r="I56" s="19" t="n"/>
      <c r="J56" s="20" t="n"/>
      <c r="K56" s="20" t="n"/>
      <c r="L56" s="17" t="n"/>
      <c r="M56" s="17" t="n"/>
    </row>
    <row r="57">
      <c r="A57" s="12" t="n"/>
      <c r="B57" s="13" t="n"/>
      <c r="C57" s="12" t="n"/>
      <c r="D57" s="14" t="n"/>
      <c r="E57" s="12" t="n"/>
      <c r="F57" s="12" t="n"/>
      <c r="G57" s="12" t="n"/>
      <c r="H57" s="14" t="n"/>
      <c r="I57" s="14" t="n"/>
      <c r="J57" s="15" t="n"/>
      <c r="K57" s="15" t="n"/>
      <c r="L57" s="12" t="n"/>
      <c r="M57" s="12" t="n"/>
    </row>
    <row r="58">
      <c r="A58" s="17" t="n"/>
      <c r="B58" s="18" t="n"/>
      <c r="C58" s="17" t="n"/>
      <c r="D58" s="19" t="n"/>
      <c r="E58" s="17" t="n"/>
      <c r="F58" s="17" t="n"/>
      <c r="G58" s="17" t="n"/>
      <c r="H58" s="19" t="n"/>
      <c r="I58" s="19" t="n"/>
      <c r="J58" s="20" t="n"/>
      <c r="K58" s="20" t="n"/>
      <c r="L58" s="17" t="n"/>
      <c r="M58" s="17" t="n"/>
    </row>
    <row r="59">
      <c r="A59" s="12" t="n"/>
      <c r="B59" s="13" t="n"/>
      <c r="C59" s="12" t="n"/>
      <c r="D59" s="14" t="n"/>
      <c r="E59" s="12" t="n"/>
      <c r="F59" s="12" t="n"/>
      <c r="G59" s="12" t="n"/>
      <c r="H59" s="14" t="n"/>
      <c r="I59" s="14" t="n"/>
      <c r="J59" s="15" t="n"/>
      <c r="K59" s="15" t="n"/>
      <c r="L59" s="12" t="n"/>
      <c r="M59" s="12" t="n"/>
    </row>
    <row r="60">
      <c r="A60" s="17" t="n"/>
      <c r="B60" s="18" t="n"/>
      <c r="C60" s="17" t="n"/>
      <c r="D60" s="19" t="n"/>
      <c r="E60" s="17" t="n"/>
      <c r="F60" s="17" t="n"/>
      <c r="G60" s="17" t="n"/>
      <c r="H60" s="19" t="n"/>
      <c r="I60" s="19" t="n"/>
      <c r="J60" s="20" t="n"/>
      <c r="K60" s="20" t="n"/>
      <c r="L60" s="17" t="n"/>
      <c r="M60" s="17" t="n"/>
    </row>
    <row r="61">
      <c r="A61" s="12" t="n"/>
      <c r="B61" s="13" t="n"/>
      <c r="C61" s="12" t="n"/>
      <c r="D61" s="14" t="n"/>
      <c r="E61" s="12" t="n"/>
      <c r="F61" s="12" t="n"/>
      <c r="G61" s="12" t="n"/>
      <c r="H61" s="14" t="n"/>
      <c r="I61" s="14" t="n"/>
      <c r="J61" s="15" t="n"/>
      <c r="K61" s="15" t="n"/>
      <c r="L61" s="12" t="n"/>
      <c r="M61" s="12" t="n"/>
    </row>
    <row r="62">
      <c r="A62" s="17" t="n"/>
      <c r="B62" s="18" t="n"/>
      <c r="C62" s="17" t="n"/>
      <c r="D62" s="19" t="n"/>
      <c r="E62" s="17" t="n"/>
      <c r="F62" s="17" t="n"/>
      <c r="G62" s="17" t="n"/>
      <c r="H62" s="19" t="n"/>
      <c r="I62" s="19" t="n"/>
      <c r="J62" s="20" t="n"/>
      <c r="K62" s="20" t="n"/>
      <c r="L62" s="17" t="n"/>
      <c r="M62" s="17" t="n"/>
    </row>
    <row r="63">
      <c r="A63" s="12" t="n"/>
      <c r="B63" s="13" t="n"/>
      <c r="C63" s="12" t="n"/>
      <c r="D63" s="14" t="n"/>
      <c r="E63" s="12" t="n"/>
      <c r="F63" s="12" t="n"/>
      <c r="G63" s="12" t="n"/>
      <c r="H63" s="14" t="n"/>
      <c r="I63" s="14" t="n"/>
      <c r="J63" s="15" t="n"/>
      <c r="K63" s="15" t="n"/>
      <c r="L63" s="12" t="n"/>
      <c r="M63" s="12" t="n"/>
    </row>
    <row r="64">
      <c r="A64" s="17" t="n"/>
      <c r="B64" s="18" t="n"/>
      <c r="C64" s="17" t="n"/>
      <c r="D64" s="19" t="n"/>
      <c r="E64" s="17" t="n"/>
      <c r="F64" s="17" t="n"/>
      <c r="G64" s="17" t="n"/>
      <c r="H64" s="19" t="n"/>
      <c r="I64" s="19" t="n"/>
      <c r="J64" s="20" t="n"/>
      <c r="K64" s="20" t="n"/>
      <c r="L64" s="17" t="n"/>
      <c r="M64" s="17" t="n"/>
    </row>
    <row r="65">
      <c r="A65" s="12" t="n"/>
      <c r="B65" s="13" t="n"/>
      <c r="C65" s="12" t="n"/>
      <c r="D65" s="14" t="n"/>
      <c r="E65" s="12" t="n"/>
      <c r="F65" s="12" t="n"/>
      <c r="G65" s="12" t="n"/>
      <c r="H65" s="14" t="n"/>
      <c r="I65" s="14" t="n"/>
      <c r="J65" s="15" t="n"/>
      <c r="K65" s="15" t="n"/>
      <c r="L65" s="12" t="n"/>
      <c r="M65" s="12" t="n"/>
    </row>
    <row r="66">
      <c r="A66" s="17" t="n"/>
      <c r="B66" s="18" t="n"/>
      <c r="C66" s="17" t="n"/>
      <c r="D66" s="19" t="n"/>
      <c r="E66" s="17" t="n"/>
      <c r="F66" s="17" t="n"/>
      <c r="G66" s="17" t="n"/>
      <c r="H66" s="19" t="n"/>
      <c r="I66" s="19" t="n"/>
      <c r="J66" s="20" t="n"/>
      <c r="K66" s="20" t="n"/>
      <c r="L66" s="17" t="n"/>
      <c r="M66" s="17" t="n"/>
    </row>
    <row r="67">
      <c r="A67" s="12" t="n"/>
      <c r="B67" s="13" t="n"/>
      <c r="C67" s="12" t="n"/>
      <c r="D67" s="14" t="n"/>
      <c r="E67" s="12" t="n"/>
      <c r="F67" s="12" t="n"/>
      <c r="G67" s="12" t="n"/>
      <c r="H67" s="14" t="n"/>
      <c r="I67" s="14" t="n"/>
      <c r="J67" s="15" t="n"/>
      <c r="K67" s="15" t="n"/>
      <c r="L67" s="12" t="n"/>
      <c r="M67" s="12" t="n"/>
    </row>
    <row r="68">
      <c r="A68" s="17" t="n"/>
      <c r="B68" s="18" t="n"/>
      <c r="C68" s="17" t="n"/>
      <c r="D68" s="19" t="n"/>
      <c r="E68" s="17" t="n"/>
      <c r="F68" s="17" t="n"/>
      <c r="G68" s="17" t="n"/>
      <c r="H68" s="19" t="n"/>
      <c r="I68" s="19" t="n"/>
      <c r="J68" s="20" t="n"/>
      <c r="K68" s="20" t="n"/>
      <c r="L68" s="17" t="n"/>
      <c r="M68" s="17" t="n"/>
    </row>
    <row r="69">
      <c r="A69" s="12" t="n"/>
      <c r="B69" s="13" t="n"/>
      <c r="C69" s="12" t="n"/>
      <c r="D69" s="14" t="n"/>
      <c r="E69" s="12" t="n"/>
      <c r="F69" s="12" t="n"/>
      <c r="G69" s="12" t="n"/>
      <c r="H69" s="14" t="n"/>
      <c r="I69" s="14" t="n"/>
      <c r="J69" s="15" t="n"/>
      <c r="K69" s="15" t="n"/>
      <c r="L69" s="12" t="n"/>
      <c r="M69" s="12" t="n"/>
    </row>
    <row r="70">
      <c r="A70" s="17" t="n"/>
      <c r="B70" s="18" t="n"/>
      <c r="C70" s="17" t="n"/>
      <c r="D70" s="19" t="n"/>
      <c r="E70" s="17" t="n"/>
      <c r="F70" s="17" t="n"/>
      <c r="G70" s="17" t="n"/>
      <c r="H70" s="19" t="n"/>
      <c r="I70" s="19" t="n"/>
      <c r="J70" s="20" t="n"/>
      <c r="K70" s="20" t="n"/>
      <c r="L70" s="17" t="n"/>
      <c r="M70" s="17" t="n"/>
    </row>
    <row r="71">
      <c r="A71" s="12" t="n"/>
      <c r="B71" s="13" t="n"/>
      <c r="C71" s="12" t="n"/>
      <c r="D71" s="14" t="n"/>
      <c r="E71" s="12" t="n"/>
      <c r="F71" s="12" t="n"/>
      <c r="G71" s="12" t="n"/>
      <c r="H71" s="14" t="n"/>
      <c r="I71" s="14" t="n"/>
      <c r="J71" s="15" t="n"/>
      <c r="K71" s="15" t="n"/>
      <c r="L71" s="12" t="n"/>
      <c r="M71" s="12" t="n"/>
    </row>
    <row r="72">
      <c r="A72" s="17" t="n"/>
      <c r="B72" s="18" t="n"/>
      <c r="C72" s="17" t="n"/>
      <c r="D72" s="19" t="n"/>
      <c r="E72" s="17" t="n"/>
      <c r="F72" s="17" t="n"/>
      <c r="G72" s="17" t="n"/>
      <c r="H72" s="19" t="n"/>
      <c r="I72" s="19" t="n"/>
      <c r="J72" s="20" t="n"/>
      <c r="K72" s="20" t="n"/>
      <c r="L72" s="17" t="n"/>
      <c r="M72" s="17" t="n"/>
    </row>
    <row r="73">
      <c r="A73" s="12" t="n"/>
      <c r="B73" s="13" t="n"/>
      <c r="C73" s="12" t="n"/>
      <c r="D73" s="14" t="n"/>
      <c r="E73" s="12" t="n"/>
      <c r="F73" s="12" t="n"/>
      <c r="G73" s="12" t="n"/>
      <c r="H73" s="14" t="n"/>
      <c r="I73" s="14" t="n"/>
      <c r="J73" s="15" t="n"/>
      <c r="K73" s="15" t="n"/>
      <c r="L73" s="12" t="n"/>
      <c r="M73" s="12" t="n"/>
    </row>
    <row r="74">
      <c r="A74" s="17" t="n"/>
      <c r="B74" s="18" t="n"/>
      <c r="C74" s="17" t="n"/>
      <c r="D74" s="19" t="n"/>
      <c r="E74" s="17" t="n"/>
      <c r="F74" s="17" t="n"/>
      <c r="G74" s="17" t="n"/>
      <c r="H74" s="19" t="n"/>
      <c r="I74" s="19" t="n"/>
      <c r="J74" s="20" t="n"/>
      <c r="K74" s="20" t="n"/>
      <c r="L74" s="17" t="n"/>
      <c r="M74" s="17" t="n"/>
    </row>
    <row r="75">
      <c r="A75" s="12" t="n"/>
      <c r="B75" s="13" t="n"/>
      <c r="C75" s="12" t="n"/>
      <c r="D75" s="14" t="n"/>
      <c r="E75" s="12" t="n"/>
      <c r="F75" s="12" t="n"/>
      <c r="G75" s="12" t="n"/>
      <c r="H75" s="14" t="n"/>
      <c r="I75" s="14" t="n"/>
      <c r="J75" s="15" t="n"/>
      <c r="K75" s="15" t="n"/>
      <c r="L75" s="12" t="n"/>
      <c r="M75" s="12" t="n"/>
    </row>
    <row r="76">
      <c r="A76" s="17" t="n"/>
      <c r="B76" s="18" t="n"/>
      <c r="C76" s="17" t="n"/>
      <c r="D76" s="19" t="n"/>
      <c r="E76" s="17" t="n"/>
      <c r="F76" s="17" t="n"/>
      <c r="G76" s="17" t="n"/>
      <c r="H76" s="19" t="n"/>
      <c r="I76" s="19" t="n"/>
      <c r="J76" s="20" t="n"/>
      <c r="K76" s="20" t="n"/>
      <c r="L76" s="17" t="n"/>
      <c r="M76" s="17" t="n"/>
    </row>
    <row r="77">
      <c r="A77" s="12" t="n"/>
      <c r="B77" s="13" t="n"/>
      <c r="C77" s="12" t="n"/>
      <c r="D77" s="14" t="n"/>
      <c r="E77" s="12" t="n"/>
      <c r="F77" s="12" t="n"/>
      <c r="G77" s="12" t="n"/>
      <c r="H77" s="14" t="n"/>
      <c r="I77" s="14" t="n"/>
      <c r="J77" s="15" t="n"/>
      <c r="K77" s="15" t="n"/>
      <c r="L77" s="12" t="n"/>
      <c r="M77" s="12" t="n"/>
    </row>
    <row r="78">
      <c r="A78" s="17" t="n"/>
      <c r="B78" s="18" t="n"/>
      <c r="C78" s="17" t="n"/>
      <c r="D78" s="19" t="n"/>
      <c r="E78" s="17" t="n"/>
      <c r="F78" s="17" t="n"/>
      <c r="G78" s="17" t="n"/>
      <c r="H78" s="19" t="n"/>
      <c r="I78" s="19" t="n"/>
      <c r="J78" s="20" t="n"/>
      <c r="K78" s="20" t="n"/>
      <c r="L78" s="17" t="n"/>
      <c r="M78" s="17" t="n"/>
    </row>
    <row r="79">
      <c r="A79" s="12" t="n"/>
      <c r="B79" s="13" t="n"/>
      <c r="C79" s="12" t="n"/>
      <c r="D79" s="14" t="n"/>
      <c r="E79" s="12" t="n"/>
      <c r="F79" s="12" t="n"/>
      <c r="G79" s="12" t="n"/>
      <c r="H79" s="14" t="n"/>
      <c r="I79" s="14" t="n"/>
      <c r="J79" s="15" t="n"/>
      <c r="K79" s="15" t="n"/>
      <c r="L79" s="12" t="n"/>
      <c r="M79" s="12" t="n"/>
    </row>
    <row r="80">
      <c r="A80" s="17" t="n"/>
      <c r="B80" s="18" t="n"/>
      <c r="C80" s="17" t="n"/>
      <c r="D80" s="19" t="n"/>
      <c r="E80" s="17" t="n"/>
      <c r="F80" s="17" t="n"/>
      <c r="G80" s="17" t="n"/>
      <c r="H80" s="19" t="n"/>
      <c r="I80" s="19" t="n"/>
      <c r="J80" s="20" t="n"/>
      <c r="K80" s="20" t="n"/>
      <c r="L80" s="17" t="n"/>
      <c r="M80" s="17" t="n"/>
    </row>
    <row r="81">
      <c r="A81" s="12" t="n"/>
      <c r="B81" s="13" t="n"/>
      <c r="C81" s="12" t="n"/>
      <c r="D81" s="14" t="n"/>
      <c r="E81" s="12" t="n"/>
      <c r="F81" s="12" t="n"/>
      <c r="G81" s="12" t="n"/>
      <c r="H81" s="14" t="n"/>
      <c r="I81" s="14" t="n"/>
      <c r="J81" s="15" t="n"/>
      <c r="K81" s="15" t="n"/>
      <c r="L81" s="12" t="n"/>
      <c r="M81" s="12" t="n"/>
    </row>
    <row r="82">
      <c r="A82" s="17" t="n"/>
      <c r="B82" s="18" t="n"/>
      <c r="C82" s="17" t="n"/>
      <c r="D82" s="19" t="n"/>
      <c r="E82" s="17" t="n"/>
      <c r="F82" s="17" t="n"/>
      <c r="G82" s="17" t="n"/>
      <c r="H82" s="19" t="n"/>
      <c r="I82" s="19" t="n"/>
      <c r="J82" s="20" t="n"/>
      <c r="K82" s="20" t="n"/>
      <c r="L82" s="17" t="n"/>
      <c r="M82" s="17" t="n"/>
    </row>
    <row r="83">
      <c r="A83" s="12" t="n"/>
      <c r="B83" s="13" t="n"/>
      <c r="C83" s="12" t="n"/>
      <c r="D83" s="14" t="n"/>
      <c r="E83" s="12" t="n"/>
      <c r="F83" s="12" t="n"/>
      <c r="G83" s="12" t="n"/>
      <c r="H83" s="14" t="n"/>
      <c r="I83" s="14" t="n"/>
      <c r="J83" s="15" t="n"/>
      <c r="K83" s="15" t="n"/>
      <c r="L83" s="12" t="n"/>
      <c r="M83" s="12" t="n"/>
    </row>
    <row r="84">
      <c r="A84" s="17" t="n"/>
      <c r="B84" s="18" t="n"/>
      <c r="C84" s="17" t="n"/>
      <c r="D84" s="19" t="n"/>
      <c r="E84" s="17" t="n"/>
      <c r="F84" s="17" t="n"/>
      <c r="G84" s="17" t="n"/>
      <c r="H84" s="19" t="n"/>
      <c r="I84" s="19" t="n"/>
      <c r="J84" s="20" t="n"/>
      <c r="K84" s="20" t="n"/>
      <c r="L84" s="17" t="n"/>
      <c r="M84" s="17" t="n"/>
    </row>
    <row r="85">
      <c r="A85" s="12" t="n"/>
      <c r="B85" s="13" t="n"/>
      <c r="C85" s="12" t="n"/>
      <c r="D85" s="14" t="n"/>
      <c r="E85" s="12" t="n"/>
      <c r="F85" s="12" t="n"/>
      <c r="G85" s="12" t="n"/>
      <c r="H85" s="14" t="n"/>
      <c r="I85" s="14" t="n"/>
      <c r="J85" s="15" t="n"/>
      <c r="K85" s="15" t="n"/>
      <c r="L85" s="12" t="n"/>
      <c r="M85" s="12" t="n"/>
    </row>
    <row r="86">
      <c r="A86" s="17" t="n"/>
      <c r="B86" s="18" t="n"/>
      <c r="C86" s="17" t="n"/>
      <c r="D86" s="19" t="n"/>
      <c r="E86" s="17" t="n"/>
      <c r="F86" s="17" t="n"/>
      <c r="G86" s="17" t="n"/>
      <c r="H86" s="19" t="n"/>
      <c r="I86" s="19" t="n"/>
      <c r="J86" s="20" t="n"/>
      <c r="K86" s="20" t="n"/>
      <c r="L86" s="17" t="n"/>
      <c r="M86" s="17" t="n"/>
    </row>
    <row r="87">
      <c r="A87" s="12" t="n"/>
      <c r="B87" s="13" t="n"/>
      <c r="C87" s="12" t="n"/>
      <c r="D87" s="14" t="n"/>
      <c r="E87" s="12" t="n"/>
      <c r="F87" s="12" t="n"/>
      <c r="G87" s="12" t="n"/>
      <c r="H87" s="14" t="n"/>
      <c r="I87" s="14" t="n"/>
      <c r="J87" s="15" t="n"/>
      <c r="K87" s="15" t="n"/>
      <c r="L87" s="12" t="n"/>
      <c r="M87" s="12" t="n"/>
    </row>
    <row r="88">
      <c r="A88" s="17" t="n"/>
      <c r="B88" s="18" t="n"/>
      <c r="C88" s="17" t="n"/>
      <c r="D88" s="19" t="n"/>
      <c r="E88" s="17" t="n"/>
      <c r="F88" s="17" t="n"/>
      <c r="G88" s="17" t="n"/>
      <c r="H88" s="19" t="n"/>
      <c r="I88" s="19" t="n"/>
      <c r="J88" s="20" t="n"/>
      <c r="K88" s="20" t="n"/>
      <c r="L88" s="17" t="n"/>
      <c r="M88" s="17" t="n"/>
    </row>
    <row r="89">
      <c r="A89" s="12" t="n"/>
      <c r="B89" s="13" t="n"/>
      <c r="C89" s="12" t="n"/>
      <c r="D89" s="14" t="n"/>
      <c r="E89" s="12" t="n"/>
      <c r="F89" s="12" t="n"/>
      <c r="G89" s="12" t="n"/>
      <c r="H89" s="14" t="n"/>
      <c r="I89" s="14" t="n"/>
      <c r="J89" s="15" t="n"/>
      <c r="K89" s="15" t="n"/>
      <c r="L89" s="12" t="n"/>
      <c r="M89" s="12" t="n"/>
    </row>
    <row r="90">
      <c r="A90" s="17" t="n"/>
      <c r="B90" s="18" t="n"/>
      <c r="C90" s="17" t="n"/>
      <c r="D90" s="19" t="n"/>
      <c r="E90" s="17" t="n"/>
      <c r="F90" s="17" t="n"/>
      <c r="G90" s="17" t="n"/>
      <c r="H90" s="19" t="n"/>
      <c r="I90" s="19" t="n"/>
      <c r="J90" s="20" t="n"/>
      <c r="K90" s="20" t="n"/>
      <c r="L90" s="17" t="n"/>
      <c r="M90" s="17" t="n"/>
    </row>
    <row r="91">
      <c r="A91" s="12" t="n"/>
      <c r="B91" s="13" t="n"/>
      <c r="C91" s="12" t="n"/>
      <c r="D91" s="14" t="n"/>
      <c r="E91" s="12" t="n"/>
      <c r="F91" s="12" t="n"/>
      <c r="G91" s="12" t="n"/>
      <c r="H91" s="14" t="n"/>
      <c r="I91" s="14" t="n"/>
      <c r="J91" s="15" t="n"/>
      <c r="K91" s="15" t="n"/>
      <c r="L91" s="12" t="n"/>
      <c r="M91" s="12" t="n"/>
    </row>
    <row r="92">
      <c r="A92" s="17" t="n"/>
      <c r="B92" s="18" t="n"/>
      <c r="C92" s="17" t="n"/>
      <c r="D92" s="19" t="n"/>
      <c r="E92" s="17" t="n"/>
      <c r="F92" s="17" t="n"/>
      <c r="G92" s="17" t="n"/>
      <c r="H92" s="19" t="n"/>
      <c r="I92" s="19" t="n"/>
      <c r="J92" s="20" t="n"/>
      <c r="K92" s="20" t="n"/>
      <c r="L92" s="17" t="n"/>
      <c r="M92" s="17" t="n"/>
    </row>
    <row r="93">
      <c r="A93" s="12" t="n"/>
      <c r="B93" s="13" t="n"/>
      <c r="C93" s="12" t="n"/>
      <c r="D93" s="14" t="n"/>
      <c r="E93" s="12" t="n"/>
      <c r="F93" s="12" t="n"/>
      <c r="G93" s="12" t="n"/>
      <c r="H93" s="14" t="n"/>
      <c r="I93" s="14" t="n"/>
      <c r="J93" s="15" t="n"/>
      <c r="K93" s="15" t="n"/>
      <c r="L93" s="12" t="n"/>
      <c r="M93" s="12" t="n"/>
    </row>
    <row r="94">
      <c r="A94" s="17" t="n"/>
      <c r="B94" s="18" t="n"/>
      <c r="C94" s="17" t="n"/>
      <c r="D94" s="19" t="n"/>
      <c r="E94" s="17" t="n"/>
      <c r="F94" s="17" t="n"/>
      <c r="G94" s="17" t="n"/>
      <c r="H94" s="19" t="n"/>
      <c r="I94" s="19" t="n"/>
      <c r="J94" s="20" t="n"/>
      <c r="K94" s="20" t="n"/>
      <c r="L94" s="17" t="n"/>
      <c r="M94" s="17" t="n"/>
    </row>
    <row r="95">
      <c r="A95" s="12" t="n"/>
      <c r="B95" s="13" t="n"/>
      <c r="C95" s="12" t="n"/>
      <c r="D95" s="14" t="n"/>
      <c r="E95" s="12" t="n"/>
      <c r="F95" s="12" t="n"/>
      <c r="G95" s="12" t="n"/>
      <c r="H95" s="14" t="n"/>
      <c r="I95" s="14" t="n"/>
      <c r="J95" s="15" t="n"/>
      <c r="K95" s="15" t="n"/>
      <c r="L95" s="12" t="n"/>
      <c r="M95" s="12" t="n"/>
    </row>
    <row r="96">
      <c r="A96" s="17" t="n"/>
      <c r="B96" s="18" t="n"/>
      <c r="C96" s="17" t="n"/>
      <c r="D96" s="19" t="n"/>
      <c r="E96" s="17" t="n"/>
      <c r="F96" s="17" t="n"/>
      <c r="G96" s="17" t="n"/>
      <c r="H96" s="19" t="n"/>
      <c r="I96" s="19" t="n"/>
      <c r="J96" s="20" t="n"/>
      <c r="K96" s="20" t="n"/>
      <c r="L96" s="17" t="n"/>
      <c r="M96" s="17" t="n"/>
    </row>
    <row r="97">
      <c r="A97" s="12" t="n"/>
      <c r="B97" s="13" t="n"/>
      <c r="C97" s="12" t="n"/>
      <c r="D97" s="14" t="n"/>
      <c r="E97" s="12" t="n"/>
      <c r="F97" s="12" t="n"/>
      <c r="G97" s="12" t="n"/>
      <c r="H97" s="14" t="n"/>
      <c r="I97" s="14" t="n"/>
      <c r="J97" s="15" t="n"/>
      <c r="K97" s="15" t="n"/>
      <c r="L97" s="12" t="n"/>
      <c r="M97" s="12" t="n"/>
    </row>
    <row r="98">
      <c r="A98" s="17" t="n"/>
      <c r="B98" s="18" t="n"/>
      <c r="C98" s="17" t="n"/>
      <c r="D98" s="19" t="n"/>
      <c r="E98" s="17" t="n"/>
      <c r="F98" s="17" t="n"/>
      <c r="G98" s="17" t="n"/>
      <c r="H98" s="19" t="n"/>
      <c r="I98" s="19" t="n"/>
      <c r="J98" s="20" t="n"/>
      <c r="K98" s="20" t="n"/>
      <c r="L98" s="17" t="n"/>
      <c r="M98" s="17" t="n"/>
    </row>
    <row r="99">
      <c r="A99" s="12" t="n"/>
      <c r="B99" s="13" t="n"/>
      <c r="C99" s="12" t="n"/>
      <c r="D99" s="14" t="n"/>
      <c r="E99" s="12" t="n"/>
      <c r="F99" s="12" t="n"/>
      <c r="G99" s="12" t="n"/>
      <c r="H99" s="14" t="n"/>
      <c r="I99" s="14" t="n"/>
      <c r="J99" s="15" t="n"/>
      <c r="K99" s="15" t="n"/>
      <c r="L99" s="12" t="n"/>
      <c r="M99" s="12" t="n"/>
    </row>
    <row r="100">
      <c r="A100" s="17" t="n"/>
      <c r="B100" s="18" t="n"/>
      <c r="C100" s="17" t="n"/>
      <c r="D100" s="19" t="n"/>
      <c r="E100" s="17" t="n"/>
      <c r="F100" s="17" t="n"/>
      <c r="G100" s="17" t="n"/>
      <c r="H100" s="19" t="n"/>
      <c r="I100" s="19" t="n"/>
      <c r="J100" s="20" t="n"/>
      <c r="K100" s="20" t="n"/>
      <c r="L100" s="17" t="n"/>
      <c r="M100" s="17" t="n"/>
    </row>
    <row r="101">
      <c r="A101" s="12" t="n"/>
      <c r="B101" s="13" t="n"/>
      <c r="C101" s="12" t="n"/>
      <c r="D101" s="14" t="n"/>
      <c r="E101" s="12" t="n"/>
      <c r="F101" s="12" t="n"/>
      <c r="G101" s="12" t="n"/>
      <c r="H101" s="14" t="n"/>
      <c r="I101" s="14" t="n"/>
      <c r="J101" s="15" t="n"/>
      <c r="K101" s="15" t="n"/>
      <c r="L101" s="12" t="n"/>
      <c r="M101" s="12" t="n"/>
    </row>
    <row r="102">
      <c r="A102" s="17" t="n"/>
      <c r="B102" s="18" t="n"/>
      <c r="C102" s="17" t="n"/>
      <c r="D102" s="19" t="n"/>
      <c r="E102" s="17" t="n"/>
      <c r="F102" s="17" t="n"/>
      <c r="G102" s="17" t="n"/>
      <c r="H102" s="19" t="n"/>
      <c r="I102" s="19" t="n"/>
      <c r="J102" s="20" t="n"/>
      <c r="K102" s="20" t="n"/>
      <c r="L102" s="17" t="n"/>
      <c r="M102" s="17" t="n"/>
    </row>
    <row r="103">
      <c r="A103" s="12" t="n"/>
      <c r="B103" s="13" t="n"/>
      <c r="C103" s="12" t="n"/>
      <c r="D103" s="14" t="n"/>
      <c r="E103" s="12" t="n"/>
      <c r="F103" s="12" t="n"/>
      <c r="G103" s="12" t="n"/>
      <c r="H103" s="14" t="n"/>
      <c r="I103" s="14" t="n"/>
      <c r="J103" s="15" t="n"/>
      <c r="K103" s="15" t="n"/>
      <c r="L103" s="12" t="n"/>
      <c r="M103" s="12" t="n"/>
    </row>
    <row r="104">
      <c r="A104" s="17" t="n"/>
      <c r="B104" s="18" t="n"/>
      <c r="C104" s="17" t="n"/>
      <c r="D104" s="19" t="n"/>
      <c r="E104" s="17" t="n"/>
      <c r="F104" s="17" t="n"/>
      <c r="G104" s="17" t="n"/>
      <c r="H104" s="19" t="n"/>
      <c r="I104" s="19" t="n"/>
      <c r="J104" s="20" t="n"/>
      <c r="K104" s="20" t="n"/>
      <c r="L104" s="17" t="n"/>
      <c r="M104" s="17" t="n"/>
    </row>
    <row r="105">
      <c r="A105" s="12" t="n"/>
      <c r="B105" s="13" t="n"/>
      <c r="C105" s="12" t="n"/>
      <c r="D105" s="14" t="n"/>
      <c r="E105" s="12" t="n"/>
      <c r="F105" s="12" t="n"/>
      <c r="G105" s="12" t="n"/>
      <c r="H105" s="14" t="n"/>
      <c r="I105" s="14" t="n"/>
      <c r="J105" s="15" t="n"/>
      <c r="K105" s="15" t="n"/>
      <c r="L105" s="12" t="n"/>
      <c r="M105" s="12" t="n"/>
    </row>
    <row r="106">
      <c r="A106" s="17" t="n"/>
      <c r="B106" s="18" t="n"/>
      <c r="C106" s="17" t="n"/>
      <c r="D106" s="19" t="n"/>
      <c r="E106" s="17" t="n"/>
      <c r="F106" s="17" t="n"/>
      <c r="G106" s="17" t="n"/>
      <c r="H106" s="19" t="n"/>
      <c r="I106" s="19" t="n"/>
      <c r="J106" s="20" t="n"/>
      <c r="K106" s="20" t="n"/>
      <c r="L106" s="17" t="n"/>
      <c r="M106" s="17" t="n"/>
    </row>
    <row r="107">
      <c r="A107" s="12" t="n"/>
      <c r="B107" s="13" t="n"/>
      <c r="C107" s="12" t="n"/>
      <c r="D107" s="14" t="n"/>
      <c r="E107" s="12" t="n"/>
      <c r="F107" s="12" t="n"/>
      <c r="G107" s="12" t="n"/>
      <c r="H107" s="14" t="n"/>
      <c r="I107" s="14" t="n"/>
      <c r="J107" s="15" t="n"/>
      <c r="K107" s="15" t="n"/>
      <c r="L107" s="12" t="n"/>
      <c r="M107" s="12" t="n"/>
    </row>
    <row r="108">
      <c r="A108" s="17" t="n"/>
      <c r="B108" s="18" t="n"/>
      <c r="C108" s="17" t="n"/>
      <c r="D108" s="19" t="n"/>
      <c r="E108" s="17" t="n"/>
      <c r="F108" s="17" t="n"/>
      <c r="G108" s="17" t="n"/>
      <c r="H108" s="19" t="n"/>
      <c r="I108" s="19" t="n"/>
      <c r="J108" s="20" t="n"/>
      <c r="K108" s="20" t="n"/>
      <c r="L108" s="17" t="n"/>
      <c r="M108" s="17" t="n"/>
    </row>
    <row r="109">
      <c r="A109" s="12" t="n"/>
      <c r="B109" s="13" t="n"/>
      <c r="C109" s="12" t="n"/>
      <c r="D109" s="14" t="n"/>
      <c r="E109" s="12" t="n"/>
      <c r="F109" s="12" t="n"/>
      <c r="G109" s="12" t="n"/>
      <c r="H109" s="14" t="n"/>
      <c r="I109" s="14" t="n"/>
      <c r="J109" s="15" t="n"/>
      <c r="K109" s="15" t="n"/>
      <c r="L109" s="12" t="n"/>
      <c r="M109" s="12" t="n"/>
    </row>
    <row r="110">
      <c r="A110" s="17" t="n"/>
      <c r="B110" s="18" t="n"/>
      <c r="C110" s="17" t="n"/>
      <c r="D110" s="19" t="n"/>
      <c r="E110" s="17" t="n"/>
      <c r="F110" s="17" t="n"/>
      <c r="G110" s="17" t="n"/>
      <c r="H110" s="19" t="n"/>
      <c r="I110" s="19" t="n"/>
      <c r="J110" s="20" t="n"/>
      <c r="K110" s="20" t="n"/>
      <c r="L110" s="17" t="n"/>
      <c r="M110" s="17" t="n"/>
    </row>
    <row r="111">
      <c r="A111" s="12" t="n"/>
      <c r="B111" s="13" t="n"/>
      <c r="C111" s="12" t="n"/>
      <c r="D111" s="14" t="n"/>
      <c r="E111" s="12" t="n"/>
      <c r="F111" s="12" t="n"/>
      <c r="G111" s="12" t="n"/>
      <c r="H111" s="14" t="n"/>
      <c r="I111" s="14" t="n"/>
      <c r="J111" s="15" t="n"/>
      <c r="K111" s="15" t="n"/>
      <c r="L111" s="12" t="n"/>
      <c r="M111" s="12" t="n"/>
    </row>
    <row r="112">
      <c r="A112" s="17" t="n"/>
      <c r="B112" s="18" t="n"/>
      <c r="C112" s="17" t="n"/>
      <c r="D112" s="19" t="n"/>
      <c r="E112" s="17" t="n"/>
      <c r="F112" s="17" t="n"/>
      <c r="G112" s="17" t="n"/>
      <c r="H112" s="19" t="n"/>
      <c r="I112" s="19" t="n"/>
      <c r="J112" s="20" t="n"/>
      <c r="K112" s="20" t="n"/>
      <c r="L112" s="17" t="n"/>
      <c r="M112" s="17" t="n"/>
    </row>
    <row r="113">
      <c r="A113" s="12" t="n"/>
      <c r="B113" s="13" t="n"/>
      <c r="C113" s="12" t="n"/>
      <c r="D113" s="14" t="n"/>
      <c r="E113" s="12" t="n"/>
      <c r="F113" s="12" t="n"/>
      <c r="G113" s="12" t="n"/>
      <c r="H113" s="14" t="n"/>
      <c r="I113" s="14" t="n"/>
      <c r="J113" s="15" t="n"/>
      <c r="K113" s="15" t="n"/>
      <c r="L113" s="12" t="n"/>
      <c r="M113" s="12" t="n"/>
    </row>
    <row r="114">
      <c r="A114" s="17" t="n"/>
      <c r="B114" s="18" t="n"/>
      <c r="C114" s="17" t="n"/>
      <c r="D114" s="19" t="n"/>
      <c r="E114" s="17" t="n"/>
      <c r="F114" s="17" t="n"/>
      <c r="G114" s="17" t="n"/>
      <c r="H114" s="19" t="n"/>
      <c r="I114" s="19" t="n"/>
      <c r="J114" s="20" t="n"/>
      <c r="K114" s="20" t="n"/>
      <c r="L114" s="17" t="n"/>
      <c r="M114" s="17" t="n"/>
    </row>
    <row r="115">
      <c r="A115" s="12" t="n"/>
      <c r="B115" s="13" t="n"/>
      <c r="C115" s="12" t="n"/>
      <c r="D115" s="14" t="n"/>
      <c r="E115" s="12" t="n"/>
      <c r="F115" s="12" t="n"/>
      <c r="G115" s="12" t="n"/>
      <c r="H115" s="14" t="n"/>
      <c r="I115" s="14" t="n"/>
      <c r="J115" s="15" t="n"/>
      <c r="K115" s="15" t="n"/>
      <c r="L115" s="12" t="n"/>
      <c r="M115" s="12" t="n"/>
    </row>
    <row r="116">
      <c r="A116" s="17" t="n"/>
      <c r="B116" s="18" t="n"/>
      <c r="C116" s="17" t="n"/>
      <c r="D116" s="19" t="n"/>
      <c r="E116" s="17" t="n"/>
      <c r="F116" s="17" t="n"/>
      <c r="G116" s="17" t="n"/>
      <c r="H116" s="19" t="n"/>
      <c r="I116" s="19" t="n"/>
      <c r="J116" s="20" t="n"/>
      <c r="K116" s="20" t="n"/>
      <c r="L116" s="17" t="n"/>
      <c r="M116" s="17" t="n"/>
    </row>
    <row r="117">
      <c r="A117" s="12" t="n"/>
      <c r="B117" s="13" t="n"/>
      <c r="C117" s="12" t="n"/>
      <c r="D117" s="14" t="n"/>
      <c r="E117" s="12" t="n"/>
      <c r="F117" s="12" t="n"/>
      <c r="G117" s="12" t="n"/>
      <c r="H117" s="14" t="n"/>
      <c r="I117" s="14" t="n"/>
      <c r="J117" s="15" t="n"/>
      <c r="K117" s="15" t="n"/>
      <c r="L117" s="12" t="n"/>
      <c r="M117" s="12" t="n"/>
    </row>
    <row r="118">
      <c r="A118" s="17" t="n"/>
      <c r="B118" s="18" t="n"/>
      <c r="C118" s="17" t="n"/>
      <c r="D118" s="19" t="n"/>
      <c r="E118" s="17" t="n"/>
      <c r="F118" s="17" t="n"/>
      <c r="G118" s="17" t="n"/>
      <c r="H118" s="19" t="n"/>
      <c r="I118" s="19" t="n"/>
      <c r="J118" s="20" t="n"/>
      <c r="K118" s="20" t="n"/>
      <c r="L118" s="17" t="n"/>
      <c r="M118" s="17" t="n"/>
    </row>
    <row r="119">
      <c r="A119" s="12" t="n"/>
      <c r="B119" s="13" t="n"/>
      <c r="C119" s="12" t="n"/>
      <c r="D119" s="14" t="n"/>
      <c r="E119" s="12" t="n"/>
      <c r="F119" s="12" t="n"/>
      <c r="G119" s="12" t="n"/>
      <c r="H119" s="14" t="n"/>
      <c r="I119" s="14" t="n"/>
      <c r="J119" s="15" t="n"/>
      <c r="K119" s="15" t="n"/>
      <c r="L119" s="12" t="n"/>
      <c r="M119" s="12" t="n"/>
    </row>
    <row r="120">
      <c r="A120" s="17" t="n"/>
      <c r="B120" s="18" t="n"/>
      <c r="C120" s="17" t="n"/>
      <c r="D120" s="19" t="n"/>
      <c r="E120" s="17" t="n"/>
      <c r="F120" s="17" t="n"/>
      <c r="G120" s="17" t="n"/>
      <c r="H120" s="19" t="n"/>
      <c r="I120" s="19" t="n"/>
      <c r="J120" s="20" t="n"/>
      <c r="K120" s="20" t="n"/>
      <c r="L120" s="17" t="n"/>
      <c r="M120" s="17" t="n"/>
    </row>
    <row r="121">
      <c r="A121" s="12" t="n"/>
      <c r="B121" s="13" t="n"/>
      <c r="C121" s="12" t="n"/>
      <c r="D121" s="14" t="n"/>
      <c r="E121" s="12" t="n"/>
      <c r="F121" s="12" t="n"/>
      <c r="G121" s="12" t="n"/>
      <c r="H121" s="14" t="n"/>
      <c r="I121" s="14" t="n"/>
      <c r="J121" s="15" t="n"/>
      <c r="K121" s="15" t="n"/>
      <c r="L121" s="12" t="n"/>
      <c r="M121" s="12" t="n"/>
    </row>
    <row r="122">
      <c r="A122" s="17" t="n"/>
      <c r="B122" s="18" t="n"/>
      <c r="C122" s="17" t="n"/>
      <c r="D122" s="19" t="n"/>
      <c r="E122" s="17" t="n"/>
      <c r="F122" s="17" t="n"/>
      <c r="G122" s="17" t="n"/>
      <c r="H122" s="19" t="n"/>
      <c r="I122" s="19" t="n"/>
      <c r="J122" s="20" t="n"/>
      <c r="K122" s="20" t="n"/>
      <c r="L122" s="17" t="n"/>
      <c r="M122" s="17" t="n"/>
    </row>
    <row r="123">
      <c r="A123" s="12" t="n"/>
      <c r="B123" s="13" t="n"/>
      <c r="C123" s="12" t="n"/>
      <c r="D123" s="14" t="n"/>
      <c r="E123" s="12" t="n"/>
      <c r="F123" s="12" t="n"/>
      <c r="G123" s="12" t="n"/>
      <c r="H123" s="14" t="n"/>
      <c r="I123" s="14" t="n"/>
      <c r="J123" s="15" t="n"/>
      <c r="K123" s="15" t="n"/>
      <c r="L123" s="12" t="n"/>
      <c r="M123" s="12" t="n"/>
    </row>
    <row r="124">
      <c r="A124" s="17" t="n"/>
      <c r="B124" s="18" t="n"/>
      <c r="C124" s="17" t="n"/>
      <c r="D124" s="19" t="n"/>
      <c r="E124" s="17" t="n"/>
      <c r="F124" s="17" t="n"/>
      <c r="G124" s="17" t="n"/>
      <c r="H124" s="19" t="n"/>
      <c r="I124" s="19" t="n"/>
      <c r="J124" s="20" t="n"/>
      <c r="K124" s="20" t="n"/>
      <c r="L124" s="17" t="n"/>
      <c r="M124" s="17" t="n"/>
    </row>
    <row r="125">
      <c r="A125" s="12" t="n"/>
      <c r="B125" s="13" t="n"/>
      <c r="C125" s="12" t="n"/>
      <c r="D125" s="14" t="n"/>
      <c r="E125" s="12" t="n"/>
      <c r="F125" s="12" t="n"/>
      <c r="G125" s="12" t="n"/>
      <c r="H125" s="14" t="n"/>
      <c r="I125" s="14" t="n"/>
      <c r="J125" s="15" t="n"/>
      <c r="K125" s="15" t="n"/>
      <c r="L125" s="12" t="n"/>
      <c r="M125" s="12" t="n"/>
    </row>
    <row r="126">
      <c r="A126" s="17" t="n"/>
      <c r="B126" s="18" t="n"/>
      <c r="C126" s="17" t="n"/>
      <c r="D126" s="19" t="n"/>
      <c r="E126" s="17" t="n"/>
      <c r="F126" s="17" t="n"/>
      <c r="G126" s="17" t="n"/>
      <c r="H126" s="19" t="n"/>
      <c r="I126" s="19" t="n"/>
      <c r="J126" s="20" t="n"/>
      <c r="K126" s="20" t="n"/>
      <c r="L126" s="17" t="n"/>
      <c r="M126" s="17" t="n"/>
    </row>
    <row r="127">
      <c r="A127" s="12" t="n"/>
      <c r="B127" s="13" t="n"/>
      <c r="C127" s="12" t="n"/>
      <c r="D127" s="14" t="n"/>
      <c r="E127" s="12" t="n"/>
      <c r="F127" s="12" t="n"/>
      <c r="G127" s="12" t="n"/>
      <c r="H127" s="14" t="n"/>
      <c r="I127" s="14" t="n"/>
      <c r="J127" s="15" t="n"/>
      <c r="K127" s="15" t="n"/>
      <c r="L127" s="12" t="n"/>
      <c r="M127" s="12" t="n"/>
    </row>
    <row r="128">
      <c r="A128" s="17" t="n"/>
      <c r="B128" s="18" t="n"/>
      <c r="C128" s="17" t="n"/>
      <c r="D128" s="19" t="n"/>
      <c r="E128" s="17" t="n"/>
      <c r="F128" s="17" t="n"/>
      <c r="G128" s="17" t="n"/>
      <c r="H128" s="19" t="n"/>
      <c r="I128" s="19" t="n"/>
      <c r="J128" s="20" t="n"/>
      <c r="K128" s="20" t="n"/>
      <c r="L128" s="17" t="n"/>
      <c r="M128" s="17" t="n"/>
    </row>
    <row r="129">
      <c r="A129" s="12" t="n"/>
      <c r="B129" s="13" t="n"/>
      <c r="C129" s="12" t="n"/>
      <c r="D129" s="14" t="n"/>
      <c r="E129" s="12" t="n"/>
      <c r="F129" s="12" t="n"/>
      <c r="G129" s="12" t="n"/>
      <c r="H129" s="14" t="n"/>
      <c r="I129" s="14" t="n"/>
      <c r="J129" s="15" t="n"/>
      <c r="K129" s="15" t="n"/>
      <c r="L129" s="12" t="n"/>
      <c r="M129" s="12" t="n"/>
    </row>
    <row r="130">
      <c r="A130" s="17" t="n"/>
      <c r="B130" s="18" t="n"/>
      <c r="C130" s="17" t="n"/>
      <c r="D130" s="19" t="n"/>
      <c r="E130" s="17" t="n"/>
      <c r="F130" s="17" t="n"/>
      <c r="G130" s="17" t="n"/>
      <c r="H130" s="19" t="n"/>
      <c r="I130" s="19" t="n"/>
      <c r="J130" s="20" t="n"/>
      <c r="K130" s="20" t="n"/>
      <c r="L130" s="17" t="n"/>
      <c r="M130" s="17" t="n"/>
    </row>
    <row r="131">
      <c r="A131" s="12" t="n"/>
      <c r="B131" s="13" t="n"/>
      <c r="C131" s="12" t="n"/>
      <c r="D131" s="14" t="n"/>
      <c r="E131" s="12" t="n"/>
      <c r="F131" s="12" t="n"/>
      <c r="G131" s="12" t="n"/>
      <c r="H131" s="14" t="n"/>
      <c r="I131" s="14" t="n"/>
      <c r="J131" s="15" t="n"/>
      <c r="K131" s="15" t="n"/>
      <c r="L131" s="12" t="n"/>
      <c r="M131" s="12" t="n"/>
    </row>
    <row r="132">
      <c r="A132" s="17" t="n"/>
      <c r="B132" s="18" t="n"/>
      <c r="C132" s="17" t="n"/>
      <c r="D132" s="19" t="n"/>
      <c r="E132" s="17" t="n"/>
      <c r="F132" s="17" t="n"/>
      <c r="G132" s="17" t="n"/>
      <c r="H132" s="19" t="n"/>
      <c r="I132" s="19" t="n"/>
      <c r="J132" s="20" t="n"/>
      <c r="K132" s="20" t="n"/>
      <c r="L132" s="17" t="n"/>
      <c r="M132" s="17" t="n"/>
    </row>
    <row r="133">
      <c r="A133" s="12" t="n"/>
      <c r="B133" s="13" t="n"/>
      <c r="C133" s="12" t="n"/>
      <c r="D133" s="14" t="n"/>
      <c r="E133" s="12" t="n"/>
      <c r="F133" s="12" t="n"/>
      <c r="G133" s="12" t="n"/>
      <c r="H133" s="14" t="n"/>
      <c r="I133" s="14" t="n"/>
      <c r="J133" s="15" t="n"/>
      <c r="K133" s="15" t="n"/>
      <c r="L133" s="12" t="n"/>
      <c r="M133" s="12" t="n"/>
    </row>
    <row r="134">
      <c r="A134" s="17" t="n"/>
      <c r="B134" s="18" t="n"/>
      <c r="C134" s="17" t="n"/>
      <c r="D134" s="19" t="n"/>
      <c r="E134" s="17" t="n"/>
      <c r="F134" s="17" t="n"/>
      <c r="G134" s="17" t="n"/>
      <c r="H134" s="19" t="n"/>
      <c r="I134" s="19" t="n"/>
      <c r="J134" s="20" t="n"/>
      <c r="K134" s="20" t="n"/>
      <c r="L134" s="17" t="n"/>
      <c r="M134" s="17" t="n"/>
    </row>
    <row r="135">
      <c r="A135" s="12" t="n"/>
      <c r="B135" s="13" t="n"/>
      <c r="C135" s="12" t="n"/>
      <c r="D135" s="14" t="n"/>
      <c r="E135" s="12" t="n"/>
      <c r="F135" s="12" t="n"/>
      <c r="G135" s="12" t="n"/>
      <c r="H135" s="14" t="n"/>
      <c r="I135" s="14" t="n"/>
      <c r="J135" s="15" t="n"/>
      <c r="K135" s="15" t="n"/>
      <c r="L135" s="12" t="n"/>
      <c r="M135" s="12" t="n"/>
    </row>
    <row r="136">
      <c r="A136" s="17" t="n"/>
      <c r="B136" s="18" t="n"/>
      <c r="C136" s="17" t="n"/>
      <c r="D136" s="19" t="n"/>
      <c r="E136" s="17" t="n"/>
      <c r="F136" s="17" t="n"/>
      <c r="G136" s="17" t="n"/>
      <c r="H136" s="19" t="n"/>
      <c r="I136" s="19" t="n"/>
      <c r="J136" s="20" t="n"/>
      <c r="K136" s="20" t="n"/>
      <c r="L136" s="17" t="n"/>
      <c r="M136" s="17" t="n"/>
    </row>
    <row r="137">
      <c r="A137" s="12" t="n"/>
      <c r="B137" s="13" t="n"/>
      <c r="C137" s="12" t="n"/>
      <c r="D137" s="14" t="n"/>
      <c r="E137" s="12" t="n"/>
      <c r="F137" s="12" t="n"/>
      <c r="G137" s="12" t="n"/>
      <c r="H137" s="14" t="n"/>
      <c r="I137" s="14" t="n"/>
      <c r="J137" s="15" t="n"/>
      <c r="K137" s="15" t="n"/>
      <c r="L137" s="12" t="n"/>
      <c r="M137" s="12" t="n"/>
    </row>
    <row r="138">
      <c r="A138" s="17" t="n"/>
      <c r="B138" s="18" t="n"/>
      <c r="C138" s="17" t="n"/>
      <c r="D138" s="19" t="n"/>
      <c r="E138" s="17" t="n"/>
      <c r="F138" s="17" t="n"/>
      <c r="G138" s="17" t="n"/>
      <c r="H138" s="19" t="n"/>
      <c r="I138" s="19" t="n"/>
      <c r="J138" s="20" t="n"/>
      <c r="K138" s="20" t="n"/>
      <c r="L138" s="17" t="n"/>
      <c r="M138" s="17" t="n"/>
    </row>
    <row r="139">
      <c r="A139" s="12" t="n"/>
      <c r="B139" s="13" t="n"/>
      <c r="C139" s="12" t="n"/>
      <c r="D139" s="14" t="n"/>
      <c r="E139" s="12" t="n"/>
      <c r="F139" s="12" t="n"/>
      <c r="G139" s="12" t="n"/>
      <c r="H139" s="14" t="n"/>
      <c r="I139" s="14" t="n"/>
      <c r="J139" s="15" t="n"/>
      <c r="K139" s="15" t="n"/>
      <c r="L139" s="12" t="n"/>
      <c r="M139" s="12" t="n"/>
    </row>
    <row r="140">
      <c r="A140" s="17" t="n"/>
      <c r="B140" s="18" t="n"/>
      <c r="C140" s="17" t="n"/>
      <c r="D140" s="19" t="n"/>
      <c r="E140" s="17" t="n"/>
      <c r="F140" s="17" t="n"/>
      <c r="G140" s="17" t="n"/>
      <c r="H140" s="19" t="n"/>
      <c r="I140" s="19" t="n"/>
      <c r="J140" s="20" t="n"/>
      <c r="K140" s="20" t="n"/>
      <c r="L140" s="17" t="n"/>
      <c r="M140" s="17" t="n"/>
    </row>
    <row r="141">
      <c r="A141" s="12" t="n"/>
      <c r="B141" s="13" t="n"/>
      <c r="C141" s="12" t="n"/>
      <c r="D141" s="14" t="n"/>
      <c r="E141" s="12" t="n"/>
      <c r="F141" s="12" t="n"/>
      <c r="G141" s="12" t="n"/>
      <c r="H141" s="14" t="n"/>
      <c r="I141" s="14" t="n"/>
      <c r="J141" s="15" t="n"/>
      <c r="K141" s="15" t="n"/>
      <c r="L141" s="12" t="n"/>
      <c r="M141" s="12" t="n"/>
    </row>
    <row r="142">
      <c r="A142" s="17" t="n"/>
      <c r="B142" s="18" t="n"/>
      <c r="C142" s="17" t="n"/>
      <c r="D142" s="19" t="n"/>
      <c r="E142" s="17" t="n"/>
      <c r="F142" s="17" t="n"/>
      <c r="G142" s="17" t="n"/>
      <c r="H142" s="19" t="n"/>
      <c r="I142" s="19" t="n"/>
      <c r="J142" s="20" t="n"/>
      <c r="K142" s="20" t="n"/>
      <c r="L142" s="17" t="n"/>
      <c r="M142" s="17" t="n"/>
    </row>
    <row r="143">
      <c r="A143" s="12" t="n"/>
      <c r="B143" s="13" t="n"/>
      <c r="C143" s="12" t="n"/>
      <c r="D143" s="14" t="n"/>
      <c r="E143" s="12" t="n"/>
      <c r="F143" s="12" t="n"/>
      <c r="G143" s="12" t="n"/>
      <c r="H143" s="14" t="n"/>
      <c r="I143" s="14" t="n"/>
      <c r="J143" s="15" t="n"/>
      <c r="K143" s="15" t="n"/>
      <c r="L143" s="12" t="n"/>
      <c r="M143" s="12" t="n"/>
    </row>
    <row r="144">
      <c r="A144" s="17" t="n"/>
      <c r="B144" s="18" t="n"/>
      <c r="C144" s="17" t="n"/>
      <c r="D144" s="19" t="n"/>
      <c r="E144" s="17" t="n"/>
      <c r="F144" s="17" t="n"/>
      <c r="G144" s="17" t="n"/>
      <c r="H144" s="19" t="n"/>
      <c r="I144" s="19" t="n"/>
      <c r="J144" s="20" t="n"/>
      <c r="K144" s="20" t="n"/>
      <c r="L144" s="17" t="n"/>
      <c r="M144" s="17" t="n"/>
    </row>
    <row r="145">
      <c r="A145" s="12" t="n"/>
      <c r="B145" s="13" t="n"/>
      <c r="C145" s="12" t="n"/>
      <c r="D145" s="14" t="n"/>
      <c r="E145" s="12" t="n"/>
      <c r="F145" s="12" t="n"/>
      <c r="G145" s="12" t="n"/>
      <c r="H145" s="14" t="n"/>
      <c r="I145" s="14" t="n"/>
      <c r="J145" s="15" t="n"/>
      <c r="K145" s="15" t="n"/>
      <c r="L145" s="12" t="n"/>
      <c r="M145" s="12" t="n"/>
    </row>
    <row r="146">
      <c r="A146" s="17" t="n"/>
      <c r="B146" s="18" t="n"/>
      <c r="C146" s="17" t="n"/>
      <c r="D146" s="19" t="n"/>
      <c r="E146" s="17" t="n"/>
      <c r="F146" s="17" t="n"/>
      <c r="G146" s="17" t="n"/>
      <c r="H146" s="19" t="n"/>
      <c r="I146" s="19" t="n"/>
      <c r="J146" s="20" t="n"/>
      <c r="K146" s="20" t="n"/>
      <c r="L146" s="17" t="n"/>
      <c r="M146" s="17" t="n"/>
    </row>
    <row r="147">
      <c r="A147" s="12" t="n"/>
      <c r="B147" s="13" t="n"/>
      <c r="C147" s="12" t="n"/>
      <c r="D147" s="14" t="n"/>
      <c r="E147" s="12" t="n"/>
      <c r="F147" s="12" t="n"/>
      <c r="G147" s="12" t="n"/>
      <c r="H147" s="14" t="n"/>
      <c r="I147" s="14" t="n"/>
      <c r="J147" s="15" t="n"/>
      <c r="K147" s="15" t="n"/>
      <c r="L147" s="12" t="n"/>
      <c r="M147" s="12" t="n"/>
    </row>
    <row r="148">
      <c r="A148" s="17" t="n"/>
      <c r="B148" s="18" t="n"/>
      <c r="C148" s="17" t="n"/>
      <c r="D148" s="19" t="n"/>
      <c r="E148" s="17" t="n"/>
      <c r="F148" s="17" t="n"/>
      <c r="G148" s="17" t="n"/>
      <c r="H148" s="19" t="n"/>
      <c r="I148" s="19" t="n"/>
      <c r="J148" s="20" t="n"/>
      <c r="K148" s="20" t="n"/>
      <c r="L148" s="17" t="n"/>
      <c r="M148" s="17" t="n"/>
    </row>
    <row r="149">
      <c r="A149" s="12" t="n"/>
      <c r="B149" s="13" t="n"/>
      <c r="C149" s="12" t="n"/>
      <c r="D149" s="14" t="n"/>
      <c r="E149" s="12" t="n"/>
      <c r="F149" s="12" t="n"/>
      <c r="G149" s="12" t="n"/>
      <c r="H149" s="14" t="n"/>
      <c r="I149" s="14" t="n"/>
      <c r="J149" s="15" t="n"/>
      <c r="K149" s="15" t="n"/>
      <c r="L149" s="12" t="n"/>
      <c r="M149" s="12" t="n"/>
    </row>
    <row r="150">
      <c r="A150" s="17" t="n"/>
      <c r="B150" s="18" t="n"/>
      <c r="C150" s="17" t="n"/>
      <c r="D150" s="19" t="n"/>
      <c r="E150" s="17" t="n"/>
      <c r="F150" s="17" t="n"/>
      <c r="G150" s="17" t="n"/>
      <c r="H150" s="19" t="n"/>
      <c r="I150" s="19" t="n"/>
      <c r="J150" s="20" t="n"/>
      <c r="K150" s="20" t="n"/>
      <c r="L150" s="17" t="n"/>
      <c r="M150" s="17" t="n"/>
    </row>
    <row r="151">
      <c r="A151" s="12" t="n"/>
      <c r="B151" s="13" t="n"/>
      <c r="C151" s="12" t="n"/>
      <c r="D151" s="14" t="n"/>
      <c r="E151" s="12" t="n"/>
      <c r="F151" s="12" t="n"/>
      <c r="G151" s="12" t="n"/>
      <c r="H151" s="14" t="n"/>
      <c r="I151" s="14" t="n"/>
      <c r="J151" s="15" t="n"/>
      <c r="K151" s="15" t="n"/>
      <c r="L151" s="12" t="n"/>
      <c r="M151" s="12" t="n"/>
    </row>
    <row r="152">
      <c r="A152" s="17" t="n"/>
      <c r="B152" s="18" t="n"/>
      <c r="C152" s="17" t="n"/>
      <c r="D152" s="19" t="n"/>
      <c r="E152" s="17" t="n"/>
      <c r="F152" s="17" t="n"/>
      <c r="G152" s="17" t="n"/>
      <c r="H152" s="19" t="n"/>
      <c r="I152" s="19" t="n"/>
      <c r="J152" s="20" t="n"/>
      <c r="K152" s="20" t="n"/>
      <c r="L152" s="17" t="n"/>
      <c r="M152" s="17" t="n"/>
    </row>
    <row r="153">
      <c r="A153" s="12" t="n"/>
      <c r="B153" s="13" t="n"/>
      <c r="C153" s="12" t="n"/>
      <c r="D153" s="14" t="n"/>
      <c r="E153" s="12" t="n"/>
      <c r="F153" s="12" t="n"/>
      <c r="G153" s="12" t="n"/>
      <c r="H153" s="14" t="n"/>
      <c r="I153" s="14" t="n"/>
      <c r="J153" s="15" t="n"/>
      <c r="K153" s="15" t="n"/>
      <c r="L153" s="12" t="n"/>
      <c r="M153" s="12" t="n"/>
    </row>
    <row r="154">
      <c r="A154" s="17" t="n"/>
      <c r="B154" s="18" t="n"/>
      <c r="C154" s="17" t="n"/>
      <c r="D154" s="19" t="n"/>
      <c r="E154" s="17" t="n"/>
      <c r="F154" s="17" t="n"/>
      <c r="G154" s="17" t="n"/>
      <c r="H154" s="19" t="n"/>
      <c r="I154" s="19" t="n"/>
      <c r="J154" s="20" t="n"/>
      <c r="K154" s="20" t="n"/>
      <c r="L154" s="17" t="n"/>
      <c r="M154" s="17" t="n"/>
    </row>
    <row r="155">
      <c r="A155" s="12" t="n"/>
      <c r="B155" s="13" t="n"/>
      <c r="C155" s="12" t="n"/>
      <c r="D155" s="14" t="n"/>
      <c r="E155" s="12" t="n"/>
      <c r="F155" s="12" t="n"/>
      <c r="G155" s="12" t="n"/>
      <c r="H155" s="14" t="n"/>
      <c r="I155" s="14" t="n"/>
      <c r="J155" s="15" t="n"/>
      <c r="K155" s="15" t="n"/>
      <c r="L155" s="12" t="n"/>
      <c r="M155" s="12" t="n"/>
    </row>
    <row r="156">
      <c r="A156" s="17" t="n"/>
      <c r="B156" s="18" t="n"/>
      <c r="C156" s="17" t="n"/>
      <c r="D156" s="19" t="n"/>
      <c r="E156" s="17" t="n"/>
      <c r="F156" s="17" t="n"/>
      <c r="G156" s="17" t="n"/>
      <c r="H156" s="19" t="n"/>
      <c r="I156" s="19" t="n"/>
      <c r="J156" s="20" t="n"/>
      <c r="K156" s="20" t="n"/>
      <c r="L156" s="17" t="n"/>
      <c r="M156" s="17" t="n"/>
    </row>
    <row r="157">
      <c r="A157" s="12" t="n"/>
      <c r="B157" s="13" t="n"/>
      <c r="C157" s="12" t="n"/>
      <c r="D157" s="14" t="n"/>
      <c r="E157" s="12" t="n"/>
      <c r="F157" s="12" t="n"/>
      <c r="G157" s="12" t="n"/>
      <c r="H157" s="14" t="n"/>
      <c r="I157" s="14" t="n"/>
      <c r="J157" s="15" t="n"/>
      <c r="K157" s="15" t="n"/>
      <c r="L157" s="12" t="n"/>
      <c r="M157" s="12" t="n"/>
    </row>
    <row r="158">
      <c r="A158" s="17" t="n"/>
      <c r="B158" s="18" t="n"/>
      <c r="C158" s="17" t="n"/>
      <c r="D158" s="19" t="n"/>
      <c r="E158" s="17" t="n"/>
      <c r="F158" s="17" t="n"/>
      <c r="G158" s="17" t="n"/>
      <c r="H158" s="19" t="n"/>
      <c r="I158" s="19" t="n"/>
      <c r="J158" s="20" t="n"/>
      <c r="K158" s="20" t="n"/>
      <c r="L158" s="17" t="n"/>
      <c r="M158" s="17" t="n"/>
    </row>
    <row r="159">
      <c r="A159" s="12" t="n"/>
      <c r="B159" s="13" t="n"/>
      <c r="C159" s="12" t="n"/>
      <c r="D159" s="14" t="n"/>
      <c r="E159" s="12" t="n"/>
      <c r="F159" s="12" t="n"/>
      <c r="G159" s="12" t="n"/>
      <c r="H159" s="14" t="n"/>
      <c r="I159" s="14" t="n"/>
      <c r="J159" s="15" t="n"/>
      <c r="K159" s="15" t="n"/>
      <c r="L159" s="12" t="n"/>
      <c r="M159" s="12" t="n"/>
    </row>
    <row r="160">
      <c r="A160" s="17" t="n"/>
      <c r="B160" s="18" t="n"/>
      <c r="C160" s="17" t="n"/>
      <c r="D160" s="19" t="n"/>
      <c r="E160" s="17" t="n"/>
      <c r="F160" s="17" t="n"/>
      <c r="G160" s="17" t="n"/>
      <c r="H160" s="19" t="n"/>
      <c r="I160" s="19" t="n"/>
      <c r="J160" s="20" t="n"/>
      <c r="K160" s="20" t="n"/>
      <c r="L160" s="17" t="n"/>
      <c r="M160" s="17" t="n"/>
    </row>
    <row r="161">
      <c r="A161" s="12" t="n"/>
      <c r="B161" s="13" t="n"/>
      <c r="C161" s="12" t="n"/>
      <c r="D161" s="14" t="n"/>
      <c r="E161" s="12" t="n"/>
      <c r="F161" s="12" t="n"/>
      <c r="G161" s="12" t="n"/>
      <c r="H161" s="14" t="n"/>
      <c r="I161" s="14" t="n"/>
      <c r="J161" s="15" t="n"/>
      <c r="K161" s="15" t="n"/>
      <c r="L161" s="12" t="n"/>
      <c r="M161" s="12" t="n"/>
    </row>
    <row r="162">
      <c r="A162" s="17" t="n"/>
      <c r="B162" s="18" t="n"/>
      <c r="C162" s="17" t="n"/>
      <c r="D162" s="19" t="n"/>
      <c r="E162" s="17" t="n"/>
      <c r="F162" s="17" t="n"/>
      <c r="G162" s="17" t="n"/>
      <c r="H162" s="19" t="n"/>
      <c r="I162" s="19" t="n"/>
      <c r="J162" s="20" t="n"/>
      <c r="K162" s="20" t="n"/>
      <c r="L162" s="17" t="n"/>
      <c r="M162" s="17" t="n"/>
    </row>
    <row r="163">
      <c r="A163" s="12" t="n"/>
      <c r="B163" s="13" t="n"/>
      <c r="C163" s="12" t="n"/>
      <c r="D163" s="14" t="n"/>
      <c r="E163" s="12" t="n"/>
      <c r="F163" s="12" t="n"/>
      <c r="G163" s="12" t="n"/>
      <c r="H163" s="14" t="n"/>
      <c r="I163" s="14" t="n"/>
      <c r="J163" s="15" t="n"/>
      <c r="K163" s="15" t="n"/>
      <c r="L163" s="12" t="n"/>
      <c r="M163" s="12" t="n"/>
    </row>
    <row r="164">
      <c r="A164" s="17" t="n"/>
      <c r="B164" s="18" t="n"/>
      <c r="C164" s="17" t="n"/>
      <c r="D164" s="19" t="n"/>
      <c r="E164" s="17" t="n"/>
      <c r="F164" s="17" t="n"/>
      <c r="G164" s="17" t="n"/>
      <c r="H164" s="19" t="n"/>
      <c r="I164" s="19" t="n"/>
      <c r="J164" s="20" t="n"/>
      <c r="K164" s="20" t="n"/>
      <c r="L164" s="17" t="n"/>
      <c r="M164" s="17" t="n"/>
    </row>
    <row r="165">
      <c r="A165" s="12" t="n"/>
      <c r="B165" s="13" t="n"/>
      <c r="C165" s="12" t="n"/>
      <c r="D165" s="14" t="n"/>
      <c r="E165" s="12" t="n"/>
      <c r="F165" s="12" t="n"/>
      <c r="G165" s="12" t="n"/>
      <c r="H165" s="14" t="n"/>
      <c r="I165" s="14" t="n"/>
      <c r="J165" s="15" t="n"/>
      <c r="K165" s="15" t="n"/>
      <c r="L165" s="12" t="n"/>
      <c r="M165" s="12" t="n"/>
    </row>
    <row r="166">
      <c r="A166" s="17" t="n"/>
      <c r="B166" s="18" t="n"/>
      <c r="C166" s="17" t="n"/>
      <c r="D166" s="19" t="n"/>
      <c r="E166" s="17" t="n"/>
      <c r="F166" s="17" t="n"/>
      <c r="G166" s="17" t="n"/>
      <c r="H166" s="19" t="n"/>
      <c r="I166" s="19" t="n"/>
      <c r="J166" s="20" t="n"/>
      <c r="K166" s="20" t="n"/>
      <c r="L166" s="17" t="n"/>
      <c r="M166" s="17" t="n"/>
    </row>
    <row r="167">
      <c r="A167" s="12" t="n"/>
      <c r="B167" s="13" t="n"/>
      <c r="C167" s="12" t="n"/>
      <c r="D167" s="14" t="n"/>
      <c r="E167" s="12" t="n"/>
      <c r="F167" s="12" t="n"/>
      <c r="G167" s="12" t="n"/>
      <c r="H167" s="14" t="n"/>
      <c r="I167" s="14" t="n"/>
      <c r="J167" s="15" t="n"/>
      <c r="K167" s="15" t="n"/>
      <c r="L167" s="12" t="n"/>
      <c r="M167" s="12" t="n"/>
    </row>
    <row r="168">
      <c r="A168" s="17" t="n"/>
      <c r="B168" s="18" t="n"/>
      <c r="C168" s="17" t="n"/>
      <c r="D168" s="19" t="n"/>
      <c r="E168" s="17" t="n"/>
      <c r="F168" s="17" t="n"/>
      <c r="G168" s="17" t="n"/>
      <c r="H168" s="19" t="n"/>
      <c r="I168" s="19" t="n"/>
      <c r="J168" s="20" t="n"/>
      <c r="K168" s="20" t="n"/>
      <c r="L168" s="17" t="n"/>
      <c r="M168" s="17" t="n"/>
    </row>
    <row r="169">
      <c r="A169" s="12" t="n"/>
      <c r="B169" s="13" t="n"/>
      <c r="C169" s="12" t="n"/>
      <c r="D169" s="14" t="n"/>
      <c r="E169" s="12" t="n"/>
      <c r="F169" s="12" t="n"/>
      <c r="G169" s="12" t="n"/>
      <c r="H169" s="14" t="n"/>
      <c r="I169" s="14" t="n"/>
      <c r="J169" s="15" t="n"/>
      <c r="K169" s="15" t="n"/>
      <c r="L169" s="12" t="n"/>
      <c r="M169" s="12" t="n"/>
    </row>
    <row r="170">
      <c r="A170" s="17" t="n"/>
      <c r="B170" s="18" t="n"/>
      <c r="C170" s="17" t="n"/>
      <c r="D170" s="19" t="n"/>
      <c r="E170" s="17" t="n"/>
      <c r="F170" s="17" t="n"/>
      <c r="G170" s="17" t="n"/>
      <c r="H170" s="19" t="n"/>
      <c r="I170" s="19" t="n"/>
      <c r="J170" s="20" t="n"/>
      <c r="K170" s="20" t="n"/>
      <c r="L170" s="17" t="n"/>
      <c r="M170" s="17" t="n"/>
    </row>
    <row r="171">
      <c r="A171" s="12" t="n"/>
      <c r="B171" s="13" t="n"/>
      <c r="C171" s="12" t="n"/>
      <c r="D171" s="14" t="n"/>
      <c r="E171" s="12" t="n"/>
      <c r="F171" s="12" t="n"/>
      <c r="G171" s="12" t="n"/>
      <c r="H171" s="14" t="n"/>
      <c r="I171" s="14" t="n"/>
      <c r="J171" s="15" t="n"/>
      <c r="K171" s="15" t="n"/>
      <c r="L171" s="12" t="n"/>
      <c r="M171" s="12" t="n"/>
    </row>
    <row r="172">
      <c r="A172" s="17" t="n"/>
      <c r="B172" s="18" t="n"/>
      <c r="C172" s="17" t="n"/>
      <c r="D172" s="19" t="n"/>
      <c r="E172" s="17" t="n"/>
      <c r="F172" s="17" t="n"/>
      <c r="G172" s="17" t="n"/>
      <c r="H172" s="19" t="n"/>
      <c r="I172" s="19" t="n"/>
      <c r="J172" s="20" t="n"/>
      <c r="K172" s="20" t="n"/>
      <c r="L172" s="17" t="n"/>
      <c r="M172" s="17" t="n"/>
    </row>
    <row r="173">
      <c r="A173" s="12" t="n"/>
      <c r="B173" s="13" t="n"/>
      <c r="C173" s="12" t="n"/>
      <c r="D173" s="14" t="n"/>
      <c r="E173" s="12" t="n"/>
      <c r="F173" s="12" t="n"/>
      <c r="G173" s="12" t="n"/>
      <c r="H173" s="14" t="n"/>
      <c r="I173" s="14" t="n"/>
      <c r="J173" s="15" t="n"/>
      <c r="K173" s="15" t="n"/>
      <c r="L173" s="12" t="n"/>
      <c r="M173" s="12" t="n"/>
    </row>
    <row r="174">
      <c r="A174" s="17" t="n"/>
      <c r="B174" s="18" t="n"/>
      <c r="C174" s="17" t="n"/>
      <c r="D174" s="19" t="n"/>
      <c r="E174" s="17" t="n"/>
      <c r="F174" s="17" t="n"/>
      <c r="G174" s="17" t="n"/>
      <c r="H174" s="19" t="n"/>
      <c r="I174" s="19" t="n"/>
      <c r="J174" s="20" t="n"/>
      <c r="K174" s="20" t="n"/>
      <c r="L174" s="17" t="n"/>
      <c r="M174" s="17" t="n"/>
    </row>
    <row r="175">
      <c r="A175" s="12" t="n"/>
      <c r="B175" s="13" t="n"/>
      <c r="C175" s="12" t="n"/>
      <c r="D175" s="14" t="n"/>
      <c r="E175" s="12" t="n"/>
      <c r="F175" s="12" t="n"/>
      <c r="G175" s="12" t="n"/>
      <c r="H175" s="14" t="n"/>
      <c r="I175" s="14" t="n"/>
      <c r="J175" s="15" t="n"/>
      <c r="K175" s="15" t="n"/>
      <c r="L175" s="12" t="n"/>
      <c r="M175" s="12" t="n"/>
    </row>
    <row r="176">
      <c r="A176" s="17" t="n"/>
      <c r="B176" s="18" t="n"/>
      <c r="C176" s="17" t="n"/>
      <c r="D176" s="19" t="n"/>
      <c r="E176" s="17" t="n"/>
      <c r="F176" s="17" t="n"/>
      <c r="G176" s="17" t="n"/>
      <c r="H176" s="19" t="n"/>
      <c r="I176" s="19" t="n"/>
      <c r="J176" s="20" t="n"/>
      <c r="K176" s="20" t="n"/>
      <c r="L176" s="17" t="n"/>
      <c r="M176" s="17" t="n"/>
    </row>
    <row r="177">
      <c r="A177" s="12" t="n"/>
      <c r="B177" s="13" t="n"/>
      <c r="C177" s="12" t="n"/>
      <c r="D177" s="14" t="n"/>
      <c r="E177" s="12" t="n"/>
      <c r="F177" s="12" t="n"/>
      <c r="G177" s="12" t="n"/>
      <c r="H177" s="14" t="n"/>
      <c r="I177" s="14" t="n"/>
      <c r="J177" s="15" t="n"/>
      <c r="K177" s="15" t="n"/>
      <c r="L177" s="12" t="n"/>
      <c r="M177" s="12" t="n"/>
    </row>
    <row r="178">
      <c r="A178" s="17" t="n"/>
      <c r="B178" s="18" t="n"/>
      <c r="C178" s="17" t="n"/>
      <c r="D178" s="19" t="n"/>
      <c r="E178" s="17" t="n"/>
      <c r="F178" s="17" t="n"/>
      <c r="G178" s="17" t="n"/>
      <c r="H178" s="19" t="n"/>
      <c r="I178" s="19" t="n"/>
      <c r="J178" s="20" t="n"/>
      <c r="K178" s="20" t="n"/>
      <c r="L178" s="17" t="n"/>
      <c r="M178" s="17" t="n"/>
    </row>
    <row r="179">
      <c r="A179" s="12" t="n"/>
      <c r="B179" s="13" t="n"/>
      <c r="C179" s="12" t="n"/>
      <c r="D179" s="14" t="n"/>
      <c r="E179" s="12" t="n"/>
      <c r="F179" s="12" t="n"/>
      <c r="G179" s="12" t="n"/>
      <c r="H179" s="14" t="n"/>
      <c r="I179" s="14" t="n"/>
      <c r="J179" s="15" t="n"/>
      <c r="K179" s="15" t="n"/>
      <c r="L179" s="12" t="n"/>
      <c r="M179" s="12" t="n"/>
    </row>
    <row r="180">
      <c r="A180" s="17" t="n"/>
      <c r="B180" s="18" t="n"/>
      <c r="C180" s="17" t="n"/>
      <c r="D180" s="19" t="n"/>
      <c r="E180" s="17" t="n"/>
      <c r="F180" s="17" t="n"/>
      <c r="G180" s="17" t="n"/>
      <c r="H180" s="19" t="n"/>
      <c r="I180" s="19" t="n"/>
      <c r="J180" s="20" t="n"/>
      <c r="K180" s="20" t="n"/>
      <c r="L180" s="17" t="n"/>
      <c r="M180" s="17" t="n"/>
    </row>
    <row r="181">
      <c r="A181" s="12" t="n"/>
      <c r="B181" s="13" t="n"/>
      <c r="C181" s="12" t="n"/>
      <c r="D181" s="14" t="n"/>
      <c r="E181" s="12" t="n"/>
      <c r="F181" s="12" t="n"/>
      <c r="G181" s="12" t="n"/>
      <c r="H181" s="14" t="n"/>
      <c r="I181" s="14" t="n"/>
      <c r="J181" s="15" t="n"/>
      <c r="K181" s="15" t="n"/>
      <c r="L181" s="12" t="n"/>
      <c r="M181" s="12" t="n"/>
    </row>
    <row r="182">
      <c r="A182" s="17" t="n"/>
      <c r="B182" s="18" t="n"/>
      <c r="C182" s="17" t="n"/>
      <c r="D182" s="19" t="n"/>
      <c r="E182" s="17" t="n"/>
      <c r="F182" s="17" t="n"/>
      <c r="G182" s="17" t="n"/>
      <c r="H182" s="19" t="n"/>
      <c r="I182" s="19" t="n"/>
      <c r="J182" s="20" t="n"/>
      <c r="K182" s="20" t="n"/>
      <c r="L182" s="17" t="n"/>
      <c r="M182" s="17" t="n"/>
    </row>
    <row r="183">
      <c r="A183" s="12" t="n"/>
      <c r="B183" s="13" t="n"/>
      <c r="C183" s="12" t="n"/>
      <c r="D183" s="14" t="n"/>
      <c r="E183" s="12" t="n"/>
      <c r="F183" s="12" t="n"/>
      <c r="G183" s="12" t="n"/>
      <c r="H183" s="14" t="n"/>
      <c r="I183" s="14" t="n"/>
      <c r="J183" s="15" t="n"/>
      <c r="K183" s="15" t="n"/>
      <c r="L183" s="12" t="n"/>
      <c r="M183" s="12" t="n"/>
    </row>
    <row r="184">
      <c r="A184" s="17" t="n"/>
      <c r="B184" s="18" t="n"/>
      <c r="C184" s="17" t="n"/>
      <c r="D184" s="19" t="n"/>
      <c r="E184" s="17" t="n"/>
      <c r="F184" s="17" t="n"/>
      <c r="G184" s="17" t="n"/>
      <c r="H184" s="19" t="n"/>
      <c r="I184" s="19" t="n"/>
      <c r="J184" s="20" t="n"/>
      <c r="K184" s="20" t="n"/>
      <c r="L184" s="17" t="n"/>
      <c r="M184" s="17" t="n"/>
    </row>
    <row r="185">
      <c r="A185" s="12" t="n"/>
      <c r="B185" s="13" t="n"/>
      <c r="C185" s="12" t="n"/>
      <c r="D185" s="14" t="n"/>
      <c r="E185" s="12" t="n"/>
      <c r="F185" s="12" t="n"/>
      <c r="G185" s="12" t="n"/>
      <c r="H185" s="14" t="n"/>
      <c r="I185" s="14" t="n"/>
      <c r="J185" s="15" t="n"/>
      <c r="K185" s="15" t="n"/>
      <c r="L185" s="12" t="n"/>
      <c r="M185" s="12" t="n"/>
    </row>
    <row r="186">
      <c r="A186" s="17" t="n"/>
      <c r="B186" s="18" t="n"/>
      <c r="C186" s="17" t="n"/>
      <c r="D186" s="19" t="n"/>
      <c r="E186" s="17" t="n"/>
      <c r="F186" s="17" t="n"/>
      <c r="G186" s="17" t="n"/>
      <c r="H186" s="19" t="n"/>
      <c r="I186" s="19" t="n"/>
      <c r="J186" s="20" t="n"/>
      <c r="K186" s="20" t="n"/>
      <c r="L186" s="17" t="n"/>
      <c r="M186" s="17" t="n"/>
    </row>
    <row r="187">
      <c r="A187" s="12" t="n"/>
      <c r="B187" s="13" t="n"/>
      <c r="C187" s="12" t="n"/>
      <c r="D187" s="14" t="n"/>
      <c r="E187" s="12" t="n"/>
      <c r="F187" s="12" t="n"/>
      <c r="G187" s="12" t="n"/>
      <c r="H187" s="14" t="n"/>
      <c r="I187" s="14" t="n"/>
      <c r="J187" s="15" t="n"/>
      <c r="K187" s="15" t="n"/>
      <c r="L187" s="12" t="n"/>
      <c r="M187" s="12" t="n"/>
    </row>
    <row r="188">
      <c r="A188" s="17" t="n"/>
      <c r="B188" s="18" t="n"/>
      <c r="C188" s="17" t="n"/>
      <c r="D188" s="19" t="n"/>
      <c r="E188" s="17" t="n"/>
      <c r="F188" s="17" t="n"/>
      <c r="G188" s="17" t="n"/>
      <c r="H188" s="19" t="n"/>
      <c r="I188" s="19" t="n"/>
      <c r="J188" s="20" t="n"/>
      <c r="K188" s="20" t="n"/>
      <c r="L188" s="17" t="n"/>
      <c r="M188" s="17" t="n"/>
    </row>
    <row r="189">
      <c r="A189" s="12" t="n"/>
      <c r="B189" s="13" t="n"/>
      <c r="C189" s="12" t="n"/>
      <c r="D189" s="14" t="n"/>
      <c r="E189" s="12" t="n"/>
      <c r="F189" s="12" t="n"/>
      <c r="G189" s="12" t="n"/>
      <c r="H189" s="14" t="n"/>
      <c r="I189" s="14" t="n"/>
      <c r="J189" s="15" t="n"/>
      <c r="K189" s="15" t="n"/>
      <c r="L189" s="12" t="n"/>
      <c r="M189" s="12" t="n"/>
    </row>
    <row r="190">
      <c r="A190" s="17" t="n"/>
      <c r="B190" s="18" t="n"/>
      <c r="C190" s="17" t="n"/>
      <c r="D190" s="19" t="n"/>
      <c r="E190" s="17" t="n"/>
      <c r="F190" s="17" t="n"/>
      <c r="G190" s="17" t="n"/>
      <c r="H190" s="19" t="n"/>
      <c r="I190" s="19" t="n"/>
      <c r="J190" s="20" t="n"/>
      <c r="K190" s="20" t="n"/>
      <c r="L190" s="17" t="n"/>
      <c r="M190" s="17" t="n"/>
    </row>
    <row r="191">
      <c r="A191" s="12" t="n"/>
      <c r="B191" s="13" t="n"/>
      <c r="C191" s="12" t="n"/>
      <c r="D191" s="14" t="n"/>
      <c r="E191" s="12" t="n"/>
      <c r="F191" s="12" t="n"/>
      <c r="G191" s="12" t="n"/>
      <c r="H191" s="14" t="n"/>
      <c r="I191" s="14" t="n"/>
      <c r="J191" s="15" t="n"/>
      <c r="K191" s="15" t="n"/>
      <c r="L191" s="12" t="n"/>
      <c r="M191" s="12" t="n"/>
    </row>
    <row r="192">
      <c r="A192" s="17" t="n"/>
      <c r="B192" s="18" t="n"/>
      <c r="C192" s="17" t="n"/>
      <c r="D192" s="19" t="n"/>
      <c r="E192" s="17" t="n"/>
      <c r="F192" s="17" t="n"/>
      <c r="G192" s="17" t="n"/>
      <c r="H192" s="19" t="n"/>
      <c r="I192" s="19" t="n"/>
      <c r="J192" s="20" t="n"/>
      <c r="K192" s="20" t="n"/>
      <c r="L192" s="17" t="n"/>
      <c r="M192" s="17" t="n"/>
    </row>
    <row r="193">
      <c r="A193" s="12" t="n"/>
      <c r="B193" s="13" t="n"/>
      <c r="C193" s="12" t="n"/>
      <c r="D193" s="14" t="n"/>
      <c r="E193" s="12" t="n"/>
      <c r="F193" s="12" t="n"/>
      <c r="G193" s="12" t="n"/>
      <c r="H193" s="14" t="n"/>
      <c r="I193" s="14" t="n"/>
      <c r="J193" s="15" t="n"/>
      <c r="K193" s="15" t="n"/>
      <c r="L193" s="12" t="n"/>
      <c r="M193" s="12" t="n"/>
    </row>
    <row r="194">
      <c r="A194" s="17" t="n"/>
      <c r="B194" s="18" t="n"/>
      <c r="C194" s="17" t="n"/>
      <c r="D194" s="19" t="n"/>
      <c r="E194" s="17" t="n"/>
      <c r="F194" s="17" t="n"/>
      <c r="G194" s="17" t="n"/>
      <c r="H194" s="19" t="n"/>
      <c r="I194" s="19" t="n"/>
      <c r="J194" s="20" t="n"/>
      <c r="K194" s="20" t="n"/>
      <c r="L194" s="17" t="n"/>
      <c r="M194" s="17" t="n"/>
    </row>
    <row r="195">
      <c r="A195" s="12" t="n"/>
      <c r="B195" s="13" t="n"/>
      <c r="C195" s="12" t="n"/>
      <c r="D195" s="14" t="n"/>
      <c r="E195" s="12" t="n"/>
      <c r="F195" s="12" t="n"/>
      <c r="G195" s="12" t="n"/>
      <c r="H195" s="14" t="n"/>
      <c r="I195" s="14" t="n"/>
      <c r="J195" s="15" t="n"/>
      <c r="K195" s="15" t="n"/>
      <c r="L195" s="12" t="n"/>
      <c r="M195" s="12" t="n"/>
    </row>
    <row r="196">
      <c r="A196" s="17" t="n"/>
      <c r="B196" s="18" t="n"/>
      <c r="C196" s="17" t="n"/>
      <c r="D196" s="19" t="n"/>
      <c r="E196" s="17" t="n"/>
      <c r="F196" s="17" t="n"/>
      <c r="G196" s="17" t="n"/>
      <c r="H196" s="19" t="n"/>
      <c r="I196" s="19" t="n"/>
      <c r="J196" s="20" t="n"/>
      <c r="K196" s="20" t="n"/>
      <c r="L196" s="17" t="n"/>
      <c r="M196" s="17" t="n"/>
    </row>
    <row r="197">
      <c r="A197" s="12" t="n"/>
      <c r="B197" s="13" t="n"/>
      <c r="C197" s="12" t="n"/>
      <c r="D197" s="14" t="n"/>
      <c r="E197" s="12" t="n"/>
      <c r="F197" s="12" t="n"/>
      <c r="G197" s="12" t="n"/>
      <c r="H197" s="14" t="n"/>
      <c r="I197" s="14" t="n"/>
      <c r="J197" s="15" t="n"/>
      <c r="K197" s="15" t="n"/>
      <c r="L197" s="12" t="n"/>
      <c r="M197" s="12" t="n"/>
    </row>
    <row r="198">
      <c r="A198" s="17" t="n"/>
      <c r="B198" s="18" t="n"/>
      <c r="C198" s="17" t="n"/>
      <c r="D198" s="19" t="n"/>
      <c r="E198" s="17" t="n"/>
      <c r="F198" s="17" t="n"/>
      <c r="G198" s="17" t="n"/>
      <c r="H198" s="19" t="n"/>
      <c r="I198" s="19" t="n"/>
      <c r="J198" s="20" t="n"/>
      <c r="K198" s="20" t="n"/>
      <c r="L198" s="17" t="n"/>
      <c r="M198" s="17" t="n"/>
    </row>
    <row r="199">
      <c r="A199" s="12" t="n"/>
      <c r="B199" s="13" t="n"/>
      <c r="C199" s="12" t="n"/>
      <c r="D199" s="14" t="n"/>
      <c r="E199" s="12" t="n"/>
      <c r="F199" s="12" t="n"/>
      <c r="G199" s="12" t="n"/>
      <c r="H199" s="14" t="n"/>
      <c r="I199" s="14" t="n"/>
      <c r="J199" s="15" t="n"/>
      <c r="K199" s="15" t="n"/>
      <c r="L199" s="12" t="n"/>
      <c r="M199" s="12" t="n"/>
    </row>
    <row r="200">
      <c r="A200" s="17" t="n"/>
      <c r="B200" s="18" t="n"/>
      <c r="C200" s="17" t="n"/>
      <c r="D200" s="19" t="n"/>
      <c r="E200" s="17" t="n"/>
      <c r="F200" s="17" t="n"/>
      <c r="G200" s="17" t="n"/>
      <c r="H200" s="19" t="n"/>
      <c r="I200" s="19" t="n"/>
      <c r="J200" s="20" t="n"/>
      <c r="K200" s="20" t="n"/>
      <c r="L200" s="17" t="n"/>
      <c r="M200" s="17" t="n"/>
    </row>
    <row r="201">
      <c r="A201" s="12" t="n"/>
      <c r="B201" s="13" t="n"/>
      <c r="C201" s="12" t="n"/>
      <c r="D201" s="14" t="n"/>
      <c r="E201" s="12" t="n"/>
      <c r="F201" s="12" t="n"/>
      <c r="G201" s="12" t="n"/>
      <c r="H201" s="14" t="n"/>
      <c r="I201" s="14" t="n"/>
      <c r="J201" s="15" t="n"/>
      <c r="K201" s="15" t="n"/>
      <c r="L201" s="12" t="n"/>
      <c r="M201" s="12" t="n"/>
    </row>
    <row r="202">
      <c r="A202" s="17" t="n"/>
      <c r="B202" s="18" t="n"/>
      <c r="C202" s="17" t="n"/>
      <c r="D202" s="19" t="n"/>
      <c r="E202" s="17" t="n"/>
      <c r="F202" s="17" t="n"/>
      <c r="G202" s="17" t="n"/>
      <c r="H202" s="19" t="n"/>
      <c r="I202" s="19" t="n"/>
      <c r="J202" s="20" t="n"/>
      <c r="K202" s="20" t="n"/>
      <c r="L202" s="17" t="n"/>
      <c r="M202" s="17" t="n"/>
    </row>
    <row r="203">
      <c r="A203" s="12" t="n"/>
      <c r="B203" s="13" t="n"/>
      <c r="C203" s="12" t="n"/>
      <c r="D203" s="14" t="n"/>
      <c r="E203" s="12" t="n"/>
      <c r="F203" s="12" t="n"/>
      <c r="G203" s="12" t="n"/>
      <c r="H203" s="14" t="n"/>
      <c r="I203" s="14" t="n"/>
      <c r="J203" s="15" t="n"/>
      <c r="K203" s="15" t="n"/>
      <c r="L203" s="12" t="n"/>
      <c r="M203" s="12" t="n"/>
    </row>
    <row r="204">
      <c r="A204" s="17" t="n"/>
      <c r="B204" s="18" t="n"/>
      <c r="C204" s="17" t="n"/>
      <c r="D204" s="19" t="n"/>
      <c r="E204" s="17" t="n"/>
      <c r="F204" s="17" t="n"/>
      <c r="G204" s="17" t="n"/>
      <c r="H204" s="19" t="n"/>
      <c r="I204" s="19" t="n"/>
      <c r="J204" s="20" t="n"/>
      <c r="K204" s="20" t="n"/>
      <c r="L204" s="17" t="n"/>
      <c r="M204" s="17" t="n"/>
    </row>
    <row r="205">
      <c r="A205" s="12" t="n"/>
      <c r="B205" s="13" t="n"/>
      <c r="C205" s="12" t="n"/>
      <c r="D205" s="14" t="n"/>
      <c r="E205" s="12" t="n"/>
      <c r="F205" s="12" t="n"/>
      <c r="G205" s="12" t="n"/>
      <c r="H205" s="14" t="n"/>
      <c r="I205" s="14" t="n"/>
      <c r="J205" s="15" t="n"/>
      <c r="K205" s="15" t="n"/>
      <c r="L205" s="12" t="n"/>
      <c r="M205" s="12" t="n"/>
    </row>
    <row r="206">
      <c r="A206" s="17" t="n"/>
      <c r="B206" s="18" t="n"/>
      <c r="C206" s="17" t="n"/>
      <c r="D206" s="19" t="n"/>
      <c r="E206" s="17" t="n"/>
      <c r="F206" s="17" t="n"/>
      <c r="G206" s="17" t="n"/>
      <c r="H206" s="19" t="n"/>
      <c r="I206" s="19" t="n"/>
      <c r="J206" s="20" t="n"/>
      <c r="K206" s="20" t="n"/>
      <c r="L206" s="17" t="n"/>
      <c r="M206" s="17" t="n"/>
    </row>
    <row r="207">
      <c r="A207" s="12" t="n"/>
      <c r="B207" s="13" t="n"/>
      <c r="C207" s="12" t="n"/>
      <c r="D207" s="14" t="n"/>
      <c r="E207" s="12" t="n"/>
      <c r="F207" s="12" t="n"/>
      <c r="G207" s="12" t="n"/>
      <c r="H207" s="14" t="n"/>
      <c r="I207" s="14" t="n"/>
      <c r="J207" s="15" t="n"/>
      <c r="K207" s="15" t="n"/>
      <c r="L207" s="12" t="n"/>
      <c r="M207" s="12" t="n"/>
    </row>
    <row r="208">
      <c r="A208" s="17" t="n"/>
      <c r="B208" s="18" t="n"/>
      <c r="C208" s="17" t="n"/>
      <c r="D208" s="19" t="n"/>
      <c r="E208" s="17" t="n"/>
      <c r="F208" s="17" t="n"/>
      <c r="G208" s="17" t="n"/>
      <c r="H208" s="19" t="n"/>
      <c r="I208" s="19" t="n"/>
      <c r="J208" s="20" t="n"/>
      <c r="K208" s="20" t="n"/>
      <c r="L208" s="17" t="n"/>
      <c r="M208" s="17" t="n"/>
    </row>
    <row r="209">
      <c r="A209" s="12" t="n"/>
      <c r="B209" s="13" t="n"/>
      <c r="C209" s="12" t="n"/>
      <c r="D209" s="14" t="n"/>
      <c r="E209" s="12" t="n"/>
      <c r="F209" s="12" t="n"/>
      <c r="G209" s="12" t="n"/>
      <c r="H209" s="14" t="n"/>
      <c r="I209" s="14" t="n"/>
      <c r="J209" s="15" t="n"/>
      <c r="K209" s="15" t="n"/>
      <c r="L209" s="12" t="n"/>
      <c r="M209" s="12" t="n"/>
    </row>
    <row r="210">
      <c r="A210" s="17" t="n"/>
      <c r="B210" s="18" t="n"/>
      <c r="C210" s="17" t="n"/>
      <c r="D210" s="19" t="n"/>
      <c r="E210" s="17" t="n"/>
      <c r="F210" s="17" t="n"/>
      <c r="G210" s="17" t="n"/>
      <c r="H210" s="19" t="n"/>
      <c r="I210" s="19" t="n"/>
      <c r="J210" s="20" t="n"/>
      <c r="K210" s="20" t="n"/>
      <c r="L210" s="17" t="n"/>
      <c r="M210" s="17" t="n"/>
    </row>
    <row r="211">
      <c r="A211" s="12" t="n"/>
      <c r="B211" s="13" t="n"/>
      <c r="C211" s="12" t="n"/>
      <c r="D211" s="14" t="n"/>
      <c r="E211" s="12" t="n"/>
      <c r="F211" s="12" t="n"/>
      <c r="G211" s="12" t="n"/>
      <c r="H211" s="14" t="n"/>
      <c r="I211" s="14" t="n"/>
      <c r="J211" s="15" t="n"/>
      <c r="K211" s="15" t="n"/>
      <c r="L211" s="12" t="n"/>
      <c r="M211" s="12" t="n"/>
    </row>
    <row r="212">
      <c r="A212" s="17" t="n"/>
      <c r="B212" s="18" t="n"/>
      <c r="C212" s="17" t="n"/>
      <c r="D212" s="19" t="n"/>
      <c r="E212" s="17" t="n"/>
      <c r="F212" s="17" t="n"/>
      <c r="G212" s="17" t="n"/>
      <c r="H212" s="19" t="n"/>
      <c r="I212" s="19" t="n"/>
      <c r="J212" s="20" t="n"/>
      <c r="K212" s="20" t="n"/>
      <c r="L212" s="17" t="n"/>
      <c r="M212" s="17" t="n"/>
    </row>
    <row r="213">
      <c r="A213" s="12" t="n"/>
      <c r="B213" s="13" t="n"/>
      <c r="C213" s="12" t="n"/>
      <c r="D213" s="14" t="n"/>
      <c r="E213" s="12" t="n"/>
      <c r="F213" s="12" t="n"/>
      <c r="G213" s="12" t="n"/>
      <c r="H213" s="14" t="n"/>
      <c r="I213" s="14" t="n"/>
      <c r="J213" s="15" t="n"/>
      <c r="K213" s="15" t="n"/>
      <c r="L213" s="12" t="n"/>
      <c r="M213" s="12" t="n"/>
    </row>
    <row r="214">
      <c r="A214" s="17" t="n"/>
      <c r="B214" s="18" t="n"/>
      <c r="C214" s="17" t="n"/>
      <c r="D214" s="19" t="n"/>
      <c r="E214" s="17" t="n"/>
      <c r="F214" s="17" t="n"/>
      <c r="G214" s="17" t="n"/>
      <c r="H214" s="19" t="n"/>
      <c r="I214" s="19" t="n"/>
      <c r="J214" s="20" t="n"/>
      <c r="K214" s="20" t="n"/>
      <c r="L214" s="17" t="n"/>
      <c r="M214" s="17" t="n"/>
    </row>
    <row r="215">
      <c r="A215" s="12" t="n"/>
      <c r="B215" s="13" t="n"/>
      <c r="C215" s="12" t="n"/>
      <c r="D215" s="14" t="n"/>
      <c r="E215" s="12" t="n"/>
      <c r="F215" s="12" t="n"/>
      <c r="G215" s="12" t="n"/>
      <c r="H215" s="14" t="n"/>
      <c r="I215" s="14" t="n"/>
      <c r="J215" s="15" t="n"/>
      <c r="K215" s="15" t="n"/>
      <c r="L215" s="12" t="n"/>
      <c r="M215" s="12" t="n"/>
    </row>
    <row r="216">
      <c r="A216" s="17" t="n"/>
      <c r="B216" s="18" t="n"/>
      <c r="C216" s="17" t="n"/>
      <c r="D216" s="19" t="n"/>
      <c r="E216" s="17" t="n"/>
      <c r="F216" s="17" t="n"/>
      <c r="G216" s="17" t="n"/>
      <c r="H216" s="19" t="n"/>
      <c r="I216" s="19" t="n"/>
      <c r="J216" s="20" t="n"/>
      <c r="K216" s="20" t="n"/>
      <c r="L216" s="17" t="n"/>
      <c r="M216" s="17" t="n"/>
    </row>
    <row r="217">
      <c r="A217" s="12" t="n"/>
      <c r="B217" s="13" t="n"/>
      <c r="C217" s="12" t="n"/>
      <c r="D217" s="14" t="n"/>
      <c r="E217" s="12" t="n"/>
      <c r="F217" s="12" t="n"/>
      <c r="G217" s="12" t="n"/>
      <c r="H217" s="14" t="n"/>
      <c r="I217" s="14" t="n"/>
      <c r="J217" s="15" t="n"/>
      <c r="K217" s="15" t="n"/>
      <c r="L217" s="12" t="n"/>
      <c r="M217" s="12" t="n"/>
    </row>
    <row r="218">
      <c r="A218" s="17" t="n"/>
      <c r="B218" s="18" t="n"/>
      <c r="C218" s="17" t="n"/>
      <c r="D218" s="19" t="n"/>
      <c r="E218" s="17" t="n"/>
      <c r="F218" s="17" t="n"/>
      <c r="G218" s="17" t="n"/>
      <c r="H218" s="19" t="n"/>
      <c r="I218" s="19" t="n"/>
      <c r="J218" s="20" t="n"/>
      <c r="K218" s="20" t="n"/>
      <c r="L218" s="17" t="n"/>
      <c r="M218" s="17" t="n"/>
    </row>
    <row r="219">
      <c r="A219" s="12" t="n"/>
      <c r="B219" s="13" t="n"/>
      <c r="C219" s="12" t="n"/>
      <c r="D219" s="14" t="n"/>
      <c r="E219" s="12" t="n"/>
      <c r="F219" s="12" t="n"/>
      <c r="G219" s="12" t="n"/>
      <c r="H219" s="14" t="n"/>
      <c r="I219" s="14" t="n"/>
      <c r="J219" s="15" t="n"/>
      <c r="K219" s="15" t="n"/>
      <c r="L219" s="12" t="n"/>
      <c r="M219" s="12" t="n"/>
    </row>
    <row r="220">
      <c r="A220" s="17" t="n"/>
      <c r="B220" s="18" t="n"/>
      <c r="C220" s="17" t="n"/>
      <c r="D220" s="19" t="n"/>
      <c r="E220" s="17" t="n"/>
      <c r="F220" s="17" t="n"/>
      <c r="G220" s="17" t="n"/>
      <c r="H220" s="19" t="n"/>
      <c r="I220" s="19" t="n"/>
      <c r="J220" s="20" t="n"/>
      <c r="K220" s="20" t="n"/>
      <c r="L220" s="17" t="n"/>
      <c r="M220" s="17" t="n"/>
    </row>
    <row r="221">
      <c r="A221" s="12" t="n"/>
      <c r="B221" s="13" t="n"/>
      <c r="C221" s="12" t="n"/>
      <c r="D221" s="14" t="n"/>
      <c r="E221" s="12" t="n"/>
      <c r="F221" s="12" t="n"/>
      <c r="G221" s="12" t="n"/>
      <c r="H221" s="14" t="n"/>
      <c r="I221" s="14" t="n"/>
      <c r="J221" s="15" t="n"/>
      <c r="K221" s="15" t="n"/>
      <c r="L221" s="12" t="n"/>
      <c r="M221" s="12" t="n"/>
    </row>
    <row r="222">
      <c r="A222" s="17" t="n"/>
      <c r="B222" s="18" t="n"/>
      <c r="C222" s="17" t="n"/>
      <c r="D222" s="19" t="n"/>
      <c r="E222" s="17" t="n"/>
      <c r="F222" s="17" t="n"/>
      <c r="G222" s="17" t="n"/>
      <c r="H222" s="19" t="n"/>
      <c r="I222" s="19" t="n"/>
      <c r="J222" s="20" t="n"/>
      <c r="K222" s="20" t="n"/>
      <c r="L222" s="17" t="n"/>
      <c r="M222" s="17" t="n"/>
    </row>
    <row r="223">
      <c r="A223" s="12" t="n"/>
      <c r="B223" s="13" t="n"/>
      <c r="C223" s="12" t="n"/>
      <c r="D223" s="14" t="n"/>
      <c r="E223" s="12" t="n"/>
      <c r="F223" s="12" t="n"/>
      <c r="G223" s="12" t="n"/>
      <c r="H223" s="14" t="n"/>
      <c r="I223" s="14" t="n"/>
      <c r="J223" s="15" t="n"/>
      <c r="K223" s="15" t="n"/>
      <c r="L223" s="12" t="n"/>
      <c r="M223" s="12" t="n"/>
    </row>
    <row r="224">
      <c r="A224" s="17" t="n"/>
      <c r="B224" s="18" t="n"/>
      <c r="C224" s="17" t="n"/>
      <c r="D224" s="19" t="n"/>
      <c r="E224" s="17" t="n"/>
      <c r="F224" s="17" t="n"/>
      <c r="G224" s="17" t="n"/>
      <c r="H224" s="19" t="n"/>
      <c r="I224" s="19" t="n"/>
      <c r="J224" s="20" t="n"/>
      <c r="K224" s="20" t="n"/>
      <c r="L224" s="17" t="n"/>
      <c r="M224" s="17" t="n"/>
    </row>
    <row r="225">
      <c r="A225" s="12" t="n"/>
      <c r="B225" s="13" t="n"/>
      <c r="C225" s="12" t="n"/>
      <c r="D225" s="14" t="n"/>
      <c r="E225" s="12" t="n"/>
      <c r="F225" s="12" t="n"/>
      <c r="G225" s="12" t="n"/>
      <c r="H225" s="14" t="n"/>
      <c r="I225" s="14" t="n"/>
      <c r="J225" s="15" t="n"/>
      <c r="K225" s="15" t="n"/>
      <c r="L225" s="12" t="n"/>
      <c r="M225" s="12" t="n"/>
    </row>
    <row r="226">
      <c r="A226" s="17" t="n"/>
      <c r="B226" s="18" t="n"/>
      <c r="C226" s="17" t="n"/>
      <c r="D226" s="19" t="n"/>
      <c r="E226" s="17" t="n"/>
      <c r="F226" s="17" t="n"/>
      <c r="G226" s="17" t="n"/>
      <c r="H226" s="19" t="n"/>
      <c r="I226" s="19" t="n"/>
      <c r="J226" s="20" t="n"/>
      <c r="K226" s="20" t="n"/>
      <c r="L226" s="17" t="n"/>
      <c r="M226" s="17" t="n"/>
    </row>
    <row r="227">
      <c r="A227" s="12" t="n"/>
      <c r="B227" s="13" t="n"/>
      <c r="C227" s="12" t="n"/>
      <c r="D227" s="14" t="n"/>
      <c r="E227" s="12" t="n"/>
      <c r="F227" s="12" t="n"/>
      <c r="G227" s="12" t="n"/>
      <c r="H227" s="14" t="n"/>
      <c r="I227" s="14" t="n"/>
      <c r="J227" s="15" t="n"/>
      <c r="K227" s="15" t="n"/>
      <c r="L227" s="12" t="n"/>
      <c r="M227" s="12" t="n"/>
    </row>
    <row r="228">
      <c r="A228" s="17" t="n"/>
      <c r="B228" s="18" t="n"/>
      <c r="C228" s="17" t="n"/>
      <c r="D228" s="19" t="n"/>
      <c r="E228" s="17" t="n"/>
      <c r="F228" s="17" t="n"/>
      <c r="G228" s="17" t="n"/>
      <c r="H228" s="19" t="n"/>
      <c r="I228" s="19" t="n"/>
      <c r="J228" s="20" t="n"/>
      <c r="K228" s="20" t="n"/>
      <c r="L228" s="17" t="n"/>
      <c r="M228" s="17" t="n"/>
    </row>
    <row r="229">
      <c r="A229" s="12" t="n"/>
      <c r="B229" s="13" t="n"/>
      <c r="C229" s="12" t="n"/>
      <c r="D229" s="14" t="n"/>
      <c r="E229" s="12" t="n"/>
      <c r="F229" s="12" t="n"/>
      <c r="G229" s="12" t="n"/>
      <c r="H229" s="14" t="n"/>
      <c r="I229" s="14" t="n"/>
      <c r="J229" s="15" t="n"/>
      <c r="K229" s="15" t="n"/>
      <c r="L229" s="12" t="n"/>
      <c r="M229" s="12" t="n"/>
    </row>
    <row r="230">
      <c r="A230" s="17" t="n"/>
      <c r="B230" s="18" t="n"/>
      <c r="C230" s="17" t="n"/>
      <c r="D230" s="19" t="n"/>
      <c r="E230" s="17" t="n"/>
      <c r="F230" s="17" t="n"/>
      <c r="G230" s="17" t="n"/>
      <c r="H230" s="19" t="n"/>
      <c r="I230" s="19" t="n"/>
      <c r="J230" s="20" t="n"/>
      <c r="K230" s="20" t="n"/>
      <c r="L230" s="17" t="n"/>
      <c r="M230" s="17" t="n"/>
    </row>
    <row r="231">
      <c r="A231" s="12" t="n"/>
      <c r="B231" s="13" t="n"/>
      <c r="C231" s="12" t="n"/>
      <c r="D231" s="14" t="n"/>
      <c r="E231" s="12" t="n"/>
      <c r="F231" s="12" t="n"/>
      <c r="G231" s="12" t="n"/>
      <c r="H231" s="14" t="n"/>
      <c r="I231" s="14" t="n"/>
      <c r="J231" s="15" t="n"/>
      <c r="K231" s="15" t="n"/>
      <c r="L231" s="12" t="n"/>
      <c r="M231" s="12" t="n"/>
    </row>
    <row r="232">
      <c r="A232" s="17" t="n"/>
      <c r="B232" s="18" t="n"/>
      <c r="C232" s="17" t="n"/>
      <c r="D232" s="19" t="n"/>
      <c r="E232" s="17" t="n"/>
      <c r="F232" s="17" t="n"/>
      <c r="G232" s="17" t="n"/>
      <c r="H232" s="19" t="n"/>
      <c r="I232" s="19" t="n"/>
      <c r="J232" s="20" t="n"/>
      <c r="K232" s="20" t="n"/>
      <c r="L232" s="17" t="n"/>
      <c r="M232" s="17" t="n"/>
    </row>
    <row r="233">
      <c r="A233" s="12" t="n"/>
      <c r="B233" s="13" t="n"/>
      <c r="C233" s="12" t="n"/>
      <c r="D233" s="14" t="n"/>
      <c r="E233" s="12" t="n"/>
      <c r="F233" s="12" t="n"/>
      <c r="G233" s="12" t="n"/>
      <c r="H233" s="14" t="n"/>
      <c r="I233" s="14" t="n"/>
      <c r="J233" s="15" t="n"/>
      <c r="K233" s="15" t="n"/>
      <c r="L233" s="12" t="n"/>
      <c r="M233" s="12" t="n"/>
    </row>
    <row r="234">
      <c r="A234" s="17" t="n"/>
      <c r="B234" s="18" t="n"/>
      <c r="C234" s="17" t="n"/>
      <c r="D234" s="19" t="n"/>
      <c r="E234" s="17" t="n"/>
      <c r="F234" s="17" t="n"/>
      <c r="G234" s="17" t="n"/>
      <c r="H234" s="19" t="n"/>
      <c r="I234" s="19" t="n"/>
      <c r="J234" s="20" t="n"/>
      <c r="K234" s="20" t="n"/>
      <c r="L234" s="17" t="n"/>
      <c r="M234" s="17" t="n"/>
    </row>
    <row r="235">
      <c r="A235" s="12" t="n"/>
      <c r="B235" s="13" t="n"/>
      <c r="C235" s="12" t="n"/>
      <c r="D235" s="14" t="n"/>
      <c r="E235" s="12" t="n"/>
      <c r="F235" s="12" t="n"/>
      <c r="G235" s="12" t="n"/>
      <c r="H235" s="14" t="n"/>
      <c r="I235" s="14" t="n"/>
      <c r="J235" s="15" t="n"/>
      <c r="K235" s="15" t="n"/>
      <c r="L235" s="12" t="n"/>
      <c r="M235" s="12" t="n"/>
    </row>
    <row r="236">
      <c r="A236" s="17" t="n"/>
      <c r="B236" s="18" t="n"/>
      <c r="C236" s="17" t="n"/>
      <c r="D236" s="19" t="n"/>
      <c r="E236" s="17" t="n"/>
      <c r="F236" s="17" t="n"/>
      <c r="G236" s="17" t="n"/>
      <c r="H236" s="19" t="n"/>
      <c r="I236" s="19" t="n"/>
      <c r="J236" s="20" t="n"/>
      <c r="K236" s="20" t="n"/>
      <c r="L236" s="17" t="n"/>
      <c r="M236" s="17" t="n"/>
    </row>
    <row r="237">
      <c r="A237" s="12" t="n"/>
      <c r="B237" s="13" t="n"/>
      <c r="C237" s="12" t="n"/>
      <c r="D237" s="14" t="n"/>
      <c r="E237" s="12" t="n"/>
      <c r="F237" s="12" t="n"/>
      <c r="G237" s="12" t="n"/>
      <c r="H237" s="14" t="n"/>
      <c r="I237" s="14" t="n"/>
      <c r="J237" s="15" t="n"/>
      <c r="K237" s="15" t="n"/>
      <c r="L237" s="12" t="n"/>
      <c r="M237" s="12" t="n"/>
    </row>
    <row r="238">
      <c r="A238" s="17" t="n"/>
      <c r="B238" s="18" t="n"/>
      <c r="C238" s="17" t="n"/>
      <c r="D238" s="19" t="n"/>
      <c r="E238" s="17" t="n"/>
      <c r="F238" s="17" t="n"/>
      <c r="G238" s="17" t="n"/>
      <c r="H238" s="19" t="n"/>
      <c r="I238" s="19" t="n"/>
      <c r="J238" s="20" t="n"/>
      <c r="K238" s="20" t="n"/>
      <c r="L238" s="17" t="n"/>
      <c r="M238" s="17" t="n"/>
    </row>
    <row r="239">
      <c r="A239" s="12" t="n"/>
      <c r="B239" s="13" t="n"/>
      <c r="C239" s="12" t="n"/>
      <c r="D239" s="14" t="n"/>
      <c r="E239" s="12" t="n"/>
      <c r="F239" s="12" t="n"/>
      <c r="G239" s="12" t="n"/>
      <c r="H239" s="14" t="n"/>
      <c r="I239" s="14" t="n"/>
      <c r="J239" s="15" t="n"/>
      <c r="K239" s="15" t="n"/>
      <c r="L239" s="12" t="n"/>
      <c r="M239" s="12" t="n"/>
    </row>
    <row r="240">
      <c r="A240" s="17" t="n"/>
      <c r="B240" s="18" t="n"/>
      <c r="C240" s="17" t="n"/>
      <c r="D240" s="19" t="n"/>
      <c r="E240" s="17" t="n"/>
      <c r="F240" s="17" t="n"/>
      <c r="G240" s="17" t="n"/>
      <c r="H240" s="19" t="n"/>
      <c r="I240" s="19" t="n"/>
      <c r="J240" s="20" t="n"/>
      <c r="K240" s="20" t="n"/>
      <c r="L240" s="17" t="n"/>
      <c r="M240" s="17" t="n"/>
    </row>
    <row r="241">
      <c r="A241" s="12" t="n"/>
      <c r="B241" s="13" t="n"/>
      <c r="C241" s="12" t="n"/>
      <c r="D241" s="14" t="n"/>
      <c r="E241" s="12" t="n"/>
      <c r="F241" s="12" t="n"/>
      <c r="G241" s="12" t="n"/>
      <c r="H241" s="14" t="n"/>
      <c r="I241" s="14" t="n"/>
      <c r="J241" s="15" t="n"/>
      <c r="K241" s="15" t="n"/>
      <c r="L241" s="12" t="n"/>
      <c r="M241" s="12" t="n"/>
    </row>
    <row r="242">
      <c r="A242" s="17" t="n"/>
      <c r="B242" s="18" t="n"/>
      <c r="C242" s="17" t="n"/>
      <c r="D242" s="19" t="n"/>
      <c r="E242" s="17" t="n"/>
      <c r="F242" s="17" t="n"/>
      <c r="G242" s="17" t="n"/>
      <c r="H242" s="19" t="n"/>
      <c r="I242" s="19" t="n"/>
      <c r="J242" s="20" t="n"/>
      <c r="K242" s="20" t="n"/>
      <c r="L242" s="17" t="n"/>
      <c r="M242" s="17" t="n"/>
    </row>
    <row r="243">
      <c r="A243" s="12" t="n"/>
      <c r="B243" s="13" t="n"/>
      <c r="C243" s="12" t="n"/>
      <c r="D243" s="14" t="n"/>
      <c r="E243" s="12" t="n"/>
      <c r="F243" s="12" t="n"/>
      <c r="G243" s="12" t="n"/>
      <c r="H243" s="14" t="n"/>
      <c r="I243" s="14" t="n"/>
      <c r="J243" s="15" t="n"/>
      <c r="K243" s="15" t="n"/>
      <c r="L243" s="12" t="n"/>
      <c r="M243" s="12" t="n"/>
    </row>
    <row r="244">
      <c r="A244" s="17" t="n"/>
      <c r="B244" s="18" t="n"/>
      <c r="C244" s="17" t="n"/>
      <c r="D244" s="19" t="n"/>
      <c r="E244" s="17" t="n"/>
      <c r="F244" s="17" t="n"/>
      <c r="G244" s="17" t="n"/>
      <c r="H244" s="19" t="n"/>
      <c r="I244" s="19" t="n"/>
      <c r="J244" s="20" t="n"/>
      <c r="K244" s="20" t="n"/>
      <c r="L244" s="17" t="n"/>
      <c r="M244" s="17" t="n"/>
    </row>
    <row r="245">
      <c r="A245" s="12" t="n"/>
      <c r="B245" s="13" t="n"/>
      <c r="C245" s="12" t="n"/>
      <c r="D245" s="14" t="n"/>
      <c r="E245" s="12" t="n"/>
      <c r="F245" s="12" t="n"/>
      <c r="G245" s="12" t="n"/>
      <c r="H245" s="14" t="n"/>
      <c r="I245" s="14" t="n"/>
      <c r="J245" s="15" t="n"/>
      <c r="K245" s="15" t="n"/>
      <c r="L245" s="12" t="n"/>
      <c r="M245" s="12" t="n"/>
    </row>
    <row r="246">
      <c r="A246" s="17" t="n"/>
      <c r="B246" s="18" t="n"/>
      <c r="C246" s="17" t="n"/>
      <c r="D246" s="19" t="n"/>
      <c r="E246" s="17" t="n"/>
      <c r="F246" s="17" t="n"/>
      <c r="G246" s="17" t="n"/>
      <c r="H246" s="19" t="n"/>
      <c r="I246" s="19" t="n"/>
      <c r="J246" s="20" t="n"/>
      <c r="K246" s="20" t="n"/>
      <c r="L246" s="17" t="n"/>
      <c r="M246" s="17" t="n"/>
    </row>
    <row r="247">
      <c r="A247" s="12" t="n"/>
      <c r="B247" s="13" t="n"/>
      <c r="C247" s="12" t="n"/>
      <c r="D247" s="14" t="n"/>
      <c r="E247" s="12" t="n"/>
      <c r="F247" s="12" t="n"/>
      <c r="G247" s="12" t="n"/>
      <c r="H247" s="14" t="n"/>
      <c r="I247" s="14" t="n"/>
      <c r="J247" s="15" t="n"/>
      <c r="K247" s="15" t="n"/>
      <c r="L247" s="12" t="n"/>
      <c r="M247" s="12" t="n"/>
    </row>
    <row r="248">
      <c r="A248" s="17" t="n"/>
      <c r="B248" s="18" t="n"/>
      <c r="C248" s="17" t="n"/>
      <c r="D248" s="19" t="n"/>
      <c r="E248" s="17" t="n"/>
      <c r="F248" s="17" t="n"/>
      <c r="G248" s="17" t="n"/>
      <c r="H248" s="19" t="n"/>
      <c r="I248" s="19" t="n"/>
      <c r="J248" s="20" t="n"/>
      <c r="K248" s="20" t="n"/>
      <c r="L248" s="17" t="n"/>
      <c r="M248" s="17" t="n"/>
    </row>
    <row r="249">
      <c r="A249" s="12" t="n"/>
      <c r="B249" s="13" t="n"/>
      <c r="C249" s="12" t="n"/>
      <c r="D249" s="14" t="n"/>
      <c r="E249" s="12" t="n"/>
      <c r="F249" s="12" t="n"/>
      <c r="G249" s="12" t="n"/>
      <c r="H249" s="14" t="n"/>
      <c r="I249" s="14" t="n"/>
      <c r="J249" s="15" t="n"/>
      <c r="K249" s="15" t="n"/>
      <c r="L249" s="12" t="n"/>
      <c r="M249" s="12" t="n"/>
    </row>
    <row r="250">
      <c r="A250" s="17" t="n"/>
      <c r="B250" s="18" t="n"/>
      <c r="C250" s="17" t="n"/>
      <c r="D250" s="19" t="n"/>
      <c r="E250" s="17" t="n"/>
      <c r="F250" s="17" t="n"/>
      <c r="G250" s="17" t="n"/>
      <c r="H250" s="19" t="n"/>
      <c r="I250" s="19" t="n"/>
      <c r="J250" s="20" t="n"/>
      <c r="K250" s="20" t="n"/>
      <c r="L250" s="17" t="n"/>
      <c r="M250" s="17" t="n"/>
    </row>
    <row r="251">
      <c r="A251" s="12" t="n"/>
      <c r="B251" s="13" t="n"/>
      <c r="C251" s="12" t="n"/>
      <c r="D251" s="14" t="n"/>
      <c r="E251" s="12" t="n"/>
      <c r="F251" s="12" t="n"/>
      <c r="G251" s="12" t="n"/>
      <c r="H251" s="14" t="n"/>
      <c r="I251" s="14" t="n"/>
      <c r="J251" s="15" t="n"/>
      <c r="K251" s="15" t="n"/>
      <c r="L251" s="12" t="n"/>
      <c r="M251" s="12" t="n"/>
    </row>
    <row r="252">
      <c r="A252" s="17" t="n"/>
      <c r="B252" s="18" t="n"/>
      <c r="C252" s="17" t="n"/>
      <c r="D252" s="19" t="n"/>
      <c r="E252" s="17" t="n"/>
      <c r="F252" s="17" t="n"/>
      <c r="G252" s="17" t="n"/>
      <c r="H252" s="19" t="n"/>
      <c r="I252" s="19" t="n"/>
      <c r="J252" s="20" t="n"/>
      <c r="K252" s="20" t="n"/>
      <c r="L252" s="17" t="n"/>
      <c r="M252" s="17" t="n"/>
    </row>
    <row r="253">
      <c r="A253" s="12" t="n"/>
      <c r="B253" s="13" t="n"/>
      <c r="C253" s="12" t="n"/>
      <c r="D253" s="14" t="n"/>
      <c r="E253" s="12" t="n"/>
      <c r="F253" s="12" t="n"/>
      <c r="G253" s="12" t="n"/>
      <c r="H253" s="14" t="n"/>
      <c r="I253" s="14" t="n"/>
      <c r="J253" s="15" t="n"/>
      <c r="K253" s="15" t="n"/>
      <c r="L253" s="12" t="n"/>
      <c r="M253" s="12" t="n"/>
    </row>
    <row r="254">
      <c r="A254" s="17" t="n"/>
      <c r="B254" s="18" t="n"/>
      <c r="C254" s="17" t="n"/>
      <c r="D254" s="19" t="n"/>
      <c r="E254" s="17" t="n"/>
      <c r="F254" s="17" t="n"/>
      <c r="G254" s="17" t="n"/>
      <c r="H254" s="19" t="n"/>
      <c r="I254" s="19" t="n"/>
      <c r="J254" s="20" t="n"/>
      <c r="K254" s="20" t="n"/>
      <c r="L254" s="17" t="n"/>
      <c r="M254" s="17" t="n"/>
    </row>
    <row r="255">
      <c r="A255" s="12" t="n"/>
      <c r="B255" s="13" t="n"/>
      <c r="C255" s="12" t="n"/>
      <c r="D255" s="14" t="n"/>
      <c r="E255" s="12" t="n"/>
      <c r="F255" s="12" t="n"/>
      <c r="G255" s="12" t="n"/>
      <c r="H255" s="14" t="n"/>
      <c r="I255" s="14" t="n"/>
      <c r="J255" s="15" t="n"/>
      <c r="K255" s="15" t="n"/>
      <c r="L255" s="12" t="n"/>
      <c r="M255" s="12" t="n"/>
    </row>
    <row r="256">
      <c r="A256" s="17" t="n"/>
      <c r="B256" s="18" t="n"/>
      <c r="C256" s="17" t="n"/>
      <c r="D256" s="19" t="n"/>
      <c r="E256" s="17" t="n"/>
      <c r="F256" s="17" t="n"/>
      <c r="G256" s="17" t="n"/>
      <c r="H256" s="19" t="n"/>
      <c r="I256" s="19" t="n"/>
      <c r="J256" s="20" t="n"/>
      <c r="K256" s="20" t="n"/>
      <c r="L256" s="17" t="n"/>
      <c r="M256" s="17" t="n"/>
    </row>
    <row r="257">
      <c r="A257" s="12" t="n"/>
      <c r="B257" s="13" t="n"/>
      <c r="C257" s="12" t="n"/>
      <c r="D257" s="14" t="n"/>
      <c r="E257" s="12" t="n"/>
      <c r="F257" s="12" t="n"/>
      <c r="G257" s="12" t="n"/>
      <c r="H257" s="14" t="n"/>
      <c r="I257" s="14" t="n"/>
      <c r="J257" s="15" t="n"/>
      <c r="K257" s="15" t="n"/>
      <c r="L257" s="12" t="n"/>
      <c r="M257" s="12" t="n"/>
    </row>
    <row r="258">
      <c r="A258" s="17" t="n"/>
      <c r="B258" s="18" t="n"/>
      <c r="C258" s="17" t="n"/>
      <c r="D258" s="19" t="n"/>
      <c r="E258" s="17" t="n"/>
      <c r="F258" s="17" t="n"/>
      <c r="G258" s="17" t="n"/>
      <c r="H258" s="19" t="n"/>
      <c r="I258" s="19" t="n"/>
      <c r="J258" s="20" t="n"/>
      <c r="K258" s="20" t="n"/>
      <c r="L258" s="17" t="n"/>
      <c r="M258" s="17" t="n"/>
    </row>
    <row r="259">
      <c r="A259" s="12" t="n"/>
      <c r="B259" s="13" t="n"/>
      <c r="C259" s="12" t="n"/>
      <c r="D259" s="14" t="n"/>
      <c r="E259" s="12" t="n"/>
      <c r="F259" s="12" t="n"/>
      <c r="G259" s="12" t="n"/>
      <c r="H259" s="14" t="n"/>
      <c r="I259" s="14" t="n"/>
      <c r="J259" s="15" t="n"/>
      <c r="K259" s="15" t="n"/>
      <c r="L259" s="12" t="n"/>
      <c r="M259" s="12" t="n"/>
    </row>
    <row r="260">
      <c r="A260" s="17" t="n"/>
      <c r="B260" s="18" t="n"/>
      <c r="C260" s="17" t="n"/>
      <c r="D260" s="19" t="n"/>
      <c r="E260" s="17" t="n"/>
      <c r="F260" s="17" t="n"/>
      <c r="G260" s="17" t="n"/>
      <c r="H260" s="19" t="n"/>
      <c r="I260" s="19" t="n"/>
      <c r="J260" s="20" t="n"/>
      <c r="K260" s="20" t="n"/>
      <c r="L260" s="17" t="n"/>
      <c r="M260" s="17" t="n"/>
    </row>
    <row r="261">
      <c r="A261" s="12" t="n"/>
      <c r="B261" s="13" t="n"/>
      <c r="C261" s="12" t="n"/>
      <c r="D261" s="14" t="n"/>
      <c r="E261" s="12" t="n"/>
      <c r="F261" s="12" t="n"/>
      <c r="G261" s="12" t="n"/>
      <c r="H261" s="14" t="n"/>
      <c r="I261" s="14" t="n"/>
      <c r="J261" s="15" t="n"/>
      <c r="K261" s="15" t="n"/>
      <c r="L261" s="12" t="n"/>
      <c r="M261" s="12" t="n"/>
    </row>
    <row r="262">
      <c r="A262" s="17" t="n"/>
      <c r="B262" s="18" t="n"/>
      <c r="C262" s="17" t="n"/>
      <c r="D262" s="19" t="n"/>
      <c r="E262" s="17" t="n"/>
      <c r="F262" s="17" t="n"/>
      <c r="G262" s="17" t="n"/>
      <c r="H262" s="19" t="n"/>
      <c r="I262" s="19" t="n"/>
      <c r="J262" s="20" t="n"/>
      <c r="K262" s="20" t="n"/>
      <c r="L262" s="17" t="n"/>
      <c r="M262" s="17" t="n"/>
    </row>
    <row r="263">
      <c r="A263" s="12" t="n"/>
      <c r="B263" s="13" t="n"/>
      <c r="C263" s="12" t="n"/>
      <c r="D263" s="14" t="n"/>
      <c r="E263" s="12" t="n"/>
      <c r="F263" s="12" t="n"/>
      <c r="G263" s="12" t="n"/>
      <c r="H263" s="14" t="n"/>
      <c r="I263" s="14" t="n"/>
      <c r="J263" s="15" t="n"/>
      <c r="K263" s="15" t="n"/>
      <c r="L263" s="12" t="n"/>
      <c r="M263" s="12" t="n"/>
    </row>
    <row r="264">
      <c r="A264" s="17" t="n"/>
      <c r="B264" s="18" t="n"/>
      <c r="C264" s="17" t="n"/>
      <c r="D264" s="19" t="n"/>
      <c r="E264" s="17" t="n"/>
      <c r="F264" s="17" t="n"/>
      <c r="G264" s="17" t="n"/>
      <c r="H264" s="19" t="n"/>
      <c r="I264" s="19" t="n"/>
      <c r="J264" s="20" t="n"/>
      <c r="K264" s="20" t="n"/>
      <c r="L264" s="17" t="n"/>
      <c r="M264" s="17" t="n"/>
    </row>
    <row r="265">
      <c r="A265" s="12" t="n"/>
      <c r="B265" s="13" t="n"/>
      <c r="C265" s="12" t="n"/>
      <c r="D265" s="14" t="n"/>
      <c r="E265" s="12" t="n"/>
      <c r="F265" s="12" t="n"/>
      <c r="G265" s="12" t="n"/>
      <c r="H265" s="14" t="n"/>
      <c r="I265" s="14" t="n"/>
      <c r="J265" s="15" t="n"/>
      <c r="K265" s="15" t="n"/>
      <c r="L265" s="12" t="n"/>
      <c r="M265" s="12" t="n"/>
    </row>
    <row r="266">
      <c r="A266" s="17" t="n"/>
      <c r="B266" s="18" t="n"/>
      <c r="C266" s="17" t="n"/>
      <c r="D266" s="19" t="n"/>
      <c r="E266" s="17" t="n"/>
      <c r="F266" s="17" t="n"/>
      <c r="G266" s="17" t="n"/>
      <c r="H266" s="19" t="n"/>
      <c r="I266" s="19" t="n"/>
      <c r="J266" s="20" t="n"/>
      <c r="K266" s="20" t="n"/>
      <c r="L266" s="17" t="n"/>
      <c r="M266" s="17" t="n"/>
    </row>
    <row r="267">
      <c r="A267" s="12" t="n"/>
      <c r="B267" s="13" t="n"/>
      <c r="C267" s="12" t="n"/>
      <c r="D267" s="14" t="n"/>
      <c r="E267" s="12" t="n"/>
      <c r="F267" s="12" t="n"/>
      <c r="G267" s="12" t="n"/>
      <c r="H267" s="14" t="n"/>
      <c r="I267" s="14" t="n"/>
      <c r="J267" s="15" t="n"/>
      <c r="K267" s="15" t="n"/>
      <c r="L267" s="12" t="n"/>
      <c r="M267" s="12" t="n"/>
    </row>
    <row r="268">
      <c r="A268" s="17" t="n"/>
      <c r="B268" s="18" t="n"/>
      <c r="C268" s="17" t="n"/>
      <c r="D268" s="19" t="n"/>
      <c r="E268" s="17" t="n"/>
      <c r="F268" s="17" t="n"/>
      <c r="G268" s="17" t="n"/>
      <c r="H268" s="19" t="n"/>
      <c r="I268" s="19" t="n"/>
      <c r="J268" s="20" t="n"/>
      <c r="K268" s="20" t="n"/>
      <c r="L268" s="17" t="n"/>
      <c r="M268" s="17" t="n"/>
    </row>
    <row r="269">
      <c r="A269" s="12" t="n"/>
      <c r="B269" s="13" t="n"/>
      <c r="C269" s="12" t="n"/>
      <c r="D269" s="14" t="n"/>
      <c r="E269" s="12" t="n"/>
      <c r="F269" s="12" t="n"/>
      <c r="G269" s="12" t="n"/>
      <c r="H269" s="14" t="n"/>
      <c r="I269" s="14" t="n"/>
      <c r="J269" s="15" t="n"/>
      <c r="K269" s="15" t="n"/>
      <c r="L269" s="12" t="n"/>
      <c r="M269" s="12" t="n"/>
    </row>
    <row r="270">
      <c r="A270" s="17" t="n"/>
      <c r="B270" s="18" t="n"/>
      <c r="C270" s="17" t="n"/>
      <c r="D270" s="19" t="n"/>
      <c r="E270" s="17" t="n"/>
      <c r="F270" s="17" t="n"/>
      <c r="G270" s="17" t="n"/>
      <c r="H270" s="19" t="n"/>
      <c r="I270" s="19" t="n"/>
      <c r="J270" s="20" t="n"/>
      <c r="K270" s="20" t="n"/>
      <c r="L270" s="17" t="n"/>
      <c r="M270" s="17" t="n"/>
    </row>
    <row r="271">
      <c r="A271" s="12" t="n"/>
      <c r="B271" s="13" t="n"/>
      <c r="C271" s="12" t="n"/>
      <c r="D271" s="14" t="n"/>
      <c r="E271" s="12" t="n"/>
      <c r="F271" s="12" t="n"/>
      <c r="G271" s="12" t="n"/>
      <c r="H271" s="14" t="n"/>
      <c r="I271" s="14" t="n"/>
      <c r="J271" s="15" t="n"/>
      <c r="K271" s="15" t="n"/>
      <c r="L271" s="12" t="n"/>
      <c r="M271" s="12" t="n"/>
    </row>
    <row r="272">
      <c r="A272" s="17" t="n"/>
      <c r="B272" s="18" t="n"/>
      <c r="C272" s="17" t="n"/>
      <c r="D272" s="19" t="n"/>
      <c r="E272" s="17" t="n"/>
      <c r="F272" s="17" t="n"/>
      <c r="G272" s="17" t="n"/>
      <c r="H272" s="19" t="n"/>
      <c r="I272" s="19" t="n"/>
      <c r="J272" s="20" t="n"/>
      <c r="K272" s="20" t="n"/>
      <c r="L272" s="17" t="n"/>
      <c r="M272" s="17" t="n"/>
    </row>
    <row r="273">
      <c r="A273" s="12" t="n"/>
      <c r="B273" s="13" t="n"/>
      <c r="C273" s="12" t="n"/>
      <c r="D273" s="14" t="n"/>
      <c r="E273" s="12" t="n"/>
      <c r="F273" s="12" t="n"/>
      <c r="G273" s="12" t="n"/>
      <c r="H273" s="14" t="n"/>
      <c r="I273" s="14" t="n"/>
      <c r="J273" s="15" t="n"/>
      <c r="K273" s="15" t="n"/>
      <c r="L273" s="12" t="n"/>
      <c r="M273" s="12" t="n"/>
    </row>
    <row r="274">
      <c r="A274" s="17" t="n"/>
      <c r="B274" s="18" t="n"/>
      <c r="C274" s="17" t="n"/>
      <c r="D274" s="19" t="n"/>
      <c r="E274" s="17" t="n"/>
      <c r="F274" s="17" t="n"/>
      <c r="G274" s="17" t="n"/>
      <c r="H274" s="19" t="n"/>
      <c r="I274" s="19" t="n"/>
      <c r="J274" s="20" t="n"/>
      <c r="K274" s="20" t="n"/>
      <c r="L274" s="17" t="n"/>
      <c r="M274" s="17" t="n"/>
    </row>
    <row r="275">
      <c r="A275" s="12" t="n"/>
      <c r="B275" s="13" t="n"/>
      <c r="C275" s="12" t="n"/>
      <c r="D275" s="14" t="n"/>
      <c r="E275" s="12" t="n"/>
      <c r="F275" s="12" t="n"/>
      <c r="G275" s="12" t="n"/>
      <c r="H275" s="14" t="n"/>
      <c r="I275" s="14" t="n"/>
      <c r="J275" s="15" t="n"/>
      <c r="K275" s="15" t="n"/>
      <c r="L275" s="12" t="n"/>
      <c r="M275" s="12" t="n"/>
    </row>
    <row r="276">
      <c r="A276" s="17" t="n"/>
      <c r="B276" s="18" t="n"/>
      <c r="C276" s="17" t="n"/>
      <c r="D276" s="19" t="n"/>
      <c r="E276" s="17" t="n"/>
      <c r="F276" s="17" t="n"/>
      <c r="G276" s="17" t="n"/>
      <c r="H276" s="19" t="n"/>
      <c r="I276" s="19" t="n"/>
      <c r="J276" s="20" t="n"/>
      <c r="K276" s="20" t="n"/>
      <c r="L276" s="17" t="n"/>
      <c r="M276" s="17" t="n"/>
    </row>
    <row r="277">
      <c r="A277" s="12" t="n"/>
      <c r="B277" s="13" t="n"/>
      <c r="C277" s="12" t="n"/>
      <c r="D277" s="14" t="n"/>
      <c r="E277" s="12" t="n"/>
      <c r="F277" s="12" t="n"/>
      <c r="G277" s="12" t="n"/>
      <c r="H277" s="14" t="n"/>
      <c r="I277" s="14" t="n"/>
      <c r="J277" s="15" t="n"/>
      <c r="K277" s="15" t="n"/>
      <c r="L277" s="12" t="n"/>
      <c r="M277" s="12" t="n"/>
    </row>
    <row r="278">
      <c r="A278" s="17" t="n"/>
      <c r="B278" s="18" t="n"/>
      <c r="C278" s="17" t="n"/>
      <c r="D278" s="19" t="n"/>
      <c r="E278" s="17" t="n"/>
      <c r="F278" s="17" t="n"/>
      <c r="G278" s="17" t="n"/>
      <c r="H278" s="19" t="n"/>
      <c r="I278" s="19" t="n"/>
      <c r="J278" s="20" t="n"/>
      <c r="K278" s="20" t="n"/>
      <c r="L278" s="17" t="n"/>
      <c r="M278" s="17" t="n"/>
    </row>
    <row r="279">
      <c r="A279" s="12" t="n"/>
      <c r="B279" s="13" t="n"/>
      <c r="C279" s="12" t="n"/>
      <c r="D279" s="14" t="n"/>
      <c r="E279" s="12" t="n"/>
      <c r="F279" s="12" t="n"/>
      <c r="G279" s="12" t="n"/>
      <c r="H279" s="14" t="n"/>
      <c r="I279" s="14" t="n"/>
      <c r="J279" s="15" t="n"/>
      <c r="K279" s="15" t="n"/>
      <c r="L279" s="12" t="n"/>
      <c r="M279" s="12" t="n"/>
    </row>
    <row r="280">
      <c r="A280" s="17" t="n"/>
      <c r="B280" s="18" t="n"/>
      <c r="C280" s="17" t="n"/>
      <c r="D280" s="19" t="n"/>
      <c r="E280" s="17" t="n"/>
      <c r="F280" s="17" t="n"/>
      <c r="G280" s="17" t="n"/>
      <c r="H280" s="19" t="n"/>
      <c r="I280" s="19" t="n"/>
      <c r="J280" s="20" t="n"/>
      <c r="K280" s="20" t="n"/>
      <c r="L280" s="17" t="n"/>
      <c r="M280" s="17" t="n"/>
    </row>
    <row r="281">
      <c r="A281" s="12" t="n"/>
      <c r="B281" s="13" t="n"/>
      <c r="C281" s="12" t="n"/>
      <c r="D281" s="14" t="n"/>
      <c r="E281" s="12" t="n"/>
      <c r="F281" s="12" t="n"/>
      <c r="G281" s="12" t="n"/>
      <c r="H281" s="14" t="n"/>
      <c r="I281" s="14" t="n"/>
      <c r="J281" s="15" t="n"/>
      <c r="K281" s="15" t="n"/>
      <c r="L281" s="12" t="n"/>
      <c r="M281" s="12" t="n"/>
    </row>
    <row r="282">
      <c r="A282" s="17" t="n"/>
      <c r="B282" s="18" t="n"/>
      <c r="C282" s="17" t="n"/>
      <c r="D282" s="19" t="n"/>
      <c r="E282" s="17" t="n"/>
      <c r="F282" s="17" t="n"/>
      <c r="G282" s="17" t="n"/>
      <c r="H282" s="19" t="n"/>
      <c r="I282" s="19" t="n"/>
      <c r="J282" s="20" t="n"/>
      <c r="K282" s="20" t="n"/>
      <c r="L282" s="17" t="n"/>
      <c r="M282" s="17" t="n"/>
    </row>
    <row r="283">
      <c r="A283" s="12" t="n"/>
      <c r="B283" s="13" t="n"/>
      <c r="C283" s="12" t="n"/>
      <c r="D283" s="14" t="n"/>
      <c r="E283" s="12" t="n"/>
      <c r="F283" s="12" t="n"/>
      <c r="G283" s="12" t="n"/>
      <c r="H283" s="14" t="n"/>
      <c r="I283" s="14" t="n"/>
      <c r="J283" s="15" t="n"/>
      <c r="K283" s="15" t="n"/>
      <c r="L283" s="12" t="n"/>
      <c r="M283" s="12" t="n"/>
    </row>
    <row r="284">
      <c r="A284" s="17" t="n"/>
      <c r="B284" s="18" t="n"/>
      <c r="C284" s="17" t="n"/>
      <c r="D284" s="19" t="n"/>
      <c r="E284" s="17" t="n"/>
      <c r="F284" s="17" t="n"/>
      <c r="G284" s="17" t="n"/>
      <c r="H284" s="19" t="n"/>
      <c r="I284" s="19" t="n"/>
      <c r="J284" s="20" t="n"/>
      <c r="K284" s="20" t="n"/>
      <c r="L284" s="17" t="n"/>
      <c r="M284" s="17" t="n"/>
    </row>
    <row r="285">
      <c r="A285" s="12" t="n"/>
      <c r="B285" s="13" t="n"/>
      <c r="C285" s="12" t="n"/>
      <c r="D285" s="14" t="n"/>
      <c r="E285" s="12" t="n"/>
      <c r="F285" s="12" t="n"/>
      <c r="G285" s="12" t="n"/>
      <c r="H285" s="14" t="n"/>
      <c r="I285" s="14" t="n"/>
      <c r="J285" s="15" t="n"/>
      <c r="K285" s="15" t="n"/>
      <c r="L285" s="12" t="n"/>
      <c r="M285" s="12" t="n"/>
    </row>
    <row r="286">
      <c r="A286" s="17" t="n"/>
      <c r="B286" s="18" t="n"/>
      <c r="C286" s="17" t="n"/>
      <c r="D286" s="19" t="n"/>
      <c r="E286" s="17" t="n"/>
      <c r="F286" s="17" t="n"/>
      <c r="G286" s="17" t="n"/>
      <c r="H286" s="19" t="n"/>
      <c r="I286" s="19" t="n"/>
      <c r="J286" s="20" t="n"/>
      <c r="K286" s="20" t="n"/>
      <c r="L286" s="17" t="n"/>
      <c r="M286" s="17" t="n"/>
    </row>
    <row r="287">
      <c r="A287" s="12" t="n"/>
      <c r="B287" s="13" t="n"/>
      <c r="C287" s="12" t="n"/>
      <c r="D287" s="14" t="n"/>
      <c r="E287" s="12" t="n"/>
      <c r="F287" s="12" t="n"/>
      <c r="G287" s="12" t="n"/>
      <c r="H287" s="14" t="n"/>
      <c r="I287" s="14" t="n"/>
      <c r="J287" s="15" t="n"/>
      <c r="K287" s="15" t="n"/>
      <c r="L287" s="12" t="n"/>
      <c r="M287" s="12" t="n"/>
    </row>
    <row r="288">
      <c r="A288" s="17" t="n"/>
      <c r="B288" s="18" t="n"/>
      <c r="C288" s="17" t="n"/>
      <c r="D288" s="19" t="n"/>
      <c r="E288" s="17" t="n"/>
      <c r="F288" s="17" t="n"/>
      <c r="G288" s="17" t="n"/>
      <c r="H288" s="19" t="n"/>
      <c r="I288" s="19" t="n"/>
      <c r="J288" s="20" t="n"/>
      <c r="K288" s="20" t="n"/>
      <c r="L288" s="17" t="n"/>
      <c r="M288" s="17" t="n"/>
    </row>
    <row r="289">
      <c r="A289" s="12" t="n"/>
      <c r="B289" s="13" t="n"/>
      <c r="C289" s="12" t="n"/>
      <c r="D289" s="14" t="n"/>
      <c r="E289" s="12" t="n"/>
      <c r="F289" s="12" t="n"/>
      <c r="G289" s="12" t="n"/>
      <c r="H289" s="14" t="n"/>
      <c r="I289" s="14" t="n"/>
      <c r="J289" s="15" t="n"/>
      <c r="K289" s="15" t="n"/>
      <c r="L289" s="12" t="n"/>
      <c r="M289" s="12" t="n"/>
    </row>
    <row r="290">
      <c r="A290" s="17" t="n"/>
      <c r="B290" s="18" t="n"/>
      <c r="C290" s="17" t="n"/>
      <c r="D290" s="19" t="n"/>
      <c r="E290" s="17" t="n"/>
      <c r="F290" s="17" t="n"/>
      <c r="G290" s="17" t="n"/>
      <c r="H290" s="19" t="n"/>
      <c r="I290" s="19" t="n"/>
      <c r="J290" s="20" t="n"/>
      <c r="K290" s="20" t="n"/>
      <c r="L290" s="17" t="n"/>
      <c r="M290" s="17" t="n"/>
    </row>
    <row r="291">
      <c r="A291" s="12" t="n"/>
      <c r="B291" s="13" t="n"/>
      <c r="C291" s="12" t="n"/>
      <c r="D291" s="14" t="n"/>
      <c r="E291" s="12" t="n"/>
      <c r="F291" s="12" t="n"/>
      <c r="G291" s="12" t="n"/>
      <c r="H291" s="14" t="n"/>
      <c r="I291" s="14" t="n"/>
      <c r="J291" s="15" t="n"/>
      <c r="K291" s="15" t="n"/>
      <c r="L291" s="12" t="n"/>
      <c r="M291" s="12" t="n"/>
    </row>
    <row r="292">
      <c r="A292" s="17" t="n"/>
      <c r="B292" s="18" t="n"/>
      <c r="C292" s="17" t="n"/>
      <c r="D292" s="19" t="n"/>
      <c r="E292" s="17" t="n"/>
      <c r="F292" s="17" t="n"/>
      <c r="G292" s="17" t="n"/>
      <c r="H292" s="19" t="n"/>
      <c r="I292" s="19" t="n"/>
      <c r="J292" s="20" t="n"/>
      <c r="K292" s="20" t="n"/>
      <c r="L292" s="17" t="n"/>
      <c r="M292" s="17" t="n"/>
    </row>
    <row r="293">
      <c r="A293" s="12" t="n"/>
      <c r="B293" s="13" t="n"/>
      <c r="C293" s="12" t="n"/>
      <c r="D293" s="14" t="n"/>
      <c r="E293" s="12" t="n"/>
      <c r="F293" s="12" t="n"/>
      <c r="G293" s="12" t="n"/>
      <c r="H293" s="14" t="n"/>
      <c r="I293" s="14" t="n"/>
      <c r="J293" s="15" t="n"/>
      <c r="K293" s="15" t="n"/>
      <c r="L293" s="12" t="n"/>
      <c r="M293" s="12" t="n"/>
    </row>
    <row r="294">
      <c r="A294" s="17" t="n"/>
      <c r="B294" s="18" t="n"/>
      <c r="C294" s="17" t="n"/>
      <c r="D294" s="19" t="n"/>
      <c r="E294" s="17" t="n"/>
      <c r="F294" s="17" t="n"/>
      <c r="G294" s="17" t="n"/>
      <c r="H294" s="19" t="n"/>
      <c r="I294" s="19" t="n"/>
      <c r="J294" s="20" t="n"/>
      <c r="K294" s="20" t="n"/>
      <c r="L294" s="17" t="n"/>
      <c r="M294" s="17" t="n"/>
    </row>
    <row r="295">
      <c r="A295" s="12" t="n"/>
      <c r="B295" s="13" t="n"/>
      <c r="C295" s="12" t="n"/>
      <c r="D295" s="14" t="n"/>
      <c r="E295" s="12" t="n"/>
      <c r="F295" s="12" t="n"/>
      <c r="G295" s="12" t="n"/>
      <c r="H295" s="14" t="n"/>
      <c r="I295" s="14" t="n"/>
      <c r="J295" s="15" t="n"/>
      <c r="K295" s="15" t="n"/>
      <c r="L295" s="12" t="n"/>
      <c r="M295" s="12" t="n"/>
    </row>
    <row r="296">
      <c r="A296" s="17" t="n"/>
      <c r="B296" s="18" t="n"/>
      <c r="C296" s="17" t="n"/>
      <c r="D296" s="19" t="n"/>
      <c r="E296" s="17" t="n"/>
      <c r="F296" s="17" t="n"/>
      <c r="G296" s="17" t="n"/>
      <c r="H296" s="19" t="n"/>
      <c r="I296" s="19" t="n"/>
      <c r="J296" s="20" t="n"/>
      <c r="K296" s="20" t="n"/>
      <c r="L296" s="17" t="n"/>
      <c r="M296" s="17" t="n"/>
    </row>
    <row r="297">
      <c r="A297" s="12" t="n"/>
      <c r="B297" s="13" t="n"/>
      <c r="C297" s="12" t="n"/>
      <c r="D297" s="14" t="n"/>
      <c r="E297" s="12" t="n"/>
      <c r="F297" s="12" t="n"/>
      <c r="G297" s="12" t="n"/>
      <c r="H297" s="14" t="n"/>
      <c r="I297" s="14" t="n"/>
      <c r="J297" s="15" t="n"/>
      <c r="K297" s="15" t="n"/>
      <c r="L297" s="12" t="n"/>
      <c r="M297" s="12" t="n"/>
    </row>
    <row r="298">
      <c r="A298" s="17" t="n"/>
      <c r="B298" s="18" t="n"/>
      <c r="C298" s="17" t="n"/>
      <c r="D298" s="19" t="n"/>
      <c r="E298" s="17" t="n"/>
      <c r="F298" s="17" t="n"/>
      <c r="G298" s="17" t="n"/>
      <c r="H298" s="19" t="n"/>
      <c r="I298" s="19" t="n"/>
      <c r="J298" s="20" t="n"/>
      <c r="K298" s="20" t="n"/>
      <c r="L298" s="17" t="n"/>
      <c r="M298" s="17" t="n"/>
    </row>
    <row r="299">
      <c r="A299" s="12" t="n"/>
      <c r="B299" s="13" t="n"/>
      <c r="C299" s="12" t="n"/>
      <c r="D299" s="14" t="n"/>
      <c r="E299" s="12" t="n"/>
      <c r="F299" s="12" t="n"/>
      <c r="G299" s="12" t="n"/>
      <c r="H299" s="14" t="n"/>
      <c r="I299" s="14" t="n"/>
      <c r="J299" s="15" t="n"/>
      <c r="K299" s="15" t="n"/>
      <c r="L299" s="12" t="n"/>
      <c r="M299" s="12" t="n"/>
    </row>
    <row r="300">
      <c r="A300" s="17" t="n"/>
      <c r="B300" s="18" t="n"/>
      <c r="C300" s="17" t="n"/>
      <c r="D300" s="19" t="n"/>
      <c r="E300" s="17" t="n"/>
      <c r="F300" s="17" t="n"/>
      <c r="G300" s="17" t="n"/>
      <c r="H300" s="19" t="n"/>
      <c r="I300" s="19" t="n"/>
      <c r="J300" s="20" t="n"/>
      <c r="K300" s="20" t="n"/>
      <c r="L300" s="17" t="n"/>
      <c r="M300" s="17" t="n"/>
    </row>
    <row r="301">
      <c r="A301" s="12" t="n"/>
      <c r="B301" s="13" t="n"/>
      <c r="C301" s="12" t="n"/>
      <c r="D301" s="14" t="n"/>
      <c r="E301" s="12" t="n"/>
      <c r="F301" s="12" t="n"/>
      <c r="G301" s="12" t="n"/>
      <c r="H301" s="14" t="n"/>
      <c r="I301" s="14" t="n"/>
      <c r="J301" s="15" t="n"/>
      <c r="K301" s="15" t="n"/>
      <c r="L301" s="12" t="n"/>
      <c r="M301" s="12" t="n"/>
    </row>
    <row r="302">
      <c r="A302" s="17" t="n"/>
      <c r="B302" s="18" t="n"/>
      <c r="C302" s="17" t="n"/>
      <c r="D302" s="19" t="n"/>
      <c r="E302" s="17" t="n"/>
      <c r="F302" s="17" t="n"/>
      <c r="G302" s="17" t="n"/>
      <c r="H302" s="19" t="n"/>
      <c r="I302" s="19" t="n"/>
      <c r="J302" s="20" t="n"/>
      <c r="K302" s="20" t="n"/>
      <c r="L302" s="17" t="n"/>
      <c r="M302" s="17" t="n"/>
    </row>
    <row r="303">
      <c r="A303" s="12" t="n"/>
      <c r="B303" s="13" t="n"/>
      <c r="C303" s="12" t="n"/>
      <c r="D303" s="14" t="n"/>
      <c r="E303" s="12" t="n"/>
      <c r="F303" s="12" t="n"/>
      <c r="G303" s="12" t="n"/>
      <c r="H303" s="14" t="n"/>
      <c r="I303" s="14" t="n"/>
      <c r="J303" s="15" t="n"/>
      <c r="K303" s="15" t="n"/>
      <c r="L303" s="12" t="n"/>
      <c r="M303" s="12" t="n"/>
    </row>
    <row r="304">
      <c r="A304" s="17" t="n"/>
      <c r="B304" s="18" t="n"/>
      <c r="C304" s="17" t="n"/>
      <c r="D304" s="19" t="n"/>
      <c r="E304" s="17" t="n"/>
      <c r="F304" s="17" t="n"/>
      <c r="G304" s="17" t="n"/>
      <c r="H304" s="19" t="n"/>
      <c r="I304" s="19" t="n"/>
      <c r="J304" s="20" t="n"/>
      <c r="K304" s="20" t="n"/>
      <c r="L304" s="17" t="n"/>
      <c r="M304" s="17" t="n"/>
    </row>
    <row r="305">
      <c r="A305" s="12" t="n"/>
      <c r="B305" s="13" t="n"/>
      <c r="C305" s="12" t="n"/>
      <c r="D305" s="14" t="n"/>
      <c r="E305" s="12" t="n"/>
      <c r="F305" s="12" t="n"/>
      <c r="G305" s="12" t="n"/>
      <c r="H305" s="14" t="n"/>
      <c r="I305" s="14" t="n"/>
      <c r="J305" s="15" t="n"/>
      <c r="K305" s="15" t="n"/>
      <c r="L305" s="12" t="n"/>
      <c r="M305" s="12" t="n"/>
    </row>
    <row r="306">
      <c r="A306" s="17" t="n"/>
      <c r="B306" s="18" t="n"/>
      <c r="C306" s="17" t="n"/>
      <c r="D306" s="19" t="n"/>
      <c r="E306" s="17" t="n"/>
      <c r="F306" s="17" t="n"/>
      <c r="G306" s="17" t="n"/>
      <c r="H306" s="19" t="n"/>
      <c r="I306" s="19" t="n"/>
      <c r="J306" s="20" t="n"/>
      <c r="K306" s="20" t="n"/>
      <c r="L306" s="17" t="n"/>
      <c r="M306" s="17" t="n"/>
    </row>
    <row r="307">
      <c r="A307" s="12" t="n"/>
      <c r="B307" s="13" t="n"/>
      <c r="C307" s="12" t="n"/>
      <c r="D307" s="14" t="n"/>
      <c r="E307" s="12" t="n"/>
      <c r="F307" s="12" t="n"/>
      <c r="G307" s="12" t="n"/>
      <c r="H307" s="14" t="n"/>
      <c r="I307" s="14" t="n"/>
      <c r="J307" s="15" t="n"/>
      <c r="K307" s="15" t="n"/>
      <c r="L307" s="12" t="n"/>
      <c r="M307" s="12" t="n"/>
    </row>
    <row r="308">
      <c r="A308" s="17" t="n"/>
      <c r="B308" s="18" t="n"/>
      <c r="C308" s="17" t="n"/>
      <c r="D308" s="19" t="n"/>
      <c r="E308" s="17" t="n"/>
      <c r="F308" s="17" t="n"/>
      <c r="G308" s="17" t="n"/>
      <c r="H308" s="19" t="n"/>
      <c r="I308" s="19" t="n"/>
      <c r="J308" s="20" t="n"/>
      <c r="K308" s="20" t="n"/>
      <c r="L308" s="17" t="n"/>
      <c r="M308" s="17" t="n"/>
    </row>
    <row r="309">
      <c r="A309" s="12" t="n"/>
      <c r="B309" s="13" t="n"/>
      <c r="C309" s="12" t="n"/>
      <c r="D309" s="14" t="n"/>
      <c r="E309" s="12" t="n"/>
      <c r="F309" s="12" t="n"/>
      <c r="G309" s="12" t="n"/>
      <c r="H309" s="14" t="n"/>
      <c r="I309" s="14" t="n"/>
      <c r="J309" s="15" t="n"/>
      <c r="K309" s="15" t="n"/>
      <c r="L309" s="12" t="n"/>
      <c r="M309" s="12" t="n"/>
    </row>
    <row r="310">
      <c r="A310" s="17" t="n"/>
      <c r="B310" s="18" t="n"/>
      <c r="C310" s="17" t="n"/>
      <c r="D310" s="19" t="n"/>
      <c r="E310" s="17" t="n"/>
      <c r="F310" s="17" t="n"/>
      <c r="G310" s="17" t="n"/>
      <c r="H310" s="19" t="n"/>
      <c r="I310" s="19" t="n"/>
      <c r="J310" s="20" t="n"/>
      <c r="K310" s="20" t="n"/>
      <c r="L310" s="17" t="n"/>
      <c r="M310" s="17" t="n"/>
    </row>
    <row r="311">
      <c r="A311" s="12" t="n"/>
      <c r="B311" s="13" t="n"/>
      <c r="C311" s="12" t="n"/>
      <c r="D311" s="14" t="n"/>
      <c r="E311" s="12" t="n"/>
      <c r="F311" s="12" t="n"/>
      <c r="G311" s="12" t="n"/>
      <c r="H311" s="14" t="n"/>
      <c r="I311" s="14" t="n"/>
      <c r="J311" s="15" t="n"/>
      <c r="K311" s="15" t="n"/>
      <c r="L311" s="12" t="n"/>
      <c r="M311" s="12" t="n"/>
    </row>
    <row r="312">
      <c r="A312" s="17" t="n"/>
      <c r="B312" s="18" t="n"/>
      <c r="C312" s="17" t="n"/>
      <c r="D312" s="19" t="n"/>
      <c r="E312" s="17" t="n"/>
      <c r="F312" s="17" t="n"/>
      <c r="G312" s="17" t="n"/>
      <c r="H312" s="19" t="n"/>
      <c r="I312" s="19" t="n"/>
      <c r="J312" s="20" t="n"/>
      <c r="K312" s="20" t="n"/>
      <c r="L312" s="17" t="n"/>
      <c r="M312" s="17" t="n"/>
    </row>
    <row r="313">
      <c r="A313" s="12" t="n"/>
      <c r="B313" s="13" t="n"/>
      <c r="C313" s="12" t="n"/>
      <c r="D313" s="14" t="n"/>
      <c r="E313" s="12" t="n"/>
      <c r="F313" s="12" t="n"/>
      <c r="G313" s="12" t="n"/>
      <c r="H313" s="14" t="n"/>
      <c r="I313" s="14" t="n"/>
      <c r="J313" s="15" t="n"/>
      <c r="K313" s="15" t="n"/>
      <c r="L313" s="12" t="n"/>
      <c r="M313" s="12" t="n"/>
    </row>
    <row r="314">
      <c r="A314" s="17" t="n"/>
      <c r="B314" s="18" t="n"/>
      <c r="C314" s="17" t="n"/>
      <c r="D314" s="19" t="n"/>
      <c r="E314" s="17" t="n"/>
      <c r="F314" s="17" t="n"/>
      <c r="G314" s="17" t="n"/>
      <c r="H314" s="19" t="n"/>
      <c r="I314" s="19" t="n"/>
      <c r="J314" s="20" t="n"/>
      <c r="K314" s="20" t="n"/>
      <c r="L314" s="17" t="n"/>
      <c r="M314" s="17" t="n"/>
    </row>
    <row r="315">
      <c r="A315" s="12" t="n"/>
      <c r="B315" s="13" t="n"/>
      <c r="C315" s="12" t="n"/>
      <c r="D315" s="14" t="n"/>
      <c r="E315" s="12" t="n"/>
      <c r="F315" s="12" t="n"/>
      <c r="G315" s="12" t="n"/>
      <c r="H315" s="14" t="n"/>
      <c r="I315" s="14" t="n"/>
      <c r="J315" s="15" t="n"/>
      <c r="K315" s="15" t="n"/>
      <c r="L315" s="12" t="n"/>
      <c r="M315" s="12" t="n"/>
    </row>
    <row r="316">
      <c r="A316" s="17" t="n"/>
      <c r="B316" s="18" t="n"/>
      <c r="C316" s="17" t="n"/>
      <c r="D316" s="19" t="n"/>
      <c r="E316" s="17" t="n"/>
      <c r="F316" s="17" t="n"/>
      <c r="G316" s="17" t="n"/>
      <c r="H316" s="19" t="n"/>
      <c r="I316" s="19" t="n"/>
      <c r="J316" s="20" t="n"/>
      <c r="K316" s="20" t="n"/>
      <c r="L316" s="17" t="n"/>
      <c r="M316" s="17" t="n"/>
    </row>
    <row r="317">
      <c r="A317" s="12" t="n"/>
      <c r="B317" s="13" t="n"/>
      <c r="C317" s="12" t="n"/>
      <c r="D317" s="14" t="n"/>
      <c r="E317" s="12" t="n"/>
      <c r="F317" s="12" t="n"/>
      <c r="G317" s="12" t="n"/>
      <c r="H317" s="14" t="n"/>
      <c r="I317" s="14" t="n"/>
      <c r="J317" s="15" t="n"/>
      <c r="K317" s="15" t="n"/>
      <c r="L317" s="12" t="n"/>
      <c r="M317" s="12" t="n"/>
    </row>
    <row r="318">
      <c r="A318" s="17" t="n"/>
      <c r="B318" s="18" t="n"/>
      <c r="C318" s="17" t="n"/>
      <c r="D318" s="19" t="n"/>
      <c r="E318" s="17" t="n"/>
      <c r="F318" s="17" t="n"/>
      <c r="G318" s="17" t="n"/>
      <c r="H318" s="19" t="n"/>
      <c r="I318" s="19" t="n"/>
      <c r="J318" s="20" t="n"/>
      <c r="K318" s="20" t="n"/>
      <c r="L318" s="17" t="n"/>
      <c r="M318" s="17" t="n"/>
    </row>
    <row r="319">
      <c r="A319" s="12" t="n"/>
      <c r="B319" s="13" t="n"/>
      <c r="C319" s="12" t="n"/>
      <c r="D319" s="14" t="n"/>
      <c r="E319" s="12" t="n"/>
      <c r="F319" s="12" t="n"/>
      <c r="G319" s="12" t="n"/>
      <c r="H319" s="14" t="n"/>
      <c r="I319" s="14" t="n"/>
      <c r="J319" s="15" t="n"/>
      <c r="K319" s="15" t="n"/>
      <c r="L319" s="12" t="n"/>
      <c r="M319" s="12" t="n"/>
    </row>
    <row r="320">
      <c r="A320" s="17" t="n"/>
      <c r="B320" s="18" t="n"/>
      <c r="C320" s="17" t="n"/>
      <c r="D320" s="19" t="n"/>
      <c r="E320" s="17" t="n"/>
      <c r="F320" s="17" t="n"/>
      <c r="G320" s="17" t="n"/>
      <c r="H320" s="19" t="n"/>
      <c r="I320" s="19" t="n"/>
      <c r="J320" s="20" t="n"/>
      <c r="K320" s="20" t="n"/>
      <c r="L320" s="17" t="n"/>
      <c r="M320" s="17" t="n"/>
    </row>
    <row r="321">
      <c r="A321" s="12" t="n"/>
      <c r="B321" s="13" t="n"/>
      <c r="C321" s="12" t="n"/>
      <c r="D321" s="14" t="n"/>
      <c r="E321" s="12" t="n"/>
      <c r="F321" s="12" t="n"/>
      <c r="G321" s="12" t="n"/>
      <c r="H321" s="14" t="n"/>
      <c r="I321" s="14" t="n"/>
      <c r="J321" s="15" t="n"/>
      <c r="K321" s="15" t="n"/>
      <c r="L321" s="12" t="n"/>
      <c r="M321" s="12" t="n"/>
    </row>
    <row r="322">
      <c r="A322" s="17" t="n"/>
      <c r="B322" s="18" t="n"/>
      <c r="C322" s="17" t="n"/>
      <c r="D322" s="19" t="n"/>
      <c r="E322" s="17" t="n"/>
      <c r="F322" s="17" t="n"/>
      <c r="G322" s="17" t="n"/>
      <c r="H322" s="19" t="n"/>
      <c r="I322" s="19" t="n"/>
      <c r="J322" s="20" t="n"/>
      <c r="K322" s="20" t="n"/>
      <c r="L322" s="17" t="n"/>
      <c r="M322" s="17" t="n"/>
    </row>
    <row r="323">
      <c r="A323" s="12" t="n"/>
      <c r="B323" s="13" t="n"/>
      <c r="C323" s="12" t="n"/>
      <c r="D323" s="14" t="n"/>
      <c r="E323" s="12" t="n"/>
      <c r="F323" s="12" t="n"/>
      <c r="G323" s="12" t="n"/>
      <c r="H323" s="14" t="n"/>
      <c r="I323" s="14" t="n"/>
      <c r="J323" s="15" t="n"/>
      <c r="K323" s="15" t="n"/>
      <c r="L323" s="12" t="n"/>
      <c r="M323" s="12" t="n"/>
    </row>
    <row r="324">
      <c r="A324" s="17" t="n"/>
      <c r="B324" s="18" t="n"/>
      <c r="C324" s="17" t="n"/>
      <c r="D324" s="19" t="n"/>
      <c r="E324" s="17" t="n"/>
      <c r="F324" s="17" t="n"/>
      <c r="G324" s="17" t="n"/>
      <c r="H324" s="19" t="n"/>
      <c r="I324" s="19" t="n"/>
      <c r="J324" s="20" t="n"/>
      <c r="K324" s="20" t="n"/>
      <c r="L324" s="17" t="n"/>
      <c r="M324" s="17" t="n"/>
    </row>
    <row r="325">
      <c r="A325" s="12" t="n"/>
      <c r="B325" s="13" t="n"/>
      <c r="C325" s="12" t="n"/>
      <c r="D325" s="14" t="n"/>
      <c r="E325" s="12" t="n"/>
      <c r="F325" s="12" t="n"/>
      <c r="G325" s="12" t="n"/>
      <c r="H325" s="14" t="n"/>
      <c r="I325" s="14" t="n"/>
      <c r="J325" s="15" t="n"/>
      <c r="K325" s="15" t="n"/>
      <c r="L325" s="12" t="n"/>
      <c r="M325" s="12" t="n"/>
    </row>
    <row r="326">
      <c r="A326" s="17" t="n"/>
      <c r="B326" s="18" t="n"/>
      <c r="C326" s="17" t="n"/>
      <c r="D326" s="19" t="n"/>
      <c r="E326" s="17" t="n"/>
      <c r="F326" s="17" t="n"/>
      <c r="G326" s="17" t="n"/>
      <c r="H326" s="19" t="n"/>
      <c r="I326" s="19" t="n"/>
      <c r="J326" s="20" t="n"/>
      <c r="K326" s="20" t="n"/>
      <c r="L326" s="17" t="n"/>
      <c r="M326" s="17" t="n"/>
    </row>
    <row r="327">
      <c r="A327" s="12" t="n"/>
      <c r="B327" s="13" t="n"/>
      <c r="C327" s="12" t="n"/>
      <c r="D327" s="14" t="n"/>
      <c r="E327" s="12" t="n"/>
      <c r="F327" s="12" t="n"/>
      <c r="G327" s="12" t="n"/>
      <c r="H327" s="14" t="n"/>
      <c r="I327" s="14" t="n"/>
      <c r="J327" s="15" t="n"/>
      <c r="K327" s="15" t="n"/>
      <c r="L327" s="12" t="n"/>
      <c r="M327" s="12" t="n"/>
    </row>
    <row r="328">
      <c r="A328" s="17" t="n"/>
      <c r="B328" s="18" t="n"/>
      <c r="C328" s="17" t="n"/>
      <c r="D328" s="19" t="n"/>
      <c r="E328" s="17" t="n"/>
      <c r="F328" s="17" t="n"/>
      <c r="G328" s="17" t="n"/>
      <c r="H328" s="19" t="n"/>
      <c r="I328" s="19" t="n"/>
      <c r="J328" s="20" t="n"/>
      <c r="K328" s="20" t="n"/>
      <c r="L328" s="17" t="n"/>
      <c r="M328" s="17" t="n"/>
    </row>
    <row r="329">
      <c r="A329" s="12" t="n"/>
      <c r="B329" s="13" t="n"/>
      <c r="C329" s="12" t="n"/>
      <c r="D329" s="14" t="n"/>
      <c r="E329" s="12" t="n"/>
      <c r="F329" s="12" t="n"/>
      <c r="G329" s="12" t="n"/>
      <c r="H329" s="14" t="n"/>
      <c r="I329" s="14" t="n"/>
      <c r="J329" s="15" t="n"/>
      <c r="K329" s="15" t="n"/>
      <c r="L329" s="12" t="n"/>
      <c r="M329" s="12" t="n"/>
    </row>
    <row r="330">
      <c r="A330" s="17" t="n"/>
      <c r="B330" s="18" t="n"/>
      <c r="C330" s="17" t="n"/>
      <c r="D330" s="19" t="n"/>
      <c r="E330" s="17" t="n"/>
      <c r="F330" s="17" t="n"/>
      <c r="G330" s="17" t="n"/>
      <c r="H330" s="19" t="n"/>
      <c r="I330" s="19" t="n"/>
      <c r="J330" s="20" t="n"/>
      <c r="K330" s="20" t="n"/>
      <c r="L330" s="17" t="n"/>
      <c r="M330" s="17" t="n"/>
    </row>
    <row r="331">
      <c r="A331" s="12" t="n"/>
      <c r="B331" s="13" t="n"/>
      <c r="C331" s="12" t="n"/>
      <c r="D331" s="14" t="n"/>
      <c r="E331" s="12" t="n"/>
      <c r="F331" s="12" t="n"/>
      <c r="G331" s="12" t="n"/>
      <c r="H331" s="14" t="n"/>
      <c r="I331" s="14" t="n"/>
      <c r="J331" s="15" t="n"/>
      <c r="K331" s="15" t="n"/>
      <c r="L331" s="12" t="n"/>
      <c r="M331" s="12" t="n"/>
    </row>
    <row r="332">
      <c r="A332" s="17" t="n"/>
      <c r="B332" s="18" t="n"/>
      <c r="C332" s="17" t="n"/>
      <c r="D332" s="19" t="n"/>
      <c r="E332" s="17" t="n"/>
      <c r="F332" s="17" t="n"/>
      <c r="G332" s="17" t="n"/>
      <c r="H332" s="19" t="n"/>
      <c r="I332" s="19" t="n"/>
      <c r="J332" s="20" t="n"/>
      <c r="K332" s="20" t="n"/>
      <c r="L332" s="17" t="n"/>
      <c r="M332" s="17" t="n"/>
    </row>
    <row r="333">
      <c r="A333" s="12" t="n"/>
      <c r="B333" s="13" t="n"/>
      <c r="C333" s="12" t="n"/>
      <c r="D333" s="14" t="n"/>
      <c r="E333" s="12" t="n"/>
      <c r="F333" s="12" t="n"/>
      <c r="G333" s="12" t="n"/>
      <c r="H333" s="14" t="n"/>
      <c r="I333" s="14" t="n"/>
      <c r="J333" s="15" t="n"/>
      <c r="K333" s="15" t="n"/>
      <c r="L333" s="12" t="n"/>
      <c r="M333" s="12" t="n"/>
    </row>
    <row r="334">
      <c r="A334" s="17" t="n"/>
      <c r="B334" s="18" t="n"/>
      <c r="C334" s="17" t="n"/>
      <c r="D334" s="19" t="n"/>
      <c r="E334" s="17" t="n"/>
      <c r="F334" s="17" t="n"/>
      <c r="G334" s="17" t="n"/>
      <c r="H334" s="19" t="n"/>
      <c r="I334" s="19" t="n"/>
      <c r="J334" s="20" t="n"/>
      <c r="K334" s="20" t="n"/>
      <c r="L334" s="17" t="n"/>
      <c r="M334" s="17" t="n"/>
    </row>
    <row r="335">
      <c r="A335" s="12" t="n"/>
      <c r="B335" s="13" t="n"/>
      <c r="C335" s="12" t="n"/>
      <c r="D335" s="14" t="n"/>
      <c r="E335" s="12" t="n"/>
      <c r="F335" s="12" t="n"/>
      <c r="G335" s="12" t="n"/>
      <c r="H335" s="14" t="n"/>
      <c r="I335" s="14" t="n"/>
      <c r="J335" s="15" t="n"/>
      <c r="K335" s="15" t="n"/>
      <c r="L335" s="12" t="n"/>
      <c r="M335" s="12" t="n"/>
    </row>
    <row r="336">
      <c r="A336" s="17" t="n"/>
      <c r="B336" s="18" t="n"/>
      <c r="C336" s="17" t="n"/>
      <c r="D336" s="19" t="n"/>
      <c r="E336" s="17" t="n"/>
      <c r="F336" s="17" t="n"/>
      <c r="G336" s="17" t="n"/>
      <c r="H336" s="19" t="n"/>
      <c r="I336" s="19" t="n"/>
      <c r="J336" s="20" t="n"/>
      <c r="K336" s="20" t="n"/>
      <c r="L336" s="17" t="n"/>
      <c r="M336" s="17" t="n"/>
    </row>
    <row r="337">
      <c r="A337" s="12" t="n"/>
      <c r="B337" s="13" t="n"/>
      <c r="C337" s="12" t="n"/>
      <c r="D337" s="14" t="n"/>
      <c r="E337" s="12" t="n"/>
      <c r="F337" s="12" t="n"/>
      <c r="G337" s="12" t="n"/>
      <c r="H337" s="14" t="n"/>
      <c r="I337" s="14" t="n"/>
      <c r="J337" s="15" t="n"/>
      <c r="K337" s="15" t="n"/>
      <c r="L337" s="12" t="n"/>
      <c r="M337" s="12" t="n"/>
    </row>
    <row r="338">
      <c r="A338" s="17" t="n"/>
      <c r="B338" s="18" t="n"/>
      <c r="C338" s="17" t="n"/>
      <c r="D338" s="19" t="n"/>
      <c r="E338" s="17" t="n"/>
      <c r="F338" s="17" t="n"/>
      <c r="G338" s="17" t="n"/>
      <c r="H338" s="19" t="n"/>
      <c r="I338" s="19" t="n"/>
      <c r="J338" s="20" t="n"/>
      <c r="K338" s="20" t="n"/>
      <c r="L338" s="17" t="n"/>
      <c r="M338" s="17" t="n"/>
    </row>
    <row r="339">
      <c r="A339" s="12" t="n"/>
      <c r="B339" s="13" t="n"/>
      <c r="C339" s="12" t="n"/>
      <c r="D339" s="14" t="n"/>
      <c r="E339" s="12" t="n"/>
      <c r="F339" s="12" t="n"/>
      <c r="G339" s="12" t="n"/>
      <c r="H339" s="14" t="n"/>
      <c r="I339" s="14" t="n"/>
      <c r="J339" s="15" t="n"/>
      <c r="K339" s="15" t="n"/>
      <c r="L339" s="12" t="n"/>
      <c r="M339" s="12" t="n"/>
    </row>
    <row r="340">
      <c r="A340" s="17" t="n"/>
      <c r="B340" s="18" t="n"/>
      <c r="C340" s="17" t="n"/>
      <c r="D340" s="19" t="n"/>
      <c r="E340" s="17" t="n"/>
      <c r="F340" s="17" t="n"/>
      <c r="G340" s="17" t="n"/>
      <c r="H340" s="19" t="n"/>
      <c r="I340" s="19" t="n"/>
      <c r="J340" s="20" t="n"/>
      <c r="K340" s="20" t="n"/>
      <c r="L340" s="17" t="n"/>
      <c r="M340" s="17" t="n"/>
    </row>
    <row r="341">
      <c r="A341" s="12" t="n"/>
      <c r="B341" s="13" t="n"/>
      <c r="C341" s="12" t="n"/>
      <c r="D341" s="14" t="n"/>
      <c r="E341" s="12" t="n"/>
      <c r="F341" s="12" t="n"/>
      <c r="G341" s="12" t="n"/>
      <c r="H341" s="14" t="n"/>
      <c r="I341" s="14" t="n"/>
      <c r="J341" s="15" t="n"/>
      <c r="K341" s="15" t="n"/>
      <c r="L341" s="12" t="n"/>
      <c r="M341" s="12" t="n"/>
    </row>
    <row r="342">
      <c r="A342" s="17" t="n"/>
      <c r="B342" s="18" t="n"/>
      <c r="C342" s="17" t="n"/>
      <c r="D342" s="19" t="n"/>
      <c r="E342" s="17" t="n"/>
      <c r="F342" s="17" t="n"/>
      <c r="G342" s="17" t="n"/>
      <c r="H342" s="19" t="n"/>
      <c r="I342" s="19" t="n"/>
      <c r="J342" s="20" t="n"/>
      <c r="K342" s="20" t="n"/>
      <c r="L342" s="17" t="n"/>
      <c r="M342" s="17" t="n"/>
    </row>
    <row r="343">
      <c r="A343" s="12" t="n"/>
      <c r="B343" s="13" t="n"/>
      <c r="C343" s="12" t="n"/>
      <c r="D343" s="14" t="n"/>
      <c r="E343" s="12" t="n"/>
      <c r="F343" s="12" t="n"/>
      <c r="G343" s="12" t="n"/>
      <c r="H343" s="14" t="n"/>
      <c r="I343" s="14" t="n"/>
      <c r="J343" s="15" t="n"/>
      <c r="K343" s="15" t="n"/>
      <c r="L343" s="12" t="n"/>
      <c r="M343" s="12" t="n"/>
    </row>
    <row r="344">
      <c r="A344" s="17" t="n"/>
      <c r="B344" s="18" t="n"/>
      <c r="C344" s="17" t="n"/>
      <c r="D344" s="19" t="n"/>
      <c r="E344" s="17" t="n"/>
      <c r="F344" s="17" t="n"/>
      <c r="G344" s="17" t="n"/>
      <c r="H344" s="19" t="n"/>
      <c r="I344" s="19" t="n"/>
      <c r="J344" s="20" t="n"/>
      <c r="K344" s="20" t="n"/>
      <c r="L344" s="17" t="n"/>
      <c r="M344" s="17" t="n"/>
    </row>
    <row r="345">
      <c r="A345" s="12" t="n"/>
      <c r="B345" s="13" t="n"/>
      <c r="C345" s="12" t="n"/>
      <c r="D345" s="14" t="n"/>
      <c r="E345" s="12" t="n"/>
      <c r="F345" s="12" t="n"/>
      <c r="G345" s="12" t="n"/>
      <c r="H345" s="14" t="n"/>
      <c r="I345" s="14" t="n"/>
      <c r="J345" s="15" t="n"/>
      <c r="K345" s="15" t="n"/>
      <c r="L345" s="12" t="n"/>
      <c r="M345" s="12" t="n"/>
    </row>
    <row r="346">
      <c r="A346" s="17" t="n"/>
      <c r="B346" s="18" t="n"/>
      <c r="C346" s="17" t="n"/>
      <c r="D346" s="19" t="n"/>
      <c r="E346" s="17" t="n"/>
      <c r="F346" s="17" t="n"/>
      <c r="G346" s="17" t="n"/>
      <c r="H346" s="19" t="n"/>
      <c r="I346" s="19" t="n"/>
      <c r="J346" s="20" t="n"/>
      <c r="K346" s="20" t="n"/>
      <c r="L346" s="17" t="n"/>
      <c r="M346" s="17" t="n"/>
    </row>
    <row r="347">
      <c r="A347" s="12" t="n"/>
      <c r="B347" s="13" t="n"/>
      <c r="C347" s="12" t="n"/>
      <c r="D347" s="14" t="n"/>
      <c r="E347" s="12" t="n"/>
      <c r="F347" s="12" t="n"/>
      <c r="G347" s="12" t="n"/>
      <c r="H347" s="14" t="n"/>
      <c r="I347" s="14" t="n"/>
      <c r="J347" s="15" t="n"/>
      <c r="K347" s="15" t="n"/>
      <c r="L347" s="12" t="n"/>
      <c r="M347" s="12" t="n"/>
    </row>
    <row r="348">
      <c r="A348" s="17" t="n"/>
      <c r="B348" s="18" t="n"/>
      <c r="C348" s="17" t="n"/>
      <c r="D348" s="19" t="n"/>
      <c r="E348" s="17" t="n"/>
      <c r="F348" s="17" t="n"/>
      <c r="G348" s="17" t="n"/>
      <c r="H348" s="19" t="n"/>
      <c r="I348" s="19" t="n"/>
      <c r="J348" s="20" t="n"/>
      <c r="K348" s="20" t="n"/>
      <c r="L348" s="17" t="n"/>
      <c r="M348" s="17" t="n"/>
    </row>
    <row r="349">
      <c r="A349" s="12" t="n"/>
      <c r="B349" s="13" t="n"/>
      <c r="C349" s="12" t="n"/>
      <c r="D349" s="14" t="n"/>
      <c r="E349" s="12" t="n"/>
      <c r="F349" s="12" t="n"/>
      <c r="G349" s="12" t="n"/>
      <c r="H349" s="14" t="n"/>
      <c r="I349" s="14" t="n"/>
      <c r="J349" s="15" t="n"/>
      <c r="K349" s="15" t="n"/>
      <c r="L349" s="12" t="n"/>
      <c r="M349" s="12" t="n"/>
    </row>
    <row r="350">
      <c r="A350" s="17" t="n"/>
      <c r="B350" s="18" t="n"/>
      <c r="C350" s="17" t="n"/>
      <c r="D350" s="19" t="n"/>
      <c r="E350" s="17" t="n"/>
      <c r="F350" s="17" t="n"/>
      <c r="G350" s="17" t="n"/>
      <c r="H350" s="19" t="n"/>
      <c r="I350" s="19" t="n"/>
      <c r="J350" s="20" t="n"/>
      <c r="K350" s="20" t="n"/>
      <c r="L350" s="17" t="n"/>
      <c r="M350" s="17" t="n"/>
    </row>
    <row r="351">
      <c r="A351" s="12" t="n"/>
      <c r="B351" s="13" t="n"/>
      <c r="C351" s="12" t="n"/>
      <c r="D351" s="14" t="n"/>
      <c r="E351" s="12" t="n"/>
      <c r="F351" s="12" t="n"/>
      <c r="G351" s="12" t="n"/>
      <c r="H351" s="14" t="n"/>
      <c r="I351" s="14" t="n"/>
      <c r="J351" s="15" t="n"/>
      <c r="K351" s="15" t="n"/>
      <c r="L351" s="12" t="n"/>
      <c r="M351" s="12" t="n"/>
    </row>
    <row r="352">
      <c r="A352" s="17" t="n"/>
      <c r="B352" s="18" t="n"/>
      <c r="C352" s="17" t="n"/>
      <c r="D352" s="19" t="n"/>
      <c r="E352" s="17" t="n"/>
      <c r="F352" s="17" t="n"/>
      <c r="G352" s="17" t="n"/>
      <c r="H352" s="19" t="n"/>
      <c r="I352" s="19" t="n"/>
      <c r="J352" s="20" t="n"/>
      <c r="K352" s="20" t="n"/>
      <c r="L352" s="17" t="n"/>
      <c r="M352" s="17" t="n"/>
    </row>
    <row r="353">
      <c r="A353" s="12" t="n"/>
      <c r="B353" s="13" t="n"/>
      <c r="C353" s="12" t="n"/>
      <c r="D353" s="14" t="n"/>
      <c r="E353" s="12" t="n"/>
      <c r="F353" s="12" t="n"/>
      <c r="G353" s="12" t="n"/>
      <c r="H353" s="14" t="n"/>
      <c r="I353" s="14" t="n"/>
      <c r="J353" s="15" t="n"/>
      <c r="K353" s="15" t="n"/>
      <c r="L353" s="12" t="n"/>
      <c r="M353" s="12" t="n"/>
    </row>
    <row r="354">
      <c r="A354" s="17" t="n"/>
      <c r="B354" s="18" t="n"/>
      <c r="C354" s="17" t="n"/>
      <c r="D354" s="19" t="n"/>
      <c r="E354" s="17" t="n"/>
      <c r="F354" s="17" t="n"/>
      <c r="G354" s="17" t="n"/>
      <c r="H354" s="19" t="n"/>
      <c r="I354" s="19" t="n"/>
      <c r="J354" s="20" t="n"/>
      <c r="K354" s="20" t="n"/>
      <c r="L354" s="17" t="n"/>
      <c r="M354" s="17" t="n"/>
    </row>
    <row r="355">
      <c r="A355" s="12" t="n"/>
      <c r="B355" s="13" t="n"/>
      <c r="C355" s="12" t="n"/>
      <c r="D355" s="14" t="n"/>
      <c r="E355" s="12" t="n"/>
      <c r="F355" s="12" t="n"/>
      <c r="G355" s="12" t="n"/>
      <c r="H355" s="14" t="n"/>
      <c r="I355" s="14" t="n"/>
      <c r="J355" s="15" t="n"/>
      <c r="K355" s="15" t="n"/>
      <c r="L355" s="12" t="n"/>
      <c r="M355" s="12" t="n"/>
    </row>
    <row r="356">
      <c r="A356" s="17" t="n"/>
      <c r="B356" s="18" t="n"/>
      <c r="C356" s="17" t="n"/>
      <c r="D356" s="19" t="n"/>
      <c r="E356" s="17" t="n"/>
      <c r="F356" s="17" t="n"/>
      <c r="G356" s="17" t="n"/>
      <c r="H356" s="19" t="n"/>
      <c r="I356" s="19" t="n"/>
      <c r="J356" s="20" t="n"/>
      <c r="K356" s="20" t="n"/>
      <c r="L356" s="17" t="n"/>
      <c r="M356" s="17" t="n"/>
    </row>
    <row r="357">
      <c r="A357" s="12" t="n"/>
      <c r="B357" s="13" t="n"/>
      <c r="C357" s="12" t="n"/>
      <c r="D357" s="14" t="n"/>
      <c r="E357" s="12" t="n"/>
      <c r="F357" s="12" t="n"/>
      <c r="G357" s="12" t="n"/>
      <c r="H357" s="14" t="n"/>
      <c r="I357" s="14" t="n"/>
      <c r="J357" s="15" t="n"/>
      <c r="K357" s="15" t="n"/>
      <c r="L357" s="12" t="n"/>
      <c r="M357" s="12" t="n"/>
    </row>
    <row r="358">
      <c r="A358" s="17" t="n"/>
      <c r="B358" s="18" t="n"/>
      <c r="C358" s="17" t="n"/>
      <c r="D358" s="19" t="n"/>
      <c r="E358" s="17" t="n"/>
      <c r="F358" s="17" t="n"/>
      <c r="G358" s="17" t="n"/>
      <c r="H358" s="19" t="n"/>
      <c r="I358" s="19" t="n"/>
      <c r="J358" s="20" t="n"/>
      <c r="K358" s="20" t="n"/>
      <c r="L358" s="17" t="n"/>
      <c r="M358" s="17" t="n"/>
    </row>
    <row r="359">
      <c r="A359" s="12" t="n"/>
      <c r="B359" s="13" t="n"/>
      <c r="C359" s="12" t="n"/>
      <c r="D359" s="14" t="n"/>
      <c r="E359" s="12" t="n"/>
      <c r="F359" s="12" t="n"/>
      <c r="G359" s="12" t="n"/>
      <c r="H359" s="14" t="n"/>
      <c r="I359" s="14" t="n"/>
      <c r="J359" s="15" t="n"/>
      <c r="K359" s="15" t="n"/>
      <c r="L359" s="12" t="n"/>
      <c r="M359" s="12" t="n"/>
    </row>
    <row r="360">
      <c r="A360" s="17" t="n"/>
      <c r="B360" s="18" t="n"/>
      <c r="C360" s="17" t="n"/>
      <c r="D360" s="19" t="n"/>
      <c r="E360" s="17" t="n"/>
      <c r="F360" s="17" t="n"/>
      <c r="G360" s="17" t="n"/>
      <c r="H360" s="19" t="n"/>
      <c r="I360" s="19" t="n"/>
      <c r="J360" s="20" t="n"/>
      <c r="K360" s="20" t="n"/>
      <c r="L360" s="17" t="n"/>
      <c r="M360" s="17" t="n"/>
    </row>
    <row r="361">
      <c r="A361" s="12" t="n"/>
      <c r="B361" s="13" t="n"/>
      <c r="C361" s="12" t="n"/>
      <c r="D361" s="14" t="n"/>
      <c r="E361" s="12" t="n"/>
      <c r="F361" s="12" t="n"/>
      <c r="G361" s="12" t="n"/>
      <c r="H361" s="14" t="n"/>
      <c r="I361" s="14" t="n"/>
      <c r="J361" s="15" t="n"/>
      <c r="K361" s="15" t="n"/>
      <c r="L361" s="12" t="n"/>
      <c r="M361" s="12" t="n"/>
    </row>
    <row r="362">
      <c r="A362" s="17" t="n"/>
      <c r="B362" s="18" t="n"/>
      <c r="C362" s="17" t="n"/>
      <c r="D362" s="19" t="n"/>
      <c r="E362" s="17" t="n"/>
      <c r="F362" s="17" t="n"/>
      <c r="G362" s="17" t="n"/>
      <c r="H362" s="19" t="n"/>
      <c r="I362" s="19" t="n"/>
      <c r="J362" s="20" t="n"/>
      <c r="K362" s="20" t="n"/>
      <c r="L362" s="17" t="n"/>
      <c r="M362" s="17" t="n"/>
    </row>
    <row r="363">
      <c r="A363" s="12" t="n"/>
      <c r="B363" s="13" t="n"/>
      <c r="C363" s="12" t="n"/>
      <c r="D363" s="14" t="n"/>
      <c r="E363" s="12" t="n"/>
      <c r="F363" s="12" t="n"/>
      <c r="G363" s="12" t="n"/>
      <c r="H363" s="14" t="n"/>
      <c r="I363" s="14" t="n"/>
      <c r="J363" s="15" t="n"/>
      <c r="K363" s="15" t="n"/>
      <c r="L363" s="12" t="n"/>
      <c r="M363" s="12" t="n"/>
    </row>
    <row r="364">
      <c r="A364" s="17" t="n"/>
      <c r="B364" s="18" t="n"/>
      <c r="C364" s="17" t="n"/>
      <c r="D364" s="19" t="n"/>
      <c r="E364" s="17" t="n"/>
      <c r="F364" s="17" t="n"/>
      <c r="G364" s="17" t="n"/>
      <c r="H364" s="19" t="n"/>
      <c r="I364" s="19" t="n"/>
      <c r="J364" s="20" t="n"/>
      <c r="K364" s="20" t="n"/>
      <c r="L364" s="17" t="n"/>
      <c r="M364" s="17" t="n"/>
    </row>
    <row r="365">
      <c r="A365" s="12" t="n"/>
      <c r="B365" s="13" t="n"/>
      <c r="C365" s="12" t="n"/>
      <c r="D365" s="14" t="n"/>
      <c r="E365" s="12" t="n"/>
      <c r="F365" s="12" t="n"/>
      <c r="G365" s="12" t="n"/>
      <c r="H365" s="14" t="n"/>
      <c r="I365" s="14" t="n"/>
      <c r="J365" s="15" t="n"/>
      <c r="K365" s="15" t="n"/>
      <c r="L365" s="12" t="n"/>
      <c r="M365" s="12" t="n"/>
    </row>
    <row r="366">
      <c r="A366" s="17" t="n"/>
      <c r="B366" s="18" t="n"/>
      <c r="C366" s="17" t="n"/>
      <c r="D366" s="19" t="n"/>
      <c r="E366" s="17" t="n"/>
      <c r="F366" s="17" t="n"/>
      <c r="G366" s="17" t="n"/>
      <c r="H366" s="19" t="n"/>
      <c r="I366" s="19" t="n"/>
      <c r="J366" s="20" t="n"/>
      <c r="K366" s="20" t="n"/>
      <c r="L366" s="17" t="n"/>
      <c r="M366" s="17" t="n"/>
    </row>
    <row r="367">
      <c r="A367" s="12" t="n"/>
      <c r="B367" s="13" t="n"/>
      <c r="C367" s="12" t="n"/>
      <c r="D367" s="14" t="n"/>
      <c r="E367" s="12" t="n"/>
      <c r="F367" s="12" t="n"/>
      <c r="G367" s="12" t="n"/>
      <c r="H367" s="14" t="n"/>
      <c r="I367" s="14" t="n"/>
      <c r="J367" s="15" t="n"/>
      <c r="K367" s="15" t="n"/>
      <c r="L367" s="12" t="n"/>
      <c r="M367" s="12" t="n"/>
    </row>
    <row r="368">
      <c r="A368" s="17" t="n"/>
      <c r="B368" s="18" t="n"/>
      <c r="C368" s="17" t="n"/>
      <c r="D368" s="19" t="n"/>
      <c r="E368" s="17" t="n"/>
      <c r="F368" s="17" t="n"/>
      <c r="G368" s="17" t="n"/>
      <c r="H368" s="19" t="n"/>
      <c r="I368" s="19" t="n"/>
      <c r="J368" s="20" t="n"/>
      <c r="K368" s="20" t="n"/>
      <c r="L368" s="17" t="n"/>
      <c r="M368" s="17" t="n"/>
    </row>
    <row r="369">
      <c r="A369" s="12" t="n"/>
      <c r="B369" s="13" t="n"/>
      <c r="C369" s="12" t="n"/>
      <c r="D369" s="14" t="n"/>
      <c r="E369" s="12" t="n"/>
      <c r="F369" s="12" t="n"/>
      <c r="G369" s="12" t="n"/>
      <c r="H369" s="14" t="n"/>
      <c r="I369" s="14" t="n"/>
      <c r="J369" s="15" t="n"/>
      <c r="K369" s="15" t="n"/>
      <c r="L369" s="12" t="n"/>
      <c r="M369" s="12" t="n"/>
    </row>
    <row r="370">
      <c r="A370" s="17" t="n"/>
      <c r="B370" s="18" t="n"/>
      <c r="C370" s="17" t="n"/>
      <c r="D370" s="19" t="n"/>
      <c r="E370" s="17" t="n"/>
      <c r="F370" s="17" t="n"/>
      <c r="G370" s="17" t="n"/>
      <c r="H370" s="19" t="n"/>
      <c r="I370" s="19" t="n"/>
      <c r="J370" s="20" t="n"/>
      <c r="K370" s="20" t="n"/>
      <c r="L370" s="17" t="n"/>
      <c r="M370" s="17" t="n"/>
    </row>
    <row r="371">
      <c r="A371" s="12" t="n"/>
      <c r="B371" s="13" t="n"/>
      <c r="C371" s="12" t="n"/>
      <c r="D371" s="14" t="n"/>
      <c r="E371" s="12" t="n"/>
      <c r="F371" s="12" t="n"/>
      <c r="G371" s="12" t="n"/>
      <c r="H371" s="14" t="n"/>
      <c r="I371" s="14" t="n"/>
      <c r="J371" s="15" t="n"/>
      <c r="K371" s="15" t="n"/>
      <c r="L371" s="12" t="n"/>
      <c r="M371" s="12" t="n"/>
    </row>
    <row r="372">
      <c r="A372" s="17" t="n"/>
      <c r="B372" s="18" t="n"/>
      <c r="C372" s="17" t="n"/>
      <c r="D372" s="19" t="n"/>
      <c r="E372" s="17" t="n"/>
      <c r="F372" s="17" t="n"/>
      <c r="G372" s="17" t="n"/>
      <c r="H372" s="19" t="n"/>
      <c r="I372" s="19" t="n"/>
      <c r="J372" s="20" t="n"/>
      <c r="K372" s="20" t="n"/>
      <c r="L372" s="17" t="n"/>
      <c r="M372" s="17" t="n"/>
    </row>
    <row r="373">
      <c r="A373" s="12" t="n"/>
      <c r="B373" s="13" t="n"/>
      <c r="C373" s="12" t="n"/>
      <c r="D373" s="14" t="n"/>
      <c r="E373" s="12" t="n"/>
      <c r="F373" s="12" t="n"/>
      <c r="G373" s="12" t="n"/>
      <c r="H373" s="14" t="n"/>
      <c r="I373" s="14" t="n"/>
      <c r="J373" s="15" t="n"/>
      <c r="K373" s="15" t="n"/>
      <c r="L373" s="12" t="n"/>
      <c r="M373" s="12" t="n"/>
    </row>
    <row r="374">
      <c r="A374" s="17" t="n"/>
      <c r="B374" s="18" t="n"/>
      <c r="C374" s="17" t="n"/>
      <c r="D374" s="19" t="n"/>
      <c r="E374" s="17" t="n"/>
      <c r="F374" s="17" t="n"/>
      <c r="G374" s="17" t="n"/>
      <c r="H374" s="19" t="n"/>
      <c r="I374" s="19" t="n"/>
      <c r="J374" s="20" t="n"/>
      <c r="K374" s="20" t="n"/>
      <c r="L374" s="17" t="n"/>
      <c r="M374" s="17" t="n"/>
    </row>
    <row r="375">
      <c r="A375" s="12" t="n"/>
      <c r="B375" s="13" t="n"/>
      <c r="C375" s="12" t="n"/>
      <c r="D375" s="14" t="n"/>
      <c r="E375" s="12" t="n"/>
      <c r="F375" s="12" t="n"/>
      <c r="G375" s="12" t="n"/>
      <c r="H375" s="14" t="n"/>
      <c r="I375" s="14" t="n"/>
      <c r="J375" s="15" t="n"/>
      <c r="K375" s="15" t="n"/>
      <c r="L375" s="12" t="n"/>
      <c r="M375" s="12" t="n"/>
    </row>
    <row r="376">
      <c r="A376" s="17" t="n"/>
      <c r="B376" s="18" t="n"/>
      <c r="C376" s="17" t="n"/>
      <c r="D376" s="19" t="n"/>
      <c r="E376" s="17" t="n"/>
      <c r="F376" s="17" t="n"/>
      <c r="G376" s="17" t="n"/>
      <c r="H376" s="19" t="n"/>
      <c r="I376" s="19" t="n"/>
      <c r="J376" s="20" t="n"/>
      <c r="K376" s="20" t="n"/>
      <c r="L376" s="17" t="n"/>
      <c r="M376" s="17" t="n"/>
    </row>
    <row r="377">
      <c r="A377" s="12" t="n"/>
      <c r="B377" s="13" t="n"/>
      <c r="C377" s="12" t="n"/>
      <c r="D377" s="14" t="n"/>
      <c r="E377" s="12" t="n"/>
      <c r="F377" s="12" t="n"/>
      <c r="G377" s="12" t="n"/>
      <c r="H377" s="14" t="n"/>
      <c r="I377" s="14" t="n"/>
      <c r="J377" s="15" t="n"/>
      <c r="K377" s="15" t="n"/>
      <c r="L377" s="12" t="n"/>
      <c r="M377" s="12" t="n"/>
    </row>
    <row r="378">
      <c r="A378" s="17" t="n"/>
      <c r="B378" s="18" t="n"/>
      <c r="C378" s="17" t="n"/>
      <c r="D378" s="19" t="n"/>
      <c r="E378" s="17" t="n"/>
      <c r="F378" s="17" t="n"/>
      <c r="G378" s="17" t="n"/>
      <c r="H378" s="19" t="n"/>
      <c r="I378" s="19" t="n"/>
      <c r="J378" s="20" t="n"/>
      <c r="K378" s="20" t="n"/>
      <c r="L378" s="17" t="n"/>
      <c r="M378" s="17" t="n"/>
    </row>
    <row r="379">
      <c r="A379" s="12" t="n"/>
      <c r="B379" s="13" t="n"/>
      <c r="C379" s="12" t="n"/>
      <c r="D379" s="14" t="n"/>
      <c r="E379" s="12" t="n"/>
      <c r="F379" s="12" t="n"/>
      <c r="G379" s="12" t="n"/>
      <c r="H379" s="14" t="n"/>
      <c r="I379" s="14" t="n"/>
      <c r="J379" s="15" t="n"/>
      <c r="K379" s="15" t="n"/>
      <c r="L379" s="12" t="n"/>
      <c r="M379" s="12" t="n"/>
    </row>
    <row r="380">
      <c r="A380" s="17" t="n"/>
      <c r="B380" s="18" t="n"/>
      <c r="C380" s="17" t="n"/>
      <c r="D380" s="19" t="n"/>
      <c r="E380" s="17" t="n"/>
      <c r="F380" s="17" t="n"/>
      <c r="G380" s="17" t="n"/>
      <c r="H380" s="19" t="n"/>
      <c r="I380" s="19" t="n"/>
      <c r="J380" s="20" t="n"/>
      <c r="K380" s="20" t="n"/>
      <c r="L380" s="17" t="n"/>
      <c r="M380" s="17" t="n"/>
    </row>
    <row r="381">
      <c r="A381" s="12" t="n"/>
      <c r="B381" s="13" t="n"/>
      <c r="C381" s="12" t="n"/>
      <c r="D381" s="14" t="n"/>
      <c r="E381" s="12" t="n"/>
      <c r="F381" s="12" t="n"/>
      <c r="G381" s="12" t="n"/>
      <c r="H381" s="14" t="n"/>
      <c r="I381" s="14" t="n"/>
      <c r="J381" s="15" t="n"/>
      <c r="K381" s="15" t="n"/>
      <c r="L381" s="12" t="n"/>
      <c r="M381" s="12" t="n"/>
    </row>
    <row r="382">
      <c r="A382" s="17" t="n"/>
      <c r="B382" s="18" t="n"/>
      <c r="C382" s="17" t="n"/>
      <c r="D382" s="19" t="n"/>
      <c r="E382" s="17" t="n"/>
      <c r="F382" s="17" t="n"/>
      <c r="G382" s="17" t="n"/>
      <c r="H382" s="19" t="n"/>
      <c r="I382" s="19" t="n"/>
      <c r="J382" s="20" t="n"/>
      <c r="K382" s="20" t="n"/>
      <c r="L382" s="17" t="n"/>
      <c r="M382" s="17" t="n"/>
    </row>
    <row r="383">
      <c r="A383" s="12" t="n"/>
      <c r="B383" s="13" t="n"/>
      <c r="C383" s="12" t="n"/>
      <c r="D383" s="14" t="n"/>
      <c r="E383" s="12" t="n"/>
      <c r="F383" s="12" t="n"/>
      <c r="G383" s="12" t="n"/>
      <c r="H383" s="14" t="n"/>
      <c r="I383" s="14" t="n"/>
      <c r="J383" s="15" t="n"/>
      <c r="K383" s="15" t="n"/>
      <c r="L383" s="12" t="n"/>
      <c r="M383" s="12" t="n"/>
    </row>
    <row r="384">
      <c r="A384" s="17" t="n"/>
      <c r="B384" s="18" t="n"/>
      <c r="C384" s="17" t="n"/>
      <c r="D384" s="19" t="n"/>
      <c r="E384" s="17" t="n"/>
      <c r="F384" s="17" t="n"/>
      <c r="G384" s="17" t="n"/>
      <c r="H384" s="19" t="n"/>
      <c r="I384" s="19" t="n"/>
      <c r="J384" s="20" t="n"/>
      <c r="K384" s="20" t="n"/>
      <c r="L384" s="17" t="n"/>
      <c r="M384" s="17" t="n"/>
    </row>
    <row r="385">
      <c r="A385" s="12" t="n"/>
      <c r="B385" s="13" t="n"/>
      <c r="C385" s="12" t="n"/>
      <c r="D385" s="14" t="n"/>
      <c r="E385" s="12" t="n"/>
      <c r="F385" s="12" t="n"/>
      <c r="G385" s="12" t="n"/>
      <c r="H385" s="14" t="n"/>
      <c r="I385" s="14" t="n"/>
      <c r="J385" s="15" t="n"/>
      <c r="K385" s="15" t="n"/>
      <c r="L385" s="12" t="n"/>
      <c r="M385" s="12" t="n"/>
    </row>
    <row r="386">
      <c r="A386" s="17" t="n"/>
      <c r="B386" s="18" t="n"/>
      <c r="C386" s="17" t="n"/>
      <c r="D386" s="19" t="n"/>
      <c r="E386" s="17" t="n"/>
      <c r="F386" s="17" t="n"/>
      <c r="G386" s="17" t="n"/>
      <c r="H386" s="19" t="n"/>
      <c r="I386" s="19" t="n"/>
      <c r="J386" s="20" t="n"/>
      <c r="K386" s="20" t="n"/>
      <c r="L386" s="17" t="n"/>
      <c r="M386" s="17" t="n"/>
    </row>
    <row r="387">
      <c r="A387" s="12" t="n"/>
      <c r="B387" s="13" t="n"/>
      <c r="C387" s="12" t="n"/>
      <c r="D387" s="14" t="n"/>
      <c r="E387" s="12" t="n"/>
      <c r="F387" s="12" t="n"/>
      <c r="G387" s="12" t="n"/>
      <c r="H387" s="14" t="n"/>
      <c r="I387" s="14" t="n"/>
      <c r="J387" s="15" t="n"/>
      <c r="K387" s="15" t="n"/>
      <c r="L387" s="12" t="n"/>
      <c r="M387" s="12" t="n"/>
    </row>
    <row r="388">
      <c r="A388" s="17" t="n"/>
      <c r="B388" s="18" t="n"/>
      <c r="C388" s="17" t="n"/>
      <c r="D388" s="19" t="n"/>
      <c r="E388" s="17" t="n"/>
      <c r="F388" s="17" t="n"/>
      <c r="G388" s="17" t="n"/>
      <c r="H388" s="19" t="n"/>
      <c r="I388" s="19" t="n"/>
      <c r="J388" s="20" t="n"/>
      <c r="K388" s="20" t="n"/>
      <c r="L388" s="17" t="n"/>
      <c r="M388" s="17" t="n"/>
    </row>
    <row r="389">
      <c r="A389" s="12" t="n"/>
      <c r="B389" s="13" t="n"/>
      <c r="C389" s="12" t="n"/>
      <c r="D389" s="14" t="n"/>
      <c r="E389" s="12" t="n"/>
      <c r="F389" s="12" t="n"/>
      <c r="G389" s="12" t="n"/>
      <c r="H389" s="14" t="n"/>
      <c r="I389" s="14" t="n"/>
      <c r="J389" s="15" t="n"/>
      <c r="K389" s="15" t="n"/>
      <c r="L389" s="12" t="n"/>
      <c r="M389" s="12" t="n"/>
    </row>
    <row r="390">
      <c r="A390" s="17" t="n"/>
      <c r="B390" s="18" t="n"/>
      <c r="C390" s="17" t="n"/>
      <c r="D390" s="19" t="n"/>
      <c r="E390" s="17" t="n"/>
      <c r="F390" s="17" t="n"/>
      <c r="G390" s="17" t="n"/>
      <c r="H390" s="19" t="n"/>
      <c r="I390" s="19" t="n"/>
      <c r="J390" s="20" t="n"/>
      <c r="K390" s="20" t="n"/>
      <c r="L390" s="17" t="n"/>
      <c r="M390" s="17" t="n"/>
    </row>
    <row r="391">
      <c r="A391" s="12" t="n"/>
      <c r="B391" s="13" t="n"/>
      <c r="C391" s="12" t="n"/>
      <c r="D391" s="14" t="n"/>
      <c r="E391" s="12" t="n"/>
      <c r="F391" s="12" t="n"/>
      <c r="G391" s="12" t="n"/>
      <c r="H391" s="14" t="n"/>
      <c r="I391" s="14" t="n"/>
      <c r="J391" s="15" t="n"/>
      <c r="K391" s="15" t="n"/>
      <c r="L391" s="12" t="n"/>
      <c r="M391" s="12" t="n"/>
    </row>
    <row r="392">
      <c r="A392" s="17" t="n"/>
      <c r="B392" s="18" t="n"/>
      <c r="C392" s="17" t="n"/>
      <c r="D392" s="19" t="n"/>
      <c r="E392" s="17" t="n"/>
      <c r="F392" s="17" t="n"/>
      <c r="G392" s="17" t="n"/>
      <c r="H392" s="19" t="n"/>
      <c r="I392" s="19" t="n"/>
      <c r="J392" s="20" t="n"/>
      <c r="K392" s="20" t="n"/>
      <c r="L392" s="17" t="n"/>
      <c r="M392" s="17" t="n"/>
    </row>
    <row r="393">
      <c r="A393" s="12" t="n"/>
      <c r="B393" s="13" t="n"/>
      <c r="C393" s="12" t="n"/>
      <c r="D393" s="14" t="n"/>
      <c r="E393" s="12" t="n"/>
      <c r="F393" s="12" t="n"/>
      <c r="G393" s="12" t="n"/>
      <c r="H393" s="14" t="n"/>
      <c r="I393" s="14" t="n"/>
      <c r="J393" s="15" t="n"/>
      <c r="K393" s="15" t="n"/>
      <c r="L393" s="12" t="n"/>
      <c r="M393" s="12" t="n"/>
    </row>
    <row r="394">
      <c r="A394" s="17" t="n"/>
      <c r="B394" s="18" t="n"/>
      <c r="C394" s="17" t="n"/>
      <c r="D394" s="19" t="n"/>
      <c r="E394" s="17" t="n"/>
      <c r="F394" s="17" t="n"/>
      <c r="G394" s="17" t="n"/>
      <c r="H394" s="19" t="n"/>
      <c r="I394" s="19" t="n"/>
      <c r="J394" s="20" t="n"/>
      <c r="K394" s="20" t="n"/>
      <c r="L394" s="17" t="n"/>
      <c r="M394" s="17" t="n"/>
    </row>
    <row r="395">
      <c r="A395" s="12" t="n"/>
      <c r="B395" s="13" t="n"/>
      <c r="C395" s="12" t="n"/>
      <c r="D395" s="14" t="n"/>
      <c r="E395" s="12" t="n"/>
      <c r="F395" s="12" t="n"/>
      <c r="G395" s="12" t="n"/>
      <c r="H395" s="14" t="n"/>
      <c r="I395" s="14" t="n"/>
      <c r="J395" s="15" t="n"/>
      <c r="K395" s="15" t="n"/>
      <c r="L395" s="12" t="n"/>
      <c r="M395" s="12" t="n"/>
    </row>
    <row r="396">
      <c r="A396" s="17" t="n"/>
      <c r="B396" s="18" t="n"/>
      <c r="C396" s="17" t="n"/>
      <c r="D396" s="19" t="n"/>
      <c r="E396" s="17" t="n"/>
      <c r="F396" s="17" t="n"/>
      <c r="G396" s="17" t="n"/>
      <c r="H396" s="19" t="n"/>
      <c r="I396" s="19" t="n"/>
      <c r="J396" s="20" t="n"/>
      <c r="K396" s="20" t="n"/>
      <c r="L396" s="17" t="n"/>
      <c r="M396" s="17" t="n"/>
    </row>
    <row r="397">
      <c r="A397" s="12" t="n"/>
      <c r="B397" s="13" t="n"/>
      <c r="C397" s="12" t="n"/>
      <c r="D397" s="14" t="n"/>
      <c r="E397" s="12" t="n"/>
      <c r="F397" s="12" t="n"/>
      <c r="G397" s="12" t="n"/>
      <c r="H397" s="14" t="n"/>
      <c r="I397" s="14" t="n"/>
      <c r="J397" s="15" t="n"/>
      <c r="K397" s="15" t="n"/>
      <c r="L397" s="12" t="n"/>
      <c r="M397" s="12" t="n"/>
    </row>
    <row r="398">
      <c r="A398" s="17" t="n"/>
      <c r="B398" s="18" t="n"/>
      <c r="C398" s="17" t="n"/>
      <c r="D398" s="19" t="n"/>
      <c r="E398" s="17" t="n"/>
      <c r="F398" s="17" t="n"/>
      <c r="G398" s="17" t="n"/>
      <c r="H398" s="19" t="n"/>
      <c r="I398" s="19" t="n"/>
      <c r="J398" s="20" t="n"/>
      <c r="K398" s="20" t="n"/>
      <c r="L398" s="17" t="n"/>
      <c r="M398" s="17" t="n"/>
    </row>
    <row r="399">
      <c r="A399" s="12" t="n"/>
      <c r="B399" s="13" t="n"/>
      <c r="C399" s="12" t="n"/>
      <c r="D399" s="14" t="n"/>
      <c r="E399" s="12" t="n"/>
      <c r="F399" s="12" t="n"/>
      <c r="G399" s="12" t="n"/>
      <c r="H399" s="14" t="n"/>
      <c r="I399" s="14" t="n"/>
      <c r="J399" s="15" t="n"/>
      <c r="K399" s="15" t="n"/>
      <c r="L399" s="12" t="n"/>
      <c r="M399" s="12" t="n"/>
    </row>
    <row r="400">
      <c r="A400" s="17" t="n"/>
      <c r="B400" s="18" t="n"/>
      <c r="C400" s="17" t="n"/>
      <c r="D400" s="19" t="n"/>
      <c r="E400" s="17" t="n"/>
      <c r="F400" s="17" t="n"/>
      <c r="G400" s="17" t="n"/>
      <c r="H400" s="19" t="n"/>
      <c r="I400" s="19" t="n"/>
      <c r="J400" s="20" t="n"/>
      <c r="K400" s="20" t="n"/>
      <c r="L400" s="17" t="n"/>
      <c r="M400" s="17" t="n"/>
    </row>
    <row r="401">
      <c r="A401" s="12" t="n"/>
      <c r="B401" s="13" t="n"/>
      <c r="C401" s="12" t="n"/>
      <c r="D401" s="14" t="n"/>
      <c r="E401" s="12" t="n"/>
      <c r="F401" s="12" t="n"/>
      <c r="G401" s="12" t="n"/>
      <c r="H401" s="14" t="n"/>
      <c r="I401" s="14" t="n"/>
      <c r="J401" s="15" t="n"/>
      <c r="K401" s="15" t="n"/>
      <c r="L401" s="12" t="n"/>
      <c r="M401" s="12" t="n"/>
    </row>
    <row r="402">
      <c r="A402" s="17" t="n"/>
      <c r="B402" s="18" t="n"/>
      <c r="C402" s="17" t="n"/>
      <c r="D402" s="19" t="n"/>
      <c r="E402" s="17" t="n"/>
      <c r="F402" s="17" t="n"/>
      <c r="G402" s="17" t="n"/>
      <c r="H402" s="19" t="n"/>
      <c r="I402" s="19" t="n"/>
      <c r="J402" s="20" t="n"/>
      <c r="K402" s="20" t="n"/>
      <c r="L402" s="17" t="n"/>
      <c r="M402" s="17" t="n"/>
    </row>
    <row r="403">
      <c r="A403" s="12" t="n"/>
      <c r="B403" s="13" t="n"/>
      <c r="C403" s="12" t="n"/>
      <c r="D403" s="14" t="n"/>
      <c r="E403" s="12" t="n"/>
      <c r="F403" s="12" t="n"/>
      <c r="G403" s="12" t="n"/>
      <c r="H403" s="14" t="n"/>
      <c r="I403" s="14" t="n"/>
      <c r="J403" s="15" t="n"/>
      <c r="K403" s="15" t="n"/>
      <c r="L403" s="12" t="n"/>
      <c r="M403" s="12" t="n"/>
    </row>
    <row r="404">
      <c r="A404" s="17" t="n"/>
      <c r="B404" s="18" t="n"/>
      <c r="C404" s="17" t="n"/>
      <c r="D404" s="19" t="n"/>
      <c r="E404" s="17" t="n"/>
      <c r="F404" s="17" t="n"/>
      <c r="G404" s="17" t="n"/>
      <c r="H404" s="19" t="n"/>
      <c r="I404" s="19" t="n"/>
      <c r="J404" s="20" t="n"/>
      <c r="K404" s="20" t="n"/>
      <c r="L404" s="17" t="n"/>
      <c r="M404" s="17" t="n"/>
    </row>
    <row r="405">
      <c r="A405" s="12" t="n"/>
      <c r="B405" s="13" t="n"/>
      <c r="C405" s="12" t="n"/>
      <c r="D405" s="14" t="n"/>
      <c r="E405" s="12" t="n"/>
      <c r="F405" s="12" t="n"/>
      <c r="G405" s="12" t="n"/>
      <c r="H405" s="14" t="n"/>
      <c r="I405" s="14" t="n"/>
      <c r="J405" s="15" t="n"/>
      <c r="K405" s="15" t="n"/>
      <c r="L405" s="12" t="n"/>
      <c r="M405" s="12" t="n"/>
    </row>
    <row r="406">
      <c r="A406" s="17" t="n"/>
      <c r="B406" s="18" t="n"/>
      <c r="C406" s="17" t="n"/>
      <c r="D406" s="19" t="n"/>
      <c r="E406" s="17" t="n"/>
      <c r="F406" s="17" t="n"/>
      <c r="G406" s="17" t="n"/>
      <c r="H406" s="19" t="n"/>
      <c r="I406" s="19" t="n"/>
      <c r="J406" s="20" t="n"/>
      <c r="K406" s="20" t="n"/>
      <c r="L406" s="17" t="n"/>
      <c r="M406" s="17" t="n"/>
    </row>
    <row r="407">
      <c r="A407" s="12" t="n"/>
      <c r="B407" s="13" t="n"/>
      <c r="C407" s="12" t="n"/>
      <c r="D407" s="14" t="n"/>
      <c r="E407" s="12" t="n"/>
      <c r="F407" s="12" t="n"/>
      <c r="G407" s="12" t="n"/>
      <c r="H407" s="14" t="n"/>
      <c r="I407" s="14" t="n"/>
      <c r="J407" s="15" t="n"/>
      <c r="K407" s="15" t="n"/>
      <c r="L407" s="12" t="n"/>
      <c r="M407" s="12" t="n"/>
    </row>
    <row r="408">
      <c r="A408" s="17" t="n"/>
      <c r="B408" s="18" t="n"/>
      <c r="C408" s="17" t="n"/>
      <c r="D408" s="19" t="n"/>
      <c r="E408" s="17" t="n"/>
      <c r="F408" s="17" t="n"/>
      <c r="G408" s="17" t="n"/>
      <c r="H408" s="19" t="n"/>
      <c r="I408" s="19" t="n"/>
      <c r="J408" s="20" t="n"/>
      <c r="K408" s="20" t="n"/>
      <c r="L408" s="17" t="n"/>
      <c r="M408" s="17" t="n"/>
    </row>
    <row r="409">
      <c r="A409" s="12" t="n"/>
      <c r="B409" s="13" t="n"/>
      <c r="C409" s="12" t="n"/>
      <c r="D409" s="14" t="n"/>
      <c r="E409" s="12" t="n"/>
      <c r="F409" s="12" t="n"/>
      <c r="G409" s="12" t="n"/>
      <c r="H409" s="14" t="n"/>
      <c r="I409" s="14" t="n"/>
      <c r="J409" s="15" t="n"/>
      <c r="K409" s="15" t="n"/>
      <c r="L409" s="12" t="n"/>
      <c r="M409" s="12" t="n"/>
    </row>
    <row r="410">
      <c r="A410" s="17" t="n"/>
      <c r="B410" s="18" t="n"/>
      <c r="C410" s="17" t="n"/>
      <c r="D410" s="19" t="n"/>
      <c r="E410" s="17" t="n"/>
      <c r="F410" s="17" t="n"/>
      <c r="G410" s="17" t="n"/>
      <c r="H410" s="19" t="n"/>
      <c r="I410" s="19" t="n"/>
      <c r="J410" s="20" t="n"/>
      <c r="K410" s="20" t="n"/>
      <c r="L410" s="17" t="n"/>
      <c r="M410" s="17" t="n"/>
    </row>
    <row r="411">
      <c r="A411" s="12" t="n"/>
      <c r="B411" s="13" t="n"/>
      <c r="C411" s="12" t="n"/>
      <c r="D411" s="14" t="n"/>
      <c r="E411" s="12" t="n"/>
      <c r="F411" s="12" t="n"/>
      <c r="G411" s="12" t="n"/>
      <c r="H411" s="14" t="n"/>
      <c r="I411" s="14" t="n"/>
      <c r="J411" s="15" t="n"/>
      <c r="K411" s="15" t="n"/>
      <c r="L411" s="12" t="n"/>
      <c r="M411" s="12" t="n"/>
    </row>
    <row r="412">
      <c r="A412" s="17" t="n"/>
      <c r="B412" s="18" t="n"/>
      <c r="C412" s="17" t="n"/>
      <c r="D412" s="19" t="n"/>
      <c r="E412" s="17" t="n"/>
      <c r="F412" s="17" t="n"/>
      <c r="G412" s="17" t="n"/>
      <c r="H412" s="19" t="n"/>
      <c r="I412" s="19" t="n"/>
      <c r="J412" s="20" t="n"/>
      <c r="K412" s="20" t="n"/>
      <c r="L412" s="17" t="n"/>
      <c r="M412" s="17" t="n"/>
    </row>
    <row r="413">
      <c r="A413" s="12" t="n"/>
      <c r="B413" s="13" t="n"/>
      <c r="C413" s="12" t="n"/>
      <c r="D413" s="14" t="n"/>
      <c r="E413" s="12" t="n"/>
      <c r="F413" s="12" t="n"/>
      <c r="G413" s="12" t="n"/>
      <c r="H413" s="14" t="n"/>
      <c r="I413" s="14" t="n"/>
      <c r="J413" s="15" t="n"/>
      <c r="K413" s="15" t="n"/>
      <c r="L413" s="12" t="n"/>
      <c r="M413" s="12" t="n"/>
    </row>
    <row r="414">
      <c r="A414" s="17" t="n"/>
      <c r="B414" s="18" t="n"/>
      <c r="C414" s="17" t="n"/>
      <c r="D414" s="19" t="n"/>
      <c r="E414" s="17" t="n"/>
      <c r="F414" s="17" t="n"/>
      <c r="G414" s="17" t="n"/>
      <c r="H414" s="19" t="n"/>
      <c r="I414" s="19" t="n"/>
      <c r="J414" s="20" t="n"/>
      <c r="K414" s="20" t="n"/>
      <c r="L414" s="17" t="n"/>
      <c r="M414" s="17" t="n"/>
    </row>
    <row r="415">
      <c r="A415" s="12" t="n"/>
      <c r="B415" s="13" t="n"/>
      <c r="C415" s="12" t="n"/>
      <c r="D415" s="14" t="n"/>
      <c r="E415" s="12" t="n"/>
      <c r="F415" s="12" t="n"/>
      <c r="G415" s="12" t="n"/>
      <c r="H415" s="14" t="n"/>
      <c r="I415" s="14" t="n"/>
      <c r="J415" s="15" t="n"/>
      <c r="K415" s="15" t="n"/>
      <c r="L415" s="12" t="n"/>
      <c r="M415" s="12" t="n"/>
    </row>
    <row r="416">
      <c r="A416" s="17" t="n"/>
      <c r="B416" s="18" t="n"/>
      <c r="C416" s="17" t="n"/>
      <c r="D416" s="19" t="n"/>
      <c r="E416" s="17" t="n"/>
      <c r="F416" s="17" t="n"/>
      <c r="G416" s="17" t="n"/>
      <c r="H416" s="19" t="n"/>
      <c r="I416" s="19" t="n"/>
      <c r="J416" s="20" t="n"/>
      <c r="K416" s="20" t="n"/>
      <c r="L416" s="17" t="n"/>
      <c r="M416" s="17" t="n"/>
    </row>
    <row r="417">
      <c r="A417" s="12" t="n"/>
      <c r="B417" s="13" t="n"/>
      <c r="C417" s="12" t="n"/>
      <c r="D417" s="14" t="n"/>
      <c r="E417" s="12" t="n"/>
      <c r="F417" s="12" t="n"/>
      <c r="G417" s="12" t="n"/>
      <c r="H417" s="14" t="n"/>
      <c r="I417" s="14" t="n"/>
      <c r="J417" s="15" t="n"/>
      <c r="K417" s="15" t="n"/>
      <c r="L417" s="12" t="n"/>
      <c r="M417" s="12" t="n"/>
    </row>
    <row r="418">
      <c r="A418" s="17" t="n"/>
      <c r="B418" s="18" t="n"/>
      <c r="C418" s="17" t="n"/>
      <c r="D418" s="19" t="n"/>
      <c r="E418" s="17" t="n"/>
      <c r="F418" s="17" t="n"/>
      <c r="G418" s="17" t="n"/>
      <c r="H418" s="19" t="n"/>
      <c r="I418" s="19" t="n"/>
      <c r="J418" s="20" t="n"/>
      <c r="K418" s="20" t="n"/>
      <c r="L418" s="17" t="n"/>
      <c r="M418" s="17" t="n"/>
    </row>
    <row r="419">
      <c r="A419" s="12" t="n"/>
      <c r="B419" s="13" t="n"/>
      <c r="C419" s="12" t="n"/>
      <c r="D419" s="14" t="n"/>
      <c r="E419" s="12" t="n"/>
      <c r="F419" s="12" t="n"/>
      <c r="G419" s="12" t="n"/>
      <c r="H419" s="14" t="n"/>
      <c r="I419" s="14" t="n"/>
      <c r="J419" s="15" t="n"/>
      <c r="K419" s="15" t="n"/>
      <c r="L419" s="12" t="n"/>
      <c r="M419" s="12" t="n"/>
    </row>
    <row r="420">
      <c r="A420" s="17" t="n"/>
      <c r="B420" s="18" t="n"/>
      <c r="C420" s="17" t="n"/>
      <c r="D420" s="19" t="n"/>
      <c r="E420" s="17" t="n"/>
      <c r="F420" s="17" t="n"/>
      <c r="G420" s="17" t="n"/>
      <c r="H420" s="19" t="n"/>
      <c r="I420" s="19" t="n"/>
      <c r="J420" s="20" t="n"/>
      <c r="K420" s="20" t="n"/>
      <c r="L420" s="17" t="n"/>
      <c r="M420" s="17" t="n"/>
    </row>
    <row r="421">
      <c r="A421" s="12" t="n"/>
      <c r="B421" s="13" t="n"/>
      <c r="C421" s="12" t="n"/>
      <c r="D421" s="14" t="n"/>
      <c r="E421" s="12" t="n"/>
      <c r="F421" s="12" t="n"/>
      <c r="G421" s="12" t="n"/>
      <c r="H421" s="14" t="n"/>
      <c r="I421" s="14" t="n"/>
      <c r="J421" s="15" t="n"/>
      <c r="K421" s="15" t="n"/>
      <c r="L421" s="12" t="n"/>
      <c r="M421" s="12" t="n"/>
    </row>
    <row r="422">
      <c r="A422" s="17" t="n"/>
      <c r="B422" s="18" t="n"/>
      <c r="C422" s="17" t="n"/>
      <c r="D422" s="19" t="n"/>
      <c r="E422" s="17" t="n"/>
      <c r="F422" s="17" t="n"/>
      <c r="G422" s="17" t="n"/>
      <c r="H422" s="19" t="n"/>
      <c r="I422" s="19" t="n"/>
      <c r="J422" s="20" t="n"/>
      <c r="K422" s="20" t="n"/>
      <c r="L422" s="17" t="n"/>
      <c r="M422" s="17" t="n"/>
    </row>
    <row r="423">
      <c r="A423" s="12" t="n"/>
      <c r="B423" s="13" t="n"/>
      <c r="C423" s="12" t="n"/>
      <c r="D423" s="14" t="n"/>
      <c r="E423" s="12" t="n"/>
      <c r="F423" s="12" t="n"/>
      <c r="G423" s="12" t="n"/>
      <c r="H423" s="14" t="n"/>
      <c r="I423" s="14" t="n"/>
      <c r="J423" s="15" t="n"/>
      <c r="K423" s="15" t="n"/>
      <c r="L423" s="12" t="n"/>
      <c r="M423" s="12" t="n"/>
    </row>
    <row r="424">
      <c r="A424" s="17" t="n"/>
      <c r="B424" s="18" t="n"/>
      <c r="C424" s="17" t="n"/>
      <c r="D424" s="19" t="n"/>
      <c r="E424" s="17" t="n"/>
      <c r="F424" s="17" t="n"/>
      <c r="G424" s="17" t="n"/>
      <c r="H424" s="19" t="n"/>
      <c r="I424" s="19" t="n"/>
      <c r="J424" s="20" t="n"/>
      <c r="K424" s="20" t="n"/>
      <c r="L424" s="17" t="n"/>
      <c r="M424" s="17" t="n"/>
    </row>
    <row r="425">
      <c r="A425" s="12" t="n"/>
      <c r="B425" s="13" t="n"/>
      <c r="C425" s="12" t="n"/>
      <c r="D425" s="14" t="n"/>
      <c r="E425" s="12" t="n"/>
      <c r="F425" s="12" t="n"/>
      <c r="G425" s="12" t="n"/>
      <c r="H425" s="14" t="n"/>
      <c r="I425" s="14" t="n"/>
      <c r="J425" s="15" t="n"/>
      <c r="K425" s="15" t="n"/>
      <c r="L425" s="12" t="n"/>
      <c r="M425" s="12" t="n"/>
    </row>
    <row r="426">
      <c r="A426" s="17" t="n"/>
      <c r="B426" s="18" t="n"/>
      <c r="C426" s="17" t="n"/>
      <c r="D426" s="19" t="n"/>
      <c r="E426" s="17" t="n"/>
      <c r="F426" s="17" t="n"/>
      <c r="G426" s="17" t="n"/>
      <c r="H426" s="19" t="n"/>
      <c r="I426" s="19" t="n"/>
      <c r="J426" s="20" t="n"/>
      <c r="K426" s="20" t="n"/>
      <c r="L426" s="17" t="n"/>
      <c r="M426" s="17" t="n"/>
    </row>
    <row r="427">
      <c r="A427" s="12" t="n"/>
      <c r="B427" s="13" t="n"/>
      <c r="C427" s="12" t="n"/>
      <c r="D427" s="14" t="n"/>
      <c r="E427" s="12" t="n"/>
      <c r="F427" s="12" t="n"/>
      <c r="G427" s="12" t="n"/>
      <c r="H427" s="14" t="n"/>
      <c r="I427" s="14" t="n"/>
      <c r="J427" s="15" t="n"/>
      <c r="K427" s="15" t="n"/>
      <c r="L427" s="12" t="n"/>
      <c r="M427" s="12" t="n"/>
    </row>
    <row r="428">
      <c r="A428" s="17" t="n"/>
      <c r="B428" s="18" t="n"/>
      <c r="C428" s="17" t="n"/>
      <c r="D428" s="19" t="n"/>
      <c r="E428" s="17" t="n"/>
      <c r="F428" s="17" t="n"/>
      <c r="G428" s="17" t="n"/>
      <c r="H428" s="19" t="n"/>
      <c r="I428" s="19" t="n"/>
      <c r="J428" s="20" t="n"/>
      <c r="K428" s="20" t="n"/>
      <c r="L428" s="17" t="n"/>
      <c r="M428" s="17" t="n"/>
    </row>
    <row r="429">
      <c r="A429" s="12" t="n"/>
      <c r="B429" s="13" t="n"/>
      <c r="C429" s="12" t="n"/>
      <c r="D429" s="14" t="n"/>
      <c r="E429" s="12" t="n"/>
      <c r="F429" s="12" t="n"/>
      <c r="G429" s="12" t="n"/>
      <c r="H429" s="14" t="n"/>
      <c r="I429" s="14" t="n"/>
      <c r="J429" s="15" t="n"/>
      <c r="K429" s="15" t="n"/>
      <c r="L429" s="12" t="n"/>
      <c r="M429" s="12" t="n"/>
    </row>
    <row r="430">
      <c r="A430" s="17" t="n"/>
      <c r="B430" s="18" t="n"/>
      <c r="C430" s="17" t="n"/>
      <c r="D430" s="19" t="n"/>
      <c r="E430" s="17" t="n"/>
      <c r="F430" s="17" t="n"/>
      <c r="G430" s="17" t="n"/>
      <c r="H430" s="19" t="n"/>
      <c r="I430" s="19" t="n"/>
      <c r="J430" s="20" t="n"/>
      <c r="K430" s="20" t="n"/>
      <c r="L430" s="17" t="n"/>
      <c r="M430" s="17" t="n"/>
    </row>
    <row r="431">
      <c r="A431" s="12" t="n"/>
      <c r="B431" s="13" t="n"/>
      <c r="C431" s="12" t="n"/>
      <c r="D431" s="14" t="n"/>
      <c r="E431" s="12" t="n"/>
      <c r="F431" s="12" t="n"/>
      <c r="G431" s="12" t="n"/>
      <c r="H431" s="14" t="n"/>
      <c r="I431" s="14" t="n"/>
      <c r="J431" s="15" t="n"/>
      <c r="K431" s="15" t="n"/>
      <c r="L431" s="12" t="n"/>
      <c r="M431" s="12" t="n"/>
    </row>
    <row r="432">
      <c r="A432" s="17" t="n"/>
      <c r="B432" s="18" t="n"/>
      <c r="C432" s="17" t="n"/>
      <c r="D432" s="19" t="n"/>
      <c r="E432" s="17" t="n"/>
      <c r="F432" s="17" t="n"/>
      <c r="G432" s="17" t="n"/>
      <c r="H432" s="19" t="n"/>
      <c r="I432" s="19" t="n"/>
      <c r="J432" s="20" t="n"/>
      <c r="K432" s="20" t="n"/>
      <c r="L432" s="17" t="n"/>
      <c r="M432" s="17" t="n"/>
    </row>
    <row r="433">
      <c r="A433" s="12" t="n"/>
      <c r="B433" s="13" t="n"/>
      <c r="C433" s="12" t="n"/>
      <c r="D433" s="14" t="n"/>
      <c r="E433" s="12" t="n"/>
      <c r="F433" s="12" t="n"/>
      <c r="G433" s="12" t="n"/>
      <c r="H433" s="14" t="n"/>
      <c r="I433" s="14" t="n"/>
      <c r="J433" s="15" t="n"/>
      <c r="K433" s="15" t="n"/>
      <c r="L433" s="12" t="n"/>
      <c r="M433" s="12" t="n"/>
    </row>
    <row r="434">
      <c r="A434" s="17" t="n"/>
      <c r="B434" s="18" t="n"/>
      <c r="C434" s="17" t="n"/>
      <c r="D434" s="19" t="n"/>
      <c r="E434" s="17" t="n"/>
      <c r="F434" s="17" t="n"/>
      <c r="G434" s="17" t="n"/>
      <c r="H434" s="19" t="n"/>
      <c r="I434" s="19" t="n"/>
      <c r="J434" s="20" t="n"/>
      <c r="K434" s="20" t="n"/>
      <c r="L434" s="17" t="n"/>
      <c r="M434" s="17" t="n"/>
    </row>
    <row r="435">
      <c r="A435" s="12" t="n"/>
      <c r="B435" s="13" t="n"/>
      <c r="C435" s="12" t="n"/>
      <c r="D435" s="14" t="n"/>
      <c r="E435" s="12" t="n"/>
      <c r="F435" s="12" t="n"/>
      <c r="G435" s="12" t="n"/>
      <c r="H435" s="14" t="n"/>
      <c r="I435" s="14" t="n"/>
      <c r="J435" s="15" t="n"/>
      <c r="K435" s="15" t="n"/>
      <c r="L435" s="12" t="n"/>
      <c r="M435" s="12" t="n"/>
    </row>
    <row r="436">
      <c r="A436" s="17" t="n"/>
      <c r="B436" s="18" t="n"/>
      <c r="C436" s="17" t="n"/>
      <c r="D436" s="19" t="n"/>
      <c r="E436" s="17" t="n"/>
      <c r="F436" s="17" t="n"/>
      <c r="G436" s="17" t="n"/>
      <c r="H436" s="19" t="n"/>
      <c r="I436" s="19" t="n"/>
      <c r="J436" s="20" t="n"/>
      <c r="K436" s="20" t="n"/>
      <c r="L436" s="17" t="n"/>
      <c r="M436" s="17" t="n"/>
    </row>
    <row r="437">
      <c r="A437" s="12" t="n"/>
      <c r="B437" s="13" t="n"/>
      <c r="C437" s="12" t="n"/>
      <c r="D437" s="14" t="n"/>
      <c r="E437" s="12" t="n"/>
      <c r="F437" s="12" t="n"/>
      <c r="G437" s="12" t="n"/>
      <c r="H437" s="14" t="n"/>
      <c r="I437" s="14" t="n"/>
      <c r="J437" s="15" t="n"/>
      <c r="K437" s="15" t="n"/>
      <c r="L437" s="12" t="n"/>
      <c r="M437" s="12" t="n"/>
    </row>
    <row r="438">
      <c r="A438" s="17" t="n"/>
      <c r="B438" s="18" t="n"/>
      <c r="C438" s="17" t="n"/>
      <c r="D438" s="19" t="n"/>
      <c r="E438" s="17" t="n"/>
      <c r="F438" s="17" t="n"/>
      <c r="G438" s="17" t="n"/>
      <c r="H438" s="19" t="n"/>
      <c r="I438" s="19" t="n"/>
      <c r="J438" s="20" t="n"/>
      <c r="K438" s="20" t="n"/>
      <c r="L438" s="17" t="n"/>
      <c r="M438" s="17" t="n"/>
    </row>
    <row r="439">
      <c r="A439" s="12" t="n"/>
      <c r="B439" s="13" t="n"/>
      <c r="C439" s="12" t="n"/>
      <c r="D439" s="14" t="n"/>
      <c r="E439" s="12" t="n"/>
      <c r="F439" s="12" t="n"/>
      <c r="G439" s="12" t="n"/>
      <c r="H439" s="14" t="n"/>
      <c r="I439" s="14" t="n"/>
      <c r="J439" s="15" t="n"/>
      <c r="K439" s="15" t="n"/>
      <c r="L439" s="12" t="n"/>
      <c r="M439" s="12" t="n"/>
    </row>
    <row r="440">
      <c r="A440" s="17" t="n"/>
      <c r="B440" s="18" t="n"/>
      <c r="C440" s="17" t="n"/>
      <c r="D440" s="19" t="n"/>
      <c r="E440" s="17" t="n"/>
      <c r="F440" s="17" t="n"/>
      <c r="G440" s="17" t="n"/>
      <c r="H440" s="19" t="n"/>
      <c r="I440" s="19" t="n"/>
      <c r="J440" s="20" t="n"/>
      <c r="K440" s="20" t="n"/>
      <c r="L440" s="17" t="n"/>
      <c r="M440" s="17" t="n"/>
    </row>
    <row r="441">
      <c r="A441" s="12" t="n"/>
      <c r="B441" s="13" t="n"/>
      <c r="C441" s="12" t="n"/>
      <c r="D441" s="14" t="n"/>
      <c r="E441" s="12" t="n"/>
      <c r="F441" s="12" t="n"/>
      <c r="G441" s="12" t="n"/>
      <c r="H441" s="14" t="n"/>
      <c r="I441" s="14" t="n"/>
      <c r="J441" s="15" t="n"/>
      <c r="K441" s="15" t="n"/>
      <c r="L441" s="12" t="n"/>
      <c r="M441" s="12" t="n"/>
    </row>
    <row r="442">
      <c r="A442" s="17" t="n"/>
      <c r="B442" s="18" t="n"/>
      <c r="C442" s="17" t="n"/>
      <c r="D442" s="19" t="n"/>
      <c r="E442" s="17" t="n"/>
      <c r="F442" s="17" t="n"/>
      <c r="G442" s="17" t="n"/>
      <c r="H442" s="19" t="n"/>
      <c r="I442" s="19" t="n"/>
      <c r="J442" s="20" t="n"/>
      <c r="K442" s="20" t="n"/>
      <c r="L442" s="17" t="n"/>
      <c r="M442" s="17" t="n"/>
    </row>
    <row r="443">
      <c r="A443" s="12" t="n"/>
      <c r="B443" s="13" t="n"/>
      <c r="C443" s="12" t="n"/>
      <c r="D443" s="14" t="n"/>
      <c r="E443" s="12" t="n"/>
      <c r="F443" s="12" t="n"/>
      <c r="G443" s="12" t="n"/>
      <c r="H443" s="14" t="n"/>
      <c r="I443" s="14" t="n"/>
      <c r="J443" s="15" t="n"/>
      <c r="K443" s="15" t="n"/>
      <c r="L443" s="12" t="n"/>
      <c r="M443" s="12" t="n"/>
    </row>
    <row r="444">
      <c r="A444" s="17" t="n"/>
      <c r="B444" s="18" t="n"/>
      <c r="C444" s="17" t="n"/>
      <c r="D444" s="19" t="n"/>
      <c r="E444" s="17" t="n"/>
      <c r="F444" s="17" t="n"/>
      <c r="G444" s="17" t="n"/>
      <c r="H444" s="19" t="n"/>
      <c r="I444" s="19" t="n"/>
      <c r="J444" s="20" t="n"/>
      <c r="K444" s="20" t="n"/>
      <c r="L444" s="17" t="n"/>
      <c r="M444" s="17" t="n"/>
    </row>
    <row r="445">
      <c r="A445" s="12" t="n"/>
      <c r="B445" s="13" t="n"/>
      <c r="C445" s="12" t="n"/>
      <c r="D445" s="14" t="n"/>
      <c r="E445" s="12" t="n"/>
      <c r="F445" s="12" t="n"/>
      <c r="G445" s="12" t="n"/>
      <c r="H445" s="14" t="n"/>
      <c r="I445" s="14" t="n"/>
      <c r="J445" s="15" t="n"/>
      <c r="K445" s="15" t="n"/>
      <c r="L445" s="12" t="n"/>
      <c r="M445" s="12" t="n"/>
    </row>
    <row r="446">
      <c r="A446" s="17" t="n"/>
      <c r="B446" s="18" t="n"/>
      <c r="C446" s="17" t="n"/>
      <c r="D446" s="19" t="n"/>
      <c r="E446" s="17" t="n"/>
      <c r="F446" s="17" t="n"/>
      <c r="G446" s="17" t="n"/>
      <c r="H446" s="19" t="n"/>
      <c r="I446" s="19" t="n"/>
      <c r="J446" s="20" t="n"/>
      <c r="K446" s="20" t="n"/>
      <c r="L446" s="17" t="n"/>
      <c r="M446" s="17" t="n"/>
    </row>
    <row r="447">
      <c r="A447" s="12" t="n"/>
      <c r="B447" s="13" t="n"/>
      <c r="C447" s="12" t="n"/>
      <c r="D447" s="14" t="n"/>
      <c r="E447" s="12" t="n"/>
      <c r="F447" s="12" t="n"/>
      <c r="G447" s="12" t="n"/>
      <c r="H447" s="14" t="n"/>
      <c r="I447" s="14" t="n"/>
      <c r="J447" s="15" t="n"/>
      <c r="K447" s="15" t="n"/>
      <c r="L447" s="12" t="n"/>
      <c r="M447" s="12" t="n"/>
    </row>
    <row r="448">
      <c r="A448" s="17" t="n"/>
      <c r="B448" s="18" t="n"/>
      <c r="C448" s="17" t="n"/>
      <c r="D448" s="19" t="n"/>
      <c r="E448" s="17" t="n"/>
      <c r="F448" s="17" t="n"/>
      <c r="G448" s="17" t="n"/>
      <c r="H448" s="19" t="n"/>
      <c r="I448" s="19" t="n"/>
      <c r="J448" s="20" t="n"/>
      <c r="K448" s="20" t="n"/>
      <c r="L448" s="17" t="n"/>
      <c r="M448" s="17" t="n"/>
    </row>
    <row r="449">
      <c r="A449" s="12" t="n"/>
      <c r="B449" s="13" t="n"/>
      <c r="C449" s="12" t="n"/>
      <c r="D449" s="14" t="n"/>
      <c r="E449" s="12" t="n"/>
      <c r="F449" s="12" t="n"/>
      <c r="G449" s="12" t="n"/>
      <c r="H449" s="14" t="n"/>
      <c r="I449" s="14" t="n"/>
      <c r="J449" s="15" t="n"/>
      <c r="K449" s="15" t="n"/>
      <c r="L449" s="12" t="n"/>
      <c r="M449" s="12" t="n"/>
    </row>
    <row r="450">
      <c r="A450" s="17" t="n"/>
      <c r="B450" s="18" t="n"/>
      <c r="C450" s="17" t="n"/>
      <c r="D450" s="19" t="n"/>
      <c r="E450" s="17" t="n"/>
      <c r="F450" s="17" t="n"/>
      <c r="G450" s="17" t="n"/>
      <c r="H450" s="19" t="n"/>
      <c r="I450" s="19" t="n"/>
      <c r="J450" s="20" t="n"/>
      <c r="K450" s="20" t="n"/>
      <c r="L450" s="17" t="n"/>
      <c r="M450" s="17" t="n"/>
    </row>
    <row r="451">
      <c r="A451" s="12" t="n"/>
      <c r="B451" s="13" t="n"/>
      <c r="C451" s="12" t="n"/>
      <c r="D451" s="14" t="n"/>
      <c r="E451" s="12" t="n"/>
      <c r="F451" s="12" t="n"/>
      <c r="G451" s="12" t="n"/>
      <c r="H451" s="14" t="n"/>
      <c r="I451" s="14" t="n"/>
      <c r="J451" s="15" t="n"/>
      <c r="K451" s="15" t="n"/>
      <c r="L451" s="12" t="n"/>
      <c r="M451" s="12" t="n"/>
    </row>
    <row r="452">
      <c r="A452" s="17" t="n"/>
      <c r="B452" s="18" t="n"/>
      <c r="C452" s="17" t="n"/>
      <c r="D452" s="19" t="n"/>
      <c r="E452" s="17" t="n"/>
      <c r="F452" s="17" t="n"/>
      <c r="G452" s="17" t="n"/>
      <c r="H452" s="19" t="n"/>
      <c r="I452" s="19" t="n"/>
      <c r="J452" s="20" t="n"/>
      <c r="K452" s="20" t="n"/>
      <c r="L452" s="17" t="n"/>
      <c r="M452" s="17" t="n"/>
    </row>
    <row r="453">
      <c r="A453" s="12" t="n"/>
      <c r="B453" s="13" t="n"/>
      <c r="C453" s="12" t="n"/>
      <c r="D453" s="14" t="n"/>
      <c r="E453" s="12" t="n"/>
      <c r="F453" s="12" t="n"/>
      <c r="G453" s="12" t="n"/>
      <c r="H453" s="14" t="n"/>
      <c r="I453" s="14" t="n"/>
      <c r="J453" s="15" t="n"/>
      <c r="K453" s="15" t="n"/>
      <c r="L453" s="12" t="n"/>
      <c r="M453" s="12" t="n"/>
    </row>
    <row r="454">
      <c r="A454" s="17" t="n"/>
      <c r="B454" s="18" t="n"/>
      <c r="C454" s="17" t="n"/>
      <c r="D454" s="19" t="n"/>
      <c r="E454" s="17" t="n"/>
      <c r="F454" s="17" t="n"/>
      <c r="G454" s="17" t="n"/>
      <c r="H454" s="19" t="n"/>
      <c r="I454" s="19" t="n"/>
      <c r="J454" s="20" t="n"/>
      <c r="K454" s="20" t="n"/>
      <c r="L454" s="17" t="n"/>
      <c r="M454" s="17" t="n"/>
    </row>
    <row r="455">
      <c r="A455" s="12" t="n"/>
      <c r="B455" s="13" t="n"/>
      <c r="C455" s="12" t="n"/>
      <c r="D455" s="14" t="n"/>
      <c r="E455" s="12" t="n"/>
      <c r="F455" s="12" t="n"/>
      <c r="G455" s="12" t="n"/>
      <c r="H455" s="14" t="n"/>
      <c r="I455" s="14" t="n"/>
      <c r="J455" s="15" t="n"/>
      <c r="K455" s="15" t="n"/>
      <c r="L455" s="12" t="n"/>
      <c r="M455" s="12" t="n"/>
    </row>
    <row r="456">
      <c r="A456" s="17" t="n"/>
      <c r="B456" s="18" t="n"/>
      <c r="C456" s="17" t="n"/>
      <c r="D456" s="19" t="n"/>
      <c r="E456" s="17" t="n"/>
      <c r="F456" s="17" t="n"/>
      <c r="G456" s="17" t="n"/>
      <c r="H456" s="19" t="n"/>
      <c r="I456" s="19" t="n"/>
      <c r="J456" s="20" t="n"/>
      <c r="K456" s="20" t="n"/>
      <c r="L456" s="17" t="n"/>
      <c r="M456" s="17" t="n"/>
    </row>
    <row r="457">
      <c r="A457" s="12" t="n"/>
      <c r="B457" s="13" t="n"/>
      <c r="C457" s="12" t="n"/>
      <c r="D457" s="14" t="n"/>
      <c r="E457" s="12" t="n"/>
      <c r="F457" s="12" t="n"/>
      <c r="G457" s="12" t="n"/>
      <c r="H457" s="14" t="n"/>
      <c r="I457" s="14" t="n"/>
      <c r="J457" s="15" t="n"/>
      <c r="K457" s="15" t="n"/>
      <c r="L457" s="12" t="n"/>
      <c r="M457" s="12" t="n"/>
    </row>
    <row r="458">
      <c r="A458" s="17" t="n"/>
      <c r="B458" s="18" t="n"/>
      <c r="C458" s="17" t="n"/>
      <c r="D458" s="19" t="n"/>
      <c r="E458" s="17" t="n"/>
      <c r="F458" s="17" t="n"/>
      <c r="G458" s="17" t="n"/>
      <c r="H458" s="19" t="n"/>
      <c r="I458" s="19" t="n"/>
      <c r="J458" s="20" t="n"/>
      <c r="K458" s="20" t="n"/>
      <c r="L458" s="17" t="n"/>
      <c r="M458" s="17" t="n"/>
    </row>
    <row r="459">
      <c r="A459" s="12" t="n"/>
      <c r="B459" s="13" t="n"/>
      <c r="C459" s="12" t="n"/>
      <c r="D459" s="14" t="n"/>
      <c r="E459" s="12" t="n"/>
      <c r="F459" s="12" t="n"/>
      <c r="G459" s="12" t="n"/>
      <c r="H459" s="14" t="n"/>
      <c r="I459" s="14" t="n"/>
      <c r="J459" s="15" t="n"/>
      <c r="K459" s="15" t="n"/>
      <c r="L459" s="12" t="n"/>
      <c r="M459" s="12" t="n"/>
    </row>
    <row r="460">
      <c r="A460" s="17" t="n"/>
      <c r="B460" s="18" t="n"/>
      <c r="C460" s="17" t="n"/>
      <c r="D460" s="19" t="n"/>
      <c r="E460" s="17" t="n"/>
      <c r="F460" s="17" t="n"/>
      <c r="G460" s="17" t="n"/>
      <c r="H460" s="19" t="n"/>
      <c r="I460" s="19" t="n"/>
      <c r="J460" s="20" t="n"/>
      <c r="K460" s="20" t="n"/>
      <c r="L460" s="17" t="n"/>
      <c r="M460" s="17" t="n"/>
    </row>
    <row r="461">
      <c r="A461" s="12" t="n"/>
      <c r="B461" s="13" t="n"/>
      <c r="C461" s="12" t="n"/>
      <c r="D461" s="14" t="n"/>
      <c r="E461" s="12" t="n"/>
      <c r="F461" s="12" t="n"/>
      <c r="G461" s="12" t="n"/>
      <c r="H461" s="14" t="n"/>
      <c r="I461" s="14" t="n"/>
      <c r="J461" s="15" t="n"/>
      <c r="K461" s="15" t="n"/>
      <c r="L461" s="12" t="n"/>
      <c r="M461" s="12" t="n"/>
    </row>
    <row r="462">
      <c r="A462" s="17" t="n"/>
      <c r="B462" s="18" t="n"/>
      <c r="C462" s="17" t="n"/>
      <c r="D462" s="19" t="n"/>
      <c r="E462" s="17" t="n"/>
      <c r="F462" s="17" t="n"/>
      <c r="G462" s="17" t="n"/>
      <c r="H462" s="19" t="n"/>
      <c r="I462" s="19" t="n"/>
      <c r="J462" s="20" t="n"/>
      <c r="K462" s="20" t="n"/>
      <c r="L462" s="17" t="n"/>
      <c r="M462" s="17" t="n"/>
    </row>
    <row r="463">
      <c r="A463" s="12" t="n"/>
      <c r="B463" s="13" t="n"/>
      <c r="C463" s="12" t="n"/>
      <c r="D463" s="14" t="n"/>
      <c r="E463" s="12" t="n"/>
      <c r="F463" s="12" t="n"/>
      <c r="G463" s="12" t="n"/>
      <c r="H463" s="14" t="n"/>
      <c r="I463" s="14" t="n"/>
      <c r="J463" s="15" t="n"/>
      <c r="K463" s="15" t="n"/>
      <c r="L463" s="12" t="n"/>
      <c r="M463" s="12" t="n"/>
    </row>
    <row r="464">
      <c r="A464" s="17" t="n"/>
      <c r="B464" s="18" t="n"/>
      <c r="C464" s="17" t="n"/>
      <c r="D464" s="19" t="n"/>
      <c r="E464" s="17" t="n"/>
      <c r="F464" s="17" t="n"/>
      <c r="G464" s="17" t="n"/>
      <c r="H464" s="19" t="n"/>
      <c r="I464" s="19" t="n"/>
      <c r="J464" s="20" t="n"/>
      <c r="K464" s="20" t="n"/>
      <c r="L464" s="17" t="n"/>
      <c r="M464" s="17" t="n"/>
    </row>
    <row r="465">
      <c r="A465" s="12" t="n"/>
      <c r="B465" s="13" t="n"/>
      <c r="C465" s="12" t="n"/>
      <c r="D465" s="14" t="n"/>
      <c r="E465" s="12" t="n"/>
      <c r="F465" s="12" t="n"/>
      <c r="G465" s="12" t="n"/>
      <c r="H465" s="14" t="n"/>
      <c r="I465" s="14" t="n"/>
      <c r="J465" s="15" t="n"/>
      <c r="K465" s="15" t="n"/>
      <c r="L465" s="12" t="n"/>
      <c r="M465" s="12" t="n"/>
    </row>
    <row r="466">
      <c r="A466" s="17" t="n"/>
      <c r="B466" s="18" t="n"/>
      <c r="C466" s="17" t="n"/>
      <c r="D466" s="19" t="n"/>
      <c r="E466" s="17" t="n"/>
      <c r="F466" s="17" t="n"/>
      <c r="G466" s="17" t="n"/>
      <c r="H466" s="19" t="n"/>
      <c r="I466" s="19" t="n"/>
      <c r="J466" s="20" t="n"/>
      <c r="K466" s="20" t="n"/>
      <c r="L466" s="17" t="n"/>
      <c r="M466" s="17" t="n"/>
    </row>
    <row r="467">
      <c r="A467" s="12" t="n"/>
      <c r="B467" s="13" t="n"/>
      <c r="C467" s="12" t="n"/>
      <c r="D467" s="14" t="n"/>
      <c r="E467" s="12" t="n"/>
      <c r="F467" s="12" t="n"/>
      <c r="G467" s="12" t="n"/>
      <c r="H467" s="14" t="n"/>
      <c r="I467" s="14" t="n"/>
      <c r="J467" s="15" t="n"/>
      <c r="K467" s="15" t="n"/>
      <c r="L467" s="12" t="n"/>
      <c r="M467" s="12" t="n"/>
    </row>
    <row r="468">
      <c r="A468" s="17" t="n"/>
      <c r="B468" s="18" t="n"/>
      <c r="C468" s="17" t="n"/>
      <c r="D468" s="19" t="n"/>
      <c r="E468" s="17" t="n"/>
      <c r="F468" s="17" t="n"/>
      <c r="G468" s="17" t="n"/>
      <c r="H468" s="19" t="n"/>
      <c r="I468" s="19" t="n"/>
      <c r="J468" s="20" t="n"/>
      <c r="K468" s="20" t="n"/>
      <c r="L468" s="17" t="n"/>
      <c r="M468" s="17" t="n"/>
    </row>
    <row r="469">
      <c r="A469" s="12" t="n"/>
      <c r="B469" s="13" t="n"/>
      <c r="C469" s="12" t="n"/>
      <c r="D469" s="14" t="n"/>
      <c r="E469" s="12" t="n"/>
      <c r="F469" s="12" t="n"/>
      <c r="G469" s="12" t="n"/>
      <c r="H469" s="14" t="n"/>
      <c r="I469" s="14" t="n"/>
      <c r="J469" s="15" t="n"/>
      <c r="K469" s="15" t="n"/>
      <c r="L469" s="12" t="n"/>
      <c r="M469" s="12" t="n"/>
    </row>
    <row r="470">
      <c r="A470" s="17" t="n"/>
      <c r="B470" s="18" t="n"/>
      <c r="C470" s="17" t="n"/>
      <c r="D470" s="19" t="n"/>
      <c r="E470" s="17" t="n"/>
      <c r="F470" s="17" t="n"/>
      <c r="G470" s="17" t="n"/>
      <c r="H470" s="19" t="n"/>
      <c r="I470" s="19" t="n"/>
      <c r="J470" s="20" t="n"/>
      <c r="K470" s="20" t="n"/>
      <c r="L470" s="17" t="n"/>
      <c r="M470" s="17" t="n"/>
    </row>
    <row r="471">
      <c r="A471" s="12" t="n"/>
      <c r="B471" s="13" t="n"/>
      <c r="C471" s="12" t="n"/>
      <c r="D471" s="14" t="n"/>
      <c r="E471" s="12" t="n"/>
      <c r="F471" s="12" t="n"/>
      <c r="G471" s="12" t="n"/>
      <c r="H471" s="14" t="n"/>
      <c r="I471" s="14" t="n"/>
      <c r="J471" s="15" t="n"/>
      <c r="K471" s="15" t="n"/>
      <c r="L471" s="12" t="n"/>
      <c r="M471" s="12" t="n"/>
    </row>
    <row r="472">
      <c r="A472" s="17" t="n"/>
      <c r="B472" s="18" t="n"/>
      <c r="C472" s="17" t="n"/>
      <c r="D472" s="19" t="n"/>
      <c r="E472" s="17" t="n"/>
      <c r="F472" s="17" t="n"/>
      <c r="G472" s="17" t="n"/>
      <c r="H472" s="19" t="n"/>
      <c r="I472" s="19" t="n"/>
      <c r="J472" s="20" t="n"/>
      <c r="K472" s="20" t="n"/>
      <c r="L472" s="17" t="n"/>
      <c r="M472" s="17" t="n"/>
    </row>
    <row r="473">
      <c r="A473" s="12" t="n"/>
      <c r="B473" s="13" t="n"/>
      <c r="C473" s="12" t="n"/>
      <c r="D473" s="14" t="n"/>
      <c r="E473" s="12" t="n"/>
      <c r="F473" s="12" t="n"/>
      <c r="G473" s="12" t="n"/>
      <c r="H473" s="14" t="n"/>
      <c r="I473" s="14" t="n"/>
      <c r="J473" s="15" t="n"/>
      <c r="K473" s="15" t="n"/>
      <c r="L473" s="12" t="n"/>
      <c r="M473" s="12" t="n"/>
    </row>
    <row r="474">
      <c r="A474" s="17" t="n"/>
      <c r="B474" s="18" t="n"/>
      <c r="C474" s="17" t="n"/>
      <c r="D474" s="19" t="n"/>
      <c r="E474" s="17" t="n"/>
      <c r="F474" s="17" t="n"/>
      <c r="G474" s="17" t="n"/>
      <c r="H474" s="19" t="n"/>
      <c r="I474" s="19" t="n"/>
      <c r="J474" s="20" t="n"/>
      <c r="K474" s="20" t="n"/>
      <c r="L474" s="17" t="n"/>
      <c r="M474" s="17" t="n"/>
    </row>
    <row r="475">
      <c r="A475" s="12" t="n"/>
      <c r="B475" s="13" t="n"/>
      <c r="C475" s="12" t="n"/>
      <c r="D475" s="14" t="n"/>
      <c r="E475" s="12" t="n"/>
      <c r="F475" s="12" t="n"/>
      <c r="G475" s="12" t="n"/>
      <c r="H475" s="14" t="n"/>
      <c r="I475" s="14" t="n"/>
      <c r="J475" s="15" t="n"/>
      <c r="K475" s="15" t="n"/>
      <c r="L475" s="12" t="n"/>
      <c r="M475" s="12" t="n"/>
    </row>
    <row r="476">
      <c r="A476" s="17" t="n"/>
      <c r="B476" s="18" t="n"/>
      <c r="C476" s="17" t="n"/>
      <c r="D476" s="19" t="n"/>
      <c r="E476" s="17" t="n"/>
      <c r="F476" s="17" t="n"/>
      <c r="G476" s="17" t="n"/>
      <c r="H476" s="19" t="n"/>
      <c r="I476" s="19" t="n"/>
      <c r="J476" s="20" t="n"/>
      <c r="K476" s="20" t="n"/>
      <c r="L476" s="17" t="n"/>
      <c r="M476" s="17" t="n"/>
    </row>
    <row r="477">
      <c r="A477" s="12" t="n"/>
      <c r="B477" s="13" t="n"/>
      <c r="C477" s="12" t="n"/>
      <c r="D477" s="14" t="n"/>
      <c r="E477" s="12" t="n"/>
      <c r="F477" s="12" t="n"/>
      <c r="G477" s="12" t="n"/>
      <c r="H477" s="14" t="n"/>
      <c r="I477" s="14" t="n"/>
      <c r="J477" s="15" t="n"/>
      <c r="K477" s="15" t="n"/>
      <c r="L477" s="12" t="n"/>
      <c r="M477" s="12" t="n"/>
    </row>
    <row r="478">
      <c r="A478" s="17" t="n"/>
      <c r="B478" s="18" t="n"/>
      <c r="C478" s="17" t="n"/>
      <c r="D478" s="19" t="n"/>
      <c r="E478" s="17" t="n"/>
      <c r="F478" s="17" t="n"/>
      <c r="G478" s="17" t="n"/>
      <c r="H478" s="19" t="n"/>
      <c r="I478" s="19" t="n"/>
      <c r="J478" s="20" t="n"/>
      <c r="K478" s="20" t="n"/>
      <c r="L478" s="17" t="n"/>
      <c r="M478" s="17" t="n"/>
    </row>
    <row r="479">
      <c r="A479" s="12" t="n"/>
      <c r="B479" s="13" t="n"/>
      <c r="C479" s="12" t="n"/>
      <c r="D479" s="14" t="n"/>
      <c r="E479" s="12" t="n"/>
      <c r="F479" s="12" t="n"/>
      <c r="G479" s="12" t="n"/>
      <c r="H479" s="14" t="n"/>
      <c r="I479" s="14" t="n"/>
      <c r="J479" s="15" t="n"/>
      <c r="K479" s="15" t="n"/>
      <c r="L479" s="12" t="n"/>
      <c r="M479" s="12" t="n"/>
    </row>
    <row r="480">
      <c r="A480" s="17" t="n"/>
      <c r="B480" s="18" t="n"/>
      <c r="C480" s="17" t="n"/>
      <c r="D480" s="19" t="n"/>
      <c r="E480" s="17" t="n"/>
      <c r="F480" s="17" t="n"/>
      <c r="G480" s="17" t="n"/>
      <c r="H480" s="19" t="n"/>
      <c r="I480" s="19" t="n"/>
      <c r="J480" s="20" t="n"/>
      <c r="K480" s="20" t="n"/>
      <c r="L480" s="17" t="n"/>
      <c r="M480" s="17" t="n"/>
    </row>
    <row r="481">
      <c r="A481" s="12" t="n"/>
      <c r="B481" s="13" t="n"/>
      <c r="C481" s="12" t="n"/>
      <c r="D481" s="14" t="n"/>
      <c r="E481" s="12" t="n"/>
      <c r="F481" s="12" t="n"/>
      <c r="G481" s="12" t="n"/>
      <c r="H481" s="14" t="n"/>
      <c r="I481" s="14" t="n"/>
      <c r="J481" s="15" t="n"/>
      <c r="K481" s="15" t="n"/>
      <c r="L481" s="12" t="n"/>
      <c r="M481" s="12" t="n"/>
    </row>
    <row r="482">
      <c r="A482" s="17" t="n"/>
      <c r="B482" s="18" t="n"/>
      <c r="C482" s="17" t="n"/>
      <c r="D482" s="19" t="n"/>
      <c r="E482" s="17" t="n"/>
      <c r="F482" s="17" t="n"/>
      <c r="G482" s="17" t="n"/>
      <c r="H482" s="19" t="n"/>
      <c r="I482" s="19" t="n"/>
      <c r="J482" s="20" t="n"/>
      <c r="K482" s="20" t="n"/>
      <c r="L482" s="17" t="n"/>
      <c r="M482" s="17" t="n"/>
    </row>
    <row r="483">
      <c r="A483" s="12" t="n"/>
      <c r="B483" s="13" t="n"/>
      <c r="C483" s="12" t="n"/>
      <c r="D483" s="14" t="n"/>
      <c r="E483" s="12" t="n"/>
      <c r="F483" s="12" t="n"/>
      <c r="G483" s="12" t="n"/>
      <c r="H483" s="14" t="n"/>
      <c r="I483" s="14" t="n"/>
      <c r="J483" s="15" t="n"/>
      <c r="K483" s="15" t="n"/>
      <c r="L483" s="12" t="n"/>
      <c r="M483" s="12" t="n"/>
    </row>
    <row r="484">
      <c r="A484" s="17" t="n"/>
      <c r="B484" s="18" t="n"/>
      <c r="C484" s="17" t="n"/>
      <c r="D484" s="19" t="n"/>
      <c r="E484" s="17" t="n"/>
      <c r="F484" s="17" t="n"/>
      <c r="G484" s="17" t="n"/>
      <c r="H484" s="19" t="n"/>
      <c r="I484" s="19" t="n"/>
      <c r="J484" s="20" t="n"/>
      <c r="K484" s="20" t="n"/>
      <c r="L484" s="17" t="n"/>
      <c r="M484" s="17" t="n"/>
    </row>
    <row r="485">
      <c r="A485" s="12" t="n"/>
      <c r="B485" s="13" t="n"/>
      <c r="C485" s="12" t="n"/>
      <c r="D485" s="14" t="n"/>
      <c r="E485" s="12" t="n"/>
      <c r="F485" s="12" t="n"/>
      <c r="G485" s="12" t="n"/>
      <c r="H485" s="14" t="n"/>
      <c r="I485" s="14" t="n"/>
      <c r="J485" s="15" t="n"/>
      <c r="K485" s="15" t="n"/>
      <c r="L485" s="12" t="n"/>
      <c r="M485" s="12" t="n"/>
    </row>
    <row r="486">
      <c r="A486" s="17" t="n"/>
      <c r="B486" s="18" t="n"/>
      <c r="C486" s="17" t="n"/>
      <c r="D486" s="19" t="n"/>
      <c r="E486" s="17" t="n"/>
      <c r="F486" s="17" t="n"/>
      <c r="G486" s="17" t="n"/>
      <c r="H486" s="19" t="n"/>
      <c r="I486" s="19" t="n"/>
      <c r="J486" s="20" t="n"/>
      <c r="K486" s="20" t="n"/>
      <c r="L486" s="17" t="n"/>
      <c r="M486" s="17" t="n"/>
    </row>
    <row r="487">
      <c r="A487" s="12" t="n"/>
      <c r="B487" s="13" t="n"/>
      <c r="C487" s="12" t="n"/>
      <c r="D487" s="14" t="n"/>
      <c r="E487" s="12" t="n"/>
      <c r="F487" s="12" t="n"/>
      <c r="G487" s="12" t="n"/>
      <c r="H487" s="14" t="n"/>
      <c r="I487" s="14" t="n"/>
      <c r="J487" s="15" t="n"/>
      <c r="K487" s="15" t="n"/>
      <c r="L487" s="12" t="n"/>
      <c r="M487" s="12" t="n"/>
    </row>
    <row r="488">
      <c r="A488" s="17" t="n"/>
      <c r="B488" s="18" t="n"/>
      <c r="C488" s="17" t="n"/>
      <c r="D488" s="19" t="n"/>
      <c r="E488" s="17" t="n"/>
      <c r="F488" s="17" t="n"/>
      <c r="G488" s="17" t="n"/>
      <c r="H488" s="19" t="n"/>
      <c r="I488" s="19" t="n"/>
      <c r="J488" s="20" t="n"/>
      <c r="K488" s="20" t="n"/>
      <c r="L488" s="17" t="n"/>
      <c r="M488" s="17" t="n"/>
    </row>
    <row r="489">
      <c r="A489" s="12" t="n"/>
      <c r="B489" s="13" t="n"/>
      <c r="C489" s="12" t="n"/>
      <c r="D489" s="14" t="n"/>
      <c r="E489" s="12" t="n"/>
      <c r="F489" s="12" t="n"/>
      <c r="G489" s="12" t="n"/>
      <c r="H489" s="14" t="n"/>
      <c r="I489" s="14" t="n"/>
      <c r="J489" s="15" t="n"/>
      <c r="K489" s="15" t="n"/>
      <c r="L489" s="12" t="n"/>
      <c r="M489" s="12" t="n"/>
    </row>
    <row r="490">
      <c r="A490" s="17" t="n"/>
      <c r="B490" s="18" t="n"/>
      <c r="C490" s="17" t="n"/>
      <c r="D490" s="19" t="n"/>
      <c r="E490" s="17" t="n"/>
      <c r="F490" s="17" t="n"/>
      <c r="G490" s="17" t="n"/>
      <c r="H490" s="19" t="n"/>
      <c r="I490" s="19" t="n"/>
      <c r="J490" s="20" t="n"/>
      <c r="K490" s="20" t="n"/>
      <c r="L490" s="17" t="n"/>
      <c r="M490" s="17" t="n"/>
    </row>
    <row r="491">
      <c r="A491" s="12" t="n"/>
      <c r="B491" s="13" t="n"/>
      <c r="C491" s="12" t="n"/>
      <c r="D491" s="14" t="n"/>
      <c r="E491" s="12" t="n"/>
      <c r="F491" s="12" t="n"/>
      <c r="G491" s="12" t="n"/>
      <c r="H491" s="14" t="n"/>
      <c r="I491" s="14" t="n"/>
      <c r="J491" s="15" t="n"/>
      <c r="K491" s="15" t="n"/>
      <c r="L491" s="12" t="n"/>
      <c r="M491" s="12" t="n"/>
    </row>
    <row r="492">
      <c r="A492" s="17" t="n"/>
      <c r="B492" s="18" t="n"/>
      <c r="C492" s="17" t="n"/>
      <c r="D492" s="19" t="n"/>
      <c r="E492" s="17" t="n"/>
      <c r="F492" s="17" t="n"/>
      <c r="G492" s="17" t="n"/>
      <c r="H492" s="19" t="n"/>
      <c r="I492" s="19" t="n"/>
      <c r="J492" s="20" t="n"/>
      <c r="K492" s="20" t="n"/>
      <c r="L492" s="17" t="n"/>
      <c r="M492" s="17" t="n"/>
    </row>
    <row r="493">
      <c r="A493" s="12" t="n"/>
      <c r="B493" s="13" t="n"/>
      <c r="C493" s="12" t="n"/>
      <c r="D493" s="14" t="n"/>
      <c r="E493" s="12" t="n"/>
      <c r="F493" s="12" t="n"/>
      <c r="G493" s="12" t="n"/>
      <c r="H493" s="14" t="n"/>
      <c r="I493" s="14" t="n"/>
      <c r="J493" s="15" t="n"/>
      <c r="K493" s="15" t="n"/>
      <c r="L493" s="12" t="n"/>
      <c r="M493" s="12" t="n"/>
    </row>
    <row r="494">
      <c r="A494" s="17" t="n"/>
      <c r="B494" s="18" t="n"/>
      <c r="C494" s="17" t="n"/>
      <c r="D494" s="19" t="n"/>
      <c r="E494" s="17" t="n"/>
      <c r="F494" s="17" t="n"/>
      <c r="G494" s="17" t="n"/>
      <c r="H494" s="19" t="n"/>
      <c r="I494" s="19" t="n"/>
      <c r="J494" s="20" t="n"/>
      <c r="K494" s="20" t="n"/>
      <c r="L494" s="17" t="n"/>
      <c r="M494" s="17" t="n"/>
    </row>
    <row r="495">
      <c r="A495" s="12" t="n"/>
      <c r="B495" s="13" t="n"/>
      <c r="C495" s="12" t="n"/>
      <c r="D495" s="14" t="n"/>
      <c r="E495" s="12" t="n"/>
      <c r="F495" s="12" t="n"/>
      <c r="G495" s="12" t="n"/>
      <c r="H495" s="14" t="n"/>
      <c r="I495" s="14" t="n"/>
      <c r="J495" s="15" t="n"/>
      <c r="K495" s="15" t="n"/>
      <c r="L495" s="12" t="n"/>
      <c r="M495" s="12" t="n"/>
    </row>
    <row r="496">
      <c r="A496" s="17" t="n"/>
      <c r="B496" s="18" t="n"/>
      <c r="C496" s="17" t="n"/>
      <c r="D496" s="19" t="n"/>
      <c r="E496" s="17" t="n"/>
      <c r="F496" s="17" t="n"/>
      <c r="G496" s="17" t="n"/>
      <c r="H496" s="19" t="n"/>
      <c r="I496" s="19" t="n"/>
      <c r="J496" s="20" t="n"/>
      <c r="K496" s="20" t="n"/>
      <c r="L496" s="17" t="n"/>
      <c r="M496" s="17" t="n"/>
    </row>
    <row r="497">
      <c r="A497" s="12" t="n"/>
      <c r="B497" s="13" t="n"/>
      <c r="C497" s="12" t="n"/>
      <c r="D497" s="14" t="n"/>
      <c r="E497" s="12" t="n"/>
      <c r="F497" s="12" t="n"/>
      <c r="G497" s="12" t="n"/>
      <c r="H497" s="14" t="n"/>
      <c r="I497" s="14" t="n"/>
      <c r="J497" s="15" t="n"/>
      <c r="K497" s="15" t="n"/>
      <c r="L497" s="12" t="n"/>
      <c r="M497" s="12" t="n"/>
    </row>
    <row r="498">
      <c r="A498" s="17" t="n"/>
      <c r="B498" s="18" t="n"/>
      <c r="C498" s="17" t="n"/>
      <c r="D498" s="19" t="n"/>
      <c r="E498" s="17" t="n"/>
      <c r="F498" s="17" t="n"/>
      <c r="G498" s="17" t="n"/>
      <c r="H498" s="19" t="n"/>
      <c r="I498" s="19" t="n"/>
      <c r="J498" s="20" t="n"/>
      <c r="K498" s="20" t="n"/>
      <c r="L498" s="17" t="n"/>
      <c r="M498" s="17" t="n"/>
    </row>
    <row r="499">
      <c r="A499" s="12" t="n"/>
      <c r="B499" s="13" t="n"/>
      <c r="C499" s="12" t="n"/>
      <c r="D499" s="14" t="n"/>
      <c r="E499" s="12" t="n"/>
      <c r="F499" s="12" t="n"/>
      <c r="G499" s="12" t="n"/>
      <c r="H499" s="14" t="n"/>
      <c r="I499" s="14" t="n"/>
      <c r="J499" s="15" t="n"/>
      <c r="K499" s="15" t="n"/>
      <c r="L499" s="12" t="n"/>
      <c r="M499" s="12" t="n"/>
    </row>
    <row r="500">
      <c r="A500" s="17" t="n"/>
      <c r="B500" s="18" t="n"/>
      <c r="C500" s="17" t="n"/>
      <c r="D500" s="19" t="n"/>
      <c r="E500" s="17" t="n"/>
      <c r="F500" s="17" t="n"/>
      <c r="G500" s="17" t="n"/>
      <c r="H500" s="19" t="n"/>
      <c r="I500" s="19" t="n"/>
      <c r="J500" s="20" t="n"/>
      <c r="K500" s="20" t="n"/>
      <c r="L500" s="17" t="n"/>
      <c r="M500" s="17" t="n"/>
    </row>
    <row r="501">
      <c r="A501" s="12" t="n"/>
      <c r="B501" s="13" t="n"/>
      <c r="C501" s="12" t="n"/>
      <c r="D501" s="14" t="n"/>
      <c r="E501" s="12" t="n"/>
      <c r="F501" s="12" t="n"/>
      <c r="G501" s="12" t="n"/>
      <c r="H501" s="14" t="n"/>
      <c r="I501" s="14" t="n"/>
      <c r="J501" s="15" t="n"/>
      <c r="K501" s="15" t="n"/>
      <c r="L501" s="12" t="n"/>
      <c r="M501" s="12" t="n"/>
    </row>
    <row r="502">
      <c r="A502" s="17" t="n"/>
      <c r="B502" s="18" t="n"/>
      <c r="C502" s="17" t="n"/>
      <c r="D502" s="19" t="n"/>
      <c r="E502" s="17" t="n"/>
      <c r="F502" s="17" t="n"/>
      <c r="G502" s="17" t="n"/>
      <c r="H502" s="19" t="n"/>
      <c r="I502" s="19" t="n"/>
      <c r="J502" s="20" t="n"/>
      <c r="K502" s="20" t="n"/>
      <c r="L502" s="17" t="n"/>
      <c r="M502" s="17" t="n"/>
    </row>
    <row r="503">
      <c r="A503" s="12" t="n"/>
      <c r="B503" s="13" t="n"/>
      <c r="C503" s="12" t="n"/>
      <c r="D503" s="14" t="n"/>
      <c r="E503" s="12" t="n"/>
      <c r="F503" s="12" t="n"/>
      <c r="G503" s="12" t="n"/>
      <c r="H503" s="14" t="n"/>
      <c r="I503" s="14" t="n"/>
      <c r="J503" s="15" t="n"/>
      <c r="K503" s="15" t="n"/>
      <c r="L503" s="12" t="n"/>
      <c r="M503" s="12" t="n"/>
    </row>
    <row r="504">
      <c r="A504" s="17" t="n"/>
      <c r="B504" s="18" t="n"/>
      <c r="C504" s="17" t="n"/>
      <c r="D504" s="19" t="n"/>
      <c r="E504" s="17" t="n"/>
      <c r="F504" s="17" t="n"/>
      <c r="G504" s="17" t="n"/>
      <c r="H504" s="19" t="n"/>
      <c r="I504" s="19" t="n"/>
      <c r="J504" s="20" t="n"/>
      <c r="K504" s="20" t="n"/>
      <c r="L504" s="17" t="n"/>
      <c r="M504" s="17" t="n"/>
    </row>
    <row r="505">
      <c r="A505" s="12" t="n"/>
      <c r="B505" s="13" t="n"/>
      <c r="C505" s="12" t="n"/>
      <c r="D505" s="14" t="n"/>
      <c r="E505" s="12" t="n"/>
      <c r="F505" s="12" t="n"/>
      <c r="G505" s="12" t="n"/>
      <c r="H505" s="14" t="n"/>
      <c r="I505" s="14" t="n"/>
      <c r="J505" s="15" t="n"/>
      <c r="K505" s="15" t="n"/>
      <c r="L505" s="12" t="n"/>
      <c r="M505" s="12" t="n"/>
    </row>
    <row r="506">
      <c r="A506" s="17" t="n"/>
      <c r="B506" s="18" t="n"/>
      <c r="C506" s="17" t="n"/>
      <c r="D506" s="19" t="n"/>
      <c r="E506" s="17" t="n"/>
      <c r="F506" s="17" t="n"/>
      <c r="G506" s="17" t="n"/>
      <c r="H506" s="19" t="n"/>
      <c r="I506" s="19" t="n"/>
      <c r="J506" s="20" t="n"/>
      <c r="K506" s="20" t="n"/>
      <c r="L506" s="17" t="n"/>
      <c r="M506" s="17" t="n"/>
    </row>
    <row r="507">
      <c r="A507" s="12" t="n"/>
      <c r="B507" s="13" t="n"/>
      <c r="C507" s="12" t="n"/>
      <c r="D507" s="14" t="n"/>
      <c r="E507" s="12" t="n"/>
      <c r="F507" s="12" t="n"/>
      <c r="G507" s="12" t="n"/>
      <c r="H507" s="14" t="n"/>
      <c r="I507" s="14" t="n"/>
      <c r="J507" s="15" t="n"/>
      <c r="K507" s="15" t="n"/>
      <c r="L507" s="12" t="n"/>
      <c r="M507" s="12" t="n"/>
    </row>
    <row r="508">
      <c r="A508" s="17" t="n"/>
      <c r="B508" s="18" t="n"/>
      <c r="C508" s="17" t="n"/>
      <c r="D508" s="19" t="n"/>
      <c r="E508" s="17" t="n"/>
      <c r="F508" s="17" t="n"/>
      <c r="G508" s="17" t="n"/>
      <c r="H508" s="19" t="n"/>
      <c r="I508" s="19" t="n"/>
      <c r="J508" s="20" t="n"/>
      <c r="K508" s="20" t="n"/>
      <c r="L508" s="17" t="n"/>
      <c r="M508" s="17" t="n"/>
    </row>
    <row r="509">
      <c r="A509" s="12" t="n"/>
      <c r="B509" s="13" t="n"/>
      <c r="C509" s="12" t="n"/>
      <c r="D509" s="14" t="n"/>
      <c r="E509" s="12" t="n"/>
      <c r="F509" s="12" t="n"/>
      <c r="G509" s="12" t="n"/>
      <c r="H509" s="14" t="n"/>
      <c r="I509" s="14" t="n"/>
      <c r="J509" s="15" t="n"/>
      <c r="K509" s="15" t="n"/>
      <c r="L509" s="12" t="n"/>
      <c r="M509" s="12" t="n"/>
    </row>
    <row r="510">
      <c r="A510" s="17" t="n"/>
      <c r="B510" s="18" t="n"/>
      <c r="C510" s="17" t="n"/>
      <c r="D510" s="19" t="n"/>
      <c r="E510" s="17" t="n"/>
      <c r="F510" s="17" t="n"/>
      <c r="G510" s="17" t="n"/>
      <c r="H510" s="19" t="n"/>
      <c r="I510" s="19" t="n"/>
      <c r="J510" s="20" t="n"/>
      <c r="K510" s="20" t="n"/>
      <c r="L510" s="17" t="n"/>
      <c r="M510" s="17" t="n"/>
    </row>
    <row r="511">
      <c r="A511" s="12" t="n"/>
      <c r="B511" s="13" t="n"/>
      <c r="C511" s="12" t="n"/>
      <c r="D511" s="14" t="n"/>
      <c r="E511" s="12" t="n"/>
      <c r="F511" s="12" t="n"/>
      <c r="G511" s="12" t="n"/>
      <c r="H511" s="14" t="n"/>
      <c r="I511" s="14" t="n"/>
      <c r="J511" s="15" t="n"/>
      <c r="K511" s="15" t="n"/>
      <c r="L511" s="12" t="n"/>
      <c r="M511" s="12" t="n"/>
    </row>
    <row r="512">
      <c r="A512" s="17" t="n"/>
      <c r="B512" s="18" t="n"/>
      <c r="C512" s="17" t="n"/>
      <c r="D512" s="19" t="n"/>
      <c r="E512" s="17" t="n"/>
      <c r="F512" s="17" t="n"/>
      <c r="G512" s="17" t="n"/>
      <c r="H512" s="19" t="n"/>
      <c r="I512" s="19" t="n"/>
      <c r="J512" s="20" t="n"/>
      <c r="K512" s="20" t="n"/>
      <c r="L512" s="17" t="n"/>
      <c r="M512" s="17" t="n"/>
    </row>
    <row r="513">
      <c r="A513" s="12" t="n"/>
      <c r="B513" s="13" t="n"/>
      <c r="C513" s="12" t="n"/>
      <c r="D513" s="14" t="n"/>
      <c r="E513" s="12" t="n"/>
      <c r="F513" s="12" t="n"/>
      <c r="G513" s="12" t="n"/>
      <c r="H513" s="14" t="n"/>
      <c r="I513" s="14" t="n"/>
      <c r="J513" s="15" t="n"/>
      <c r="K513" s="15" t="n"/>
      <c r="L513" s="12" t="n"/>
      <c r="M513" s="12" t="n"/>
    </row>
    <row r="514">
      <c r="A514" s="17" t="n"/>
      <c r="B514" s="18" t="n"/>
      <c r="C514" s="17" t="n"/>
      <c r="D514" s="19" t="n"/>
      <c r="E514" s="17" t="n"/>
      <c r="F514" s="17" t="n"/>
      <c r="G514" s="17" t="n"/>
      <c r="H514" s="19" t="n"/>
      <c r="I514" s="19" t="n"/>
      <c r="J514" s="20" t="n"/>
      <c r="K514" s="20" t="n"/>
      <c r="L514" s="17" t="n"/>
      <c r="M514" s="17" t="n"/>
    </row>
    <row r="515">
      <c r="A515" s="12" t="n"/>
      <c r="B515" s="13" t="n"/>
      <c r="C515" s="12" t="n"/>
      <c r="D515" s="14" t="n"/>
      <c r="E515" s="12" t="n"/>
      <c r="F515" s="12" t="n"/>
      <c r="G515" s="12" t="n"/>
      <c r="H515" s="14" t="n"/>
      <c r="I515" s="14" t="n"/>
      <c r="J515" s="15" t="n"/>
      <c r="K515" s="15" t="n"/>
      <c r="L515" s="12" t="n"/>
      <c r="M515" s="12" t="n"/>
    </row>
    <row r="516">
      <c r="A516" s="17" t="n"/>
      <c r="B516" s="18" t="n"/>
      <c r="C516" s="17" t="n"/>
      <c r="D516" s="19" t="n"/>
      <c r="E516" s="17" t="n"/>
      <c r="F516" s="17" t="n"/>
      <c r="G516" s="17" t="n"/>
      <c r="H516" s="19" t="n"/>
      <c r="I516" s="19" t="n"/>
      <c r="J516" s="20" t="n"/>
      <c r="K516" s="20" t="n"/>
      <c r="L516" s="17" t="n"/>
      <c r="M516" s="17" t="n"/>
    </row>
    <row r="517">
      <c r="A517" s="12" t="n"/>
      <c r="B517" s="13" t="n"/>
      <c r="C517" s="12" t="n"/>
      <c r="D517" s="14" t="n"/>
      <c r="E517" s="12" t="n"/>
      <c r="F517" s="12" t="n"/>
      <c r="G517" s="12" t="n"/>
      <c r="H517" s="14" t="n"/>
      <c r="I517" s="14" t="n"/>
      <c r="J517" s="15" t="n"/>
      <c r="K517" s="15" t="n"/>
      <c r="L517" s="12" t="n"/>
      <c r="M517" s="12" t="n"/>
    </row>
    <row r="518">
      <c r="A518" s="17" t="n"/>
      <c r="B518" s="18" t="n"/>
      <c r="C518" s="17" t="n"/>
      <c r="D518" s="19" t="n"/>
      <c r="E518" s="17" t="n"/>
      <c r="F518" s="17" t="n"/>
      <c r="G518" s="17" t="n"/>
      <c r="H518" s="19" t="n"/>
      <c r="I518" s="19" t="n"/>
      <c r="J518" s="20" t="n"/>
      <c r="K518" s="20" t="n"/>
      <c r="L518" s="17" t="n"/>
      <c r="M518" s="17" t="n"/>
    </row>
    <row r="519">
      <c r="A519" s="12" t="n"/>
      <c r="B519" s="13" t="n"/>
      <c r="C519" s="12" t="n"/>
      <c r="D519" s="14" t="n"/>
      <c r="E519" s="12" t="n"/>
      <c r="F519" s="12" t="n"/>
      <c r="G519" s="12" t="n"/>
      <c r="H519" s="14" t="n"/>
      <c r="I519" s="14" t="n"/>
      <c r="J519" s="15" t="n"/>
      <c r="K519" s="15" t="n"/>
      <c r="L519" s="12" t="n"/>
      <c r="M519" s="12" t="n"/>
    </row>
    <row r="520">
      <c r="A520" s="17" t="n"/>
      <c r="B520" s="18" t="n"/>
      <c r="C520" s="17" t="n"/>
      <c r="D520" s="19" t="n"/>
      <c r="E520" s="17" t="n"/>
      <c r="F520" s="17" t="n"/>
      <c r="G520" s="17" t="n"/>
      <c r="H520" s="19" t="n"/>
      <c r="I520" s="19" t="n"/>
      <c r="J520" s="20" t="n"/>
      <c r="K520" s="20" t="n"/>
      <c r="L520" s="17" t="n"/>
      <c r="M520" s="17" t="n"/>
    </row>
    <row r="521">
      <c r="A521" s="12" t="n"/>
      <c r="B521" s="13" t="n"/>
      <c r="C521" s="12" t="n"/>
      <c r="D521" s="14" t="n"/>
      <c r="E521" s="12" t="n"/>
      <c r="F521" s="12" t="n"/>
      <c r="G521" s="12" t="n"/>
      <c r="H521" s="14" t="n"/>
      <c r="I521" s="14" t="n"/>
      <c r="J521" s="15" t="n"/>
      <c r="K521" s="15" t="n"/>
      <c r="L521" s="12" t="n"/>
      <c r="M521" s="12" t="n"/>
    </row>
    <row r="522">
      <c r="A522" s="17" t="n"/>
      <c r="B522" s="18" t="n"/>
      <c r="C522" s="17" t="n"/>
      <c r="D522" s="19" t="n"/>
      <c r="E522" s="17" t="n"/>
      <c r="F522" s="17" t="n"/>
      <c r="G522" s="17" t="n"/>
      <c r="H522" s="19" t="n"/>
      <c r="I522" s="19" t="n"/>
      <c r="J522" s="20" t="n"/>
      <c r="K522" s="20" t="n"/>
      <c r="L522" s="17" t="n"/>
      <c r="M522" s="17" t="n"/>
    </row>
    <row r="523">
      <c r="A523" s="12" t="n"/>
      <c r="B523" s="13" t="n"/>
      <c r="C523" s="12" t="n"/>
      <c r="D523" s="14" t="n"/>
      <c r="E523" s="12" t="n"/>
      <c r="F523" s="12" t="n"/>
      <c r="G523" s="12" t="n"/>
      <c r="H523" s="14" t="n"/>
      <c r="I523" s="14" t="n"/>
      <c r="J523" s="15" t="n"/>
      <c r="K523" s="15" t="n"/>
      <c r="L523" s="12" t="n"/>
      <c r="M523" s="12" t="n"/>
    </row>
    <row r="524">
      <c r="A524" s="17" t="n"/>
      <c r="B524" s="18" t="n"/>
      <c r="C524" s="17" t="n"/>
      <c r="D524" s="19" t="n"/>
      <c r="E524" s="17" t="n"/>
      <c r="F524" s="17" t="n"/>
      <c r="G524" s="17" t="n"/>
      <c r="H524" s="19" t="n"/>
      <c r="I524" s="19" t="n"/>
      <c r="J524" s="20" t="n"/>
      <c r="K524" s="20" t="n"/>
      <c r="L524" s="17" t="n"/>
      <c r="M524" s="17" t="n"/>
    </row>
    <row r="525">
      <c r="A525" s="12" t="n"/>
      <c r="B525" s="13" t="n"/>
      <c r="C525" s="12" t="n"/>
      <c r="D525" s="14" t="n"/>
      <c r="E525" s="12" t="n"/>
      <c r="F525" s="12" t="n"/>
      <c r="G525" s="12" t="n"/>
      <c r="H525" s="14" t="n"/>
      <c r="I525" s="14" t="n"/>
      <c r="J525" s="15" t="n"/>
      <c r="K525" s="15" t="n"/>
      <c r="L525" s="12" t="n"/>
      <c r="M525" s="12" t="n"/>
    </row>
    <row r="526">
      <c r="A526" s="17" t="n"/>
      <c r="B526" s="18" t="n"/>
      <c r="C526" s="17" t="n"/>
      <c r="D526" s="19" t="n"/>
      <c r="E526" s="17" t="n"/>
      <c r="F526" s="17" t="n"/>
      <c r="G526" s="17" t="n"/>
      <c r="H526" s="19" t="n"/>
      <c r="I526" s="19" t="n"/>
      <c r="J526" s="20" t="n"/>
      <c r="K526" s="20" t="n"/>
      <c r="L526" s="17" t="n"/>
      <c r="M526" s="17" t="n"/>
    </row>
    <row r="527">
      <c r="A527" s="12" t="n"/>
      <c r="B527" s="13" t="n"/>
      <c r="C527" s="12" t="n"/>
      <c r="D527" s="14" t="n"/>
      <c r="E527" s="12" t="n"/>
      <c r="F527" s="12" t="n"/>
      <c r="G527" s="12" t="n"/>
      <c r="H527" s="14" t="n"/>
      <c r="I527" s="14" t="n"/>
      <c r="J527" s="15" t="n"/>
      <c r="K527" s="15" t="n"/>
      <c r="L527" s="12" t="n"/>
      <c r="M527" s="12" t="n"/>
    </row>
    <row r="528">
      <c r="A528" s="17" t="n"/>
      <c r="B528" s="18" t="n"/>
      <c r="C528" s="17" t="n"/>
      <c r="D528" s="19" t="n"/>
      <c r="E528" s="17" t="n"/>
      <c r="F528" s="17" t="n"/>
      <c r="G528" s="17" t="n"/>
      <c r="H528" s="19" t="n"/>
      <c r="I528" s="19" t="n"/>
      <c r="J528" s="20" t="n"/>
      <c r="K528" s="20" t="n"/>
      <c r="L528" s="17" t="n"/>
      <c r="M528" s="17" t="n"/>
    </row>
    <row r="529">
      <c r="A529" s="12" t="n"/>
      <c r="B529" s="13" t="n"/>
      <c r="C529" s="12" t="n"/>
      <c r="D529" s="14" t="n"/>
      <c r="E529" s="12" t="n"/>
      <c r="F529" s="12" t="n"/>
      <c r="G529" s="12" t="n"/>
      <c r="H529" s="14" t="n"/>
      <c r="I529" s="14" t="n"/>
      <c r="J529" s="15" t="n"/>
      <c r="K529" s="15" t="n"/>
      <c r="L529" s="12" t="n"/>
      <c r="M529" s="12" t="n"/>
    </row>
    <row r="530">
      <c r="A530" s="17" t="n"/>
      <c r="B530" s="18" t="n"/>
      <c r="C530" s="17" t="n"/>
      <c r="D530" s="19" t="n"/>
      <c r="E530" s="17" t="n"/>
      <c r="F530" s="17" t="n"/>
      <c r="G530" s="17" t="n"/>
      <c r="H530" s="19" t="n"/>
      <c r="I530" s="19" t="n"/>
      <c r="J530" s="20" t="n"/>
      <c r="K530" s="20" t="n"/>
      <c r="L530" s="17" t="n"/>
      <c r="M530" s="17" t="n"/>
    </row>
    <row r="531">
      <c r="A531" s="12" t="n"/>
      <c r="B531" s="13" t="n"/>
      <c r="C531" s="12" t="n"/>
      <c r="D531" s="14" t="n"/>
      <c r="E531" s="12" t="n"/>
      <c r="F531" s="12" t="n"/>
      <c r="G531" s="12" t="n"/>
      <c r="H531" s="14" t="n"/>
      <c r="I531" s="14" t="n"/>
      <c r="J531" s="15" t="n"/>
      <c r="K531" s="15" t="n"/>
      <c r="L531" s="12" t="n"/>
      <c r="M531" s="12" t="n"/>
    </row>
    <row r="532">
      <c r="A532" s="17" t="n"/>
      <c r="B532" s="18" t="n"/>
      <c r="C532" s="17" t="n"/>
      <c r="D532" s="19" t="n"/>
      <c r="E532" s="17" t="n"/>
      <c r="F532" s="17" t="n"/>
      <c r="G532" s="17" t="n"/>
      <c r="H532" s="19" t="n"/>
      <c r="I532" s="19" t="n"/>
      <c r="J532" s="20" t="n"/>
      <c r="K532" s="20" t="n"/>
      <c r="L532" s="17" t="n"/>
      <c r="M532" s="17" t="n"/>
    </row>
    <row r="533">
      <c r="A533" s="12" t="n"/>
      <c r="B533" s="13" t="n"/>
      <c r="C533" s="12" t="n"/>
      <c r="D533" s="14" t="n"/>
      <c r="E533" s="12" t="n"/>
      <c r="F533" s="12" t="n"/>
      <c r="G533" s="12" t="n"/>
      <c r="H533" s="14" t="n"/>
      <c r="I533" s="14" t="n"/>
      <c r="J533" s="15" t="n"/>
      <c r="K533" s="15" t="n"/>
      <c r="L533" s="12" t="n"/>
      <c r="M533" s="12" t="n"/>
    </row>
    <row r="534">
      <c r="A534" s="17" t="n"/>
      <c r="B534" s="18" t="n"/>
      <c r="C534" s="17" t="n"/>
      <c r="D534" s="19" t="n"/>
      <c r="E534" s="17" t="n"/>
      <c r="F534" s="17" t="n"/>
      <c r="G534" s="17" t="n"/>
      <c r="H534" s="19" t="n"/>
      <c r="I534" s="19" t="n"/>
      <c r="J534" s="20" t="n"/>
      <c r="K534" s="20" t="n"/>
      <c r="L534" s="17" t="n"/>
      <c r="M534" s="17" t="n"/>
    </row>
    <row r="535">
      <c r="A535" s="12" t="n"/>
      <c r="B535" s="13" t="n"/>
      <c r="C535" s="12" t="n"/>
      <c r="D535" s="14" t="n"/>
      <c r="E535" s="12" t="n"/>
      <c r="F535" s="12" t="n"/>
      <c r="G535" s="12" t="n"/>
      <c r="H535" s="14" t="n"/>
      <c r="I535" s="14" t="n"/>
      <c r="J535" s="15" t="n"/>
      <c r="K535" s="15" t="n"/>
      <c r="L535" s="12" t="n"/>
      <c r="M535" s="12" t="n"/>
    </row>
    <row r="536">
      <c r="A536" s="17" t="n"/>
      <c r="B536" s="18" t="n"/>
      <c r="C536" s="17" t="n"/>
      <c r="D536" s="19" t="n"/>
      <c r="E536" s="17" t="n"/>
      <c r="F536" s="17" t="n"/>
      <c r="G536" s="17" t="n"/>
      <c r="H536" s="19" t="n"/>
      <c r="I536" s="19" t="n"/>
      <c r="J536" s="20" t="n"/>
      <c r="K536" s="20" t="n"/>
      <c r="L536" s="17" t="n"/>
      <c r="M536" s="17" t="n"/>
    </row>
    <row r="537">
      <c r="A537" s="12" t="n"/>
      <c r="B537" s="13" t="n"/>
      <c r="C537" s="12" t="n"/>
      <c r="D537" s="14" t="n"/>
      <c r="E537" s="12" t="n"/>
      <c r="F537" s="12" t="n"/>
      <c r="G537" s="12" t="n"/>
      <c r="H537" s="14" t="n"/>
      <c r="I537" s="14" t="n"/>
      <c r="J537" s="15" t="n"/>
      <c r="K537" s="15" t="n"/>
      <c r="L537" s="12" t="n"/>
      <c r="M537" s="12" t="n"/>
    </row>
    <row r="538">
      <c r="A538" s="17" t="n"/>
      <c r="B538" s="18" t="n"/>
      <c r="C538" s="17" t="n"/>
      <c r="D538" s="19" t="n"/>
      <c r="E538" s="17" t="n"/>
      <c r="F538" s="17" t="n"/>
      <c r="G538" s="17" t="n"/>
      <c r="H538" s="19" t="n"/>
      <c r="I538" s="19" t="n"/>
      <c r="J538" s="20" t="n"/>
      <c r="K538" s="20" t="n"/>
      <c r="L538" s="17" t="n"/>
      <c r="M538" s="17" t="n"/>
    </row>
    <row r="539">
      <c r="A539" s="12" t="n"/>
      <c r="B539" s="13" t="n"/>
      <c r="C539" s="12" t="n"/>
      <c r="D539" s="14" t="n"/>
      <c r="E539" s="12" t="n"/>
      <c r="F539" s="12" t="n"/>
      <c r="G539" s="12" t="n"/>
      <c r="H539" s="14" t="n"/>
      <c r="I539" s="14" t="n"/>
      <c r="J539" s="15" t="n"/>
      <c r="K539" s="15" t="n"/>
      <c r="L539" s="12" t="n"/>
      <c r="M539" s="12" t="n"/>
    </row>
    <row r="540">
      <c r="A540" s="17" t="n"/>
      <c r="B540" s="18" t="n"/>
      <c r="C540" s="17" t="n"/>
      <c r="D540" s="19" t="n"/>
      <c r="E540" s="17" t="n"/>
      <c r="F540" s="17" t="n"/>
      <c r="G540" s="17" t="n"/>
      <c r="H540" s="19" t="n"/>
      <c r="I540" s="19" t="n"/>
      <c r="J540" s="20" t="n"/>
      <c r="K540" s="20" t="n"/>
      <c r="L540" s="17" t="n"/>
      <c r="M540" s="17" t="n"/>
    </row>
    <row r="541">
      <c r="A541" s="12" t="n"/>
      <c r="B541" s="13" t="n"/>
      <c r="C541" s="12" t="n"/>
      <c r="D541" s="14" t="n"/>
      <c r="E541" s="12" t="n"/>
      <c r="F541" s="12" t="n"/>
      <c r="G541" s="12" t="n"/>
      <c r="H541" s="14" t="n"/>
      <c r="I541" s="14" t="n"/>
      <c r="J541" s="15" t="n"/>
      <c r="K541" s="15" t="n"/>
      <c r="L541" s="12" t="n"/>
      <c r="M541" s="12" t="n"/>
    </row>
    <row r="542">
      <c r="A542" s="17" t="n"/>
      <c r="B542" s="18" t="n"/>
      <c r="C542" s="17" t="n"/>
      <c r="D542" s="19" t="n"/>
      <c r="E542" s="17" t="n"/>
      <c r="F542" s="17" t="n"/>
      <c r="G542" s="17" t="n"/>
      <c r="H542" s="19" t="n"/>
      <c r="I542" s="19" t="n"/>
      <c r="J542" s="20" t="n"/>
      <c r="K542" s="20" t="n"/>
      <c r="L542" s="17" t="n"/>
      <c r="M542" s="17" t="n"/>
    </row>
    <row r="543">
      <c r="A543" s="12" t="n"/>
      <c r="B543" s="13" t="n"/>
      <c r="C543" s="12" t="n"/>
      <c r="D543" s="14" t="n"/>
      <c r="E543" s="12" t="n"/>
      <c r="F543" s="12" t="n"/>
      <c r="G543" s="12" t="n"/>
      <c r="H543" s="14" t="n"/>
      <c r="I543" s="14" t="n"/>
      <c r="J543" s="15" t="n"/>
      <c r="K543" s="15" t="n"/>
      <c r="L543" s="12" t="n"/>
      <c r="M543" s="12" t="n"/>
    </row>
    <row r="544">
      <c r="A544" s="17" t="n"/>
      <c r="B544" s="18" t="n"/>
      <c r="C544" s="17" t="n"/>
      <c r="D544" s="19" t="n"/>
      <c r="E544" s="17" t="n"/>
      <c r="F544" s="17" t="n"/>
      <c r="G544" s="17" t="n"/>
      <c r="H544" s="19" t="n"/>
      <c r="I544" s="19" t="n"/>
      <c r="J544" s="20" t="n"/>
      <c r="K544" s="20" t="n"/>
      <c r="L544" s="17" t="n"/>
      <c r="M544" s="17" t="n"/>
    </row>
    <row r="545">
      <c r="A545" s="12" t="n"/>
      <c r="B545" s="13" t="n"/>
      <c r="C545" s="12" t="n"/>
      <c r="D545" s="14" t="n"/>
      <c r="E545" s="12" t="n"/>
      <c r="F545" s="12" t="n"/>
      <c r="G545" s="12" t="n"/>
      <c r="H545" s="14" t="n"/>
      <c r="I545" s="14" t="n"/>
      <c r="J545" s="15" t="n"/>
      <c r="K545" s="15" t="n"/>
      <c r="L545" s="12" t="n"/>
      <c r="M545" s="12" t="n"/>
    </row>
    <row r="546">
      <c r="A546" s="17" t="n"/>
      <c r="B546" s="18" t="n"/>
      <c r="C546" s="17" t="n"/>
      <c r="D546" s="19" t="n"/>
      <c r="E546" s="17" t="n"/>
      <c r="F546" s="17" t="n"/>
      <c r="G546" s="17" t="n"/>
      <c r="H546" s="19" t="n"/>
      <c r="I546" s="19" t="n"/>
      <c r="J546" s="20" t="n"/>
      <c r="K546" s="20" t="n"/>
      <c r="L546" s="17" t="n"/>
      <c r="M546" s="17" t="n"/>
    </row>
    <row r="547">
      <c r="A547" s="12" t="n"/>
      <c r="B547" s="13" t="n"/>
      <c r="C547" s="12" t="n"/>
      <c r="D547" s="14" t="n"/>
      <c r="E547" s="12" t="n"/>
      <c r="F547" s="12" t="n"/>
      <c r="G547" s="12" t="n"/>
      <c r="H547" s="14" t="n"/>
      <c r="I547" s="14" t="n"/>
      <c r="J547" s="15" t="n"/>
      <c r="K547" s="15" t="n"/>
      <c r="L547" s="12" t="n"/>
      <c r="M547" s="12" t="n"/>
    </row>
    <row r="548">
      <c r="A548" s="17" t="n"/>
      <c r="B548" s="18" t="n"/>
      <c r="C548" s="17" t="n"/>
      <c r="D548" s="19" t="n"/>
      <c r="E548" s="17" t="n"/>
      <c r="F548" s="17" t="n"/>
      <c r="G548" s="17" t="n"/>
      <c r="H548" s="19" t="n"/>
      <c r="I548" s="19" t="n"/>
      <c r="J548" s="20" t="n"/>
      <c r="K548" s="20" t="n"/>
      <c r="L548" s="17" t="n"/>
      <c r="M548" s="17" t="n"/>
    </row>
    <row r="549">
      <c r="A549" s="12" t="n"/>
      <c r="B549" s="13" t="n"/>
      <c r="C549" s="12" t="n"/>
      <c r="D549" s="14" t="n"/>
      <c r="E549" s="12" t="n"/>
      <c r="F549" s="12" t="n"/>
      <c r="G549" s="12" t="n"/>
      <c r="H549" s="14" t="n"/>
      <c r="I549" s="14" t="n"/>
      <c r="J549" s="15" t="n"/>
      <c r="K549" s="15" t="n"/>
      <c r="L549" s="12" t="n"/>
      <c r="M549" s="12" t="n"/>
    </row>
    <row r="550">
      <c r="A550" s="17" t="n"/>
      <c r="B550" s="18" t="n"/>
      <c r="C550" s="17" t="n"/>
      <c r="D550" s="19" t="n"/>
      <c r="E550" s="17" t="n"/>
      <c r="F550" s="17" t="n"/>
      <c r="G550" s="17" t="n"/>
      <c r="H550" s="19" t="n"/>
      <c r="I550" s="19" t="n"/>
      <c r="J550" s="20" t="n"/>
      <c r="K550" s="20" t="n"/>
      <c r="L550" s="17" t="n"/>
      <c r="M550" s="17" t="n"/>
    </row>
    <row r="551">
      <c r="A551" s="12" t="n"/>
      <c r="B551" s="13" t="n"/>
      <c r="C551" s="12" t="n"/>
      <c r="D551" s="14" t="n"/>
      <c r="E551" s="12" t="n"/>
      <c r="F551" s="12" t="n"/>
      <c r="G551" s="12" t="n"/>
      <c r="H551" s="14" t="n"/>
      <c r="I551" s="14" t="n"/>
      <c r="J551" s="15" t="n"/>
      <c r="K551" s="15" t="n"/>
      <c r="L551" s="12" t="n"/>
      <c r="M551" s="12" t="n"/>
    </row>
    <row r="552">
      <c r="A552" s="17" t="n"/>
      <c r="B552" s="18" t="n"/>
      <c r="C552" s="17" t="n"/>
      <c r="D552" s="19" t="n"/>
      <c r="E552" s="17" t="n"/>
      <c r="F552" s="17" t="n"/>
      <c r="G552" s="17" t="n"/>
      <c r="H552" s="19" t="n"/>
      <c r="I552" s="19" t="n"/>
      <c r="J552" s="20" t="n"/>
      <c r="K552" s="20" t="n"/>
      <c r="L552" s="17" t="n"/>
      <c r="M552" s="17" t="n"/>
    </row>
    <row r="553">
      <c r="A553" s="12" t="n"/>
      <c r="B553" s="13" t="n"/>
      <c r="C553" s="12" t="n"/>
      <c r="D553" s="14" t="n"/>
      <c r="E553" s="12" t="n"/>
      <c r="F553" s="12" t="n"/>
      <c r="G553" s="12" t="n"/>
      <c r="H553" s="14" t="n"/>
      <c r="I553" s="14" t="n"/>
      <c r="J553" s="15" t="n"/>
      <c r="K553" s="15" t="n"/>
      <c r="L553" s="12" t="n"/>
      <c r="M553" s="12" t="n"/>
    </row>
    <row r="554">
      <c r="A554" s="17" t="n"/>
      <c r="B554" s="18" t="n"/>
      <c r="C554" s="17" t="n"/>
      <c r="D554" s="19" t="n"/>
      <c r="E554" s="17" t="n"/>
      <c r="F554" s="17" t="n"/>
      <c r="G554" s="17" t="n"/>
      <c r="H554" s="19" t="n"/>
      <c r="I554" s="19" t="n"/>
      <c r="J554" s="20" t="n"/>
      <c r="K554" s="20" t="n"/>
      <c r="L554" s="17" t="n"/>
      <c r="M554" s="17" t="n"/>
    </row>
    <row r="555">
      <c r="A555" s="12" t="n"/>
      <c r="B555" s="13" t="n"/>
      <c r="C555" s="12" t="n"/>
      <c r="D555" s="14" t="n"/>
      <c r="E555" s="12" t="n"/>
      <c r="F555" s="12" t="n"/>
      <c r="G555" s="12" t="n"/>
      <c r="H555" s="14" t="n"/>
      <c r="I555" s="14" t="n"/>
      <c r="J555" s="15" t="n"/>
      <c r="K555" s="15" t="n"/>
      <c r="L555" s="12" t="n"/>
      <c r="M555" s="12" t="n"/>
    </row>
    <row r="556">
      <c r="A556" s="17" t="n"/>
      <c r="B556" s="18" t="n"/>
      <c r="C556" s="17" t="n"/>
      <c r="D556" s="19" t="n"/>
      <c r="E556" s="17" t="n"/>
      <c r="F556" s="17" t="n"/>
      <c r="G556" s="17" t="n"/>
      <c r="H556" s="19" t="n"/>
      <c r="I556" s="19" t="n"/>
      <c r="J556" s="20" t="n"/>
      <c r="K556" s="20" t="n"/>
      <c r="L556" s="17" t="n"/>
      <c r="M556" s="17" t="n"/>
    </row>
    <row r="557">
      <c r="A557" s="12" t="n"/>
      <c r="B557" s="13" t="n"/>
      <c r="C557" s="12" t="n"/>
      <c r="D557" s="14" t="n"/>
      <c r="E557" s="12" t="n"/>
      <c r="F557" s="12" t="n"/>
      <c r="G557" s="12" t="n"/>
      <c r="H557" s="14" t="n"/>
      <c r="I557" s="14" t="n"/>
      <c r="J557" s="15" t="n"/>
      <c r="K557" s="15" t="n"/>
      <c r="L557" s="12" t="n"/>
      <c r="M557" s="12" t="n"/>
    </row>
    <row r="558">
      <c r="A558" s="17" t="n"/>
      <c r="B558" s="18" t="n"/>
      <c r="C558" s="17" t="n"/>
      <c r="D558" s="19" t="n"/>
      <c r="E558" s="17" t="n"/>
      <c r="F558" s="17" t="n"/>
      <c r="G558" s="17" t="n"/>
      <c r="H558" s="19" t="n"/>
      <c r="I558" s="19" t="n"/>
      <c r="J558" s="20" t="n"/>
      <c r="K558" s="20" t="n"/>
      <c r="L558" s="17" t="n"/>
      <c r="M558" s="17" t="n"/>
    </row>
    <row r="559">
      <c r="A559" s="12" t="n"/>
      <c r="B559" s="13" t="n"/>
      <c r="C559" s="12" t="n"/>
      <c r="D559" s="14" t="n"/>
      <c r="E559" s="12" t="n"/>
      <c r="F559" s="12" t="n"/>
      <c r="G559" s="12" t="n"/>
      <c r="H559" s="14" t="n"/>
      <c r="I559" s="14" t="n"/>
      <c r="J559" s="15" t="n"/>
      <c r="K559" s="15" t="n"/>
      <c r="L559" s="12" t="n"/>
      <c r="M559" s="12" t="n"/>
    </row>
    <row r="560">
      <c r="A560" s="17" t="n"/>
      <c r="B560" s="18" t="n"/>
      <c r="C560" s="17" t="n"/>
      <c r="D560" s="19" t="n"/>
      <c r="E560" s="17" t="n"/>
      <c r="F560" s="17" t="n"/>
      <c r="G560" s="17" t="n"/>
      <c r="H560" s="19" t="n"/>
      <c r="I560" s="19" t="n"/>
      <c r="J560" s="20" t="n"/>
      <c r="K560" s="20" t="n"/>
      <c r="L560" s="17" t="n"/>
      <c r="M560" s="17" t="n"/>
    </row>
    <row r="561">
      <c r="A561" s="12" t="n"/>
      <c r="B561" s="13" t="n"/>
      <c r="C561" s="12" t="n"/>
      <c r="D561" s="14" t="n"/>
      <c r="E561" s="12" t="n"/>
      <c r="F561" s="12" t="n"/>
      <c r="G561" s="12" t="n"/>
      <c r="H561" s="14" t="n"/>
      <c r="I561" s="14" t="n"/>
      <c r="J561" s="15" t="n"/>
      <c r="K561" s="15" t="n"/>
      <c r="L561" s="12" t="n"/>
      <c r="M561" s="12" t="n"/>
    </row>
    <row r="562">
      <c r="A562" s="17" t="n"/>
      <c r="B562" s="18" t="n"/>
      <c r="C562" s="17" t="n"/>
      <c r="D562" s="19" t="n"/>
      <c r="E562" s="17" t="n"/>
      <c r="F562" s="17" t="n"/>
      <c r="G562" s="17" t="n"/>
      <c r="H562" s="19" t="n"/>
      <c r="I562" s="19" t="n"/>
      <c r="J562" s="20" t="n"/>
      <c r="K562" s="20" t="n"/>
      <c r="L562" s="17" t="n"/>
      <c r="M562" s="17" t="n"/>
    </row>
    <row r="563">
      <c r="A563" s="12" t="n"/>
      <c r="B563" s="13" t="n"/>
      <c r="C563" s="12" t="n"/>
      <c r="D563" s="14" t="n"/>
      <c r="E563" s="12" t="n"/>
      <c r="F563" s="12" t="n"/>
      <c r="G563" s="12" t="n"/>
      <c r="H563" s="14" t="n"/>
      <c r="I563" s="14" t="n"/>
      <c r="J563" s="15" t="n"/>
      <c r="K563" s="15" t="n"/>
      <c r="L563" s="12" t="n"/>
      <c r="M563" s="12" t="n"/>
    </row>
    <row r="564">
      <c r="A564" s="17" t="n"/>
      <c r="B564" s="18" t="n"/>
      <c r="C564" s="17" t="n"/>
      <c r="D564" s="19" t="n"/>
      <c r="E564" s="17" t="n"/>
      <c r="F564" s="17" t="n"/>
      <c r="G564" s="17" t="n"/>
      <c r="H564" s="19" t="n"/>
      <c r="I564" s="19" t="n"/>
      <c r="J564" s="20" t="n"/>
      <c r="K564" s="20" t="n"/>
      <c r="L564" s="17" t="n"/>
      <c r="M564" s="17" t="n"/>
    </row>
    <row r="565">
      <c r="A565" s="12" t="n"/>
      <c r="B565" s="13" t="n"/>
      <c r="C565" s="12" t="n"/>
      <c r="D565" s="14" t="n"/>
      <c r="E565" s="12" t="n"/>
      <c r="F565" s="12" t="n"/>
      <c r="G565" s="12" t="n"/>
      <c r="H565" s="14" t="n"/>
      <c r="I565" s="14" t="n"/>
      <c r="J565" s="15" t="n"/>
      <c r="K565" s="15" t="n"/>
      <c r="L565" s="12" t="n"/>
      <c r="M565" s="12" t="n"/>
    </row>
    <row r="566">
      <c r="A566" s="17" t="n"/>
      <c r="B566" s="18" t="n"/>
      <c r="C566" s="17" t="n"/>
      <c r="D566" s="19" t="n"/>
      <c r="E566" s="17" t="n"/>
      <c r="F566" s="17" t="n"/>
      <c r="G566" s="17" t="n"/>
      <c r="H566" s="19" t="n"/>
      <c r="I566" s="19" t="n"/>
      <c r="J566" s="20" t="n"/>
      <c r="K566" s="20" t="n"/>
      <c r="L566" s="17" t="n"/>
      <c r="M566" s="17" t="n"/>
    </row>
    <row r="567">
      <c r="A567" s="12" t="n"/>
      <c r="B567" s="13" t="n"/>
      <c r="C567" s="12" t="n"/>
      <c r="D567" s="14" t="n"/>
      <c r="E567" s="12" t="n"/>
      <c r="F567" s="12" t="n"/>
      <c r="G567" s="12" t="n"/>
      <c r="H567" s="14" t="n"/>
      <c r="I567" s="14" t="n"/>
      <c r="J567" s="15" t="n"/>
      <c r="K567" s="15" t="n"/>
      <c r="L567" s="12" t="n"/>
      <c r="M567" s="12" t="n"/>
    </row>
    <row r="568">
      <c r="A568" s="17" t="n"/>
      <c r="B568" s="18" t="n"/>
      <c r="C568" s="17" t="n"/>
      <c r="D568" s="19" t="n"/>
      <c r="E568" s="17" t="n"/>
      <c r="F568" s="17" t="n"/>
      <c r="G568" s="17" t="n"/>
      <c r="H568" s="19" t="n"/>
      <c r="I568" s="19" t="n"/>
      <c r="J568" s="20" t="n"/>
      <c r="K568" s="20" t="n"/>
      <c r="L568" s="17" t="n"/>
      <c r="M568" s="17" t="n"/>
    </row>
    <row r="569">
      <c r="A569" s="12" t="n"/>
      <c r="B569" s="13" t="n"/>
      <c r="C569" s="12" t="n"/>
      <c r="D569" s="14" t="n"/>
      <c r="E569" s="12" t="n"/>
      <c r="F569" s="12" t="n"/>
      <c r="G569" s="12" t="n"/>
      <c r="H569" s="14" t="n"/>
      <c r="I569" s="14" t="n"/>
      <c r="J569" s="15" t="n"/>
      <c r="K569" s="15" t="n"/>
      <c r="L569" s="12" t="n"/>
      <c r="M569" s="12" t="n"/>
    </row>
    <row r="570">
      <c r="A570" s="17" t="n"/>
      <c r="B570" s="18" t="n"/>
      <c r="C570" s="17" t="n"/>
      <c r="D570" s="19" t="n"/>
      <c r="E570" s="17" t="n"/>
      <c r="F570" s="17" t="n"/>
      <c r="G570" s="17" t="n"/>
      <c r="H570" s="19" t="n"/>
      <c r="I570" s="19" t="n"/>
      <c r="J570" s="20" t="n"/>
      <c r="K570" s="20" t="n"/>
      <c r="L570" s="17" t="n"/>
      <c r="M570" s="17" t="n"/>
    </row>
    <row r="571">
      <c r="A571" s="12" t="n"/>
      <c r="B571" s="13" t="n"/>
      <c r="C571" s="12" t="n"/>
      <c r="D571" s="14" t="n"/>
      <c r="E571" s="12" t="n"/>
      <c r="F571" s="12" t="n"/>
      <c r="G571" s="12" t="n"/>
      <c r="H571" s="14" t="n"/>
      <c r="I571" s="14" t="n"/>
      <c r="J571" s="15" t="n"/>
      <c r="K571" s="15" t="n"/>
      <c r="L571" s="12" t="n"/>
      <c r="M571" s="12" t="n"/>
    </row>
    <row r="572">
      <c r="A572" s="17" t="n"/>
      <c r="B572" s="18" t="n"/>
      <c r="C572" s="17" t="n"/>
      <c r="D572" s="19" t="n"/>
      <c r="E572" s="17" t="n"/>
      <c r="F572" s="17" t="n"/>
      <c r="G572" s="17" t="n"/>
      <c r="H572" s="19" t="n"/>
      <c r="I572" s="19" t="n"/>
      <c r="J572" s="20" t="n"/>
      <c r="K572" s="20" t="n"/>
      <c r="L572" s="17" t="n"/>
      <c r="M572" s="17" t="n"/>
    </row>
    <row r="573">
      <c r="A573" s="12" t="n"/>
      <c r="B573" s="13" t="n"/>
      <c r="C573" s="12" t="n"/>
      <c r="D573" s="14" t="n"/>
      <c r="E573" s="12" t="n"/>
      <c r="F573" s="12" t="n"/>
      <c r="G573" s="12" t="n"/>
      <c r="H573" s="14" t="n"/>
      <c r="I573" s="14" t="n"/>
      <c r="J573" s="15" t="n"/>
      <c r="K573" s="15" t="n"/>
      <c r="L573" s="12" t="n"/>
      <c r="M573" s="12" t="n"/>
    </row>
    <row r="574">
      <c r="A574" s="17" t="n"/>
      <c r="B574" s="18" t="n"/>
      <c r="C574" s="17" t="n"/>
      <c r="D574" s="19" t="n"/>
      <c r="E574" s="17" t="n"/>
      <c r="F574" s="17" t="n"/>
      <c r="G574" s="17" t="n"/>
      <c r="H574" s="19" t="n"/>
      <c r="I574" s="19" t="n"/>
      <c r="J574" s="20" t="n"/>
      <c r="K574" s="20" t="n"/>
      <c r="L574" s="17" t="n"/>
      <c r="M574" s="17" t="n"/>
    </row>
    <row r="575">
      <c r="A575" s="12" t="n"/>
      <c r="B575" s="13" t="n"/>
      <c r="C575" s="12" t="n"/>
      <c r="D575" s="14" t="n"/>
      <c r="E575" s="12" t="n"/>
      <c r="F575" s="12" t="n"/>
      <c r="G575" s="12" t="n"/>
      <c r="H575" s="14" t="n"/>
      <c r="I575" s="14" t="n"/>
      <c r="J575" s="15" t="n"/>
      <c r="K575" s="15" t="n"/>
      <c r="L575" s="12" t="n"/>
      <c r="M575" s="12" t="n"/>
    </row>
    <row r="576">
      <c r="A576" s="17" t="n"/>
      <c r="B576" s="18" t="n"/>
      <c r="C576" s="17" t="n"/>
      <c r="D576" s="19" t="n"/>
      <c r="E576" s="17" t="n"/>
      <c r="F576" s="17" t="n"/>
      <c r="G576" s="17" t="n"/>
      <c r="H576" s="19" t="n"/>
      <c r="I576" s="19" t="n"/>
      <c r="J576" s="20" t="n"/>
      <c r="K576" s="20" t="n"/>
      <c r="L576" s="17" t="n"/>
      <c r="M576" s="17" t="n"/>
    </row>
    <row r="577">
      <c r="A577" s="12" t="n"/>
      <c r="B577" s="13" t="n"/>
      <c r="C577" s="12" t="n"/>
      <c r="D577" s="14" t="n"/>
      <c r="E577" s="12" t="n"/>
      <c r="F577" s="12" t="n"/>
      <c r="G577" s="12" t="n"/>
      <c r="H577" s="14" t="n"/>
      <c r="I577" s="14" t="n"/>
      <c r="J577" s="15" t="n"/>
      <c r="K577" s="15" t="n"/>
      <c r="L577" s="12" t="n"/>
      <c r="M577" s="12" t="n"/>
    </row>
    <row r="578">
      <c r="A578" s="17" t="n"/>
      <c r="B578" s="18" t="n"/>
      <c r="C578" s="17" t="n"/>
      <c r="D578" s="19" t="n"/>
      <c r="E578" s="17" t="n"/>
      <c r="F578" s="17" t="n"/>
      <c r="G578" s="17" t="n"/>
      <c r="H578" s="19" t="n"/>
      <c r="I578" s="19" t="n"/>
      <c r="J578" s="20" t="n"/>
      <c r="K578" s="20" t="n"/>
      <c r="L578" s="17" t="n"/>
      <c r="M578" s="17" t="n"/>
    </row>
    <row r="579">
      <c r="A579" s="12" t="n"/>
      <c r="B579" s="13" t="n"/>
      <c r="C579" s="12" t="n"/>
      <c r="D579" s="14" t="n"/>
      <c r="E579" s="12" t="n"/>
      <c r="F579" s="12" t="n"/>
      <c r="G579" s="12" t="n"/>
      <c r="H579" s="14" t="n"/>
      <c r="I579" s="14" t="n"/>
      <c r="J579" s="15" t="n"/>
      <c r="K579" s="15" t="n"/>
      <c r="L579" s="12" t="n"/>
      <c r="M579" s="12" t="n"/>
    </row>
    <row r="580">
      <c r="A580" s="17" t="n"/>
      <c r="B580" s="18" t="n"/>
      <c r="C580" s="17" t="n"/>
      <c r="D580" s="19" t="n"/>
      <c r="E580" s="17" t="n"/>
      <c r="F580" s="17" t="n"/>
      <c r="G580" s="17" t="n"/>
      <c r="H580" s="19" t="n"/>
      <c r="I580" s="19" t="n"/>
      <c r="J580" s="20" t="n"/>
      <c r="K580" s="20" t="n"/>
      <c r="L580" s="17" t="n"/>
      <c r="M580" s="17" t="n"/>
    </row>
    <row r="581">
      <c r="A581" s="12" t="n"/>
      <c r="B581" s="13" t="n"/>
      <c r="C581" s="12" t="n"/>
      <c r="D581" s="14" t="n"/>
      <c r="E581" s="12" t="n"/>
      <c r="F581" s="12" t="n"/>
      <c r="G581" s="12" t="n"/>
      <c r="H581" s="14" t="n"/>
      <c r="I581" s="14" t="n"/>
      <c r="J581" s="15" t="n"/>
      <c r="K581" s="15" t="n"/>
      <c r="L581" s="12" t="n"/>
      <c r="M581" s="12" t="n"/>
    </row>
    <row r="582">
      <c r="A582" s="17" t="n"/>
      <c r="B582" s="18" t="n"/>
      <c r="C582" s="17" t="n"/>
      <c r="D582" s="19" t="n"/>
      <c r="E582" s="17" t="n"/>
      <c r="F582" s="17" t="n"/>
      <c r="G582" s="17" t="n"/>
      <c r="H582" s="19" t="n"/>
      <c r="I582" s="19" t="n"/>
      <c r="J582" s="20" t="n"/>
      <c r="K582" s="20" t="n"/>
      <c r="L582" s="17" t="n"/>
      <c r="M582" s="17" t="n"/>
    </row>
    <row r="583">
      <c r="A583" s="12" t="n"/>
      <c r="B583" s="13" t="n"/>
      <c r="C583" s="12" t="n"/>
      <c r="D583" s="14" t="n"/>
      <c r="E583" s="12" t="n"/>
      <c r="F583" s="12" t="n"/>
      <c r="G583" s="12" t="n"/>
      <c r="H583" s="14" t="n"/>
      <c r="I583" s="14" t="n"/>
      <c r="J583" s="15" t="n"/>
      <c r="K583" s="15" t="n"/>
      <c r="L583" s="12" t="n"/>
      <c r="M583" s="12" t="n"/>
    </row>
    <row r="584">
      <c r="A584" s="17" t="n"/>
      <c r="B584" s="18" t="n"/>
      <c r="C584" s="17" t="n"/>
      <c r="D584" s="19" t="n"/>
      <c r="E584" s="17" t="n"/>
      <c r="F584" s="17" t="n"/>
      <c r="G584" s="17" t="n"/>
      <c r="H584" s="19" t="n"/>
      <c r="I584" s="19" t="n"/>
      <c r="J584" s="20" t="n"/>
      <c r="K584" s="20" t="n"/>
      <c r="L584" s="17" t="n"/>
      <c r="M584" s="17" t="n"/>
    </row>
    <row r="585">
      <c r="A585" s="12" t="n"/>
      <c r="B585" s="13" t="n"/>
      <c r="C585" s="12" t="n"/>
      <c r="D585" s="14" t="n"/>
      <c r="E585" s="12" t="n"/>
      <c r="F585" s="12" t="n"/>
      <c r="G585" s="12" t="n"/>
      <c r="H585" s="14" t="n"/>
      <c r="I585" s="14" t="n"/>
      <c r="J585" s="15" t="n"/>
      <c r="K585" s="15" t="n"/>
      <c r="L585" s="12" t="n"/>
      <c r="M585" s="12" t="n"/>
    </row>
    <row r="586">
      <c r="A586" s="17" t="n"/>
      <c r="B586" s="18" t="n"/>
      <c r="C586" s="17" t="n"/>
      <c r="D586" s="19" t="n"/>
      <c r="E586" s="17" t="n"/>
      <c r="F586" s="17" t="n"/>
      <c r="G586" s="17" t="n"/>
      <c r="H586" s="19" t="n"/>
      <c r="I586" s="19" t="n"/>
      <c r="J586" s="20" t="n"/>
      <c r="K586" s="20" t="n"/>
      <c r="L586" s="17" t="n"/>
      <c r="M586" s="17" t="n"/>
    </row>
    <row r="587">
      <c r="A587" s="12" t="n"/>
      <c r="B587" s="13" t="n"/>
      <c r="C587" s="12" t="n"/>
      <c r="D587" s="14" t="n"/>
      <c r="E587" s="12" t="n"/>
      <c r="F587" s="12" t="n"/>
      <c r="G587" s="12" t="n"/>
      <c r="H587" s="14" t="n"/>
      <c r="I587" s="14" t="n"/>
      <c r="J587" s="15" t="n"/>
      <c r="K587" s="15" t="n"/>
      <c r="L587" s="12" t="n"/>
      <c r="M587" s="12" t="n"/>
    </row>
    <row r="588">
      <c r="A588" s="17" t="n"/>
      <c r="B588" s="18" t="n"/>
      <c r="C588" s="17" t="n"/>
      <c r="D588" s="19" t="n"/>
      <c r="E588" s="17" t="n"/>
      <c r="F588" s="17" t="n"/>
      <c r="G588" s="17" t="n"/>
      <c r="H588" s="19" t="n"/>
      <c r="I588" s="19" t="n"/>
      <c r="J588" s="20" t="n"/>
      <c r="K588" s="20" t="n"/>
      <c r="L588" s="17" t="n"/>
      <c r="M588" s="17" t="n"/>
    </row>
    <row r="589">
      <c r="A589" s="12" t="n"/>
      <c r="B589" s="13" t="n"/>
      <c r="C589" s="12" t="n"/>
      <c r="D589" s="14" t="n"/>
      <c r="E589" s="12" t="n"/>
      <c r="F589" s="12" t="n"/>
      <c r="G589" s="12" t="n"/>
      <c r="H589" s="14" t="n"/>
      <c r="I589" s="14" t="n"/>
      <c r="J589" s="15" t="n"/>
      <c r="K589" s="15" t="n"/>
      <c r="L589" s="12" t="n"/>
      <c r="M589" s="12" t="n"/>
    </row>
    <row r="590">
      <c r="A590" s="17" t="n"/>
      <c r="B590" s="18" t="n"/>
      <c r="C590" s="17" t="n"/>
      <c r="D590" s="19" t="n"/>
      <c r="E590" s="17" t="n"/>
      <c r="F590" s="17" t="n"/>
      <c r="G590" s="17" t="n"/>
      <c r="H590" s="19" t="n"/>
      <c r="I590" s="19" t="n"/>
      <c r="J590" s="20" t="n"/>
      <c r="K590" s="20" t="n"/>
      <c r="L590" s="17" t="n"/>
      <c r="M590" s="17" t="n"/>
    </row>
    <row r="591">
      <c r="A591" s="12" t="n"/>
      <c r="B591" s="13" t="n"/>
      <c r="C591" s="12" t="n"/>
      <c r="D591" s="14" t="n"/>
      <c r="E591" s="12" t="n"/>
      <c r="F591" s="12" t="n"/>
      <c r="G591" s="12" t="n"/>
      <c r="H591" s="14" t="n"/>
      <c r="I591" s="14" t="n"/>
      <c r="J591" s="15" t="n"/>
      <c r="K591" s="15" t="n"/>
      <c r="L591" s="12" t="n"/>
      <c r="M591" s="12" t="n"/>
    </row>
    <row r="592">
      <c r="A592" s="17" t="n"/>
      <c r="B592" s="18" t="n"/>
      <c r="C592" s="17" t="n"/>
      <c r="D592" s="19" t="n"/>
      <c r="E592" s="17" t="n"/>
      <c r="F592" s="17" t="n"/>
      <c r="G592" s="17" t="n"/>
      <c r="H592" s="19" t="n"/>
      <c r="I592" s="19" t="n"/>
      <c r="J592" s="20" t="n"/>
      <c r="K592" s="20" t="n"/>
      <c r="L592" s="17" t="n"/>
      <c r="M592" s="17" t="n"/>
    </row>
    <row r="593">
      <c r="A593" s="12" t="n"/>
      <c r="B593" s="13" t="n"/>
      <c r="C593" s="12" t="n"/>
      <c r="D593" s="14" t="n"/>
      <c r="E593" s="12" t="n"/>
      <c r="F593" s="12" t="n"/>
      <c r="G593" s="12" t="n"/>
      <c r="H593" s="14" t="n"/>
      <c r="I593" s="14" t="n"/>
      <c r="J593" s="15" t="n"/>
      <c r="K593" s="15" t="n"/>
      <c r="L593" s="12" t="n"/>
      <c r="M593" s="12" t="n"/>
    </row>
    <row r="594">
      <c r="A594" s="17" t="n"/>
      <c r="B594" s="18" t="n"/>
      <c r="C594" s="17" t="n"/>
      <c r="D594" s="19" t="n"/>
      <c r="E594" s="17" t="n"/>
      <c r="F594" s="17" t="n"/>
      <c r="G594" s="17" t="n"/>
      <c r="H594" s="19" t="n"/>
      <c r="I594" s="19" t="n"/>
      <c r="J594" s="20" t="n"/>
      <c r="K594" s="20" t="n"/>
      <c r="L594" s="17" t="n"/>
      <c r="M594" s="17" t="n"/>
    </row>
    <row r="595">
      <c r="A595" s="12" t="n"/>
      <c r="B595" s="13" t="n"/>
      <c r="C595" s="12" t="n"/>
      <c r="D595" s="14" t="n"/>
      <c r="E595" s="12" t="n"/>
      <c r="F595" s="12" t="n"/>
      <c r="G595" s="12" t="n"/>
      <c r="H595" s="14" t="n"/>
      <c r="I595" s="14" t="n"/>
      <c r="J595" s="15" t="n"/>
      <c r="K595" s="15" t="n"/>
      <c r="L595" s="12" t="n"/>
      <c r="M595" s="12" t="n"/>
    </row>
    <row r="596">
      <c r="A596" s="17" t="n"/>
      <c r="B596" s="18" t="n"/>
      <c r="C596" s="17" t="n"/>
      <c r="D596" s="19" t="n"/>
      <c r="E596" s="17" t="n"/>
      <c r="F596" s="17" t="n"/>
      <c r="G596" s="17" t="n"/>
      <c r="H596" s="19" t="n"/>
      <c r="I596" s="19" t="n"/>
      <c r="J596" s="20" t="n"/>
      <c r="K596" s="20" t="n"/>
      <c r="L596" s="17" t="n"/>
      <c r="M596" s="17" t="n"/>
    </row>
    <row r="597">
      <c r="A597" s="12" t="n"/>
      <c r="B597" s="13" t="n"/>
      <c r="C597" s="12" t="n"/>
      <c r="D597" s="14" t="n"/>
      <c r="E597" s="12" t="n"/>
      <c r="F597" s="12" t="n"/>
      <c r="G597" s="12" t="n"/>
      <c r="H597" s="14" t="n"/>
      <c r="I597" s="14" t="n"/>
      <c r="J597" s="15" t="n"/>
      <c r="K597" s="15" t="n"/>
      <c r="L597" s="12" t="n"/>
      <c r="M597" s="12" t="n"/>
    </row>
    <row r="598">
      <c r="A598" s="17" t="n"/>
      <c r="B598" s="18" t="n"/>
      <c r="C598" s="17" t="n"/>
      <c r="D598" s="19" t="n"/>
      <c r="E598" s="17" t="n"/>
      <c r="F598" s="17" t="n"/>
      <c r="G598" s="17" t="n"/>
      <c r="H598" s="19" t="n"/>
      <c r="I598" s="19" t="n"/>
      <c r="J598" s="20" t="n"/>
      <c r="K598" s="20" t="n"/>
      <c r="L598" s="17" t="n"/>
      <c r="M598" s="17" t="n"/>
    </row>
    <row r="599">
      <c r="A599" s="12" t="n"/>
      <c r="B599" s="13" t="n"/>
      <c r="C599" s="12" t="n"/>
      <c r="D599" s="14" t="n"/>
      <c r="E599" s="12" t="n"/>
      <c r="F599" s="12" t="n"/>
      <c r="G599" s="12" t="n"/>
      <c r="H599" s="14" t="n"/>
      <c r="I599" s="14" t="n"/>
      <c r="J599" s="15" t="n"/>
      <c r="K599" s="15" t="n"/>
      <c r="L599" s="12" t="n"/>
      <c r="M599" s="12" t="n"/>
    </row>
    <row r="600">
      <c r="A600" s="17" t="n"/>
      <c r="B600" s="18" t="n"/>
      <c r="C600" s="17" t="n"/>
      <c r="D600" s="19" t="n"/>
      <c r="E600" s="17" t="n"/>
      <c r="F600" s="17" t="n"/>
      <c r="G600" s="17" t="n"/>
      <c r="H600" s="19" t="n"/>
      <c r="I600" s="19" t="n"/>
      <c r="J600" s="20" t="n"/>
      <c r="K600" s="20" t="n"/>
      <c r="L600" s="17" t="n"/>
      <c r="M600" s="17" t="n"/>
    </row>
    <row r="601">
      <c r="A601" s="12" t="n"/>
      <c r="B601" s="13" t="n"/>
      <c r="C601" s="12" t="n"/>
      <c r="D601" s="14" t="n"/>
      <c r="E601" s="12" t="n"/>
      <c r="F601" s="12" t="n"/>
      <c r="G601" s="12" t="n"/>
      <c r="H601" s="14" t="n"/>
      <c r="I601" s="14" t="n"/>
      <c r="J601" s="15" t="n"/>
      <c r="K601" s="15" t="n"/>
      <c r="L601" s="12" t="n"/>
      <c r="M601" s="12" t="n"/>
    </row>
    <row r="602">
      <c r="A602" s="17" t="n"/>
      <c r="B602" s="18" t="n"/>
      <c r="C602" s="17" t="n"/>
      <c r="D602" s="19" t="n"/>
      <c r="E602" s="17" t="n"/>
      <c r="F602" s="17" t="n"/>
      <c r="G602" s="17" t="n"/>
      <c r="H602" s="19" t="n"/>
      <c r="I602" s="19" t="n"/>
      <c r="J602" s="20" t="n"/>
      <c r="K602" s="20" t="n"/>
      <c r="L602" s="17" t="n"/>
      <c r="M602" s="17" t="n"/>
    </row>
    <row r="603">
      <c r="A603" s="12" t="n"/>
      <c r="B603" s="13" t="n"/>
      <c r="C603" s="12" t="n"/>
      <c r="D603" s="14" t="n"/>
      <c r="E603" s="12" t="n"/>
      <c r="F603" s="12" t="n"/>
      <c r="G603" s="12" t="n"/>
      <c r="H603" s="14" t="n"/>
      <c r="I603" s="14" t="n"/>
      <c r="J603" s="15" t="n"/>
      <c r="K603" s="15" t="n"/>
      <c r="L603" s="12" t="n"/>
      <c r="M603" s="12" t="n"/>
    </row>
    <row r="604">
      <c r="A604" s="17" t="n"/>
      <c r="B604" s="18" t="n"/>
      <c r="C604" s="17" t="n"/>
      <c r="D604" s="19" t="n"/>
      <c r="E604" s="17" t="n"/>
      <c r="F604" s="17" t="n"/>
      <c r="G604" s="17" t="n"/>
      <c r="H604" s="19" t="n"/>
      <c r="I604" s="19" t="n"/>
      <c r="J604" s="20" t="n"/>
      <c r="K604" s="20" t="n"/>
      <c r="L604" s="17" t="n"/>
      <c r="M604" s="17" t="n"/>
    </row>
    <row r="605">
      <c r="A605" s="12" t="n"/>
      <c r="B605" s="13" t="n"/>
      <c r="C605" s="12" t="n"/>
      <c r="D605" s="14" t="n"/>
      <c r="E605" s="12" t="n"/>
      <c r="F605" s="12" t="n"/>
      <c r="G605" s="12" t="n"/>
      <c r="H605" s="14" t="n"/>
      <c r="I605" s="14" t="n"/>
      <c r="J605" s="15" t="n"/>
      <c r="K605" s="15" t="n"/>
      <c r="L605" s="12" t="n"/>
      <c r="M605" s="12" t="n"/>
    </row>
    <row r="606">
      <c r="A606" s="17" t="n"/>
      <c r="B606" s="18" t="n"/>
      <c r="C606" s="17" t="n"/>
      <c r="D606" s="19" t="n"/>
      <c r="E606" s="17" t="n"/>
      <c r="F606" s="17" t="n"/>
      <c r="G606" s="17" t="n"/>
      <c r="H606" s="19" t="n"/>
      <c r="I606" s="19" t="n"/>
      <c r="J606" s="20" t="n"/>
      <c r="K606" s="20" t="n"/>
      <c r="L606" s="17" t="n"/>
      <c r="M606" s="17" t="n"/>
    </row>
    <row r="607">
      <c r="A607" s="12" t="n"/>
      <c r="B607" s="13" t="n"/>
      <c r="C607" s="12" t="n"/>
      <c r="D607" s="14" t="n"/>
      <c r="E607" s="12" t="n"/>
      <c r="F607" s="12" t="n"/>
      <c r="G607" s="12" t="n"/>
      <c r="H607" s="14" t="n"/>
      <c r="I607" s="14" t="n"/>
      <c r="J607" s="15" t="n"/>
      <c r="K607" s="15" t="n"/>
      <c r="L607" s="12" t="n"/>
      <c r="M607" s="12" t="n"/>
    </row>
    <row r="608">
      <c r="A608" s="17" t="n"/>
      <c r="B608" s="18" t="n"/>
      <c r="C608" s="17" t="n"/>
      <c r="D608" s="19" t="n"/>
      <c r="E608" s="17" t="n"/>
      <c r="F608" s="17" t="n"/>
      <c r="G608" s="17" t="n"/>
      <c r="H608" s="19" t="n"/>
      <c r="I608" s="19" t="n"/>
      <c r="J608" s="20" t="n"/>
      <c r="K608" s="20" t="n"/>
      <c r="L608" s="17" t="n"/>
      <c r="M608" s="17" t="n"/>
    </row>
    <row r="609">
      <c r="A609" s="12" t="n"/>
      <c r="B609" s="13" t="n"/>
      <c r="C609" s="12" t="n"/>
      <c r="D609" s="14" t="n"/>
      <c r="E609" s="12" t="n"/>
      <c r="F609" s="12" t="n"/>
      <c r="G609" s="12" t="n"/>
      <c r="H609" s="14" t="n"/>
      <c r="I609" s="14" t="n"/>
      <c r="J609" s="15" t="n"/>
      <c r="K609" s="15" t="n"/>
      <c r="L609" s="12" t="n"/>
      <c r="M609" s="12" t="n"/>
    </row>
    <row r="610">
      <c r="A610" s="17" t="n"/>
      <c r="B610" s="18" t="n"/>
      <c r="C610" s="17" t="n"/>
      <c r="D610" s="19" t="n"/>
      <c r="E610" s="17" t="n"/>
      <c r="F610" s="17" t="n"/>
      <c r="G610" s="17" t="n"/>
      <c r="H610" s="19" t="n"/>
      <c r="I610" s="19" t="n"/>
      <c r="J610" s="20" t="n"/>
      <c r="K610" s="20" t="n"/>
      <c r="L610" s="17" t="n"/>
      <c r="M610" s="17" t="n"/>
    </row>
    <row r="611">
      <c r="A611" s="12" t="n"/>
      <c r="B611" s="13" t="n"/>
      <c r="C611" s="12" t="n"/>
      <c r="D611" s="14" t="n"/>
      <c r="E611" s="12" t="n"/>
      <c r="F611" s="12" t="n"/>
      <c r="G611" s="12" t="n"/>
      <c r="H611" s="14" t="n"/>
      <c r="I611" s="14" t="n"/>
      <c r="J611" s="15" t="n"/>
      <c r="K611" s="15" t="n"/>
      <c r="L611" s="12" t="n"/>
      <c r="M611" s="12" t="n"/>
    </row>
    <row r="612">
      <c r="A612" s="17" t="n"/>
      <c r="B612" s="18" t="n"/>
      <c r="C612" s="17" t="n"/>
      <c r="D612" s="19" t="n"/>
      <c r="E612" s="17" t="n"/>
      <c r="F612" s="17" t="n"/>
      <c r="G612" s="17" t="n"/>
      <c r="H612" s="19" t="n"/>
      <c r="I612" s="19" t="n"/>
      <c r="J612" s="20" t="n"/>
      <c r="K612" s="20" t="n"/>
      <c r="L612" s="17" t="n"/>
      <c r="M612" s="17" t="n"/>
    </row>
    <row r="613">
      <c r="A613" s="12" t="n"/>
      <c r="B613" s="13" t="n"/>
      <c r="C613" s="12" t="n"/>
      <c r="D613" s="14" t="n"/>
      <c r="E613" s="12" t="n"/>
      <c r="F613" s="12" t="n"/>
      <c r="G613" s="12" t="n"/>
      <c r="H613" s="14" t="n"/>
      <c r="I613" s="14" t="n"/>
      <c r="J613" s="15" t="n"/>
      <c r="K613" s="15" t="n"/>
      <c r="L613" s="12" t="n"/>
      <c r="M613" s="12" t="n"/>
    </row>
    <row r="614">
      <c r="A614" s="17" t="n"/>
      <c r="B614" s="18" t="n"/>
      <c r="C614" s="17" t="n"/>
      <c r="D614" s="19" t="n"/>
      <c r="E614" s="17" t="n"/>
      <c r="F614" s="17" t="n"/>
      <c r="G614" s="17" t="n"/>
      <c r="H614" s="19" t="n"/>
      <c r="I614" s="19" t="n"/>
      <c r="J614" s="20" t="n"/>
      <c r="K614" s="20" t="n"/>
      <c r="L614" s="17" t="n"/>
      <c r="M614" s="17" t="n"/>
    </row>
    <row r="615">
      <c r="A615" s="12" t="n"/>
      <c r="B615" s="13" t="n"/>
      <c r="C615" s="12" t="n"/>
      <c r="D615" s="14" t="n"/>
      <c r="E615" s="12" t="n"/>
      <c r="F615" s="12" t="n"/>
      <c r="G615" s="12" t="n"/>
      <c r="H615" s="14" t="n"/>
      <c r="I615" s="14" t="n"/>
      <c r="J615" s="15" t="n"/>
      <c r="K615" s="15" t="n"/>
      <c r="L615" s="12" t="n"/>
      <c r="M615" s="12" t="n"/>
    </row>
    <row r="616">
      <c r="A616" s="17" t="n"/>
      <c r="B616" s="18" t="n"/>
      <c r="C616" s="17" t="n"/>
      <c r="D616" s="19" t="n"/>
      <c r="E616" s="17" t="n"/>
      <c r="F616" s="17" t="n"/>
      <c r="G616" s="17" t="n"/>
      <c r="H616" s="19" t="n"/>
      <c r="I616" s="19" t="n"/>
      <c r="J616" s="20" t="n"/>
      <c r="K616" s="20" t="n"/>
      <c r="L616" s="17" t="n"/>
      <c r="M616" s="17" t="n"/>
    </row>
    <row r="617">
      <c r="A617" s="12" t="n"/>
      <c r="B617" s="13" t="n"/>
      <c r="C617" s="12" t="n"/>
      <c r="D617" s="14" t="n"/>
      <c r="E617" s="12" t="n"/>
      <c r="F617" s="12" t="n"/>
      <c r="G617" s="12" t="n"/>
      <c r="H617" s="14" t="n"/>
      <c r="I617" s="14" t="n"/>
      <c r="J617" s="15" t="n"/>
      <c r="K617" s="15" t="n"/>
      <c r="L617" s="12" t="n"/>
      <c r="M617" s="12" t="n"/>
    </row>
    <row r="618">
      <c r="A618" s="17" t="n"/>
      <c r="B618" s="18" t="n"/>
      <c r="C618" s="17" t="n"/>
      <c r="D618" s="19" t="n"/>
      <c r="E618" s="17" t="n"/>
      <c r="F618" s="17" t="n"/>
      <c r="G618" s="17" t="n"/>
      <c r="H618" s="19" t="n"/>
      <c r="I618" s="19" t="n"/>
      <c r="J618" s="20" t="n"/>
      <c r="K618" s="20" t="n"/>
      <c r="L618" s="17" t="n"/>
      <c r="M618" s="17" t="n"/>
    </row>
    <row r="619">
      <c r="A619" s="12" t="n"/>
      <c r="B619" s="13" t="n"/>
      <c r="C619" s="12" t="n"/>
      <c r="D619" s="14" t="n"/>
      <c r="E619" s="12" t="n"/>
      <c r="F619" s="12" t="n"/>
      <c r="G619" s="12" t="n"/>
      <c r="H619" s="14" t="n"/>
      <c r="I619" s="14" t="n"/>
      <c r="J619" s="15" t="n"/>
      <c r="K619" s="15" t="n"/>
      <c r="L619" s="12" t="n"/>
      <c r="M619" s="12" t="n"/>
    </row>
    <row r="620">
      <c r="A620" s="17" t="n"/>
      <c r="B620" s="18" t="n"/>
      <c r="C620" s="17" t="n"/>
      <c r="D620" s="19" t="n"/>
      <c r="E620" s="17" t="n"/>
      <c r="F620" s="17" t="n"/>
      <c r="G620" s="17" t="n"/>
      <c r="H620" s="19" t="n"/>
      <c r="I620" s="19" t="n"/>
      <c r="J620" s="20" t="n"/>
      <c r="K620" s="20" t="n"/>
      <c r="L620" s="17" t="n"/>
      <c r="M620" s="17" t="n"/>
    </row>
    <row r="621">
      <c r="A621" s="12" t="n"/>
      <c r="B621" s="13" t="n"/>
      <c r="C621" s="12" t="n"/>
      <c r="D621" s="14" t="n"/>
      <c r="E621" s="12" t="n"/>
      <c r="F621" s="12" t="n"/>
      <c r="G621" s="12" t="n"/>
      <c r="H621" s="14" t="n"/>
      <c r="I621" s="14" t="n"/>
      <c r="J621" s="15" t="n"/>
      <c r="K621" s="15" t="n"/>
      <c r="L621" s="12" t="n"/>
      <c r="M621" s="12" t="n"/>
    </row>
    <row r="622">
      <c r="A622" s="17" t="n"/>
      <c r="B622" s="18" t="n"/>
      <c r="C622" s="17" t="n"/>
      <c r="D622" s="19" t="n"/>
      <c r="E622" s="17" t="n"/>
      <c r="F622" s="17" t="n"/>
      <c r="G622" s="17" t="n"/>
      <c r="H622" s="19" t="n"/>
      <c r="I622" s="19" t="n"/>
      <c r="J622" s="20" t="n"/>
      <c r="K622" s="20" t="n"/>
      <c r="L622" s="17" t="n"/>
      <c r="M622" s="17" t="n"/>
    </row>
    <row r="623">
      <c r="A623" s="12" t="n"/>
      <c r="B623" s="13" t="n"/>
      <c r="C623" s="12" t="n"/>
      <c r="D623" s="14" t="n"/>
      <c r="E623" s="12" t="n"/>
      <c r="F623" s="12" t="n"/>
      <c r="G623" s="12" t="n"/>
      <c r="H623" s="14" t="n"/>
      <c r="I623" s="14" t="n"/>
      <c r="J623" s="15" t="n"/>
      <c r="K623" s="15" t="n"/>
      <c r="L623" s="12" t="n"/>
      <c r="M623" s="12" t="n"/>
    </row>
    <row r="624">
      <c r="A624" s="17" t="n"/>
      <c r="B624" s="18" t="n"/>
      <c r="C624" s="17" t="n"/>
      <c r="D624" s="19" t="n"/>
      <c r="E624" s="17" t="n"/>
      <c r="F624" s="17" t="n"/>
      <c r="G624" s="17" t="n"/>
      <c r="H624" s="19" t="n"/>
      <c r="I624" s="19" t="n"/>
      <c r="J624" s="20" t="n"/>
      <c r="K624" s="20" t="n"/>
      <c r="L624" s="17" t="n"/>
      <c r="M624" s="17" t="n"/>
    </row>
    <row r="625">
      <c r="A625" s="12" t="n"/>
      <c r="B625" s="13" t="n"/>
      <c r="C625" s="12" t="n"/>
      <c r="D625" s="14" t="n"/>
      <c r="E625" s="12" t="n"/>
      <c r="F625" s="12" t="n"/>
      <c r="G625" s="12" t="n"/>
      <c r="H625" s="14" t="n"/>
      <c r="I625" s="14" t="n"/>
      <c r="J625" s="15" t="n"/>
      <c r="K625" s="15" t="n"/>
      <c r="L625" s="12" t="n"/>
      <c r="M625" s="12" t="n"/>
    </row>
    <row r="626">
      <c r="A626" s="17" t="n"/>
      <c r="B626" s="18" t="n"/>
      <c r="C626" s="17" t="n"/>
      <c r="D626" s="19" t="n"/>
      <c r="E626" s="17" t="n"/>
      <c r="F626" s="17" t="n"/>
      <c r="G626" s="17" t="n"/>
      <c r="H626" s="19" t="n"/>
      <c r="I626" s="19" t="n"/>
      <c r="J626" s="20" t="n"/>
      <c r="K626" s="20" t="n"/>
      <c r="L626" s="17" t="n"/>
      <c r="M626" s="17" t="n"/>
    </row>
    <row r="627">
      <c r="A627" s="12" t="n"/>
      <c r="B627" s="13" t="n"/>
      <c r="C627" s="12" t="n"/>
      <c r="D627" s="14" t="n"/>
      <c r="E627" s="12" t="n"/>
      <c r="F627" s="12" t="n"/>
      <c r="G627" s="12" t="n"/>
      <c r="H627" s="14" t="n"/>
      <c r="I627" s="14" t="n"/>
      <c r="J627" s="15" t="n"/>
      <c r="K627" s="15" t="n"/>
      <c r="L627" s="12" t="n"/>
      <c r="M627" s="12" t="n"/>
    </row>
    <row r="628">
      <c r="A628" s="17" t="n"/>
      <c r="B628" s="18" t="n"/>
      <c r="C628" s="17" t="n"/>
      <c r="D628" s="19" t="n"/>
      <c r="E628" s="17" t="n"/>
      <c r="F628" s="17" t="n"/>
      <c r="G628" s="17" t="n"/>
      <c r="H628" s="19" t="n"/>
      <c r="I628" s="19" t="n"/>
      <c r="J628" s="20" t="n"/>
      <c r="K628" s="20" t="n"/>
      <c r="L628" s="17" t="n"/>
      <c r="M628" s="17" t="n"/>
    </row>
    <row r="629">
      <c r="A629" s="12" t="n"/>
      <c r="B629" s="13" t="n"/>
      <c r="C629" s="12" t="n"/>
      <c r="D629" s="14" t="n"/>
      <c r="E629" s="12" t="n"/>
      <c r="F629" s="12" t="n"/>
      <c r="G629" s="12" t="n"/>
      <c r="H629" s="14" t="n"/>
      <c r="I629" s="14" t="n"/>
      <c r="J629" s="15" t="n"/>
      <c r="K629" s="15" t="n"/>
      <c r="L629" s="12" t="n"/>
      <c r="M629" s="12" t="n"/>
    </row>
    <row r="630">
      <c r="A630" s="17" t="n"/>
      <c r="B630" s="18" t="n"/>
      <c r="C630" s="17" t="n"/>
      <c r="D630" s="19" t="n"/>
      <c r="E630" s="17" t="n"/>
      <c r="F630" s="17" t="n"/>
      <c r="G630" s="17" t="n"/>
      <c r="H630" s="19" t="n"/>
      <c r="I630" s="19" t="n"/>
      <c r="J630" s="20" t="n"/>
      <c r="K630" s="20" t="n"/>
      <c r="L630" s="17" t="n"/>
      <c r="M630" s="17" t="n"/>
    </row>
    <row r="631">
      <c r="A631" s="12" t="n"/>
      <c r="B631" s="13" t="n"/>
      <c r="C631" s="12" t="n"/>
      <c r="D631" s="14" t="n"/>
      <c r="E631" s="12" t="n"/>
      <c r="F631" s="12" t="n"/>
      <c r="G631" s="12" t="n"/>
      <c r="H631" s="14" t="n"/>
      <c r="I631" s="14" t="n"/>
      <c r="J631" s="15" t="n"/>
      <c r="K631" s="15" t="n"/>
      <c r="L631" s="12" t="n"/>
      <c r="M631" s="12" t="n"/>
    </row>
    <row r="632">
      <c r="A632" s="17" t="n"/>
      <c r="B632" s="18" t="n"/>
      <c r="C632" s="17" t="n"/>
      <c r="D632" s="19" t="n"/>
      <c r="E632" s="17" t="n"/>
      <c r="F632" s="17" t="n"/>
      <c r="G632" s="17" t="n"/>
      <c r="H632" s="19" t="n"/>
      <c r="I632" s="19" t="n"/>
      <c r="J632" s="20" t="n"/>
      <c r="K632" s="20" t="n"/>
      <c r="L632" s="17" t="n"/>
      <c r="M632" s="17" t="n"/>
    </row>
    <row r="633">
      <c r="A633" s="12" t="n"/>
      <c r="B633" s="13" t="n"/>
      <c r="C633" s="12" t="n"/>
      <c r="D633" s="14" t="n"/>
      <c r="E633" s="12" t="n"/>
      <c r="F633" s="12" t="n"/>
      <c r="G633" s="12" t="n"/>
      <c r="H633" s="14" t="n"/>
      <c r="I633" s="14" t="n"/>
      <c r="J633" s="15" t="n"/>
      <c r="K633" s="15" t="n"/>
      <c r="L633" s="12" t="n"/>
      <c r="M633" s="12" t="n"/>
    </row>
    <row r="634">
      <c r="A634" s="17" t="n"/>
      <c r="B634" s="18" t="n"/>
      <c r="C634" s="17" t="n"/>
      <c r="D634" s="19" t="n"/>
      <c r="E634" s="17" t="n"/>
      <c r="F634" s="17" t="n"/>
      <c r="G634" s="17" t="n"/>
      <c r="H634" s="19" t="n"/>
      <c r="I634" s="19" t="n"/>
      <c r="J634" s="20" t="n"/>
      <c r="K634" s="20" t="n"/>
      <c r="L634" s="17" t="n"/>
      <c r="M634" s="17" t="n"/>
    </row>
    <row r="635">
      <c r="A635" s="12" t="n"/>
      <c r="B635" s="13" t="n"/>
      <c r="C635" s="12" t="n"/>
      <c r="D635" s="14" t="n"/>
      <c r="E635" s="12" t="n"/>
      <c r="F635" s="12" t="n"/>
      <c r="G635" s="12" t="n"/>
      <c r="H635" s="14" t="n"/>
      <c r="I635" s="14" t="n"/>
      <c r="J635" s="15" t="n"/>
      <c r="K635" s="15" t="n"/>
      <c r="L635" s="12" t="n"/>
      <c r="M635" s="12" t="n"/>
    </row>
    <row r="636">
      <c r="A636" s="17" t="n"/>
      <c r="B636" s="18" t="n"/>
      <c r="C636" s="17" t="n"/>
      <c r="D636" s="19" t="n"/>
      <c r="E636" s="17" t="n"/>
      <c r="F636" s="17" t="n"/>
      <c r="G636" s="17" t="n"/>
      <c r="H636" s="19" t="n"/>
      <c r="I636" s="19" t="n"/>
      <c r="J636" s="20" t="n"/>
      <c r="K636" s="20" t="n"/>
      <c r="L636" s="17" t="n"/>
      <c r="M636" s="17" t="n"/>
    </row>
    <row r="637">
      <c r="A637" s="12" t="n"/>
      <c r="B637" s="13" t="n"/>
      <c r="C637" s="12" t="n"/>
      <c r="D637" s="14" t="n"/>
      <c r="E637" s="12" t="n"/>
      <c r="F637" s="12" t="n"/>
      <c r="G637" s="12" t="n"/>
      <c r="H637" s="14" t="n"/>
      <c r="I637" s="14" t="n"/>
      <c r="J637" s="15" t="n"/>
      <c r="K637" s="15" t="n"/>
      <c r="L637" s="12" t="n"/>
      <c r="M637" s="12" t="n"/>
    </row>
    <row r="638">
      <c r="A638" s="17" t="n"/>
      <c r="B638" s="18" t="n"/>
      <c r="C638" s="17" t="n"/>
      <c r="D638" s="19" t="n"/>
      <c r="E638" s="17" t="n"/>
      <c r="F638" s="17" t="n"/>
      <c r="G638" s="17" t="n"/>
      <c r="H638" s="19" t="n"/>
      <c r="I638" s="19" t="n"/>
      <c r="J638" s="20" t="n"/>
      <c r="K638" s="20" t="n"/>
      <c r="L638" s="17" t="n"/>
      <c r="M638" s="17" t="n"/>
    </row>
    <row r="639">
      <c r="A639" s="12" t="n"/>
      <c r="B639" s="13" t="n"/>
      <c r="C639" s="12" t="n"/>
      <c r="D639" s="14" t="n"/>
      <c r="E639" s="12" t="n"/>
      <c r="F639" s="12" t="n"/>
      <c r="G639" s="12" t="n"/>
      <c r="H639" s="14" t="n"/>
      <c r="I639" s="14" t="n"/>
      <c r="J639" s="15" t="n"/>
      <c r="K639" s="15" t="n"/>
      <c r="L639" s="12" t="n"/>
      <c r="M639" s="12" t="n"/>
    </row>
    <row r="640">
      <c r="A640" s="17" t="n"/>
      <c r="B640" s="18" t="n"/>
      <c r="C640" s="17" t="n"/>
      <c r="D640" s="19" t="n"/>
      <c r="E640" s="17" t="n"/>
      <c r="F640" s="17" t="n"/>
      <c r="G640" s="17" t="n"/>
      <c r="H640" s="19" t="n"/>
      <c r="I640" s="19" t="n"/>
      <c r="J640" s="20" t="n"/>
      <c r="K640" s="20" t="n"/>
      <c r="L640" s="17" t="n"/>
      <c r="M640" s="17" t="n"/>
    </row>
    <row r="641">
      <c r="A641" s="12" t="n"/>
      <c r="B641" s="13" t="n"/>
      <c r="C641" s="12" t="n"/>
      <c r="D641" s="14" t="n"/>
      <c r="E641" s="12" t="n"/>
      <c r="F641" s="12" t="n"/>
      <c r="G641" s="12" t="n"/>
      <c r="H641" s="14" t="n"/>
      <c r="I641" s="14" t="n"/>
      <c r="J641" s="15" t="n"/>
      <c r="K641" s="15" t="n"/>
      <c r="L641" s="12" t="n"/>
      <c r="M641" s="12" t="n"/>
    </row>
    <row r="642">
      <c r="A642" s="17" t="n"/>
      <c r="B642" s="18" t="n"/>
      <c r="C642" s="17" t="n"/>
      <c r="D642" s="19" t="n"/>
      <c r="E642" s="17" t="n"/>
      <c r="F642" s="17" t="n"/>
      <c r="G642" s="17" t="n"/>
      <c r="H642" s="19" t="n"/>
      <c r="I642" s="19" t="n"/>
      <c r="J642" s="20" t="n"/>
      <c r="K642" s="20" t="n"/>
      <c r="L642" s="17" t="n"/>
      <c r="M642" s="17" t="n"/>
    </row>
    <row r="643">
      <c r="A643" s="12" t="n"/>
      <c r="B643" s="13" t="n"/>
      <c r="C643" s="12" t="n"/>
      <c r="D643" s="14" t="n"/>
      <c r="E643" s="12" t="n"/>
      <c r="F643" s="12" t="n"/>
      <c r="G643" s="12" t="n"/>
      <c r="H643" s="14" t="n"/>
      <c r="I643" s="14" t="n"/>
      <c r="J643" s="15" t="n"/>
      <c r="K643" s="15" t="n"/>
      <c r="L643" s="12" t="n"/>
      <c r="M643" s="12" t="n"/>
    </row>
    <row r="644">
      <c r="A644" s="17" t="n"/>
      <c r="B644" s="18" t="n"/>
      <c r="C644" s="17" t="n"/>
      <c r="D644" s="19" t="n"/>
      <c r="E644" s="17" t="n"/>
      <c r="F644" s="17" t="n"/>
      <c r="G644" s="17" t="n"/>
      <c r="H644" s="19" t="n"/>
      <c r="I644" s="19" t="n"/>
      <c r="J644" s="20" t="n"/>
      <c r="K644" s="20" t="n"/>
      <c r="L644" s="17" t="n"/>
      <c r="M644" s="17" t="n"/>
    </row>
    <row r="645">
      <c r="A645" s="12" t="n"/>
      <c r="B645" s="13" t="n"/>
      <c r="C645" s="12" t="n"/>
      <c r="D645" s="14" t="n"/>
      <c r="E645" s="12" t="n"/>
      <c r="F645" s="12" t="n"/>
      <c r="G645" s="12" t="n"/>
      <c r="H645" s="14" t="n"/>
      <c r="I645" s="14" t="n"/>
      <c r="J645" s="15" t="n"/>
      <c r="K645" s="15" t="n"/>
      <c r="L645" s="12" t="n"/>
      <c r="M645" s="12" t="n"/>
    </row>
    <row r="646">
      <c r="A646" s="17" t="n"/>
      <c r="B646" s="18" t="n"/>
      <c r="C646" s="17" t="n"/>
      <c r="D646" s="19" t="n"/>
      <c r="E646" s="17" t="n"/>
      <c r="F646" s="17" t="n"/>
      <c r="G646" s="17" t="n"/>
      <c r="H646" s="19" t="n"/>
      <c r="I646" s="19" t="n"/>
      <c r="J646" s="20" t="n"/>
      <c r="K646" s="20" t="n"/>
      <c r="L646" s="17" t="n"/>
      <c r="M646" s="17" t="n"/>
    </row>
    <row r="647">
      <c r="A647" s="12" t="n"/>
      <c r="B647" s="13" t="n"/>
      <c r="C647" s="12" t="n"/>
      <c r="D647" s="14" t="n"/>
      <c r="E647" s="12" t="n"/>
      <c r="F647" s="12" t="n"/>
      <c r="G647" s="12" t="n"/>
      <c r="H647" s="14" t="n"/>
      <c r="I647" s="14" t="n"/>
      <c r="J647" s="15" t="n"/>
      <c r="K647" s="15" t="n"/>
      <c r="L647" s="12" t="n"/>
      <c r="M647" s="12" t="n"/>
    </row>
    <row r="648">
      <c r="A648" s="17" t="n"/>
      <c r="B648" s="18" t="n"/>
      <c r="C648" s="17" t="n"/>
      <c r="D648" s="19" t="n"/>
      <c r="E648" s="17" t="n"/>
      <c r="F648" s="17" t="n"/>
      <c r="G648" s="17" t="n"/>
      <c r="H648" s="19" t="n"/>
      <c r="I648" s="19" t="n"/>
      <c r="J648" s="20" t="n"/>
      <c r="K648" s="20" t="n"/>
      <c r="L648" s="17" t="n"/>
      <c r="M648" s="17" t="n"/>
    </row>
    <row r="649">
      <c r="A649" s="12" t="n"/>
      <c r="B649" s="13" t="n"/>
      <c r="C649" s="12" t="n"/>
      <c r="D649" s="14" t="n"/>
      <c r="E649" s="12" t="n"/>
      <c r="F649" s="12" t="n"/>
      <c r="G649" s="12" t="n"/>
      <c r="H649" s="14" t="n"/>
      <c r="I649" s="14" t="n"/>
      <c r="J649" s="15" t="n"/>
      <c r="K649" s="15" t="n"/>
      <c r="L649" s="12" t="n"/>
      <c r="M649" s="12" t="n"/>
    </row>
    <row r="650">
      <c r="A650" s="17" t="n"/>
      <c r="B650" s="18" t="n"/>
      <c r="C650" s="17" t="n"/>
      <c r="D650" s="19" t="n"/>
      <c r="E650" s="17" t="n"/>
      <c r="F650" s="17" t="n"/>
      <c r="G650" s="17" t="n"/>
      <c r="H650" s="19" t="n"/>
      <c r="I650" s="19" t="n"/>
      <c r="J650" s="20" t="n"/>
      <c r="K650" s="20" t="n"/>
      <c r="L650" s="17" t="n"/>
      <c r="M650" s="17" t="n"/>
    </row>
    <row r="651">
      <c r="A651" s="12" t="n"/>
      <c r="B651" s="13" t="n"/>
      <c r="C651" s="12" t="n"/>
      <c r="D651" s="14" t="n"/>
      <c r="E651" s="12" t="n"/>
      <c r="F651" s="12" t="n"/>
      <c r="G651" s="12" t="n"/>
      <c r="H651" s="14" t="n"/>
      <c r="I651" s="14" t="n"/>
      <c r="J651" s="15" t="n"/>
      <c r="K651" s="15" t="n"/>
      <c r="L651" s="12" t="n"/>
      <c r="M651" s="12" t="n"/>
    </row>
    <row r="652">
      <c r="A652" s="17" t="n"/>
      <c r="B652" s="18" t="n"/>
      <c r="C652" s="17" t="n"/>
      <c r="D652" s="19" t="n"/>
      <c r="E652" s="17" t="n"/>
      <c r="F652" s="17" t="n"/>
      <c r="G652" s="17" t="n"/>
      <c r="H652" s="19" t="n"/>
      <c r="I652" s="19" t="n"/>
      <c r="J652" s="20" t="n"/>
      <c r="K652" s="20" t="n"/>
      <c r="L652" s="17" t="n"/>
      <c r="M652" s="17" t="n"/>
    </row>
    <row r="653">
      <c r="A653" s="12" t="n"/>
      <c r="B653" s="13" t="n"/>
      <c r="C653" s="12" t="n"/>
      <c r="D653" s="14" t="n"/>
      <c r="E653" s="12" t="n"/>
      <c r="F653" s="12" t="n"/>
      <c r="G653" s="12" t="n"/>
      <c r="H653" s="14" t="n"/>
      <c r="I653" s="14" t="n"/>
      <c r="J653" s="15" t="n"/>
      <c r="K653" s="15" t="n"/>
      <c r="L653" s="12" t="n"/>
      <c r="M653" s="12" t="n"/>
    </row>
    <row r="654">
      <c r="A654" s="17" t="n"/>
      <c r="B654" s="18" t="n"/>
      <c r="C654" s="17" t="n"/>
      <c r="D654" s="19" t="n"/>
      <c r="E654" s="17" t="n"/>
      <c r="F654" s="17" t="n"/>
      <c r="G654" s="17" t="n"/>
      <c r="H654" s="19" t="n"/>
      <c r="I654" s="19" t="n"/>
      <c r="J654" s="20" t="n"/>
      <c r="K654" s="20" t="n"/>
      <c r="L654" s="17" t="n"/>
      <c r="M654" s="17" t="n"/>
    </row>
    <row r="655">
      <c r="A655" s="12" t="n"/>
      <c r="B655" s="13" t="n"/>
      <c r="C655" s="12" t="n"/>
      <c r="D655" s="14" t="n"/>
      <c r="E655" s="12" t="n"/>
      <c r="F655" s="12" t="n"/>
      <c r="G655" s="12" t="n"/>
      <c r="H655" s="14" t="n"/>
      <c r="I655" s="14" t="n"/>
      <c r="J655" s="15" t="n"/>
      <c r="K655" s="15" t="n"/>
      <c r="L655" s="12" t="n"/>
      <c r="M655" s="12" t="n"/>
    </row>
    <row r="656">
      <c r="A656" s="17" t="n"/>
      <c r="B656" s="18" t="n"/>
      <c r="C656" s="17" t="n"/>
      <c r="D656" s="19" t="n"/>
      <c r="E656" s="17" t="n"/>
      <c r="F656" s="17" t="n"/>
      <c r="G656" s="17" t="n"/>
      <c r="H656" s="19" t="n"/>
      <c r="I656" s="19" t="n"/>
      <c r="J656" s="20" t="n"/>
      <c r="K656" s="20" t="n"/>
      <c r="L656" s="17" t="n"/>
      <c r="M656" s="17" t="n"/>
    </row>
    <row r="657">
      <c r="A657" s="12" t="n"/>
      <c r="B657" s="13" t="n"/>
      <c r="C657" s="12" t="n"/>
      <c r="D657" s="14" t="n"/>
      <c r="E657" s="12" t="n"/>
      <c r="F657" s="12" t="n"/>
      <c r="G657" s="12" t="n"/>
      <c r="H657" s="14" t="n"/>
      <c r="I657" s="14" t="n"/>
      <c r="J657" s="15" t="n"/>
      <c r="K657" s="15" t="n"/>
      <c r="L657" s="12" t="n"/>
      <c r="M657" s="12" t="n"/>
    </row>
    <row r="658">
      <c r="A658" s="17" t="n"/>
      <c r="B658" s="18" t="n"/>
      <c r="C658" s="17" t="n"/>
      <c r="D658" s="19" t="n"/>
      <c r="E658" s="17" t="n"/>
      <c r="F658" s="17" t="n"/>
      <c r="G658" s="17" t="n"/>
      <c r="H658" s="19" t="n"/>
      <c r="I658" s="19" t="n"/>
      <c r="J658" s="20" t="n"/>
      <c r="K658" s="20" t="n"/>
      <c r="L658" s="17" t="n"/>
      <c r="M658" s="17" t="n"/>
    </row>
    <row r="659">
      <c r="A659" s="12" t="n"/>
      <c r="B659" s="13" t="n"/>
      <c r="C659" s="12" t="n"/>
      <c r="D659" s="14" t="n"/>
      <c r="E659" s="12" t="n"/>
      <c r="F659" s="12" t="n"/>
      <c r="G659" s="12" t="n"/>
      <c r="H659" s="14" t="n"/>
      <c r="I659" s="14" t="n"/>
      <c r="J659" s="15" t="n"/>
      <c r="K659" s="15" t="n"/>
      <c r="L659" s="12" t="n"/>
      <c r="M659" s="12" t="n"/>
    </row>
    <row r="660">
      <c r="A660" s="17" t="n"/>
      <c r="B660" s="18" t="n"/>
      <c r="C660" s="17" t="n"/>
      <c r="D660" s="19" t="n"/>
      <c r="E660" s="17" t="n"/>
      <c r="F660" s="17" t="n"/>
      <c r="G660" s="17" t="n"/>
      <c r="H660" s="19" t="n"/>
      <c r="I660" s="19" t="n"/>
      <c r="J660" s="20" t="n"/>
      <c r="K660" s="20" t="n"/>
      <c r="L660" s="17" t="n"/>
      <c r="M660" s="17" t="n"/>
    </row>
    <row r="661">
      <c r="A661" s="12" t="n"/>
      <c r="B661" s="13" t="n"/>
      <c r="C661" s="12" t="n"/>
      <c r="D661" s="14" t="n"/>
      <c r="E661" s="12" t="n"/>
      <c r="F661" s="12" t="n"/>
      <c r="G661" s="12" t="n"/>
      <c r="H661" s="14" t="n"/>
      <c r="I661" s="14" t="n"/>
      <c r="J661" s="15" t="n"/>
      <c r="K661" s="15" t="n"/>
      <c r="L661" s="12" t="n"/>
      <c r="M661" s="12" t="n"/>
    </row>
    <row r="662">
      <c r="A662" s="17" t="n"/>
      <c r="B662" s="18" t="n"/>
      <c r="C662" s="17" t="n"/>
      <c r="D662" s="19" t="n"/>
      <c r="E662" s="17" t="n"/>
      <c r="F662" s="17" t="n"/>
      <c r="G662" s="17" t="n"/>
      <c r="H662" s="19" t="n"/>
      <c r="I662" s="19" t="n"/>
      <c r="J662" s="20" t="n"/>
      <c r="K662" s="20" t="n"/>
      <c r="L662" s="17" t="n"/>
      <c r="M662" s="17" t="n"/>
    </row>
    <row r="663">
      <c r="A663" s="12" t="n"/>
      <c r="B663" s="13" t="n"/>
      <c r="C663" s="12" t="n"/>
      <c r="D663" s="14" t="n"/>
      <c r="E663" s="12" t="n"/>
      <c r="F663" s="12" t="n"/>
      <c r="G663" s="12" t="n"/>
      <c r="H663" s="14" t="n"/>
      <c r="I663" s="14" t="n"/>
      <c r="J663" s="15" t="n"/>
      <c r="K663" s="15" t="n"/>
      <c r="L663" s="12" t="n"/>
      <c r="M663" s="12" t="n"/>
    </row>
    <row r="664">
      <c r="A664" s="17" t="n"/>
      <c r="B664" s="18" t="n"/>
      <c r="C664" s="17" t="n"/>
      <c r="D664" s="19" t="n"/>
      <c r="E664" s="17" t="n"/>
      <c r="F664" s="17" t="n"/>
      <c r="G664" s="17" t="n"/>
      <c r="H664" s="19" t="n"/>
      <c r="I664" s="19" t="n"/>
      <c r="J664" s="20" t="n"/>
      <c r="K664" s="20" t="n"/>
      <c r="L664" s="17" t="n"/>
      <c r="M664" s="17" t="n"/>
    </row>
    <row r="665">
      <c r="A665" s="12" t="n"/>
      <c r="B665" s="13" t="n"/>
      <c r="C665" s="12" t="n"/>
      <c r="D665" s="14" t="n"/>
      <c r="E665" s="12" t="n"/>
      <c r="F665" s="12" t="n"/>
      <c r="G665" s="12" t="n"/>
      <c r="H665" s="14" t="n"/>
      <c r="I665" s="14" t="n"/>
      <c r="J665" s="15" t="n"/>
      <c r="K665" s="15" t="n"/>
      <c r="L665" s="12" t="n"/>
      <c r="M665" s="12" t="n"/>
    </row>
    <row r="666">
      <c r="A666" s="17" t="n"/>
      <c r="B666" s="18" t="n"/>
      <c r="C666" s="17" t="n"/>
      <c r="D666" s="19" t="n"/>
      <c r="E666" s="17" t="n"/>
      <c r="F666" s="17" t="n"/>
      <c r="G666" s="17" t="n"/>
      <c r="H666" s="19" t="n"/>
      <c r="I666" s="19" t="n"/>
      <c r="J666" s="20" t="n"/>
      <c r="K666" s="20" t="n"/>
      <c r="L666" s="17" t="n"/>
      <c r="M666" s="17" t="n"/>
    </row>
    <row r="667">
      <c r="A667" s="12" t="n"/>
      <c r="B667" s="13" t="n"/>
      <c r="C667" s="12" t="n"/>
      <c r="D667" s="14" t="n"/>
      <c r="E667" s="12" t="n"/>
      <c r="F667" s="12" t="n"/>
      <c r="G667" s="12" t="n"/>
      <c r="H667" s="14" t="n"/>
      <c r="I667" s="14" t="n"/>
      <c r="J667" s="15" t="n"/>
      <c r="K667" s="15" t="n"/>
      <c r="L667" s="12" t="n"/>
      <c r="M667" s="12" t="n"/>
    </row>
    <row r="668">
      <c r="A668" s="17" t="n"/>
      <c r="B668" s="18" t="n"/>
      <c r="C668" s="17" t="n"/>
      <c r="D668" s="19" t="n"/>
      <c r="E668" s="17" t="n"/>
      <c r="F668" s="17" t="n"/>
      <c r="G668" s="17" t="n"/>
      <c r="H668" s="19" t="n"/>
      <c r="I668" s="19" t="n"/>
      <c r="J668" s="20" t="n"/>
      <c r="K668" s="20" t="n"/>
      <c r="L668" s="17" t="n"/>
      <c r="M668" s="17" t="n"/>
    </row>
    <row r="669">
      <c r="A669" s="12" t="n"/>
      <c r="B669" s="13" t="n"/>
      <c r="C669" s="12" t="n"/>
      <c r="D669" s="14" t="n"/>
      <c r="E669" s="12" t="n"/>
      <c r="F669" s="12" t="n"/>
      <c r="G669" s="12" t="n"/>
      <c r="H669" s="14" t="n"/>
      <c r="I669" s="14" t="n"/>
      <c r="J669" s="15" t="n"/>
      <c r="K669" s="15" t="n"/>
      <c r="L669" s="12" t="n"/>
      <c r="M669" s="12" t="n"/>
    </row>
    <row r="670">
      <c r="A670" s="17" t="n"/>
      <c r="B670" s="18" t="n"/>
      <c r="C670" s="17" t="n"/>
      <c r="D670" s="19" t="n"/>
      <c r="E670" s="17" t="n"/>
      <c r="F670" s="17" t="n"/>
      <c r="G670" s="17" t="n"/>
      <c r="H670" s="19" t="n"/>
      <c r="I670" s="19" t="n"/>
      <c r="J670" s="20" t="n"/>
      <c r="K670" s="20" t="n"/>
      <c r="L670" s="17" t="n"/>
      <c r="M670" s="17" t="n"/>
    </row>
    <row r="671">
      <c r="A671" s="12" t="n"/>
      <c r="B671" s="13" t="n"/>
      <c r="C671" s="12" t="n"/>
      <c r="D671" s="14" t="n"/>
      <c r="E671" s="12" t="n"/>
      <c r="F671" s="12" t="n"/>
      <c r="G671" s="12" t="n"/>
      <c r="H671" s="14" t="n"/>
      <c r="I671" s="14" t="n"/>
      <c r="J671" s="15" t="n"/>
      <c r="K671" s="15" t="n"/>
      <c r="L671" s="12" t="n"/>
      <c r="M671" s="12" t="n"/>
    </row>
    <row r="672">
      <c r="A672" s="17" t="n"/>
      <c r="B672" s="18" t="n"/>
      <c r="C672" s="17" t="n"/>
      <c r="D672" s="19" t="n"/>
      <c r="E672" s="17" t="n"/>
      <c r="F672" s="17" t="n"/>
      <c r="G672" s="17" t="n"/>
      <c r="H672" s="19" t="n"/>
      <c r="I672" s="19" t="n"/>
      <c r="J672" s="20" t="n"/>
      <c r="K672" s="20" t="n"/>
      <c r="L672" s="17" t="n"/>
      <c r="M672" s="17" t="n"/>
    </row>
    <row r="673">
      <c r="A673" s="12" t="n"/>
      <c r="B673" s="13" t="n"/>
      <c r="C673" s="12" t="n"/>
      <c r="D673" s="14" t="n"/>
      <c r="E673" s="12" t="n"/>
      <c r="F673" s="12" t="n"/>
      <c r="G673" s="12" t="n"/>
      <c r="H673" s="14" t="n"/>
      <c r="I673" s="14" t="n"/>
      <c r="J673" s="15" t="n"/>
      <c r="K673" s="15" t="n"/>
      <c r="L673" s="12" t="n"/>
      <c r="M673" s="12" t="n"/>
    </row>
    <row r="674">
      <c r="A674" s="17" t="n"/>
      <c r="B674" s="18" t="n"/>
      <c r="C674" s="17" t="n"/>
      <c r="D674" s="19" t="n"/>
      <c r="E674" s="17" t="n"/>
      <c r="F674" s="17" t="n"/>
      <c r="G674" s="17" t="n"/>
      <c r="H674" s="19" t="n"/>
      <c r="I674" s="19" t="n"/>
      <c r="J674" s="20" t="n"/>
      <c r="K674" s="20" t="n"/>
      <c r="L674" s="17" t="n"/>
      <c r="M674" s="17" t="n"/>
    </row>
    <row r="675">
      <c r="A675" s="12" t="n"/>
      <c r="B675" s="13" t="n"/>
      <c r="C675" s="12" t="n"/>
      <c r="D675" s="14" t="n"/>
      <c r="E675" s="12" t="n"/>
      <c r="F675" s="12" t="n"/>
      <c r="G675" s="12" t="n"/>
      <c r="H675" s="14" t="n"/>
      <c r="I675" s="14" t="n"/>
      <c r="J675" s="15" t="n"/>
      <c r="K675" s="15" t="n"/>
      <c r="L675" s="12" t="n"/>
      <c r="M675" s="12" t="n"/>
    </row>
    <row r="676">
      <c r="A676" s="17" t="n"/>
      <c r="B676" s="18" t="n"/>
      <c r="C676" s="17" t="n"/>
      <c r="D676" s="19" t="n"/>
      <c r="E676" s="17" t="n"/>
      <c r="F676" s="17" t="n"/>
      <c r="G676" s="17" t="n"/>
      <c r="H676" s="19" t="n"/>
      <c r="I676" s="19" t="n"/>
      <c r="J676" s="20" t="n"/>
      <c r="K676" s="20" t="n"/>
      <c r="L676" s="17" t="n"/>
      <c r="M676" s="17" t="n"/>
    </row>
    <row r="677">
      <c r="A677" s="12" t="n"/>
      <c r="B677" s="13" t="n"/>
      <c r="C677" s="12" t="n"/>
      <c r="D677" s="14" t="n"/>
      <c r="E677" s="12" t="n"/>
      <c r="F677" s="12" t="n"/>
      <c r="G677" s="12" t="n"/>
      <c r="H677" s="14" t="n"/>
      <c r="I677" s="14" t="n"/>
      <c r="J677" s="15" t="n"/>
      <c r="K677" s="15" t="n"/>
      <c r="L677" s="12" t="n"/>
      <c r="M677" s="12" t="n"/>
    </row>
    <row r="678">
      <c r="A678" s="17" t="n"/>
      <c r="B678" s="18" t="n"/>
      <c r="C678" s="17" t="n"/>
      <c r="D678" s="19" t="n"/>
      <c r="E678" s="17" t="n"/>
      <c r="F678" s="17" t="n"/>
      <c r="G678" s="17" t="n"/>
      <c r="H678" s="19" t="n"/>
      <c r="I678" s="19" t="n"/>
      <c r="J678" s="20" t="n"/>
      <c r="K678" s="20" t="n"/>
      <c r="L678" s="17" t="n"/>
      <c r="M678" s="17" t="n"/>
    </row>
    <row r="679">
      <c r="A679" s="12" t="n"/>
      <c r="B679" s="13" t="n"/>
      <c r="C679" s="12" t="n"/>
      <c r="D679" s="14" t="n"/>
      <c r="E679" s="12" t="n"/>
      <c r="F679" s="12" t="n"/>
      <c r="G679" s="12" t="n"/>
      <c r="H679" s="14" t="n"/>
      <c r="I679" s="14" t="n"/>
      <c r="J679" s="15" t="n"/>
      <c r="K679" s="15" t="n"/>
      <c r="L679" s="12" t="n"/>
      <c r="M679" s="12" t="n"/>
    </row>
    <row r="680">
      <c r="A680" s="17" t="n"/>
      <c r="B680" s="18" t="n"/>
      <c r="C680" s="17" t="n"/>
      <c r="D680" s="19" t="n"/>
      <c r="E680" s="17" t="n"/>
      <c r="F680" s="17" t="n"/>
      <c r="G680" s="17" t="n"/>
      <c r="H680" s="19" t="n"/>
      <c r="I680" s="19" t="n"/>
      <c r="J680" s="20" t="n"/>
      <c r="K680" s="20" t="n"/>
      <c r="L680" s="17" t="n"/>
      <c r="M680" s="17" t="n"/>
    </row>
    <row r="681">
      <c r="A681" s="12" t="n"/>
      <c r="B681" s="13" t="n"/>
      <c r="C681" s="12" t="n"/>
      <c r="D681" s="14" t="n"/>
      <c r="E681" s="12" t="n"/>
      <c r="F681" s="12" t="n"/>
      <c r="G681" s="12" t="n"/>
      <c r="H681" s="14" t="n"/>
      <c r="I681" s="14" t="n"/>
      <c r="J681" s="15" t="n"/>
      <c r="K681" s="15" t="n"/>
      <c r="L681" s="12" t="n"/>
      <c r="M681" s="12" t="n"/>
    </row>
    <row r="682">
      <c r="A682" s="17" t="n"/>
      <c r="B682" s="18" t="n"/>
      <c r="C682" s="17" t="n"/>
      <c r="D682" s="19" t="n"/>
      <c r="E682" s="17" t="n"/>
      <c r="F682" s="17" t="n"/>
      <c r="G682" s="17" t="n"/>
      <c r="H682" s="19" t="n"/>
      <c r="I682" s="19" t="n"/>
      <c r="J682" s="20" t="n"/>
      <c r="K682" s="20" t="n"/>
      <c r="L682" s="17" t="n"/>
      <c r="M682" s="17" t="n"/>
    </row>
    <row r="683">
      <c r="A683" s="12" t="n"/>
      <c r="B683" s="13" t="n"/>
      <c r="C683" s="12" t="n"/>
      <c r="D683" s="14" t="n"/>
      <c r="E683" s="12" t="n"/>
      <c r="F683" s="12" t="n"/>
      <c r="G683" s="12" t="n"/>
      <c r="H683" s="14" t="n"/>
      <c r="I683" s="14" t="n"/>
      <c r="J683" s="15" t="n"/>
      <c r="K683" s="15" t="n"/>
      <c r="L683" s="12" t="n"/>
      <c r="M683" s="12" t="n"/>
    </row>
    <row r="684">
      <c r="A684" s="17" t="n"/>
      <c r="B684" s="18" t="n"/>
      <c r="C684" s="17" t="n"/>
      <c r="D684" s="19" t="n"/>
      <c r="E684" s="17" t="n"/>
      <c r="F684" s="17" t="n"/>
      <c r="G684" s="17" t="n"/>
      <c r="H684" s="19" t="n"/>
      <c r="I684" s="19" t="n"/>
      <c r="J684" s="20" t="n"/>
      <c r="K684" s="20" t="n"/>
      <c r="L684" s="17" t="n"/>
      <c r="M684" s="17" t="n"/>
    </row>
    <row r="685">
      <c r="A685" s="12" t="n"/>
      <c r="B685" s="13" t="n"/>
      <c r="C685" s="12" t="n"/>
      <c r="D685" s="14" t="n"/>
      <c r="E685" s="12" t="n"/>
      <c r="F685" s="12" t="n"/>
      <c r="G685" s="12" t="n"/>
      <c r="H685" s="14" t="n"/>
      <c r="I685" s="14" t="n"/>
      <c r="J685" s="15" t="n"/>
      <c r="K685" s="15" t="n"/>
      <c r="L685" s="12" t="n"/>
      <c r="M685" s="12" t="n"/>
    </row>
    <row r="686">
      <c r="A686" s="17" t="n"/>
      <c r="B686" s="18" t="n"/>
      <c r="C686" s="17" t="n"/>
      <c r="D686" s="19" t="n"/>
      <c r="E686" s="17" t="n"/>
      <c r="F686" s="17" t="n"/>
      <c r="G686" s="17" t="n"/>
      <c r="H686" s="19" t="n"/>
      <c r="I686" s="19" t="n"/>
      <c r="J686" s="20" t="n"/>
      <c r="K686" s="20" t="n"/>
      <c r="L686" s="17" t="n"/>
      <c r="M686" s="17" t="n"/>
    </row>
    <row r="687">
      <c r="A687" s="12" t="n"/>
      <c r="B687" s="13" t="n"/>
      <c r="C687" s="12" t="n"/>
      <c r="D687" s="14" t="n"/>
      <c r="E687" s="12" t="n"/>
      <c r="F687" s="12" t="n"/>
      <c r="G687" s="12" t="n"/>
      <c r="H687" s="14" t="n"/>
      <c r="I687" s="14" t="n"/>
      <c r="J687" s="15" t="n"/>
      <c r="K687" s="15" t="n"/>
      <c r="L687" s="12" t="n"/>
      <c r="M687" s="12" t="n"/>
    </row>
    <row r="688">
      <c r="A688" s="17" t="n"/>
      <c r="B688" s="18" t="n"/>
      <c r="C688" s="17" t="n"/>
      <c r="D688" s="19" t="n"/>
      <c r="E688" s="17" t="n"/>
      <c r="F688" s="17" t="n"/>
      <c r="G688" s="17" t="n"/>
      <c r="H688" s="19" t="n"/>
      <c r="I688" s="19" t="n"/>
      <c r="J688" s="20" t="n"/>
      <c r="K688" s="20" t="n"/>
      <c r="L688" s="17" t="n"/>
      <c r="M688" s="17" t="n"/>
    </row>
    <row r="689">
      <c r="A689" s="12" t="n"/>
      <c r="B689" s="13" t="n"/>
      <c r="C689" s="12" t="n"/>
      <c r="D689" s="14" t="n"/>
      <c r="E689" s="12" t="n"/>
      <c r="F689" s="12" t="n"/>
      <c r="G689" s="12" t="n"/>
      <c r="H689" s="14" t="n"/>
      <c r="I689" s="14" t="n"/>
      <c r="J689" s="15" t="n"/>
      <c r="K689" s="15" t="n"/>
      <c r="L689" s="12" t="n"/>
      <c r="M689" s="12" t="n"/>
    </row>
    <row r="690">
      <c r="A690" s="17" t="n"/>
      <c r="B690" s="18" t="n"/>
      <c r="C690" s="17" t="n"/>
      <c r="D690" s="19" t="n"/>
      <c r="E690" s="17" t="n"/>
      <c r="F690" s="17" t="n"/>
      <c r="G690" s="17" t="n"/>
      <c r="H690" s="19" t="n"/>
      <c r="I690" s="19" t="n"/>
      <c r="J690" s="20" t="n"/>
      <c r="K690" s="20" t="n"/>
      <c r="L690" s="17" t="n"/>
      <c r="M690" s="17" t="n"/>
    </row>
    <row r="691">
      <c r="A691" s="12" t="n"/>
      <c r="B691" s="13" t="n"/>
      <c r="C691" s="12" t="n"/>
      <c r="D691" s="14" t="n"/>
      <c r="E691" s="12" t="n"/>
      <c r="F691" s="12" t="n"/>
      <c r="G691" s="12" t="n"/>
      <c r="H691" s="14" t="n"/>
      <c r="I691" s="14" t="n"/>
      <c r="J691" s="15" t="n"/>
      <c r="K691" s="15" t="n"/>
      <c r="L691" s="12" t="n"/>
      <c r="M691" s="12" t="n"/>
    </row>
    <row r="692">
      <c r="A692" s="17" t="n"/>
      <c r="B692" s="18" t="n"/>
      <c r="C692" s="17" t="n"/>
      <c r="D692" s="19" t="n"/>
      <c r="E692" s="17" t="n"/>
      <c r="F692" s="17" t="n"/>
      <c r="G692" s="17" t="n"/>
      <c r="H692" s="19" t="n"/>
      <c r="I692" s="19" t="n"/>
      <c r="J692" s="20" t="n"/>
      <c r="K692" s="20" t="n"/>
      <c r="L692" s="17" t="n"/>
      <c r="M692" s="17" t="n"/>
    </row>
    <row r="693">
      <c r="A693" s="12" t="n"/>
      <c r="B693" s="13" t="n"/>
      <c r="C693" s="12" t="n"/>
      <c r="D693" s="14" t="n"/>
      <c r="E693" s="12" t="n"/>
      <c r="F693" s="12" t="n"/>
      <c r="G693" s="12" t="n"/>
      <c r="H693" s="14" t="n"/>
      <c r="I693" s="14" t="n"/>
      <c r="J693" s="15" t="n"/>
      <c r="K693" s="15" t="n"/>
      <c r="L693" s="12" t="n"/>
      <c r="M693" s="12" t="n"/>
    </row>
    <row r="694">
      <c r="A694" s="17" t="n"/>
      <c r="B694" s="18" t="n"/>
      <c r="C694" s="17" t="n"/>
      <c r="D694" s="19" t="n"/>
      <c r="E694" s="17" t="n"/>
      <c r="F694" s="17" t="n"/>
      <c r="G694" s="17" t="n"/>
      <c r="H694" s="19" t="n"/>
      <c r="I694" s="19" t="n"/>
      <c r="J694" s="20" t="n"/>
      <c r="K694" s="20" t="n"/>
      <c r="L694" s="17" t="n"/>
      <c r="M694" s="17" t="n"/>
    </row>
    <row r="695">
      <c r="A695" s="12" t="n"/>
      <c r="B695" s="13" t="n"/>
      <c r="C695" s="12" t="n"/>
      <c r="D695" s="14" t="n"/>
      <c r="E695" s="12" t="n"/>
      <c r="F695" s="12" t="n"/>
      <c r="G695" s="12" t="n"/>
      <c r="H695" s="14" t="n"/>
      <c r="I695" s="14" t="n"/>
      <c r="J695" s="15" t="n"/>
      <c r="K695" s="15" t="n"/>
      <c r="L695" s="12" t="n"/>
      <c r="M695" s="12" t="n"/>
    </row>
    <row r="696">
      <c r="A696" s="17" t="n"/>
      <c r="B696" s="18" t="n"/>
      <c r="C696" s="17" t="n"/>
      <c r="D696" s="19" t="n"/>
      <c r="E696" s="17" t="n"/>
      <c r="F696" s="17" t="n"/>
      <c r="G696" s="17" t="n"/>
      <c r="H696" s="19" t="n"/>
      <c r="I696" s="19" t="n"/>
      <c r="J696" s="20" t="n"/>
      <c r="K696" s="20" t="n"/>
      <c r="L696" s="17" t="n"/>
      <c r="M696" s="17" t="n"/>
    </row>
    <row r="697">
      <c r="A697" s="12" t="n"/>
      <c r="B697" s="13" t="n"/>
      <c r="C697" s="12" t="n"/>
      <c r="D697" s="14" t="n"/>
      <c r="E697" s="12" t="n"/>
      <c r="F697" s="12" t="n"/>
      <c r="G697" s="12" t="n"/>
      <c r="H697" s="14" t="n"/>
      <c r="I697" s="14" t="n"/>
      <c r="J697" s="15" t="n"/>
      <c r="K697" s="15" t="n"/>
      <c r="L697" s="12" t="n"/>
      <c r="M697" s="12" t="n"/>
    </row>
    <row r="698">
      <c r="A698" s="17" t="n"/>
      <c r="B698" s="18" t="n"/>
      <c r="C698" s="17" t="n"/>
      <c r="D698" s="19" t="n"/>
      <c r="E698" s="17" t="n"/>
      <c r="F698" s="17" t="n"/>
      <c r="G698" s="17" t="n"/>
      <c r="H698" s="19" t="n"/>
      <c r="I698" s="19" t="n"/>
      <c r="J698" s="20" t="n"/>
      <c r="K698" s="20" t="n"/>
      <c r="L698" s="17" t="n"/>
      <c r="M698" s="17" t="n"/>
    </row>
    <row r="699">
      <c r="A699" s="12" t="n"/>
      <c r="B699" s="13" t="n"/>
      <c r="C699" s="12" t="n"/>
      <c r="D699" s="14" t="n"/>
      <c r="E699" s="12" t="n"/>
      <c r="F699" s="12" t="n"/>
      <c r="G699" s="12" t="n"/>
      <c r="H699" s="14" t="n"/>
      <c r="I699" s="14" t="n"/>
      <c r="J699" s="15" t="n"/>
      <c r="K699" s="15" t="n"/>
      <c r="L699" s="12" t="n"/>
      <c r="M699" s="12" t="n"/>
    </row>
    <row r="700">
      <c r="A700" s="17" t="n"/>
      <c r="B700" s="18" t="n"/>
      <c r="C700" s="17" t="n"/>
      <c r="D700" s="19" t="n"/>
      <c r="E700" s="17" t="n"/>
      <c r="F700" s="17" t="n"/>
      <c r="G700" s="17" t="n"/>
      <c r="H700" s="19" t="n"/>
      <c r="I700" s="19" t="n"/>
      <c r="J700" s="20" t="n"/>
      <c r="K700" s="20" t="n"/>
      <c r="L700" s="17" t="n"/>
      <c r="M700" s="17" t="n"/>
    </row>
    <row r="701">
      <c r="A701" s="12" t="n"/>
      <c r="B701" s="13" t="n"/>
      <c r="C701" s="12" t="n"/>
      <c r="D701" s="14" t="n"/>
      <c r="E701" s="12" t="n"/>
      <c r="F701" s="12" t="n"/>
      <c r="G701" s="12" t="n"/>
      <c r="H701" s="14" t="n"/>
      <c r="I701" s="14" t="n"/>
      <c r="J701" s="15" t="n"/>
      <c r="K701" s="15" t="n"/>
      <c r="L701" s="12" t="n"/>
      <c r="M701" s="12" t="n"/>
    </row>
    <row r="702">
      <c r="A702" s="17" t="n"/>
      <c r="B702" s="18" t="n"/>
      <c r="C702" s="17" t="n"/>
      <c r="D702" s="19" t="n"/>
      <c r="E702" s="17" t="n"/>
      <c r="F702" s="17" t="n"/>
      <c r="G702" s="17" t="n"/>
      <c r="H702" s="19" t="n"/>
      <c r="I702" s="19" t="n"/>
      <c r="J702" s="20" t="n"/>
      <c r="K702" s="20" t="n"/>
      <c r="L702" s="17" t="n"/>
      <c r="M702" s="17" t="n"/>
    </row>
    <row r="703">
      <c r="A703" s="12" t="n"/>
      <c r="B703" s="13" t="n"/>
      <c r="C703" s="12" t="n"/>
      <c r="D703" s="14" t="n"/>
      <c r="E703" s="12" t="n"/>
      <c r="F703" s="12" t="n"/>
      <c r="G703" s="12" t="n"/>
      <c r="H703" s="14" t="n"/>
      <c r="I703" s="14" t="n"/>
      <c r="J703" s="15" t="n"/>
      <c r="K703" s="15" t="n"/>
      <c r="L703" s="12" t="n"/>
      <c r="M703" s="12" t="n"/>
    </row>
    <row r="704">
      <c r="A704" s="17" t="n"/>
      <c r="B704" s="18" t="n"/>
      <c r="C704" s="17" t="n"/>
      <c r="D704" s="19" t="n"/>
      <c r="E704" s="17" t="n"/>
      <c r="F704" s="17" t="n"/>
      <c r="G704" s="17" t="n"/>
      <c r="H704" s="19" t="n"/>
      <c r="I704" s="19" t="n"/>
      <c r="J704" s="20" t="n"/>
      <c r="K704" s="20" t="n"/>
      <c r="L704" s="17" t="n"/>
      <c r="M704" s="17" t="n"/>
    </row>
    <row r="705">
      <c r="A705" s="12" t="n"/>
      <c r="B705" s="13" t="n"/>
      <c r="C705" s="12" t="n"/>
      <c r="D705" s="14" t="n"/>
      <c r="E705" s="12" t="n"/>
      <c r="F705" s="12" t="n"/>
      <c r="G705" s="12" t="n"/>
      <c r="H705" s="14" t="n"/>
      <c r="I705" s="14" t="n"/>
      <c r="J705" s="15" t="n"/>
      <c r="K705" s="15" t="n"/>
      <c r="L705" s="12" t="n"/>
      <c r="M705" s="12" t="n"/>
    </row>
    <row r="706">
      <c r="A706" s="17" t="n"/>
      <c r="B706" s="18" t="n"/>
      <c r="C706" s="17" t="n"/>
      <c r="D706" s="19" t="n"/>
      <c r="E706" s="17" t="n"/>
      <c r="F706" s="17" t="n"/>
      <c r="G706" s="17" t="n"/>
      <c r="H706" s="19" t="n"/>
      <c r="I706" s="19" t="n"/>
      <c r="J706" s="20" t="n"/>
      <c r="K706" s="20" t="n"/>
      <c r="L706" s="17" t="n"/>
      <c r="M706" s="17" t="n"/>
    </row>
    <row r="707">
      <c r="A707" s="12" t="n"/>
      <c r="B707" s="13" t="n"/>
      <c r="C707" s="12" t="n"/>
      <c r="D707" s="14" t="n"/>
      <c r="E707" s="12" t="n"/>
      <c r="F707" s="12" t="n"/>
      <c r="G707" s="12" t="n"/>
      <c r="H707" s="14" t="n"/>
      <c r="I707" s="14" t="n"/>
      <c r="J707" s="15" t="n"/>
      <c r="K707" s="15" t="n"/>
      <c r="L707" s="12" t="n"/>
      <c r="M707" s="12" t="n"/>
    </row>
    <row r="708">
      <c r="A708" s="17" t="n"/>
      <c r="B708" s="18" t="n"/>
      <c r="C708" s="17" t="n"/>
      <c r="D708" s="19" t="n"/>
      <c r="E708" s="17" t="n"/>
      <c r="F708" s="17" t="n"/>
      <c r="G708" s="17" t="n"/>
      <c r="H708" s="19" t="n"/>
      <c r="I708" s="19" t="n"/>
      <c r="J708" s="20" t="n"/>
      <c r="K708" s="20" t="n"/>
      <c r="L708" s="17" t="n"/>
      <c r="M708" s="17" t="n"/>
    </row>
    <row r="709">
      <c r="A709" s="12" t="n"/>
      <c r="B709" s="13" t="n"/>
      <c r="C709" s="12" t="n"/>
      <c r="D709" s="14" t="n"/>
      <c r="E709" s="12" t="n"/>
      <c r="F709" s="12" t="n"/>
      <c r="G709" s="12" t="n"/>
      <c r="H709" s="14" t="n"/>
      <c r="I709" s="14" t="n"/>
      <c r="J709" s="15" t="n"/>
      <c r="K709" s="15" t="n"/>
      <c r="L709" s="12" t="n"/>
      <c r="M709" s="12" t="n"/>
    </row>
    <row r="710">
      <c r="A710" s="17" t="n"/>
      <c r="B710" s="18" t="n"/>
      <c r="C710" s="17" t="n"/>
      <c r="D710" s="19" t="n"/>
      <c r="E710" s="17" t="n"/>
      <c r="F710" s="17" t="n"/>
      <c r="G710" s="17" t="n"/>
      <c r="H710" s="19" t="n"/>
      <c r="I710" s="19" t="n"/>
      <c r="J710" s="20" t="n"/>
      <c r="K710" s="20" t="n"/>
      <c r="L710" s="17" t="n"/>
      <c r="M710" s="17" t="n"/>
    </row>
    <row r="711">
      <c r="A711" s="12" t="n"/>
      <c r="B711" s="13" t="n"/>
      <c r="C711" s="12" t="n"/>
      <c r="D711" s="14" t="n"/>
      <c r="E711" s="12" t="n"/>
      <c r="F711" s="12" t="n"/>
      <c r="G711" s="12" t="n"/>
      <c r="H711" s="14" t="n"/>
      <c r="I711" s="14" t="n"/>
      <c r="J711" s="15" t="n"/>
      <c r="K711" s="15" t="n"/>
      <c r="L711" s="12" t="n"/>
      <c r="M711" s="12" t="n"/>
    </row>
    <row r="712">
      <c r="A712" s="17" t="n"/>
      <c r="B712" s="18" t="n"/>
      <c r="C712" s="17" t="n"/>
      <c r="D712" s="19" t="n"/>
      <c r="E712" s="17" t="n"/>
      <c r="F712" s="17" t="n"/>
      <c r="G712" s="17" t="n"/>
      <c r="H712" s="19" t="n"/>
      <c r="I712" s="19" t="n"/>
      <c r="J712" s="20" t="n"/>
      <c r="K712" s="20" t="n"/>
      <c r="L712" s="17" t="n"/>
      <c r="M712" s="17" t="n"/>
    </row>
    <row r="713">
      <c r="A713" s="12" t="n"/>
      <c r="B713" s="13" t="n"/>
      <c r="C713" s="12" t="n"/>
      <c r="D713" s="14" t="n"/>
      <c r="E713" s="12" t="n"/>
      <c r="F713" s="12" t="n"/>
      <c r="G713" s="12" t="n"/>
      <c r="H713" s="14" t="n"/>
      <c r="I713" s="14" t="n"/>
      <c r="J713" s="15" t="n"/>
      <c r="K713" s="15" t="n"/>
      <c r="L713" s="12" t="n"/>
      <c r="M713" s="12" t="n"/>
    </row>
    <row r="714">
      <c r="A714" s="17" t="n"/>
      <c r="B714" s="18" t="n"/>
      <c r="C714" s="17" t="n"/>
      <c r="D714" s="19" t="n"/>
      <c r="E714" s="17" t="n"/>
      <c r="F714" s="17" t="n"/>
      <c r="G714" s="17" t="n"/>
      <c r="H714" s="19" t="n"/>
      <c r="I714" s="19" t="n"/>
      <c r="J714" s="20" t="n"/>
      <c r="K714" s="20" t="n"/>
      <c r="L714" s="17" t="n"/>
      <c r="M714" s="17" t="n"/>
    </row>
    <row r="715">
      <c r="A715" s="12" t="n"/>
      <c r="B715" s="13" t="n"/>
      <c r="C715" s="12" t="n"/>
      <c r="D715" s="14" t="n"/>
      <c r="E715" s="12" t="n"/>
      <c r="F715" s="12" t="n"/>
      <c r="G715" s="12" t="n"/>
      <c r="H715" s="14" t="n"/>
      <c r="I715" s="14" t="n"/>
      <c r="J715" s="15" t="n"/>
      <c r="K715" s="15" t="n"/>
      <c r="L715" s="12" t="n"/>
      <c r="M715" s="12" t="n"/>
    </row>
    <row r="716">
      <c r="A716" s="17" t="n"/>
      <c r="B716" s="18" t="n"/>
      <c r="C716" s="17" t="n"/>
      <c r="D716" s="19" t="n"/>
      <c r="E716" s="17" t="n"/>
      <c r="F716" s="17" t="n"/>
      <c r="G716" s="17" t="n"/>
      <c r="H716" s="19" t="n"/>
      <c r="I716" s="19" t="n"/>
      <c r="J716" s="20" t="n"/>
      <c r="K716" s="20" t="n"/>
      <c r="L716" s="17" t="n"/>
      <c r="M716" s="17" t="n"/>
    </row>
    <row r="717">
      <c r="A717" s="12" t="n"/>
      <c r="B717" s="13" t="n"/>
      <c r="C717" s="12" t="n"/>
      <c r="D717" s="14" t="n"/>
      <c r="E717" s="12" t="n"/>
      <c r="F717" s="12" t="n"/>
      <c r="G717" s="12" t="n"/>
      <c r="H717" s="14" t="n"/>
      <c r="I717" s="14" t="n"/>
      <c r="J717" s="15" t="n"/>
      <c r="K717" s="15" t="n"/>
      <c r="L717" s="12" t="n"/>
      <c r="M717" s="12" t="n"/>
    </row>
    <row r="718">
      <c r="A718" s="17" t="n"/>
      <c r="B718" s="18" t="n"/>
      <c r="C718" s="17" t="n"/>
      <c r="D718" s="19" t="n"/>
      <c r="E718" s="17" t="n"/>
      <c r="F718" s="17" t="n"/>
      <c r="G718" s="17" t="n"/>
      <c r="H718" s="19" t="n"/>
      <c r="I718" s="19" t="n"/>
      <c r="J718" s="20" t="n"/>
      <c r="K718" s="20" t="n"/>
      <c r="L718" s="17" t="n"/>
      <c r="M718" s="17" t="n"/>
    </row>
    <row r="719">
      <c r="A719" s="12" t="n"/>
      <c r="B719" s="13" t="n"/>
      <c r="C719" s="12" t="n"/>
      <c r="D719" s="14" t="n"/>
      <c r="E719" s="12" t="n"/>
      <c r="F719" s="12" t="n"/>
      <c r="G719" s="12" t="n"/>
      <c r="H719" s="14" t="n"/>
      <c r="I719" s="14" t="n"/>
      <c r="J719" s="15" t="n"/>
      <c r="K719" s="15" t="n"/>
      <c r="L719" s="12" t="n"/>
      <c r="M719" s="12" t="n"/>
    </row>
    <row r="720">
      <c r="A720" s="17" t="n"/>
      <c r="B720" s="18" t="n"/>
      <c r="C720" s="17" t="n"/>
      <c r="D720" s="19" t="n"/>
      <c r="E720" s="17" t="n"/>
      <c r="F720" s="17" t="n"/>
      <c r="G720" s="17" t="n"/>
      <c r="H720" s="19" t="n"/>
      <c r="I720" s="19" t="n"/>
      <c r="J720" s="20" t="n"/>
      <c r="K720" s="20" t="n"/>
      <c r="L720" s="17" t="n"/>
      <c r="M720" s="17" t="n"/>
    </row>
    <row r="721">
      <c r="A721" s="12" t="n"/>
      <c r="B721" s="13" t="n"/>
      <c r="C721" s="12" t="n"/>
      <c r="D721" s="14" t="n"/>
      <c r="E721" s="12" t="n"/>
      <c r="F721" s="12" t="n"/>
      <c r="G721" s="12" t="n"/>
      <c r="H721" s="14" t="n"/>
      <c r="I721" s="14" t="n"/>
      <c r="J721" s="15" t="n"/>
      <c r="K721" s="15" t="n"/>
      <c r="L721" s="12" t="n"/>
      <c r="M721" s="12" t="n"/>
    </row>
    <row r="722">
      <c r="A722" s="17" t="n"/>
      <c r="B722" s="18" t="n"/>
      <c r="C722" s="17" t="n"/>
      <c r="D722" s="19" t="n"/>
      <c r="E722" s="17" t="n"/>
      <c r="F722" s="17" t="n"/>
      <c r="G722" s="17" t="n"/>
      <c r="H722" s="19" t="n"/>
      <c r="I722" s="19" t="n"/>
      <c r="J722" s="20" t="n"/>
      <c r="K722" s="20" t="n"/>
      <c r="L722" s="17" t="n"/>
      <c r="M722" s="17" t="n"/>
    </row>
    <row r="723">
      <c r="A723" s="12" t="n"/>
      <c r="B723" s="13" t="n"/>
      <c r="C723" s="12" t="n"/>
      <c r="D723" s="14" t="n"/>
      <c r="E723" s="12" t="n"/>
      <c r="F723" s="12" t="n"/>
      <c r="G723" s="12" t="n"/>
      <c r="H723" s="14" t="n"/>
      <c r="I723" s="14" t="n"/>
      <c r="J723" s="15" t="n"/>
      <c r="K723" s="15" t="n"/>
      <c r="L723" s="12" t="n"/>
      <c r="M723" s="12" t="n"/>
    </row>
    <row r="724">
      <c r="A724" s="17" t="n"/>
      <c r="B724" s="18" t="n"/>
      <c r="C724" s="17" t="n"/>
      <c r="D724" s="19" t="n"/>
      <c r="E724" s="17" t="n"/>
      <c r="F724" s="17" t="n"/>
      <c r="G724" s="17" t="n"/>
      <c r="H724" s="19" t="n"/>
      <c r="I724" s="19" t="n"/>
      <c r="J724" s="20" t="n"/>
      <c r="K724" s="20" t="n"/>
      <c r="L724" s="17" t="n"/>
      <c r="M724" s="17" t="n"/>
    </row>
    <row r="725">
      <c r="A725" s="12" t="n"/>
      <c r="B725" s="13" t="n"/>
      <c r="C725" s="12" t="n"/>
      <c r="D725" s="14" t="n"/>
      <c r="E725" s="12" t="n"/>
      <c r="F725" s="12" t="n"/>
      <c r="G725" s="12" t="n"/>
      <c r="H725" s="14" t="n"/>
      <c r="I725" s="14" t="n"/>
      <c r="J725" s="15" t="n"/>
      <c r="K725" s="15" t="n"/>
      <c r="L725" s="12" t="n"/>
      <c r="M725" s="12" t="n"/>
    </row>
    <row r="726">
      <c r="A726" s="17" t="n"/>
      <c r="B726" s="18" t="n"/>
      <c r="C726" s="17" t="n"/>
      <c r="D726" s="19" t="n"/>
      <c r="E726" s="17" t="n"/>
      <c r="F726" s="17" t="n"/>
      <c r="G726" s="17" t="n"/>
      <c r="H726" s="19" t="n"/>
      <c r="I726" s="19" t="n"/>
      <c r="J726" s="20" t="n"/>
      <c r="K726" s="20" t="n"/>
      <c r="L726" s="17" t="n"/>
      <c r="M726" s="17" t="n"/>
    </row>
    <row r="727">
      <c r="A727" s="12" t="n"/>
      <c r="B727" s="13" t="n"/>
      <c r="C727" s="12" t="n"/>
      <c r="D727" s="14" t="n"/>
      <c r="E727" s="12" t="n"/>
      <c r="F727" s="12" t="n"/>
      <c r="G727" s="12" t="n"/>
      <c r="H727" s="14" t="n"/>
      <c r="I727" s="14" t="n"/>
      <c r="J727" s="15" t="n"/>
      <c r="K727" s="15" t="n"/>
      <c r="L727" s="12" t="n"/>
      <c r="M727" s="12" t="n"/>
    </row>
    <row r="728">
      <c r="A728" s="17" t="n"/>
      <c r="B728" s="18" t="n"/>
      <c r="C728" s="17" t="n"/>
      <c r="D728" s="19" t="n"/>
      <c r="E728" s="17" t="n"/>
      <c r="F728" s="17" t="n"/>
      <c r="G728" s="17" t="n"/>
      <c r="H728" s="19" t="n"/>
      <c r="I728" s="19" t="n"/>
      <c r="J728" s="20" t="n"/>
      <c r="K728" s="20" t="n"/>
      <c r="L728" s="17" t="n"/>
      <c r="M728" s="17" t="n"/>
    </row>
    <row r="729">
      <c r="A729" s="12" t="n"/>
      <c r="B729" s="13" t="n"/>
      <c r="C729" s="12" t="n"/>
      <c r="D729" s="14" t="n"/>
      <c r="E729" s="12" t="n"/>
      <c r="F729" s="12" t="n"/>
      <c r="G729" s="12" t="n"/>
      <c r="H729" s="14" t="n"/>
      <c r="I729" s="14" t="n"/>
      <c r="J729" s="15" t="n"/>
      <c r="K729" s="15" t="n"/>
      <c r="L729" s="12" t="n"/>
      <c r="M729" s="12" t="n"/>
    </row>
    <row r="730">
      <c r="A730" s="17" t="n"/>
      <c r="B730" s="18" t="n"/>
      <c r="C730" s="17" t="n"/>
      <c r="D730" s="19" t="n"/>
      <c r="E730" s="17" t="n"/>
      <c r="F730" s="17" t="n"/>
      <c r="G730" s="17" t="n"/>
      <c r="H730" s="19" t="n"/>
      <c r="I730" s="19" t="n"/>
      <c r="J730" s="20" t="n"/>
      <c r="K730" s="20" t="n"/>
      <c r="L730" s="17" t="n"/>
      <c r="M730" s="17" t="n"/>
    </row>
    <row r="731">
      <c r="A731" s="12" t="n"/>
      <c r="B731" s="13" t="n"/>
      <c r="C731" s="12" t="n"/>
      <c r="D731" s="14" t="n"/>
      <c r="E731" s="12" t="n"/>
      <c r="F731" s="12" t="n"/>
      <c r="G731" s="12" t="n"/>
      <c r="H731" s="14" t="n"/>
      <c r="I731" s="14" t="n"/>
      <c r="J731" s="15" t="n"/>
      <c r="K731" s="15" t="n"/>
      <c r="L731" s="12" t="n"/>
      <c r="M731" s="12" t="n"/>
    </row>
    <row r="732">
      <c r="A732" s="17" t="n"/>
      <c r="B732" s="18" t="n"/>
      <c r="C732" s="17" t="n"/>
      <c r="D732" s="19" t="n"/>
      <c r="E732" s="17" t="n"/>
      <c r="F732" s="17" t="n"/>
      <c r="G732" s="17" t="n"/>
      <c r="H732" s="19" t="n"/>
      <c r="I732" s="19" t="n"/>
      <c r="J732" s="20" t="n"/>
      <c r="K732" s="20" t="n"/>
      <c r="L732" s="17" t="n"/>
      <c r="M732" s="17" t="n"/>
    </row>
    <row r="733">
      <c r="A733" s="12" t="n"/>
      <c r="B733" s="13" t="n"/>
      <c r="C733" s="12" t="n"/>
      <c r="D733" s="14" t="n"/>
      <c r="E733" s="12" t="n"/>
      <c r="F733" s="12" t="n"/>
      <c r="G733" s="12" t="n"/>
      <c r="H733" s="14" t="n"/>
      <c r="I733" s="14" t="n"/>
      <c r="J733" s="15" t="n"/>
      <c r="K733" s="15" t="n"/>
      <c r="L733" s="12" t="n"/>
      <c r="M733" s="12" t="n"/>
    </row>
    <row r="734">
      <c r="A734" s="17" t="n"/>
      <c r="B734" s="18" t="n"/>
      <c r="C734" s="17" t="n"/>
      <c r="D734" s="19" t="n"/>
      <c r="E734" s="17" t="n"/>
      <c r="F734" s="17" t="n"/>
      <c r="G734" s="17" t="n"/>
      <c r="H734" s="19" t="n"/>
      <c r="I734" s="19" t="n"/>
      <c r="J734" s="20" t="n"/>
      <c r="K734" s="20" t="n"/>
      <c r="L734" s="17" t="n"/>
      <c r="M734" s="17" t="n"/>
    </row>
    <row r="735">
      <c r="A735" s="12" t="n"/>
      <c r="B735" s="13" t="n"/>
      <c r="C735" s="12" t="n"/>
      <c r="D735" s="14" t="n"/>
      <c r="E735" s="12" t="n"/>
      <c r="F735" s="12" t="n"/>
      <c r="G735" s="12" t="n"/>
      <c r="H735" s="14" t="n"/>
      <c r="I735" s="14" t="n"/>
      <c r="J735" s="15" t="n"/>
      <c r="K735" s="15" t="n"/>
      <c r="L735" s="12" t="n"/>
      <c r="M735" s="12" t="n"/>
    </row>
    <row r="736">
      <c r="A736" s="17" t="n"/>
      <c r="B736" s="18" t="n"/>
      <c r="C736" s="17" t="n"/>
      <c r="D736" s="19" t="n"/>
      <c r="E736" s="17" t="n"/>
      <c r="F736" s="17" t="n"/>
      <c r="G736" s="17" t="n"/>
      <c r="H736" s="19" t="n"/>
      <c r="I736" s="19" t="n"/>
      <c r="J736" s="20" t="n"/>
      <c r="K736" s="20" t="n"/>
      <c r="L736" s="17" t="n"/>
      <c r="M736" s="17" t="n"/>
    </row>
    <row r="737">
      <c r="A737" s="12" t="n"/>
      <c r="B737" s="13" t="n"/>
      <c r="C737" s="12" t="n"/>
      <c r="D737" s="14" t="n"/>
      <c r="E737" s="12" t="n"/>
      <c r="F737" s="12" t="n"/>
      <c r="G737" s="12" t="n"/>
      <c r="H737" s="14" t="n"/>
      <c r="I737" s="14" t="n"/>
      <c r="J737" s="15" t="n"/>
      <c r="K737" s="15" t="n"/>
      <c r="L737" s="12" t="n"/>
      <c r="M737" s="12" t="n"/>
    </row>
    <row r="738">
      <c r="A738" s="17" t="n"/>
      <c r="B738" s="18" t="n"/>
      <c r="C738" s="17" t="n"/>
      <c r="D738" s="19" t="n"/>
      <c r="E738" s="17" t="n"/>
      <c r="F738" s="17" t="n"/>
      <c r="G738" s="17" t="n"/>
      <c r="H738" s="19" t="n"/>
      <c r="I738" s="19" t="n"/>
      <c r="J738" s="20" t="n"/>
      <c r="K738" s="20" t="n"/>
      <c r="L738" s="17" t="n"/>
      <c r="M738" s="17" t="n"/>
    </row>
    <row r="739">
      <c r="A739" s="12" t="n"/>
      <c r="B739" s="13" t="n"/>
      <c r="C739" s="12" t="n"/>
      <c r="D739" s="14" t="n"/>
      <c r="E739" s="12" t="n"/>
      <c r="F739" s="12" t="n"/>
      <c r="G739" s="12" t="n"/>
      <c r="H739" s="14" t="n"/>
      <c r="I739" s="14" t="n"/>
      <c r="J739" s="15" t="n"/>
      <c r="K739" s="15" t="n"/>
      <c r="L739" s="12" t="n"/>
      <c r="M739" s="12" t="n"/>
    </row>
    <row r="740">
      <c r="A740" s="17" t="n"/>
      <c r="B740" s="18" t="n"/>
      <c r="C740" s="17" t="n"/>
      <c r="D740" s="19" t="n"/>
      <c r="E740" s="17" t="n"/>
      <c r="F740" s="17" t="n"/>
      <c r="G740" s="17" t="n"/>
      <c r="H740" s="19" t="n"/>
      <c r="I740" s="19" t="n"/>
      <c r="J740" s="20" t="n"/>
      <c r="K740" s="20" t="n"/>
      <c r="L740" s="17" t="n"/>
      <c r="M740" s="17" t="n"/>
    </row>
    <row r="741">
      <c r="A741" s="12" t="n"/>
      <c r="B741" s="13" t="n"/>
      <c r="C741" s="12" t="n"/>
      <c r="D741" s="14" t="n"/>
      <c r="E741" s="12" t="n"/>
      <c r="F741" s="12" t="n"/>
      <c r="G741" s="12" t="n"/>
      <c r="H741" s="14" t="n"/>
      <c r="I741" s="14" t="n"/>
      <c r="J741" s="15" t="n"/>
      <c r="K741" s="15" t="n"/>
      <c r="L741" s="12" t="n"/>
      <c r="M741" s="12" t="n"/>
    </row>
    <row r="742">
      <c r="A742" s="17" t="n"/>
      <c r="B742" s="18" t="n"/>
      <c r="C742" s="17" t="n"/>
      <c r="D742" s="19" t="n"/>
      <c r="E742" s="17" t="n"/>
      <c r="F742" s="17" t="n"/>
      <c r="G742" s="17" t="n"/>
      <c r="H742" s="19" t="n"/>
      <c r="I742" s="19" t="n"/>
      <c r="J742" s="20" t="n"/>
      <c r="K742" s="20" t="n"/>
      <c r="L742" s="17" t="n"/>
      <c r="M742" s="17" t="n"/>
    </row>
    <row r="743">
      <c r="A743" s="12" t="n"/>
      <c r="B743" s="13" t="n"/>
      <c r="C743" s="12" t="n"/>
      <c r="D743" s="14" t="n"/>
      <c r="E743" s="12" t="n"/>
      <c r="F743" s="12" t="n"/>
      <c r="G743" s="12" t="n"/>
      <c r="H743" s="14" t="n"/>
      <c r="I743" s="14" t="n"/>
      <c r="J743" s="15" t="n"/>
      <c r="K743" s="15" t="n"/>
      <c r="L743" s="12" t="n"/>
      <c r="M743" s="12" t="n"/>
    </row>
    <row r="744">
      <c r="A744" s="17" t="n"/>
      <c r="B744" s="18" t="n"/>
      <c r="C744" s="17" t="n"/>
      <c r="D744" s="19" t="n"/>
      <c r="E744" s="17" t="n"/>
      <c r="F744" s="17" t="n"/>
      <c r="G744" s="17" t="n"/>
      <c r="H744" s="19" t="n"/>
      <c r="I744" s="19" t="n"/>
      <c r="J744" s="20" t="n"/>
      <c r="K744" s="20" t="n"/>
      <c r="L744" s="17" t="n"/>
      <c r="M744" s="17" t="n"/>
    </row>
    <row r="745">
      <c r="A745" s="12" t="n"/>
      <c r="B745" s="13" t="n"/>
      <c r="C745" s="12" t="n"/>
      <c r="D745" s="14" t="n"/>
      <c r="E745" s="12" t="n"/>
      <c r="F745" s="12" t="n"/>
      <c r="G745" s="12" t="n"/>
      <c r="H745" s="14" t="n"/>
      <c r="I745" s="14" t="n"/>
      <c r="J745" s="15" t="n"/>
      <c r="K745" s="15" t="n"/>
      <c r="L745" s="12" t="n"/>
      <c r="M745" s="12" t="n"/>
    </row>
    <row r="746">
      <c r="A746" s="17" t="n"/>
      <c r="B746" s="18" t="n"/>
      <c r="C746" s="17" t="n"/>
      <c r="D746" s="19" t="n"/>
      <c r="E746" s="17" t="n"/>
      <c r="F746" s="17" t="n"/>
      <c r="G746" s="17" t="n"/>
      <c r="H746" s="19" t="n"/>
      <c r="I746" s="19" t="n"/>
      <c r="J746" s="20" t="n"/>
      <c r="K746" s="20" t="n"/>
      <c r="L746" s="17" t="n"/>
      <c r="M746" s="17" t="n"/>
    </row>
    <row r="747">
      <c r="A747" s="12" t="n"/>
      <c r="B747" s="13" t="n"/>
      <c r="C747" s="12" t="n"/>
      <c r="D747" s="14" t="n"/>
      <c r="E747" s="12" t="n"/>
      <c r="F747" s="12" t="n"/>
      <c r="G747" s="12" t="n"/>
      <c r="H747" s="14" t="n"/>
      <c r="I747" s="14" t="n"/>
      <c r="J747" s="15" t="n"/>
      <c r="K747" s="15" t="n"/>
      <c r="L747" s="12" t="n"/>
      <c r="M747" s="12" t="n"/>
    </row>
    <row r="748">
      <c r="A748" s="17" t="n"/>
      <c r="B748" s="18" t="n"/>
      <c r="C748" s="17" t="n"/>
      <c r="D748" s="19" t="n"/>
      <c r="E748" s="17" t="n"/>
      <c r="F748" s="17" t="n"/>
      <c r="G748" s="17" t="n"/>
      <c r="H748" s="19" t="n"/>
      <c r="I748" s="19" t="n"/>
      <c r="J748" s="20" t="n"/>
      <c r="K748" s="20" t="n"/>
      <c r="L748" s="17" t="n"/>
      <c r="M748" s="17" t="n"/>
    </row>
    <row r="749">
      <c r="A749" s="12" t="n"/>
      <c r="B749" s="13" t="n"/>
      <c r="C749" s="12" t="n"/>
      <c r="D749" s="14" t="n"/>
      <c r="E749" s="12" t="n"/>
      <c r="F749" s="12" t="n"/>
      <c r="G749" s="12" t="n"/>
      <c r="H749" s="14" t="n"/>
      <c r="I749" s="14" t="n"/>
      <c r="J749" s="15" t="n"/>
      <c r="K749" s="15" t="n"/>
      <c r="L749" s="12" t="n"/>
      <c r="M749" s="12" t="n"/>
    </row>
    <row r="750">
      <c r="A750" s="17" t="n"/>
      <c r="B750" s="18" t="n"/>
      <c r="C750" s="17" t="n"/>
      <c r="D750" s="19" t="n"/>
      <c r="E750" s="17" t="n"/>
      <c r="F750" s="17" t="n"/>
      <c r="G750" s="17" t="n"/>
      <c r="H750" s="19" t="n"/>
      <c r="I750" s="19" t="n"/>
      <c r="J750" s="20" t="n"/>
      <c r="K750" s="20" t="n"/>
      <c r="L750" s="17" t="n"/>
      <c r="M750" s="17" t="n"/>
    </row>
    <row r="751">
      <c r="A751" s="12" t="n"/>
      <c r="B751" s="13" t="n"/>
      <c r="C751" s="12" t="n"/>
      <c r="D751" s="14" t="n"/>
      <c r="E751" s="12" t="n"/>
      <c r="F751" s="12" t="n"/>
      <c r="G751" s="12" t="n"/>
      <c r="H751" s="14" t="n"/>
      <c r="I751" s="14" t="n"/>
      <c r="J751" s="15" t="n"/>
      <c r="K751" s="15" t="n"/>
      <c r="L751" s="12" t="n"/>
      <c r="M751" s="12" t="n"/>
    </row>
    <row r="752">
      <c r="A752" s="17" t="n"/>
      <c r="B752" s="18" t="n"/>
      <c r="C752" s="17" t="n"/>
      <c r="D752" s="19" t="n"/>
      <c r="E752" s="17" t="n"/>
      <c r="F752" s="17" t="n"/>
      <c r="G752" s="17" t="n"/>
      <c r="H752" s="19" t="n"/>
      <c r="I752" s="19" t="n"/>
      <c r="J752" s="20" t="n"/>
      <c r="K752" s="20" t="n"/>
      <c r="L752" s="17" t="n"/>
      <c r="M752" s="17" t="n"/>
    </row>
    <row r="753">
      <c r="A753" s="12" t="n"/>
      <c r="B753" s="13" t="n"/>
      <c r="C753" s="12" t="n"/>
      <c r="D753" s="14" t="n"/>
      <c r="E753" s="12" t="n"/>
      <c r="F753" s="12" t="n"/>
      <c r="G753" s="12" t="n"/>
      <c r="H753" s="14" t="n"/>
      <c r="I753" s="14" t="n"/>
      <c r="J753" s="15" t="n"/>
      <c r="K753" s="15" t="n"/>
      <c r="L753" s="12" t="n"/>
      <c r="M753" s="12" t="n"/>
    </row>
    <row r="754">
      <c r="A754" s="17" t="n"/>
      <c r="B754" s="18" t="n"/>
      <c r="C754" s="17" t="n"/>
      <c r="D754" s="19" t="n"/>
      <c r="E754" s="17" t="n"/>
      <c r="F754" s="17" t="n"/>
      <c r="G754" s="17" t="n"/>
      <c r="H754" s="19" t="n"/>
      <c r="I754" s="19" t="n"/>
      <c r="J754" s="20" t="n"/>
      <c r="K754" s="20" t="n"/>
      <c r="L754" s="17" t="n"/>
      <c r="M754" s="17" t="n"/>
    </row>
    <row r="755">
      <c r="A755" s="12" t="n"/>
      <c r="B755" s="13" t="n"/>
      <c r="C755" s="12" t="n"/>
      <c r="D755" s="14" t="n"/>
      <c r="E755" s="12" t="n"/>
      <c r="F755" s="12" t="n"/>
      <c r="G755" s="12" t="n"/>
      <c r="H755" s="14" t="n"/>
      <c r="I755" s="14" t="n"/>
      <c r="J755" s="15" t="n"/>
      <c r="K755" s="15" t="n"/>
      <c r="L755" s="12" t="n"/>
      <c r="M755" s="12" t="n"/>
    </row>
    <row r="756">
      <c r="A756" s="17" t="n"/>
      <c r="B756" s="18" t="n"/>
      <c r="C756" s="17" t="n"/>
      <c r="D756" s="19" t="n"/>
      <c r="E756" s="17" t="n"/>
      <c r="F756" s="17" t="n"/>
      <c r="G756" s="17" t="n"/>
      <c r="H756" s="19" t="n"/>
      <c r="I756" s="19" t="n"/>
      <c r="J756" s="20" t="n"/>
      <c r="K756" s="20" t="n"/>
      <c r="L756" s="17" t="n"/>
      <c r="M756" s="17" t="n"/>
    </row>
    <row r="757">
      <c r="A757" s="12" t="n"/>
      <c r="B757" s="13" t="n"/>
      <c r="C757" s="12" t="n"/>
      <c r="D757" s="14" t="n"/>
      <c r="E757" s="12" t="n"/>
      <c r="F757" s="12" t="n"/>
      <c r="G757" s="12" t="n"/>
      <c r="H757" s="14" t="n"/>
      <c r="I757" s="14" t="n"/>
      <c r="J757" s="15" t="n"/>
      <c r="K757" s="15" t="n"/>
      <c r="L757" s="12" t="n"/>
      <c r="M757" s="12" t="n"/>
    </row>
    <row r="758">
      <c r="A758" s="17" t="n"/>
      <c r="B758" s="18" t="n"/>
      <c r="C758" s="17" t="n"/>
      <c r="D758" s="19" t="n"/>
      <c r="E758" s="17" t="n"/>
      <c r="F758" s="17" t="n"/>
      <c r="G758" s="17" t="n"/>
      <c r="H758" s="19" t="n"/>
      <c r="I758" s="19" t="n"/>
      <c r="J758" s="20" t="n"/>
      <c r="K758" s="20" t="n"/>
      <c r="L758" s="17" t="n"/>
      <c r="M758" s="17" t="n"/>
    </row>
    <row r="759">
      <c r="A759" s="12" t="n"/>
      <c r="B759" s="13" t="n"/>
      <c r="C759" s="12" t="n"/>
      <c r="D759" s="14" t="n"/>
      <c r="E759" s="12" t="n"/>
      <c r="F759" s="12" t="n"/>
      <c r="G759" s="12" t="n"/>
      <c r="H759" s="14" t="n"/>
      <c r="I759" s="14" t="n"/>
      <c r="J759" s="15" t="n"/>
      <c r="K759" s="15" t="n"/>
      <c r="L759" s="12" t="n"/>
      <c r="M759" s="12" t="n"/>
    </row>
    <row r="760">
      <c r="A760" s="17" t="n"/>
      <c r="B760" s="18" t="n"/>
      <c r="C760" s="17" t="n"/>
      <c r="D760" s="19" t="n"/>
      <c r="E760" s="17" t="n"/>
      <c r="F760" s="17" t="n"/>
      <c r="G760" s="17" t="n"/>
      <c r="H760" s="19" t="n"/>
      <c r="I760" s="19" t="n"/>
      <c r="J760" s="20" t="n"/>
      <c r="K760" s="20" t="n"/>
      <c r="L760" s="17" t="n"/>
      <c r="M760" s="17" t="n"/>
    </row>
    <row r="761">
      <c r="A761" s="12" t="n"/>
      <c r="B761" s="13" t="n"/>
      <c r="C761" s="12" t="n"/>
      <c r="D761" s="14" t="n"/>
      <c r="E761" s="12" t="n"/>
      <c r="F761" s="12" t="n"/>
      <c r="G761" s="12" t="n"/>
      <c r="H761" s="14" t="n"/>
      <c r="I761" s="14" t="n"/>
      <c r="J761" s="15" t="n"/>
      <c r="K761" s="15" t="n"/>
      <c r="L761" s="12" t="n"/>
      <c r="M761" s="12" t="n"/>
    </row>
    <row r="762">
      <c r="A762" s="17" t="n"/>
      <c r="B762" s="18" t="n"/>
      <c r="C762" s="17" t="n"/>
      <c r="D762" s="19" t="n"/>
      <c r="E762" s="17" t="n"/>
      <c r="F762" s="17" t="n"/>
      <c r="G762" s="17" t="n"/>
      <c r="H762" s="19" t="n"/>
      <c r="I762" s="19" t="n"/>
      <c r="J762" s="20" t="n"/>
      <c r="K762" s="20" t="n"/>
      <c r="L762" s="17" t="n"/>
      <c r="M762" s="17" t="n"/>
    </row>
    <row r="763">
      <c r="A763" s="12" t="n"/>
      <c r="B763" s="13" t="n"/>
      <c r="C763" s="12" t="n"/>
      <c r="D763" s="14" t="n"/>
      <c r="E763" s="12" t="n"/>
      <c r="F763" s="12" t="n"/>
      <c r="G763" s="12" t="n"/>
      <c r="H763" s="14" t="n"/>
      <c r="I763" s="14" t="n"/>
      <c r="J763" s="15" t="n"/>
      <c r="K763" s="15" t="n"/>
      <c r="L763" s="12" t="n"/>
      <c r="M763" s="12" t="n"/>
    </row>
    <row r="764">
      <c r="A764" s="17" t="n"/>
      <c r="B764" s="18" t="n"/>
      <c r="C764" s="17" t="n"/>
      <c r="D764" s="19" t="n"/>
      <c r="E764" s="17" t="n"/>
      <c r="F764" s="17" t="n"/>
      <c r="G764" s="17" t="n"/>
      <c r="H764" s="19" t="n"/>
      <c r="I764" s="19" t="n"/>
      <c r="J764" s="20" t="n"/>
      <c r="K764" s="20" t="n"/>
      <c r="L764" s="17" t="n"/>
      <c r="M764" s="17" t="n"/>
    </row>
    <row r="765">
      <c r="A765" s="12" t="n"/>
      <c r="B765" s="13" t="n"/>
      <c r="C765" s="12" t="n"/>
      <c r="D765" s="14" t="n"/>
      <c r="E765" s="12" t="n"/>
      <c r="F765" s="12" t="n"/>
      <c r="G765" s="12" t="n"/>
      <c r="H765" s="14" t="n"/>
      <c r="I765" s="14" t="n"/>
      <c r="J765" s="15" t="n"/>
      <c r="K765" s="15" t="n"/>
      <c r="L765" s="12" t="n"/>
      <c r="M765" s="12" t="n"/>
    </row>
    <row r="766">
      <c r="A766" s="17" t="n"/>
      <c r="B766" s="18" t="n"/>
      <c r="C766" s="17" t="n"/>
      <c r="D766" s="19" t="n"/>
      <c r="E766" s="17" t="n"/>
      <c r="F766" s="17" t="n"/>
      <c r="G766" s="17" t="n"/>
      <c r="H766" s="19" t="n"/>
      <c r="I766" s="19" t="n"/>
      <c r="J766" s="20" t="n"/>
      <c r="K766" s="20" t="n"/>
      <c r="L766" s="17" t="n"/>
      <c r="M766" s="17" t="n"/>
    </row>
    <row r="767">
      <c r="A767" s="12" t="n"/>
      <c r="B767" s="13" t="n"/>
      <c r="C767" s="12" t="n"/>
      <c r="D767" s="14" t="n"/>
      <c r="E767" s="12" t="n"/>
      <c r="F767" s="12" t="n"/>
      <c r="G767" s="12" t="n"/>
      <c r="H767" s="14" t="n"/>
      <c r="I767" s="14" t="n"/>
      <c r="J767" s="15" t="n"/>
      <c r="K767" s="15" t="n"/>
      <c r="L767" s="12" t="n"/>
      <c r="M767" s="12" t="n"/>
    </row>
    <row r="768">
      <c r="A768" s="17" t="n"/>
      <c r="B768" s="18" t="n"/>
      <c r="C768" s="17" t="n"/>
      <c r="D768" s="19" t="n"/>
      <c r="E768" s="17" t="n"/>
      <c r="F768" s="17" t="n"/>
      <c r="G768" s="17" t="n"/>
      <c r="H768" s="19" t="n"/>
      <c r="I768" s="19" t="n"/>
      <c r="J768" s="20" t="n"/>
      <c r="K768" s="20" t="n"/>
      <c r="L768" s="17" t="n"/>
      <c r="M768" s="17" t="n"/>
    </row>
    <row r="769">
      <c r="A769" s="12" t="n"/>
      <c r="B769" s="13" t="n"/>
      <c r="C769" s="12" t="n"/>
      <c r="D769" s="14" t="n"/>
      <c r="E769" s="12" t="n"/>
      <c r="F769" s="12" t="n"/>
      <c r="G769" s="12" t="n"/>
      <c r="H769" s="14" t="n"/>
      <c r="I769" s="14" t="n"/>
      <c r="J769" s="15" t="n"/>
      <c r="K769" s="15" t="n"/>
      <c r="L769" s="12" t="n"/>
      <c r="M769" s="12" t="n"/>
    </row>
    <row r="770">
      <c r="A770" s="17" t="n"/>
      <c r="B770" s="18" t="n"/>
      <c r="C770" s="17" t="n"/>
      <c r="D770" s="19" t="n"/>
      <c r="E770" s="17" t="n"/>
      <c r="F770" s="17" t="n"/>
      <c r="G770" s="17" t="n"/>
      <c r="H770" s="19" t="n"/>
      <c r="I770" s="19" t="n"/>
      <c r="J770" s="20" t="n"/>
      <c r="K770" s="20" t="n"/>
      <c r="L770" s="17" t="n"/>
      <c r="M770" s="17" t="n"/>
    </row>
    <row r="771">
      <c r="A771" s="12" t="n"/>
      <c r="B771" s="13" t="n"/>
      <c r="C771" s="12" t="n"/>
      <c r="D771" s="14" t="n"/>
      <c r="E771" s="12" t="n"/>
      <c r="F771" s="12" t="n"/>
      <c r="G771" s="12" t="n"/>
      <c r="H771" s="14" t="n"/>
      <c r="I771" s="14" t="n"/>
      <c r="J771" s="15" t="n"/>
      <c r="K771" s="15" t="n"/>
      <c r="L771" s="12" t="n"/>
      <c r="M771" s="12" t="n"/>
    </row>
    <row r="772">
      <c r="A772" s="17" t="n"/>
      <c r="B772" s="18" t="n"/>
      <c r="C772" s="17" t="n"/>
      <c r="D772" s="19" t="n"/>
      <c r="E772" s="17" t="n"/>
      <c r="F772" s="17" t="n"/>
      <c r="G772" s="17" t="n"/>
      <c r="H772" s="19" t="n"/>
      <c r="I772" s="19" t="n"/>
      <c r="J772" s="20" t="n"/>
      <c r="K772" s="20" t="n"/>
      <c r="L772" s="17" t="n"/>
      <c r="M772" s="17" t="n"/>
    </row>
    <row r="773">
      <c r="A773" s="12" t="n"/>
      <c r="B773" s="13" t="n"/>
      <c r="C773" s="12" t="n"/>
      <c r="D773" s="14" t="n"/>
      <c r="E773" s="12" t="n"/>
      <c r="F773" s="12" t="n"/>
      <c r="G773" s="12" t="n"/>
      <c r="H773" s="14" t="n"/>
      <c r="I773" s="14" t="n"/>
      <c r="J773" s="15" t="n"/>
      <c r="K773" s="15" t="n"/>
      <c r="L773" s="12" t="n"/>
      <c r="M773" s="12" t="n"/>
    </row>
    <row r="774">
      <c r="A774" s="17" t="n"/>
      <c r="B774" s="18" t="n"/>
      <c r="C774" s="17" t="n"/>
      <c r="D774" s="19" t="n"/>
      <c r="E774" s="17" t="n"/>
      <c r="F774" s="17" t="n"/>
      <c r="G774" s="17" t="n"/>
      <c r="H774" s="19" t="n"/>
      <c r="I774" s="19" t="n"/>
      <c r="J774" s="20" t="n"/>
      <c r="K774" s="20" t="n"/>
      <c r="L774" s="17" t="n"/>
      <c r="M774" s="17" t="n"/>
    </row>
    <row r="775">
      <c r="A775" s="12" t="n"/>
      <c r="B775" s="13" t="n"/>
      <c r="C775" s="12" t="n"/>
      <c r="D775" s="14" t="n"/>
      <c r="E775" s="12" t="n"/>
      <c r="F775" s="12" t="n"/>
      <c r="G775" s="12" t="n"/>
      <c r="H775" s="14" t="n"/>
      <c r="I775" s="14" t="n"/>
      <c r="J775" s="15" t="n"/>
      <c r="K775" s="15" t="n"/>
      <c r="L775" s="12" t="n"/>
      <c r="M775" s="12" t="n"/>
    </row>
    <row r="776">
      <c r="A776" s="17" t="n"/>
      <c r="B776" s="18" t="n"/>
      <c r="C776" s="17" t="n"/>
      <c r="D776" s="19" t="n"/>
      <c r="E776" s="17" t="n"/>
      <c r="F776" s="17" t="n"/>
      <c r="G776" s="17" t="n"/>
      <c r="H776" s="19" t="n"/>
      <c r="I776" s="19" t="n"/>
      <c r="J776" s="20" t="n"/>
      <c r="K776" s="20" t="n"/>
      <c r="L776" s="17" t="n"/>
      <c r="M776" s="17" t="n"/>
    </row>
    <row r="777">
      <c r="A777" s="12" t="n"/>
      <c r="B777" s="13" t="n"/>
      <c r="C777" s="12" t="n"/>
      <c r="D777" s="14" t="n"/>
      <c r="E777" s="12" t="n"/>
      <c r="F777" s="12" t="n"/>
      <c r="G777" s="12" t="n"/>
      <c r="H777" s="14" t="n"/>
      <c r="I777" s="14" t="n"/>
      <c r="J777" s="15" t="n"/>
      <c r="K777" s="15" t="n"/>
      <c r="L777" s="12" t="n"/>
      <c r="M777" s="12" t="n"/>
    </row>
    <row r="778">
      <c r="A778" s="17" t="n"/>
      <c r="B778" s="18" t="n"/>
      <c r="C778" s="17" t="n"/>
      <c r="D778" s="19" t="n"/>
      <c r="E778" s="17" t="n"/>
      <c r="F778" s="17" t="n"/>
      <c r="G778" s="17" t="n"/>
      <c r="H778" s="19" t="n"/>
      <c r="I778" s="19" t="n"/>
      <c r="J778" s="20" t="n"/>
      <c r="K778" s="20" t="n"/>
      <c r="L778" s="17" t="n"/>
      <c r="M778" s="17" t="n"/>
    </row>
    <row r="779">
      <c r="A779" s="12" t="n"/>
      <c r="B779" s="13" t="n"/>
      <c r="C779" s="12" t="n"/>
      <c r="D779" s="14" t="n"/>
      <c r="E779" s="12" t="n"/>
      <c r="F779" s="12" t="n"/>
      <c r="G779" s="12" t="n"/>
      <c r="H779" s="14" t="n"/>
      <c r="I779" s="14" t="n"/>
      <c r="J779" s="15" t="n"/>
      <c r="K779" s="15" t="n"/>
      <c r="L779" s="12" t="n"/>
      <c r="M779" s="12" t="n"/>
    </row>
    <row r="780">
      <c r="A780" s="17" t="n"/>
      <c r="B780" s="18" t="n"/>
      <c r="C780" s="17" t="n"/>
      <c r="D780" s="19" t="n"/>
      <c r="E780" s="17" t="n"/>
      <c r="F780" s="17" t="n"/>
      <c r="G780" s="17" t="n"/>
      <c r="H780" s="19" t="n"/>
      <c r="I780" s="19" t="n"/>
      <c r="J780" s="20" t="n"/>
      <c r="K780" s="20" t="n"/>
      <c r="L780" s="17" t="n"/>
      <c r="M780" s="17" t="n"/>
    </row>
    <row r="781">
      <c r="A781" s="12" t="n"/>
      <c r="B781" s="13" t="n"/>
      <c r="C781" s="12" t="n"/>
      <c r="D781" s="14" t="n"/>
      <c r="E781" s="12" t="n"/>
      <c r="F781" s="12" t="n"/>
      <c r="G781" s="12" t="n"/>
      <c r="H781" s="14" t="n"/>
      <c r="I781" s="14" t="n"/>
      <c r="J781" s="15" t="n"/>
      <c r="K781" s="15" t="n"/>
      <c r="L781" s="12" t="n"/>
      <c r="M781" s="12" t="n"/>
    </row>
    <row r="782">
      <c r="A782" s="17" t="n"/>
      <c r="B782" s="18" t="n"/>
      <c r="C782" s="17" t="n"/>
      <c r="D782" s="19" t="n"/>
      <c r="E782" s="17" t="n"/>
      <c r="F782" s="17" t="n"/>
      <c r="G782" s="17" t="n"/>
      <c r="H782" s="19" t="n"/>
      <c r="I782" s="19" t="n"/>
      <c r="J782" s="20" t="n"/>
      <c r="K782" s="20" t="n"/>
      <c r="L782" s="17" t="n"/>
      <c r="M782" s="17" t="n"/>
    </row>
    <row r="783">
      <c r="A783" s="12" t="n"/>
      <c r="B783" s="13" t="n"/>
      <c r="C783" s="12" t="n"/>
      <c r="D783" s="14" t="n"/>
      <c r="E783" s="12" t="n"/>
      <c r="F783" s="12" t="n"/>
      <c r="G783" s="12" t="n"/>
      <c r="H783" s="14" t="n"/>
      <c r="I783" s="14" t="n"/>
      <c r="J783" s="15" t="n"/>
      <c r="K783" s="15" t="n"/>
      <c r="L783" s="12" t="n"/>
      <c r="M783" s="12" t="n"/>
    </row>
    <row r="784">
      <c r="A784" s="17" t="n"/>
      <c r="B784" s="18" t="n"/>
      <c r="C784" s="17" t="n"/>
      <c r="D784" s="19" t="n"/>
      <c r="E784" s="17" t="n"/>
      <c r="F784" s="17" t="n"/>
      <c r="G784" s="17" t="n"/>
      <c r="H784" s="19" t="n"/>
      <c r="I784" s="19" t="n"/>
      <c r="J784" s="20" t="n"/>
      <c r="K784" s="20" t="n"/>
      <c r="L784" s="17" t="n"/>
      <c r="M784" s="17" t="n"/>
    </row>
    <row r="785">
      <c r="A785" s="12" t="n"/>
      <c r="B785" s="13" t="n"/>
      <c r="C785" s="12" t="n"/>
      <c r="D785" s="14" t="n"/>
      <c r="E785" s="12" t="n"/>
      <c r="F785" s="12" t="n"/>
      <c r="G785" s="12" t="n"/>
      <c r="H785" s="14" t="n"/>
      <c r="I785" s="14" t="n"/>
      <c r="J785" s="15" t="n"/>
      <c r="K785" s="15" t="n"/>
      <c r="L785" s="12" t="n"/>
      <c r="M785" s="12" t="n"/>
    </row>
    <row r="786">
      <c r="A786" s="17" t="n"/>
      <c r="B786" s="18" t="n"/>
      <c r="C786" s="17" t="n"/>
      <c r="D786" s="19" t="n"/>
      <c r="E786" s="17" t="n"/>
      <c r="F786" s="17" t="n"/>
      <c r="G786" s="17" t="n"/>
      <c r="H786" s="19" t="n"/>
      <c r="I786" s="19" t="n"/>
      <c r="J786" s="20" t="n"/>
      <c r="K786" s="20" t="n"/>
      <c r="L786" s="17" t="n"/>
      <c r="M786" s="17" t="n"/>
    </row>
    <row r="787">
      <c r="A787" s="12" t="n"/>
      <c r="B787" s="13" t="n"/>
      <c r="C787" s="12" t="n"/>
      <c r="D787" s="14" t="n"/>
      <c r="E787" s="12" t="n"/>
      <c r="F787" s="12" t="n"/>
      <c r="G787" s="12" t="n"/>
      <c r="H787" s="14" t="n"/>
      <c r="I787" s="14" t="n"/>
      <c r="J787" s="15" t="n"/>
      <c r="K787" s="15" t="n"/>
      <c r="L787" s="12" t="n"/>
      <c r="M787" s="12" t="n"/>
    </row>
    <row r="788">
      <c r="A788" s="17" t="n"/>
      <c r="B788" s="18" t="n"/>
      <c r="C788" s="17" t="n"/>
      <c r="D788" s="19" t="n"/>
      <c r="E788" s="17" t="n"/>
      <c r="F788" s="17" t="n"/>
      <c r="G788" s="17" t="n"/>
      <c r="H788" s="19" t="n"/>
      <c r="I788" s="19" t="n"/>
      <c r="J788" s="20" t="n"/>
      <c r="K788" s="20" t="n"/>
      <c r="L788" s="17" t="n"/>
      <c r="M788" s="17" t="n"/>
    </row>
    <row r="789">
      <c r="A789" s="12" t="n"/>
      <c r="B789" s="13" t="n"/>
      <c r="C789" s="12" t="n"/>
      <c r="D789" s="14" t="n"/>
      <c r="E789" s="12" t="n"/>
      <c r="F789" s="12" t="n"/>
      <c r="G789" s="12" t="n"/>
      <c r="H789" s="14" t="n"/>
      <c r="I789" s="14" t="n"/>
      <c r="J789" s="15" t="n"/>
      <c r="K789" s="15" t="n"/>
      <c r="L789" s="12" t="n"/>
      <c r="M789" s="12" t="n"/>
    </row>
    <row r="790">
      <c r="A790" s="17" t="n"/>
      <c r="B790" s="18" t="n"/>
      <c r="C790" s="17" t="n"/>
      <c r="D790" s="19" t="n"/>
      <c r="E790" s="17" t="n"/>
      <c r="F790" s="17" t="n"/>
      <c r="G790" s="17" t="n"/>
      <c r="H790" s="19" t="n"/>
      <c r="I790" s="19" t="n"/>
      <c r="J790" s="20" t="n"/>
      <c r="K790" s="20" t="n"/>
      <c r="L790" s="17" t="n"/>
      <c r="M790" s="17" t="n"/>
    </row>
    <row r="791">
      <c r="A791" s="12" t="n"/>
      <c r="B791" s="13" t="n"/>
      <c r="C791" s="12" t="n"/>
      <c r="D791" s="14" t="n"/>
      <c r="E791" s="12" t="n"/>
      <c r="F791" s="12" t="n"/>
      <c r="G791" s="12" t="n"/>
      <c r="H791" s="14" t="n"/>
      <c r="I791" s="14" t="n"/>
      <c r="J791" s="15" t="n"/>
      <c r="K791" s="15" t="n"/>
      <c r="L791" s="12" t="n"/>
      <c r="M791" s="12" t="n"/>
    </row>
    <row r="792">
      <c r="A792" s="17" t="n"/>
      <c r="B792" s="18" t="n"/>
      <c r="C792" s="17" t="n"/>
      <c r="D792" s="19" t="n"/>
      <c r="E792" s="17" t="n"/>
      <c r="F792" s="17" t="n"/>
      <c r="G792" s="17" t="n"/>
      <c r="H792" s="19" t="n"/>
      <c r="I792" s="19" t="n"/>
      <c r="J792" s="20" t="n"/>
      <c r="K792" s="20" t="n"/>
      <c r="L792" s="17" t="n"/>
      <c r="M792" s="17" t="n"/>
    </row>
    <row r="793">
      <c r="A793" s="12" t="n"/>
      <c r="B793" s="13" t="n"/>
      <c r="C793" s="12" t="n"/>
      <c r="D793" s="14" t="n"/>
      <c r="E793" s="12" t="n"/>
      <c r="F793" s="12" t="n"/>
      <c r="G793" s="12" t="n"/>
      <c r="H793" s="14" t="n"/>
      <c r="I793" s="14" t="n"/>
      <c r="J793" s="15" t="n"/>
      <c r="K793" s="15" t="n"/>
      <c r="L793" s="12" t="n"/>
      <c r="M793" s="12" t="n"/>
    </row>
    <row r="794">
      <c r="A794" s="17" t="n"/>
      <c r="B794" s="18" t="n"/>
      <c r="C794" s="17" t="n"/>
      <c r="D794" s="19" t="n"/>
      <c r="E794" s="17" t="n"/>
      <c r="F794" s="17" t="n"/>
      <c r="G794" s="17" t="n"/>
      <c r="H794" s="19" t="n"/>
      <c r="I794" s="19" t="n"/>
      <c r="J794" s="20" t="n"/>
      <c r="K794" s="20" t="n"/>
      <c r="L794" s="17" t="n"/>
      <c r="M794" s="17" t="n"/>
    </row>
    <row r="795">
      <c r="A795" s="12" t="n"/>
      <c r="B795" s="13" t="n"/>
      <c r="C795" s="12" t="n"/>
      <c r="D795" s="14" t="n"/>
      <c r="E795" s="12" t="n"/>
      <c r="F795" s="12" t="n"/>
      <c r="G795" s="12" t="n"/>
      <c r="H795" s="14" t="n"/>
      <c r="I795" s="14" t="n"/>
      <c r="J795" s="15" t="n"/>
      <c r="K795" s="15" t="n"/>
      <c r="L795" s="12" t="n"/>
      <c r="M795" s="12" t="n"/>
    </row>
    <row r="796">
      <c r="A796" s="17" t="n"/>
      <c r="B796" s="18" t="n"/>
      <c r="C796" s="17" t="n"/>
      <c r="D796" s="19" t="n"/>
      <c r="E796" s="17" t="n"/>
      <c r="F796" s="17" t="n"/>
      <c r="G796" s="17" t="n"/>
      <c r="H796" s="19" t="n"/>
      <c r="I796" s="19" t="n"/>
      <c r="J796" s="20" t="n"/>
      <c r="K796" s="20" t="n"/>
      <c r="L796" s="17" t="n"/>
      <c r="M796" s="17" t="n"/>
    </row>
    <row r="797">
      <c r="A797" s="12" t="n"/>
      <c r="B797" s="13" t="n"/>
      <c r="C797" s="12" t="n"/>
      <c r="D797" s="14" t="n"/>
      <c r="E797" s="12" t="n"/>
      <c r="F797" s="12" t="n"/>
      <c r="G797" s="12" t="n"/>
      <c r="H797" s="14" t="n"/>
      <c r="I797" s="14" t="n"/>
      <c r="J797" s="15" t="n"/>
      <c r="K797" s="15" t="n"/>
      <c r="L797" s="12" t="n"/>
      <c r="M797" s="12" t="n"/>
    </row>
    <row r="798">
      <c r="A798" s="17" t="n"/>
      <c r="B798" s="18" t="n"/>
      <c r="C798" s="17" t="n"/>
      <c r="D798" s="19" t="n"/>
      <c r="E798" s="17" t="n"/>
      <c r="F798" s="17" t="n"/>
      <c r="G798" s="17" t="n"/>
      <c r="H798" s="19" t="n"/>
      <c r="I798" s="19" t="n"/>
      <c r="J798" s="20" t="n"/>
      <c r="K798" s="20" t="n"/>
      <c r="L798" s="17" t="n"/>
      <c r="M798" s="17" t="n"/>
    </row>
    <row r="799">
      <c r="A799" s="12" t="n"/>
      <c r="B799" s="13" t="n"/>
      <c r="C799" s="12" t="n"/>
      <c r="D799" s="14" t="n"/>
      <c r="E799" s="12" t="n"/>
      <c r="F799" s="12" t="n"/>
      <c r="G799" s="12" t="n"/>
      <c r="H799" s="14" t="n"/>
      <c r="I799" s="14" t="n"/>
      <c r="J799" s="15" t="n"/>
      <c r="K799" s="15" t="n"/>
      <c r="L799" s="12" t="n"/>
      <c r="M799" s="12" t="n"/>
    </row>
    <row r="800">
      <c r="A800" s="17" t="n"/>
      <c r="B800" s="18" t="n"/>
      <c r="C800" s="17" t="n"/>
      <c r="D800" s="19" t="n"/>
      <c r="E800" s="17" t="n"/>
      <c r="F800" s="17" t="n"/>
      <c r="G800" s="17" t="n"/>
      <c r="H800" s="19" t="n"/>
      <c r="I800" s="19" t="n"/>
      <c r="J800" s="20" t="n"/>
      <c r="K800" s="20" t="n"/>
      <c r="L800" s="17" t="n"/>
      <c r="M800" s="17" t="n"/>
    </row>
    <row r="801">
      <c r="A801" s="12" t="n"/>
      <c r="B801" s="13" t="n"/>
      <c r="C801" s="12" t="n"/>
      <c r="D801" s="14" t="n"/>
      <c r="E801" s="12" t="n"/>
      <c r="F801" s="12" t="n"/>
      <c r="G801" s="12" t="n"/>
      <c r="H801" s="14" t="n"/>
      <c r="I801" s="14" t="n"/>
      <c r="J801" s="15" t="n"/>
      <c r="K801" s="15" t="n"/>
      <c r="L801" s="12" t="n"/>
      <c r="M801" s="12" t="n"/>
    </row>
    <row r="802">
      <c r="A802" s="17" t="n"/>
      <c r="B802" s="18" t="n"/>
      <c r="C802" s="17" t="n"/>
      <c r="D802" s="19" t="n"/>
      <c r="E802" s="17" t="n"/>
      <c r="F802" s="17" t="n"/>
      <c r="G802" s="17" t="n"/>
      <c r="H802" s="19" t="n"/>
      <c r="I802" s="19" t="n"/>
      <c r="J802" s="20" t="n"/>
      <c r="K802" s="20" t="n"/>
      <c r="L802" s="17" t="n"/>
      <c r="M802" s="17" t="n"/>
    </row>
    <row r="803">
      <c r="A803" s="12" t="n"/>
      <c r="B803" s="13" t="n"/>
      <c r="C803" s="12" t="n"/>
      <c r="D803" s="14" t="n"/>
      <c r="E803" s="12" t="n"/>
      <c r="F803" s="12" t="n"/>
      <c r="G803" s="12" t="n"/>
      <c r="H803" s="14" t="n"/>
      <c r="I803" s="14" t="n"/>
      <c r="J803" s="15" t="n"/>
      <c r="K803" s="15" t="n"/>
      <c r="L803" s="12" t="n"/>
      <c r="M803" s="12" t="n"/>
    </row>
    <row r="804">
      <c r="A804" s="17" t="n"/>
      <c r="B804" s="18" t="n"/>
      <c r="C804" s="17" t="n"/>
      <c r="D804" s="19" t="n"/>
      <c r="E804" s="17" t="n"/>
      <c r="F804" s="17" t="n"/>
      <c r="G804" s="17" t="n"/>
      <c r="H804" s="19" t="n"/>
      <c r="I804" s="19" t="n"/>
      <c r="J804" s="20" t="n"/>
      <c r="K804" s="20" t="n"/>
      <c r="L804" s="17" t="n"/>
      <c r="M804" s="17" t="n"/>
    </row>
    <row r="805">
      <c r="A805" s="12" t="n"/>
      <c r="B805" s="13" t="n"/>
      <c r="C805" s="12" t="n"/>
      <c r="D805" s="14" t="n"/>
      <c r="E805" s="12" t="n"/>
      <c r="F805" s="12" t="n"/>
      <c r="G805" s="12" t="n"/>
      <c r="H805" s="14" t="n"/>
      <c r="I805" s="14" t="n"/>
      <c r="J805" s="15" t="n"/>
      <c r="K805" s="15" t="n"/>
      <c r="L805" s="12" t="n"/>
      <c r="M805" s="12" t="n"/>
    </row>
    <row r="806">
      <c r="A806" s="17" t="n"/>
      <c r="B806" s="18" t="n"/>
      <c r="C806" s="17" t="n"/>
      <c r="D806" s="19" t="n"/>
      <c r="E806" s="17" t="n"/>
      <c r="F806" s="17" t="n"/>
      <c r="G806" s="17" t="n"/>
      <c r="H806" s="19" t="n"/>
      <c r="I806" s="19" t="n"/>
      <c r="J806" s="20" t="n"/>
      <c r="K806" s="20" t="n"/>
      <c r="L806" s="17" t="n"/>
      <c r="M806" s="17" t="n"/>
    </row>
    <row r="807">
      <c r="A807" s="12" t="n"/>
      <c r="B807" s="13" t="n"/>
      <c r="C807" s="12" t="n"/>
      <c r="D807" s="14" t="n"/>
      <c r="E807" s="12" t="n"/>
      <c r="F807" s="12" t="n"/>
      <c r="G807" s="12" t="n"/>
      <c r="H807" s="14" t="n"/>
      <c r="I807" s="14" t="n"/>
      <c r="J807" s="15" t="n"/>
      <c r="K807" s="15" t="n"/>
      <c r="L807" s="12" t="n"/>
      <c r="M807" s="12" t="n"/>
    </row>
    <row r="808">
      <c r="A808" s="17" t="n"/>
      <c r="B808" s="18" t="n"/>
      <c r="C808" s="17" t="n"/>
      <c r="D808" s="19" t="n"/>
      <c r="E808" s="17" t="n"/>
      <c r="F808" s="17" t="n"/>
      <c r="G808" s="17" t="n"/>
      <c r="H808" s="19" t="n"/>
      <c r="I808" s="19" t="n"/>
      <c r="J808" s="20" t="n"/>
      <c r="K808" s="20" t="n"/>
      <c r="L808" s="17" t="n"/>
      <c r="M808" s="17" t="n"/>
    </row>
    <row r="809">
      <c r="A809" s="12" t="n"/>
      <c r="B809" s="13" t="n"/>
      <c r="C809" s="12" t="n"/>
      <c r="D809" s="14" t="n"/>
      <c r="E809" s="12" t="n"/>
      <c r="F809" s="12" t="n"/>
      <c r="G809" s="12" t="n"/>
      <c r="H809" s="14" t="n"/>
      <c r="I809" s="14" t="n"/>
      <c r="J809" s="15" t="n"/>
      <c r="K809" s="15" t="n"/>
      <c r="L809" s="12" t="n"/>
      <c r="M809" s="12" t="n"/>
    </row>
    <row r="810">
      <c r="A810" s="17" t="n"/>
      <c r="B810" s="18" t="n"/>
      <c r="C810" s="17" t="n"/>
      <c r="D810" s="19" t="n"/>
      <c r="E810" s="17" t="n"/>
      <c r="F810" s="17" t="n"/>
      <c r="G810" s="17" t="n"/>
      <c r="H810" s="19" t="n"/>
      <c r="I810" s="19" t="n"/>
      <c r="J810" s="20" t="n"/>
      <c r="K810" s="20" t="n"/>
      <c r="L810" s="17" t="n"/>
      <c r="M810" s="17" t="n"/>
    </row>
    <row r="811">
      <c r="A811" s="12" t="n"/>
      <c r="B811" s="13" t="n"/>
      <c r="C811" s="12" t="n"/>
      <c r="D811" s="14" t="n"/>
      <c r="E811" s="12" t="n"/>
      <c r="F811" s="12" t="n"/>
      <c r="G811" s="12" t="n"/>
      <c r="H811" s="14" t="n"/>
      <c r="I811" s="14" t="n"/>
      <c r="J811" s="15" t="n"/>
      <c r="K811" s="15" t="n"/>
      <c r="L811" s="12" t="n"/>
      <c r="M811" s="12" t="n"/>
    </row>
    <row r="812">
      <c r="A812" s="17" t="n"/>
      <c r="B812" s="18" t="n"/>
      <c r="C812" s="17" t="n"/>
      <c r="D812" s="19" t="n"/>
      <c r="E812" s="17" t="n"/>
      <c r="F812" s="17" t="n"/>
      <c r="G812" s="17" t="n"/>
      <c r="H812" s="19" t="n"/>
      <c r="I812" s="19" t="n"/>
      <c r="J812" s="20" t="n"/>
      <c r="K812" s="20" t="n"/>
      <c r="L812" s="17" t="n"/>
      <c r="M812" s="17" t="n"/>
    </row>
    <row r="813">
      <c r="A813" s="12" t="n"/>
      <c r="B813" s="13" t="n"/>
      <c r="C813" s="12" t="n"/>
      <c r="D813" s="14" t="n"/>
      <c r="E813" s="12" t="n"/>
      <c r="F813" s="12" t="n"/>
      <c r="G813" s="12" t="n"/>
      <c r="H813" s="14" t="n"/>
      <c r="I813" s="14" t="n"/>
      <c r="J813" s="15" t="n"/>
      <c r="K813" s="15" t="n"/>
      <c r="L813" s="12" t="n"/>
      <c r="M813" s="12" t="n"/>
    </row>
    <row r="814">
      <c r="A814" s="17" t="n"/>
      <c r="B814" s="18" t="n"/>
      <c r="C814" s="17" t="n"/>
      <c r="D814" s="19" t="n"/>
      <c r="E814" s="17" t="n"/>
      <c r="F814" s="17" t="n"/>
      <c r="G814" s="17" t="n"/>
      <c r="H814" s="19" t="n"/>
      <c r="I814" s="19" t="n"/>
      <c r="J814" s="20" t="n"/>
      <c r="K814" s="20" t="n"/>
      <c r="L814" s="17" t="n"/>
      <c r="M814" s="17" t="n"/>
    </row>
    <row r="815">
      <c r="A815" s="12" t="n"/>
      <c r="B815" s="13" t="n"/>
      <c r="C815" s="12" t="n"/>
      <c r="D815" s="14" t="n"/>
      <c r="E815" s="12" t="n"/>
      <c r="F815" s="12" t="n"/>
      <c r="G815" s="12" t="n"/>
      <c r="H815" s="14" t="n"/>
      <c r="I815" s="14" t="n"/>
      <c r="J815" s="15" t="n"/>
      <c r="K815" s="15" t="n"/>
      <c r="L815" s="12" t="n"/>
      <c r="M815" s="12" t="n"/>
    </row>
    <row r="816">
      <c r="A816" s="17" t="n"/>
      <c r="B816" s="18" t="n"/>
      <c r="C816" s="17" t="n"/>
      <c r="D816" s="19" t="n"/>
      <c r="E816" s="17" t="n"/>
      <c r="F816" s="17" t="n"/>
      <c r="G816" s="17" t="n"/>
      <c r="H816" s="19" t="n"/>
      <c r="I816" s="19" t="n"/>
      <c r="J816" s="20" t="n"/>
      <c r="K816" s="20" t="n"/>
      <c r="L816" s="17" t="n"/>
      <c r="M816" s="17" t="n"/>
    </row>
    <row r="817">
      <c r="A817" s="12" t="n"/>
      <c r="B817" s="13" t="n"/>
      <c r="C817" s="12" t="n"/>
      <c r="D817" s="14" t="n"/>
      <c r="E817" s="12" t="n"/>
      <c r="F817" s="12" t="n"/>
      <c r="G817" s="12" t="n"/>
      <c r="H817" s="14" t="n"/>
      <c r="I817" s="14" t="n"/>
      <c r="J817" s="15" t="n"/>
      <c r="K817" s="15" t="n"/>
      <c r="L817" s="12" t="n"/>
      <c r="M817" s="12" t="n"/>
    </row>
    <row r="818">
      <c r="A818" s="17" t="n"/>
      <c r="B818" s="18" t="n"/>
      <c r="C818" s="17" t="n"/>
      <c r="D818" s="19" t="n"/>
      <c r="E818" s="17" t="n"/>
      <c r="F818" s="17" t="n"/>
      <c r="G818" s="17" t="n"/>
      <c r="H818" s="19" t="n"/>
      <c r="I818" s="19" t="n"/>
      <c r="J818" s="20" t="n"/>
      <c r="K818" s="20" t="n"/>
      <c r="L818" s="17" t="n"/>
      <c r="M818" s="17" t="n"/>
    </row>
    <row r="819">
      <c r="A819" s="12" t="n"/>
      <c r="B819" s="13" t="n"/>
      <c r="C819" s="12" t="n"/>
      <c r="D819" s="14" t="n"/>
      <c r="E819" s="12" t="n"/>
      <c r="F819" s="12" t="n"/>
      <c r="G819" s="12" t="n"/>
      <c r="H819" s="14" t="n"/>
      <c r="I819" s="14" t="n"/>
      <c r="J819" s="15" t="n"/>
      <c r="K819" s="15" t="n"/>
      <c r="L819" s="12" t="n"/>
      <c r="M819" s="12" t="n"/>
    </row>
    <row r="820">
      <c r="A820" s="17" t="n"/>
      <c r="B820" s="18" t="n"/>
      <c r="C820" s="17" t="n"/>
      <c r="D820" s="19" t="n"/>
      <c r="E820" s="17" t="n"/>
      <c r="F820" s="17" t="n"/>
      <c r="G820" s="17" t="n"/>
      <c r="H820" s="19" t="n"/>
      <c r="I820" s="19" t="n"/>
      <c r="J820" s="20" t="n"/>
      <c r="K820" s="20" t="n"/>
      <c r="L820" s="17" t="n"/>
      <c r="M820" s="17" t="n"/>
    </row>
    <row r="821">
      <c r="A821" s="12" t="n"/>
      <c r="B821" s="13" t="n"/>
      <c r="C821" s="12" t="n"/>
      <c r="D821" s="14" t="n"/>
      <c r="E821" s="12" t="n"/>
      <c r="F821" s="12" t="n"/>
      <c r="G821" s="12" t="n"/>
      <c r="H821" s="14" t="n"/>
      <c r="I821" s="14" t="n"/>
      <c r="J821" s="15" t="n"/>
      <c r="K821" s="15" t="n"/>
      <c r="L821" s="12" t="n"/>
      <c r="M821" s="12" t="n"/>
    </row>
    <row r="822">
      <c r="A822" s="17" t="n"/>
      <c r="B822" s="18" t="n"/>
      <c r="C822" s="17" t="n"/>
      <c r="D822" s="19" t="n"/>
      <c r="E822" s="17" t="n"/>
      <c r="F822" s="17" t="n"/>
      <c r="G822" s="17" t="n"/>
      <c r="H822" s="19" t="n"/>
      <c r="I822" s="19" t="n"/>
      <c r="J822" s="20" t="n"/>
      <c r="K822" s="20" t="n"/>
      <c r="L822" s="17" t="n"/>
      <c r="M822" s="17" t="n"/>
    </row>
    <row r="823">
      <c r="A823" s="12" t="n"/>
      <c r="B823" s="13" t="n"/>
      <c r="C823" s="12" t="n"/>
      <c r="D823" s="14" t="n"/>
      <c r="E823" s="12" t="n"/>
      <c r="F823" s="12" t="n"/>
      <c r="G823" s="12" t="n"/>
      <c r="H823" s="14" t="n"/>
      <c r="I823" s="14" t="n"/>
      <c r="J823" s="15" t="n"/>
      <c r="K823" s="15" t="n"/>
      <c r="L823" s="12" t="n"/>
      <c r="M823" s="12" t="n"/>
    </row>
    <row r="824">
      <c r="A824" s="17" t="n"/>
      <c r="B824" s="18" t="n"/>
      <c r="C824" s="17" t="n"/>
      <c r="D824" s="19" t="n"/>
      <c r="E824" s="17" t="n"/>
      <c r="F824" s="17" t="n"/>
      <c r="G824" s="17" t="n"/>
      <c r="H824" s="19" t="n"/>
      <c r="I824" s="19" t="n"/>
      <c r="J824" s="20" t="n"/>
      <c r="K824" s="20" t="n"/>
      <c r="L824" s="17" t="n"/>
      <c r="M824" s="17" t="n"/>
    </row>
    <row r="825">
      <c r="A825" s="12" t="n"/>
      <c r="B825" s="13" t="n"/>
      <c r="C825" s="12" t="n"/>
      <c r="D825" s="14" t="n"/>
      <c r="E825" s="12" t="n"/>
      <c r="F825" s="12" t="n"/>
      <c r="G825" s="12" t="n"/>
      <c r="H825" s="14" t="n"/>
      <c r="I825" s="14" t="n"/>
      <c r="J825" s="15" t="n"/>
      <c r="K825" s="15" t="n"/>
      <c r="L825" s="12" t="n"/>
      <c r="M825" s="12" t="n"/>
    </row>
    <row r="826">
      <c r="A826" s="17" t="n"/>
      <c r="B826" s="18" t="n"/>
      <c r="C826" s="17" t="n"/>
      <c r="D826" s="19" t="n"/>
      <c r="E826" s="17" t="n"/>
      <c r="F826" s="17" t="n"/>
      <c r="G826" s="17" t="n"/>
      <c r="H826" s="19" t="n"/>
      <c r="I826" s="19" t="n"/>
      <c r="J826" s="20" t="n"/>
      <c r="K826" s="20" t="n"/>
      <c r="L826" s="17" t="n"/>
      <c r="M826" s="17" t="n"/>
    </row>
    <row r="827">
      <c r="A827" s="12" t="n"/>
      <c r="B827" s="13" t="n"/>
      <c r="C827" s="12" t="n"/>
      <c r="D827" s="14" t="n"/>
      <c r="E827" s="12" t="n"/>
      <c r="F827" s="12" t="n"/>
      <c r="G827" s="12" t="n"/>
      <c r="H827" s="14" t="n"/>
      <c r="I827" s="14" t="n"/>
      <c r="J827" s="15" t="n"/>
      <c r="K827" s="15" t="n"/>
      <c r="L827" s="12" t="n"/>
      <c r="M827" s="12" t="n"/>
    </row>
    <row r="828">
      <c r="A828" s="17" t="n"/>
      <c r="B828" s="18" t="n"/>
      <c r="C828" s="17" t="n"/>
      <c r="D828" s="19" t="n"/>
      <c r="E828" s="17" t="n"/>
      <c r="F828" s="17" t="n"/>
      <c r="G828" s="17" t="n"/>
      <c r="H828" s="19" t="n"/>
      <c r="I828" s="19" t="n"/>
      <c r="J828" s="20" t="n"/>
      <c r="K828" s="20" t="n"/>
      <c r="L828" s="17" t="n"/>
      <c r="M828" s="17" t="n"/>
    </row>
    <row r="829">
      <c r="A829" s="12" t="n"/>
      <c r="B829" s="13" t="n"/>
      <c r="C829" s="12" t="n"/>
      <c r="D829" s="14" t="n"/>
      <c r="E829" s="12" t="n"/>
      <c r="F829" s="12" t="n"/>
      <c r="G829" s="12" t="n"/>
      <c r="H829" s="14" t="n"/>
      <c r="I829" s="14" t="n"/>
      <c r="J829" s="15" t="n"/>
      <c r="K829" s="15" t="n"/>
      <c r="L829" s="12" t="n"/>
      <c r="M829" s="12" t="n"/>
    </row>
    <row r="830">
      <c r="A830" s="17" t="n"/>
      <c r="B830" s="18" t="n"/>
      <c r="C830" s="17" t="n"/>
      <c r="D830" s="19" t="n"/>
      <c r="E830" s="17" t="n"/>
      <c r="F830" s="17" t="n"/>
      <c r="G830" s="17" t="n"/>
      <c r="H830" s="19" t="n"/>
      <c r="I830" s="19" t="n"/>
      <c r="J830" s="20" t="n"/>
      <c r="K830" s="20" t="n"/>
      <c r="L830" s="17" t="n"/>
      <c r="M830" s="17" t="n"/>
    </row>
    <row r="831">
      <c r="A831" s="12" t="n"/>
      <c r="B831" s="13" t="n"/>
      <c r="C831" s="12" t="n"/>
      <c r="D831" s="14" t="n"/>
      <c r="E831" s="12" t="n"/>
      <c r="F831" s="12" t="n"/>
      <c r="G831" s="12" t="n"/>
      <c r="H831" s="14" t="n"/>
      <c r="I831" s="14" t="n"/>
      <c r="J831" s="15" t="n"/>
      <c r="K831" s="15" t="n"/>
      <c r="L831" s="12" t="n"/>
      <c r="M831" s="12" t="n"/>
    </row>
    <row r="832">
      <c r="A832" s="17" t="n"/>
      <c r="B832" s="18" t="n"/>
      <c r="C832" s="17" t="n"/>
      <c r="D832" s="19" t="n"/>
      <c r="E832" s="17" t="n"/>
      <c r="F832" s="17" t="n"/>
      <c r="G832" s="17" t="n"/>
      <c r="H832" s="19" t="n"/>
      <c r="I832" s="19" t="n"/>
      <c r="J832" s="20" t="n"/>
      <c r="K832" s="20" t="n"/>
      <c r="L832" s="17" t="n"/>
      <c r="M832" s="17" t="n"/>
    </row>
    <row r="833">
      <c r="A833" s="12" t="n"/>
      <c r="B833" s="13" t="n"/>
      <c r="C833" s="12" t="n"/>
      <c r="D833" s="14" t="n"/>
      <c r="E833" s="12" t="n"/>
      <c r="F833" s="12" t="n"/>
      <c r="G833" s="12" t="n"/>
      <c r="H833" s="14" t="n"/>
      <c r="I833" s="14" t="n"/>
      <c r="J833" s="15" t="n"/>
      <c r="K833" s="15" t="n"/>
      <c r="L833" s="12" t="n"/>
      <c r="M833" s="12" t="n"/>
    </row>
    <row r="834">
      <c r="A834" s="17" t="n"/>
      <c r="B834" s="18" t="n"/>
      <c r="C834" s="17" t="n"/>
      <c r="D834" s="19" t="n"/>
      <c r="E834" s="17" t="n"/>
      <c r="F834" s="17" t="n"/>
      <c r="G834" s="17" t="n"/>
      <c r="H834" s="19" t="n"/>
      <c r="I834" s="19" t="n"/>
      <c r="J834" s="20" t="n"/>
      <c r="K834" s="20" t="n"/>
      <c r="L834" s="17" t="n"/>
      <c r="M834" s="17" t="n"/>
    </row>
    <row r="835">
      <c r="A835" s="12" t="n"/>
      <c r="B835" s="13" t="n"/>
      <c r="C835" s="12" t="n"/>
      <c r="D835" s="14" t="n"/>
      <c r="E835" s="12" t="n"/>
      <c r="F835" s="12" t="n"/>
      <c r="G835" s="12" t="n"/>
      <c r="H835" s="14" t="n"/>
      <c r="I835" s="14" t="n"/>
      <c r="J835" s="15" t="n"/>
      <c r="K835" s="15" t="n"/>
      <c r="L835" s="12" t="n"/>
      <c r="M835" s="12" t="n"/>
    </row>
    <row r="836">
      <c r="A836" s="17" t="n"/>
      <c r="B836" s="18" t="n"/>
      <c r="C836" s="17" t="n"/>
      <c r="D836" s="19" t="n"/>
      <c r="E836" s="17" t="n"/>
      <c r="F836" s="17" t="n"/>
      <c r="G836" s="17" t="n"/>
      <c r="H836" s="19" t="n"/>
      <c r="I836" s="19" t="n"/>
      <c r="J836" s="20" t="n"/>
      <c r="K836" s="20" t="n"/>
      <c r="L836" s="17" t="n"/>
      <c r="M836" s="17" t="n"/>
    </row>
    <row r="837">
      <c r="A837" s="12" t="n"/>
      <c r="B837" s="13" t="n"/>
      <c r="C837" s="12" t="n"/>
      <c r="D837" s="14" t="n"/>
      <c r="E837" s="12" t="n"/>
      <c r="F837" s="12" t="n"/>
      <c r="G837" s="12" t="n"/>
      <c r="H837" s="14" t="n"/>
      <c r="I837" s="14" t="n"/>
      <c r="J837" s="15" t="n"/>
      <c r="K837" s="15" t="n"/>
      <c r="L837" s="12" t="n"/>
      <c r="M837" s="12" t="n"/>
    </row>
    <row r="838">
      <c r="A838" s="17" t="n"/>
      <c r="B838" s="18" t="n"/>
      <c r="C838" s="17" t="n"/>
      <c r="D838" s="19" t="n"/>
      <c r="E838" s="17" t="n"/>
      <c r="F838" s="17" t="n"/>
      <c r="G838" s="17" t="n"/>
      <c r="H838" s="19" t="n"/>
      <c r="I838" s="19" t="n"/>
      <c r="J838" s="20" t="n"/>
      <c r="K838" s="20" t="n"/>
      <c r="L838" s="17" t="n"/>
      <c r="M838" s="17" t="n"/>
    </row>
    <row r="839">
      <c r="A839" s="12" t="n"/>
      <c r="B839" s="13" t="n"/>
      <c r="C839" s="12" t="n"/>
      <c r="D839" s="14" t="n"/>
      <c r="E839" s="12" t="n"/>
      <c r="F839" s="12" t="n"/>
      <c r="G839" s="12" t="n"/>
      <c r="H839" s="14" t="n"/>
      <c r="I839" s="14" t="n"/>
      <c r="J839" s="15" t="n"/>
      <c r="K839" s="15" t="n"/>
      <c r="L839" s="12" t="n"/>
      <c r="M839" s="12" t="n"/>
    </row>
    <row r="840">
      <c r="A840" s="17" t="n"/>
      <c r="B840" s="18" t="n"/>
      <c r="C840" s="17" t="n"/>
      <c r="D840" s="19" t="n"/>
      <c r="E840" s="17" t="n"/>
      <c r="F840" s="17" t="n"/>
      <c r="G840" s="17" t="n"/>
      <c r="H840" s="19" t="n"/>
      <c r="I840" s="19" t="n"/>
      <c r="J840" s="20" t="n"/>
      <c r="K840" s="20" t="n"/>
      <c r="L840" s="17" t="n"/>
      <c r="M840" s="17" t="n"/>
    </row>
    <row r="841">
      <c r="A841" s="12" t="n"/>
      <c r="B841" s="13" t="n"/>
      <c r="C841" s="12" t="n"/>
      <c r="D841" s="14" t="n"/>
      <c r="E841" s="12" t="n"/>
      <c r="F841" s="12" t="n"/>
      <c r="G841" s="12" t="n"/>
      <c r="H841" s="14" t="n"/>
      <c r="I841" s="14" t="n"/>
      <c r="J841" s="15" t="n"/>
      <c r="K841" s="15" t="n"/>
      <c r="L841" s="12" t="n"/>
      <c r="M841" s="12" t="n"/>
    </row>
    <row r="842">
      <c r="A842" s="17" t="n"/>
      <c r="B842" s="18" t="n"/>
      <c r="C842" s="17" t="n"/>
      <c r="D842" s="19" t="n"/>
      <c r="E842" s="17" t="n"/>
      <c r="F842" s="17" t="n"/>
      <c r="G842" s="17" t="n"/>
      <c r="H842" s="19" t="n"/>
      <c r="I842" s="19" t="n"/>
      <c r="J842" s="20" t="n"/>
      <c r="K842" s="20" t="n"/>
      <c r="L842" s="17" t="n"/>
      <c r="M842" s="17" t="n"/>
    </row>
    <row r="843">
      <c r="A843" s="12" t="n"/>
      <c r="B843" s="13" t="n"/>
      <c r="C843" s="12" t="n"/>
      <c r="D843" s="14" t="n"/>
      <c r="E843" s="12" t="n"/>
      <c r="F843" s="12" t="n"/>
      <c r="G843" s="12" t="n"/>
      <c r="H843" s="14" t="n"/>
      <c r="I843" s="14" t="n"/>
      <c r="J843" s="15" t="n"/>
      <c r="K843" s="15" t="n"/>
      <c r="L843" s="12" t="n"/>
      <c r="M843" s="12" t="n"/>
    </row>
    <row r="844">
      <c r="A844" s="17" t="n"/>
      <c r="B844" s="18" t="n"/>
      <c r="C844" s="17" t="n"/>
      <c r="D844" s="19" t="n"/>
      <c r="E844" s="17" t="n"/>
      <c r="F844" s="17" t="n"/>
      <c r="G844" s="17" t="n"/>
      <c r="H844" s="19" t="n"/>
      <c r="I844" s="19" t="n"/>
      <c r="J844" s="20" t="n"/>
      <c r="K844" s="20" t="n"/>
      <c r="L844" s="17" t="n"/>
      <c r="M844" s="17" t="n"/>
    </row>
    <row r="845">
      <c r="A845" s="12" t="n"/>
      <c r="B845" s="13" t="n"/>
      <c r="C845" s="12" t="n"/>
      <c r="D845" s="14" t="n"/>
      <c r="E845" s="12" t="n"/>
      <c r="F845" s="12" t="n"/>
      <c r="G845" s="12" t="n"/>
      <c r="H845" s="14" t="n"/>
      <c r="I845" s="14" t="n"/>
      <c r="J845" s="15" t="n"/>
      <c r="K845" s="15" t="n"/>
      <c r="L845" s="12" t="n"/>
      <c r="M845" s="12" t="n"/>
    </row>
    <row r="846">
      <c r="A846" s="17" t="n"/>
      <c r="B846" s="18" t="n"/>
      <c r="C846" s="17" t="n"/>
      <c r="D846" s="19" t="n"/>
      <c r="E846" s="17" t="n"/>
      <c r="F846" s="17" t="n"/>
      <c r="G846" s="17" t="n"/>
      <c r="H846" s="19" t="n"/>
      <c r="I846" s="19" t="n"/>
      <c r="J846" s="20" t="n"/>
      <c r="K846" s="20" t="n"/>
      <c r="L846" s="17" t="n"/>
      <c r="M846" s="17" t="n"/>
    </row>
    <row r="847">
      <c r="A847" s="12" t="n"/>
      <c r="B847" s="13" t="n"/>
      <c r="C847" s="12" t="n"/>
      <c r="D847" s="14" t="n"/>
      <c r="E847" s="12" t="n"/>
      <c r="F847" s="12" t="n"/>
      <c r="G847" s="12" t="n"/>
      <c r="H847" s="14" t="n"/>
      <c r="I847" s="14" t="n"/>
      <c r="J847" s="15" t="n"/>
      <c r="K847" s="15" t="n"/>
      <c r="L847" s="12" t="n"/>
      <c r="M847" s="12" t="n"/>
    </row>
    <row r="848">
      <c r="A848" s="17" t="n"/>
      <c r="B848" s="18" t="n"/>
      <c r="C848" s="17" t="n"/>
      <c r="D848" s="19" t="n"/>
      <c r="E848" s="17" t="n"/>
      <c r="F848" s="17" t="n"/>
      <c r="G848" s="17" t="n"/>
      <c r="H848" s="19" t="n"/>
      <c r="I848" s="19" t="n"/>
      <c r="J848" s="20" t="n"/>
      <c r="K848" s="20" t="n"/>
      <c r="L848" s="17" t="n"/>
      <c r="M848" s="17" t="n"/>
    </row>
    <row r="849">
      <c r="A849" s="12" t="n"/>
      <c r="B849" s="13" t="n"/>
      <c r="C849" s="12" t="n"/>
      <c r="D849" s="14" t="n"/>
      <c r="E849" s="12" t="n"/>
      <c r="F849" s="12" t="n"/>
      <c r="G849" s="12" t="n"/>
      <c r="H849" s="14" t="n"/>
      <c r="I849" s="14" t="n"/>
      <c r="J849" s="15" t="n"/>
      <c r="K849" s="15" t="n"/>
      <c r="L849" s="12" t="n"/>
      <c r="M849" s="12" t="n"/>
    </row>
    <row r="850">
      <c r="A850" s="17" t="n"/>
      <c r="B850" s="18" t="n"/>
      <c r="C850" s="17" t="n"/>
      <c r="D850" s="19" t="n"/>
      <c r="E850" s="17" t="n"/>
      <c r="F850" s="17" t="n"/>
      <c r="G850" s="17" t="n"/>
      <c r="H850" s="19" t="n"/>
      <c r="I850" s="19" t="n"/>
      <c r="J850" s="20" t="n"/>
      <c r="K850" s="20" t="n"/>
      <c r="L850" s="17" t="n"/>
      <c r="M850" s="17" t="n"/>
    </row>
    <row r="851">
      <c r="A851" s="12" t="n"/>
      <c r="B851" s="13" t="n"/>
      <c r="C851" s="12" t="n"/>
      <c r="D851" s="14" t="n"/>
      <c r="E851" s="12" t="n"/>
      <c r="F851" s="12" t="n"/>
      <c r="G851" s="12" t="n"/>
      <c r="H851" s="14" t="n"/>
      <c r="I851" s="14" t="n"/>
      <c r="J851" s="15" t="n"/>
      <c r="K851" s="15" t="n"/>
      <c r="L851" s="12" t="n"/>
      <c r="M851" s="12" t="n"/>
    </row>
    <row r="852">
      <c r="A852" s="17" t="n"/>
      <c r="B852" s="18" t="n"/>
      <c r="C852" s="17" t="n"/>
      <c r="D852" s="19" t="n"/>
      <c r="E852" s="17" t="n"/>
      <c r="F852" s="17" t="n"/>
      <c r="G852" s="17" t="n"/>
      <c r="H852" s="19" t="n"/>
      <c r="I852" s="19" t="n"/>
      <c r="J852" s="20" t="n"/>
      <c r="K852" s="20" t="n"/>
      <c r="L852" s="17" t="n"/>
      <c r="M852" s="17" t="n"/>
    </row>
    <row r="853">
      <c r="A853" s="12" t="n"/>
      <c r="B853" s="13" t="n"/>
      <c r="C853" s="12" t="n"/>
      <c r="D853" s="14" t="n"/>
      <c r="E853" s="12" t="n"/>
      <c r="F853" s="12" t="n"/>
      <c r="G853" s="12" t="n"/>
      <c r="H853" s="14" t="n"/>
      <c r="I853" s="14" t="n"/>
      <c r="J853" s="15" t="n"/>
      <c r="K853" s="15" t="n"/>
      <c r="L853" s="12" t="n"/>
      <c r="M853" s="12" t="n"/>
    </row>
    <row r="854">
      <c r="A854" s="17" t="n"/>
      <c r="B854" s="18" t="n"/>
      <c r="C854" s="17" t="n"/>
      <c r="D854" s="19" t="n"/>
      <c r="E854" s="17" t="n"/>
      <c r="F854" s="17" t="n"/>
      <c r="G854" s="17" t="n"/>
      <c r="H854" s="19" t="n"/>
      <c r="I854" s="19" t="n"/>
      <c r="J854" s="20" t="n"/>
      <c r="K854" s="20" t="n"/>
      <c r="L854" s="17" t="n"/>
      <c r="M854" s="17" t="n"/>
    </row>
    <row r="855">
      <c r="A855" s="12" t="n"/>
      <c r="B855" s="13" t="n"/>
      <c r="C855" s="12" t="n"/>
      <c r="D855" s="14" t="n"/>
      <c r="E855" s="12" t="n"/>
      <c r="F855" s="12" t="n"/>
      <c r="G855" s="12" t="n"/>
      <c r="H855" s="14" t="n"/>
      <c r="I855" s="14" t="n"/>
      <c r="J855" s="15" t="n"/>
      <c r="K855" s="15" t="n"/>
      <c r="L855" s="12" t="n"/>
      <c r="M855" s="12" t="n"/>
    </row>
    <row r="856">
      <c r="A856" s="17" t="n"/>
      <c r="B856" s="18" t="n"/>
      <c r="C856" s="17" t="n"/>
      <c r="D856" s="19" t="n"/>
      <c r="E856" s="17" t="n"/>
      <c r="F856" s="17" t="n"/>
      <c r="G856" s="17" t="n"/>
      <c r="H856" s="19" t="n"/>
      <c r="I856" s="19" t="n"/>
      <c r="J856" s="20" t="n"/>
      <c r="K856" s="20" t="n"/>
      <c r="L856" s="17" t="n"/>
      <c r="M856" s="17" t="n"/>
    </row>
    <row r="857">
      <c r="A857" s="12" t="n"/>
      <c r="B857" s="13" t="n"/>
      <c r="C857" s="12" t="n"/>
      <c r="D857" s="14" t="n"/>
      <c r="E857" s="12" t="n"/>
      <c r="F857" s="12" t="n"/>
      <c r="G857" s="12" t="n"/>
      <c r="H857" s="14" t="n"/>
      <c r="I857" s="14" t="n"/>
      <c r="J857" s="15" t="n"/>
      <c r="K857" s="15" t="n"/>
      <c r="L857" s="12" t="n"/>
      <c r="M857" s="12" t="n"/>
    </row>
    <row r="858">
      <c r="A858" s="17" t="n"/>
      <c r="B858" s="18" t="n"/>
      <c r="C858" s="17" t="n"/>
      <c r="D858" s="19" t="n"/>
      <c r="E858" s="17" t="n"/>
      <c r="F858" s="17" t="n"/>
      <c r="G858" s="17" t="n"/>
      <c r="H858" s="19" t="n"/>
      <c r="I858" s="19" t="n"/>
      <c r="J858" s="20" t="n"/>
      <c r="K858" s="20" t="n"/>
      <c r="L858" s="17" t="n"/>
      <c r="M858" s="17" t="n"/>
    </row>
    <row r="859">
      <c r="A859" s="12" t="n"/>
      <c r="B859" s="13" t="n"/>
      <c r="C859" s="12" t="n"/>
      <c r="D859" s="14" t="n"/>
      <c r="E859" s="12" t="n"/>
      <c r="F859" s="12" t="n"/>
      <c r="G859" s="12" t="n"/>
      <c r="H859" s="14" t="n"/>
      <c r="I859" s="14" t="n"/>
      <c r="J859" s="15" t="n"/>
      <c r="K859" s="15" t="n"/>
      <c r="L859" s="12" t="n"/>
      <c r="M859" s="12" t="n"/>
    </row>
    <row r="860">
      <c r="A860" s="17" t="n"/>
      <c r="B860" s="18" t="n"/>
      <c r="C860" s="17" t="n"/>
      <c r="D860" s="19" t="n"/>
      <c r="E860" s="17" t="n"/>
      <c r="F860" s="17" t="n"/>
      <c r="G860" s="17" t="n"/>
      <c r="H860" s="19" t="n"/>
      <c r="I860" s="19" t="n"/>
      <c r="J860" s="20" t="n"/>
      <c r="K860" s="20" t="n"/>
      <c r="L860" s="17" t="n"/>
      <c r="M860" s="17" t="n"/>
    </row>
    <row r="861">
      <c r="A861" s="12" t="n"/>
      <c r="B861" s="13" t="n"/>
      <c r="C861" s="12" t="n"/>
      <c r="D861" s="14" t="n"/>
      <c r="E861" s="12" t="n"/>
      <c r="F861" s="12" t="n"/>
      <c r="G861" s="12" t="n"/>
      <c r="H861" s="14" t="n"/>
      <c r="I861" s="14" t="n"/>
      <c r="J861" s="15" t="n"/>
      <c r="K861" s="15" t="n"/>
      <c r="L861" s="12" t="n"/>
      <c r="M861" s="12" t="n"/>
    </row>
    <row r="862">
      <c r="A862" s="17" t="n"/>
      <c r="B862" s="18" t="n"/>
      <c r="C862" s="17" t="n"/>
      <c r="D862" s="19" t="n"/>
      <c r="E862" s="17" t="n"/>
      <c r="F862" s="17" t="n"/>
      <c r="G862" s="17" t="n"/>
      <c r="H862" s="19" t="n"/>
      <c r="I862" s="19" t="n"/>
      <c r="J862" s="20" t="n"/>
      <c r="K862" s="20" t="n"/>
      <c r="L862" s="17" t="n"/>
      <c r="M862" s="17" t="n"/>
    </row>
    <row r="863">
      <c r="A863" s="12" t="n"/>
      <c r="B863" s="13" t="n"/>
      <c r="C863" s="12" t="n"/>
      <c r="D863" s="14" t="n"/>
      <c r="E863" s="12" t="n"/>
      <c r="F863" s="12" t="n"/>
      <c r="G863" s="12" t="n"/>
      <c r="H863" s="14" t="n"/>
      <c r="I863" s="14" t="n"/>
      <c r="J863" s="15" t="n"/>
      <c r="K863" s="15" t="n"/>
      <c r="L863" s="12" t="n"/>
      <c r="M863" s="12" t="n"/>
    </row>
    <row r="864">
      <c r="A864" s="17" t="n"/>
      <c r="B864" s="18" t="n"/>
      <c r="C864" s="17" t="n"/>
      <c r="D864" s="19" t="n"/>
      <c r="E864" s="17" t="n"/>
      <c r="F864" s="17" t="n"/>
      <c r="G864" s="17" t="n"/>
      <c r="H864" s="19" t="n"/>
      <c r="I864" s="19" t="n"/>
      <c r="J864" s="20" t="n"/>
      <c r="K864" s="20" t="n"/>
      <c r="L864" s="17" t="n"/>
      <c r="M864" s="17" t="n"/>
    </row>
    <row r="865">
      <c r="A865" s="12" t="n"/>
      <c r="B865" s="13" t="n"/>
      <c r="C865" s="12" t="n"/>
      <c r="D865" s="14" t="n"/>
      <c r="E865" s="12" t="n"/>
      <c r="F865" s="12" t="n"/>
      <c r="G865" s="12" t="n"/>
      <c r="H865" s="14" t="n"/>
      <c r="I865" s="14" t="n"/>
      <c r="J865" s="15" t="n"/>
      <c r="K865" s="15" t="n"/>
      <c r="L865" s="12" t="n"/>
      <c r="M865" s="12" t="n"/>
    </row>
    <row r="866">
      <c r="A866" s="17" t="n"/>
      <c r="B866" s="18" t="n"/>
      <c r="C866" s="17" t="n"/>
      <c r="D866" s="19" t="n"/>
      <c r="E866" s="17" t="n"/>
      <c r="F866" s="17" t="n"/>
      <c r="G866" s="17" t="n"/>
      <c r="H866" s="19" t="n"/>
      <c r="I866" s="19" t="n"/>
      <c r="J866" s="20" t="n"/>
      <c r="K866" s="20" t="n"/>
      <c r="L866" s="17" t="n"/>
      <c r="M866" s="17" t="n"/>
    </row>
    <row r="867">
      <c r="A867" s="12" t="n"/>
      <c r="B867" s="13" t="n"/>
      <c r="C867" s="12" t="n"/>
      <c r="D867" s="14" t="n"/>
      <c r="E867" s="12" t="n"/>
      <c r="F867" s="12" t="n"/>
      <c r="G867" s="12" t="n"/>
      <c r="H867" s="14" t="n"/>
      <c r="I867" s="14" t="n"/>
      <c r="J867" s="15" t="n"/>
      <c r="K867" s="15" t="n"/>
      <c r="L867" s="12" t="n"/>
      <c r="M867" s="12" t="n"/>
    </row>
    <row r="868">
      <c r="A868" s="17" t="n"/>
      <c r="B868" s="18" t="n"/>
      <c r="C868" s="17" t="n"/>
      <c r="D868" s="19" t="n"/>
      <c r="E868" s="17" t="n"/>
      <c r="F868" s="17" t="n"/>
      <c r="G868" s="17" t="n"/>
      <c r="H868" s="19" t="n"/>
      <c r="I868" s="19" t="n"/>
      <c r="J868" s="20" t="n"/>
      <c r="K868" s="20" t="n"/>
      <c r="L868" s="17" t="n"/>
      <c r="M868" s="17" t="n"/>
    </row>
    <row r="869">
      <c r="A869" s="12" t="n"/>
      <c r="B869" s="13" t="n"/>
      <c r="C869" s="12" t="n"/>
      <c r="D869" s="14" t="n"/>
      <c r="E869" s="12" t="n"/>
      <c r="F869" s="12" t="n"/>
      <c r="G869" s="12" t="n"/>
      <c r="H869" s="14" t="n"/>
      <c r="I869" s="14" t="n"/>
      <c r="J869" s="15" t="n"/>
      <c r="K869" s="15" t="n"/>
      <c r="L869" s="12" t="n"/>
      <c r="M869" s="12" t="n"/>
    </row>
    <row r="870">
      <c r="A870" s="17" t="n"/>
      <c r="B870" s="18" t="n"/>
      <c r="C870" s="17" t="n"/>
      <c r="D870" s="19" t="n"/>
      <c r="E870" s="17" t="n"/>
      <c r="F870" s="17" t="n"/>
      <c r="G870" s="17" t="n"/>
      <c r="H870" s="19" t="n"/>
      <c r="I870" s="19" t="n"/>
      <c r="J870" s="20" t="n"/>
      <c r="K870" s="20" t="n"/>
      <c r="L870" s="17" t="n"/>
      <c r="M870" s="17" t="n"/>
    </row>
    <row r="871">
      <c r="A871" s="12" t="n"/>
      <c r="B871" s="13" t="n"/>
      <c r="C871" s="12" t="n"/>
      <c r="D871" s="14" t="n"/>
      <c r="E871" s="12" t="n"/>
      <c r="F871" s="12" t="n"/>
      <c r="G871" s="12" t="n"/>
      <c r="H871" s="14" t="n"/>
      <c r="I871" s="14" t="n"/>
      <c r="J871" s="15" t="n"/>
      <c r="K871" s="15" t="n"/>
      <c r="L871" s="12" t="n"/>
      <c r="M871" s="12" t="n"/>
    </row>
    <row r="872">
      <c r="A872" s="17" t="n"/>
      <c r="B872" s="18" t="n"/>
      <c r="C872" s="17" t="n"/>
      <c r="D872" s="19" t="n"/>
      <c r="E872" s="17" t="n"/>
      <c r="F872" s="17" t="n"/>
      <c r="G872" s="17" t="n"/>
      <c r="H872" s="19" t="n"/>
      <c r="I872" s="19" t="n"/>
      <c r="J872" s="20" t="n"/>
      <c r="K872" s="20" t="n"/>
      <c r="L872" s="17" t="n"/>
      <c r="M872" s="17" t="n"/>
    </row>
    <row r="873">
      <c r="A873" s="12" t="n"/>
      <c r="B873" s="13" t="n"/>
      <c r="C873" s="12" t="n"/>
      <c r="D873" s="14" t="n"/>
      <c r="E873" s="12" t="n"/>
      <c r="F873" s="12" t="n"/>
      <c r="G873" s="12" t="n"/>
      <c r="H873" s="14" t="n"/>
      <c r="I873" s="14" t="n"/>
      <c r="J873" s="15" t="n"/>
      <c r="K873" s="15" t="n"/>
      <c r="L873" s="12" t="n"/>
      <c r="M873" s="12" t="n"/>
    </row>
    <row r="874">
      <c r="A874" s="17" t="n"/>
      <c r="B874" s="18" t="n"/>
      <c r="C874" s="17" t="n"/>
      <c r="D874" s="19" t="n"/>
      <c r="E874" s="17" t="n"/>
      <c r="F874" s="17" t="n"/>
      <c r="G874" s="17" t="n"/>
      <c r="H874" s="19" t="n"/>
      <c r="I874" s="19" t="n"/>
      <c r="J874" s="20" t="n"/>
      <c r="K874" s="20" t="n"/>
      <c r="L874" s="17" t="n"/>
      <c r="M874" s="17" t="n"/>
    </row>
    <row r="875">
      <c r="A875" s="12" t="n"/>
      <c r="B875" s="13" t="n"/>
      <c r="C875" s="12" t="n"/>
      <c r="D875" s="14" t="n"/>
      <c r="E875" s="12" t="n"/>
      <c r="F875" s="12" t="n"/>
      <c r="G875" s="12" t="n"/>
      <c r="H875" s="14" t="n"/>
      <c r="I875" s="14" t="n"/>
      <c r="J875" s="15" t="n"/>
      <c r="K875" s="15" t="n"/>
      <c r="L875" s="12" t="n"/>
      <c r="M875" s="12" t="n"/>
    </row>
    <row r="876">
      <c r="A876" s="17" t="n"/>
      <c r="B876" s="18" t="n"/>
      <c r="C876" s="17" t="n"/>
      <c r="D876" s="19" t="n"/>
      <c r="E876" s="17" t="n"/>
      <c r="F876" s="17" t="n"/>
      <c r="G876" s="17" t="n"/>
      <c r="H876" s="19" t="n"/>
      <c r="I876" s="19" t="n"/>
      <c r="J876" s="20" t="n"/>
      <c r="K876" s="20" t="n"/>
      <c r="L876" s="17" t="n"/>
      <c r="M876" s="17" t="n"/>
    </row>
    <row r="877">
      <c r="A877" s="12" t="n"/>
      <c r="B877" s="13" t="n"/>
      <c r="C877" s="12" t="n"/>
      <c r="D877" s="14" t="n"/>
      <c r="E877" s="12" t="n"/>
      <c r="F877" s="12" t="n"/>
      <c r="G877" s="12" t="n"/>
      <c r="H877" s="14" t="n"/>
      <c r="I877" s="14" t="n"/>
      <c r="J877" s="15" t="n"/>
      <c r="K877" s="15" t="n"/>
      <c r="L877" s="12" t="n"/>
      <c r="M877" s="12" t="n"/>
    </row>
    <row r="878">
      <c r="A878" s="17" t="n"/>
      <c r="B878" s="18" t="n"/>
      <c r="C878" s="17" t="n"/>
      <c r="D878" s="19" t="n"/>
      <c r="E878" s="17" t="n"/>
      <c r="F878" s="17" t="n"/>
      <c r="G878" s="17" t="n"/>
      <c r="H878" s="19" t="n"/>
      <c r="I878" s="19" t="n"/>
      <c r="J878" s="20" t="n"/>
      <c r="K878" s="20" t="n"/>
      <c r="L878" s="17" t="n"/>
      <c r="M878" s="17" t="n"/>
    </row>
    <row r="879">
      <c r="A879" s="12" t="n"/>
      <c r="B879" s="13" t="n"/>
      <c r="C879" s="12" t="n"/>
      <c r="D879" s="14" t="n"/>
      <c r="E879" s="12" t="n"/>
      <c r="F879" s="12" t="n"/>
      <c r="G879" s="12" t="n"/>
      <c r="H879" s="14" t="n"/>
      <c r="I879" s="14" t="n"/>
      <c r="J879" s="15" t="n"/>
      <c r="K879" s="15" t="n"/>
      <c r="L879" s="12" t="n"/>
      <c r="M879" s="12" t="n"/>
    </row>
    <row r="880">
      <c r="A880" s="17" t="n"/>
      <c r="B880" s="18" t="n"/>
      <c r="C880" s="17" t="n"/>
      <c r="D880" s="19" t="n"/>
      <c r="E880" s="17" t="n"/>
      <c r="F880" s="17" t="n"/>
      <c r="G880" s="17" t="n"/>
      <c r="H880" s="19" t="n"/>
      <c r="I880" s="19" t="n"/>
      <c r="J880" s="20" t="n"/>
      <c r="K880" s="20" t="n"/>
      <c r="L880" s="17" t="n"/>
      <c r="M880" s="17" t="n"/>
    </row>
    <row r="881">
      <c r="A881" s="12" t="n"/>
      <c r="B881" s="13" t="n"/>
      <c r="C881" s="12" t="n"/>
      <c r="D881" s="14" t="n"/>
      <c r="E881" s="12" t="n"/>
      <c r="F881" s="12" t="n"/>
      <c r="G881" s="12" t="n"/>
      <c r="H881" s="14" t="n"/>
      <c r="I881" s="14" t="n"/>
      <c r="J881" s="15" t="n"/>
      <c r="K881" s="15" t="n"/>
      <c r="L881" s="12" t="n"/>
      <c r="M881" s="12" t="n"/>
    </row>
    <row r="882">
      <c r="A882" s="17" t="n"/>
      <c r="B882" s="18" t="n"/>
      <c r="C882" s="17" t="n"/>
      <c r="D882" s="19" t="n"/>
      <c r="E882" s="17" t="n"/>
      <c r="F882" s="17" t="n"/>
      <c r="G882" s="17" t="n"/>
      <c r="H882" s="19" t="n"/>
      <c r="I882" s="19" t="n"/>
      <c r="J882" s="20" t="n"/>
      <c r="K882" s="20" t="n"/>
      <c r="L882" s="17" t="n"/>
      <c r="M882" s="17" t="n"/>
    </row>
    <row r="883">
      <c r="A883" s="12" t="n"/>
      <c r="B883" s="13" t="n"/>
      <c r="C883" s="12" t="n"/>
      <c r="D883" s="14" t="n"/>
      <c r="E883" s="12" t="n"/>
      <c r="F883" s="12" t="n"/>
      <c r="G883" s="12" t="n"/>
      <c r="H883" s="14" t="n"/>
      <c r="I883" s="14" t="n"/>
      <c r="J883" s="15" t="n"/>
      <c r="K883" s="15" t="n"/>
      <c r="L883" s="12" t="n"/>
      <c r="M883" s="12" t="n"/>
    </row>
    <row r="884">
      <c r="A884" s="17" t="n"/>
      <c r="B884" s="18" t="n"/>
      <c r="C884" s="17" t="n"/>
      <c r="D884" s="19" t="n"/>
      <c r="E884" s="17" t="n"/>
      <c r="F884" s="17" t="n"/>
      <c r="G884" s="17" t="n"/>
      <c r="H884" s="19" t="n"/>
      <c r="I884" s="19" t="n"/>
      <c r="J884" s="20" t="n"/>
      <c r="K884" s="20" t="n"/>
      <c r="L884" s="17" t="n"/>
      <c r="M884" s="17" t="n"/>
    </row>
    <row r="885">
      <c r="A885" s="12" t="n"/>
      <c r="B885" s="13" t="n"/>
      <c r="C885" s="12" t="n"/>
      <c r="D885" s="14" t="n"/>
      <c r="E885" s="12" t="n"/>
      <c r="F885" s="12" t="n"/>
      <c r="G885" s="12" t="n"/>
      <c r="H885" s="14" t="n"/>
      <c r="I885" s="14" t="n"/>
      <c r="J885" s="15" t="n"/>
      <c r="K885" s="15" t="n"/>
      <c r="L885" s="12" t="n"/>
      <c r="M885" s="12" t="n"/>
    </row>
    <row r="886">
      <c r="A886" s="17" t="n"/>
      <c r="B886" s="18" t="n"/>
      <c r="C886" s="17" t="n"/>
      <c r="D886" s="19" t="n"/>
      <c r="E886" s="17" t="n"/>
      <c r="F886" s="17" t="n"/>
      <c r="G886" s="17" t="n"/>
      <c r="H886" s="19" t="n"/>
      <c r="I886" s="19" t="n"/>
      <c r="J886" s="20" t="n"/>
      <c r="K886" s="20" t="n"/>
      <c r="L886" s="17" t="n"/>
      <c r="M886" s="17" t="n"/>
    </row>
    <row r="887">
      <c r="A887" s="12" t="n"/>
      <c r="B887" s="13" t="n"/>
      <c r="C887" s="12" t="n"/>
      <c r="D887" s="14" t="n"/>
      <c r="E887" s="12" t="n"/>
      <c r="F887" s="12" t="n"/>
      <c r="G887" s="12" t="n"/>
      <c r="H887" s="14" t="n"/>
      <c r="I887" s="14" t="n"/>
      <c r="J887" s="15" t="n"/>
      <c r="K887" s="15" t="n"/>
      <c r="L887" s="12" t="n"/>
      <c r="M887" s="12" t="n"/>
    </row>
    <row r="888">
      <c r="A888" s="17" t="n"/>
      <c r="B888" s="18" t="n"/>
      <c r="C888" s="17" t="n"/>
      <c r="D888" s="19" t="n"/>
      <c r="E888" s="17" t="n"/>
      <c r="F888" s="17" t="n"/>
      <c r="G888" s="17" t="n"/>
      <c r="H888" s="19" t="n"/>
      <c r="I888" s="19" t="n"/>
      <c r="J888" s="20" t="n"/>
      <c r="K888" s="20" t="n"/>
      <c r="L888" s="17" t="n"/>
      <c r="M888" s="17" t="n"/>
    </row>
    <row r="889">
      <c r="A889" s="12" t="n"/>
      <c r="B889" s="13" t="n"/>
      <c r="C889" s="12" t="n"/>
      <c r="D889" s="14" t="n"/>
      <c r="E889" s="12" t="n"/>
      <c r="F889" s="12" t="n"/>
      <c r="G889" s="12" t="n"/>
      <c r="H889" s="14" t="n"/>
      <c r="I889" s="14" t="n"/>
      <c r="J889" s="15" t="n"/>
      <c r="K889" s="15" t="n"/>
      <c r="L889" s="12" t="n"/>
      <c r="M889" s="12" t="n"/>
    </row>
    <row r="890">
      <c r="A890" s="17" t="n"/>
      <c r="B890" s="18" t="n"/>
      <c r="C890" s="17" t="n"/>
      <c r="D890" s="19" t="n"/>
      <c r="E890" s="17" t="n"/>
      <c r="F890" s="17" t="n"/>
      <c r="G890" s="17" t="n"/>
      <c r="H890" s="19" t="n"/>
      <c r="I890" s="19" t="n"/>
      <c r="J890" s="20" t="n"/>
      <c r="K890" s="20" t="n"/>
      <c r="L890" s="17" t="n"/>
      <c r="M890" s="17" t="n"/>
    </row>
    <row r="891">
      <c r="A891" s="12" t="n"/>
      <c r="B891" s="13" t="n"/>
      <c r="C891" s="12" t="n"/>
      <c r="D891" s="14" t="n"/>
      <c r="E891" s="12" t="n"/>
      <c r="F891" s="12" t="n"/>
      <c r="G891" s="12" t="n"/>
      <c r="H891" s="14" t="n"/>
      <c r="I891" s="14" t="n"/>
      <c r="J891" s="15" t="n"/>
      <c r="K891" s="15" t="n"/>
      <c r="L891" s="12" t="n"/>
      <c r="M891" s="12" t="n"/>
    </row>
    <row r="892">
      <c r="A892" s="17" t="n"/>
      <c r="B892" s="18" t="n"/>
      <c r="C892" s="17" t="n"/>
      <c r="D892" s="19" t="n"/>
      <c r="E892" s="17" t="n"/>
      <c r="F892" s="17" t="n"/>
      <c r="G892" s="17" t="n"/>
      <c r="H892" s="19" t="n"/>
      <c r="I892" s="19" t="n"/>
      <c r="J892" s="20" t="n"/>
      <c r="K892" s="20" t="n"/>
      <c r="L892" s="17" t="n"/>
      <c r="M892" s="17" t="n"/>
    </row>
    <row r="893">
      <c r="A893" s="12" t="n"/>
      <c r="B893" s="13" t="n"/>
      <c r="C893" s="12" t="n"/>
      <c r="D893" s="14" t="n"/>
      <c r="E893" s="12" t="n"/>
      <c r="F893" s="12" t="n"/>
      <c r="G893" s="12" t="n"/>
      <c r="H893" s="14" t="n"/>
      <c r="I893" s="14" t="n"/>
      <c r="J893" s="15" t="n"/>
      <c r="K893" s="15" t="n"/>
      <c r="L893" s="12" t="n"/>
      <c r="M893" s="12" t="n"/>
    </row>
    <row r="894">
      <c r="A894" s="17" t="n"/>
      <c r="B894" s="18" t="n"/>
      <c r="C894" s="17" t="n"/>
      <c r="D894" s="19" t="n"/>
      <c r="E894" s="17" t="n"/>
      <c r="F894" s="17" t="n"/>
      <c r="G894" s="17" t="n"/>
      <c r="H894" s="19" t="n"/>
      <c r="I894" s="19" t="n"/>
      <c r="J894" s="20" t="n"/>
      <c r="K894" s="20" t="n"/>
      <c r="L894" s="17" t="n"/>
      <c r="M894" s="17" t="n"/>
    </row>
    <row r="895">
      <c r="A895" s="12" t="n"/>
      <c r="B895" s="13" t="n"/>
      <c r="C895" s="12" t="n"/>
      <c r="D895" s="14" t="n"/>
      <c r="E895" s="12" t="n"/>
      <c r="F895" s="12" t="n"/>
      <c r="G895" s="12" t="n"/>
      <c r="H895" s="14" t="n"/>
      <c r="I895" s="14" t="n"/>
      <c r="J895" s="15" t="n"/>
      <c r="K895" s="15" t="n"/>
      <c r="L895" s="12" t="n"/>
      <c r="M895" s="12" t="n"/>
    </row>
    <row r="896">
      <c r="A896" s="17" t="n"/>
      <c r="B896" s="18" t="n"/>
      <c r="C896" s="17" t="n"/>
      <c r="D896" s="19" t="n"/>
      <c r="E896" s="17" t="n"/>
      <c r="F896" s="17" t="n"/>
      <c r="G896" s="17" t="n"/>
      <c r="H896" s="19" t="n"/>
      <c r="I896" s="19" t="n"/>
      <c r="J896" s="20" t="n"/>
      <c r="K896" s="20" t="n"/>
      <c r="L896" s="17" t="n"/>
      <c r="M896" s="17" t="n"/>
    </row>
    <row r="897">
      <c r="A897" s="12" t="n"/>
      <c r="B897" s="13" t="n"/>
      <c r="C897" s="12" t="n"/>
      <c r="D897" s="14" t="n"/>
      <c r="E897" s="12" t="n"/>
      <c r="F897" s="12" t="n"/>
      <c r="G897" s="12" t="n"/>
      <c r="H897" s="14" t="n"/>
      <c r="I897" s="14" t="n"/>
      <c r="J897" s="15" t="n"/>
      <c r="K897" s="15" t="n"/>
      <c r="L897" s="12" t="n"/>
      <c r="M897" s="12" t="n"/>
    </row>
    <row r="898">
      <c r="A898" s="17" t="n"/>
      <c r="B898" s="18" t="n"/>
      <c r="C898" s="17" t="n"/>
      <c r="D898" s="19" t="n"/>
      <c r="E898" s="17" t="n"/>
      <c r="F898" s="17" t="n"/>
      <c r="G898" s="17" t="n"/>
      <c r="H898" s="19" t="n"/>
      <c r="I898" s="19" t="n"/>
      <c r="J898" s="20" t="n"/>
      <c r="K898" s="20" t="n"/>
      <c r="L898" s="17" t="n"/>
      <c r="M898" s="17" t="n"/>
    </row>
    <row r="899">
      <c r="A899" s="12" t="n"/>
      <c r="B899" s="13" t="n"/>
      <c r="C899" s="12" t="n"/>
      <c r="D899" s="14" t="n"/>
      <c r="E899" s="12" t="n"/>
      <c r="F899" s="12" t="n"/>
      <c r="G899" s="12" t="n"/>
      <c r="H899" s="14" t="n"/>
      <c r="I899" s="14" t="n"/>
      <c r="J899" s="15" t="n"/>
      <c r="K899" s="15" t="n"/>
      <c r="L899" s="12" t="n"/>
      <c r="M899" s="12" t="n"/>
    </row>
    <row r="900">
      <c r="A900" s="17" t="n"/>
      <c r="B900" s="18" t="n"/>
      <c r="C900" s="17" t="n"/>
      <c r="D900" s="19" t="n"/>
      <c r="E900" s="17" t="n"/>
      <c r="F900" s="17" t="n"/>
      <c r="G900" s="17" t="n"/>
      <c r="H900" s="19" t="n"/>
      <c r="I900" s="19" t="n"/>
      <c r="J900" s="20" t="n"/>
      <c r="K900" s="20" t="n"/>
      <c r="L900" s="17" t="n"/>
      <c r="M900" s="17" t="n"/>
    </row>
    <row r="901">
      <c r="A901" s="12" t="n"/>
      <c r="B901" s="13" t="n"/>
      <c r="C901" s="12" t="n"/>
      <c r="D901" s="14" t="n"/>
      <c r="E901" s="12" t="n"/>
      <c r="F901" s="12" t="n"/>
      <c r="G901" s="12" t="n"/>
      <c r="H901" s="14" t="n"/>
      <c r="I901" s="14" t="n"/>
      <c r="J901" s="15" t="n"/>
      <c r="K901" s="15" t="n"/>
      <c r="L901" s="12" t="n"/>
      <c r="M901" s="12" t="n"/>
    </row>
    <row r="902">
      <c r="A902" s="17" t="n"/>
      <c r="B902" s="18" t="n"/>
      <c r="C902" s="17" t="n"/>
      <c r="D902" s="19" t="n"/>
      <c r="E902" s="17" t="n"/>
      <c r="F902" s="17" t="n"/>
      <c r="G902" s="17" t="n"/>
      <c r="H902" s="19" t="n"/>
      <c r="I902" s="19" t="n"/>
      <c r="J902" s="20" t="n"/>
      <c r="K902" s="20" t="n"/>
      <c r="L902" s="17" t="n"/>
      <c r="M902" s="17" t="n"/>
    </row>
    <row r="903">
      <c r="A903" s="12" t="n"/>
      <c r="B903" s="13" t="n"/>
      <c r="C903" s="12" t="n"/>
      <c r="D903" s="14" t="n"/>
      <c r="E903" s="12" t="n"/>
      <c r="F903" s="12" t="n"/>
      <c r="G903" s="12" t="n"/>
      <c r="H903" s="14" t="n"/>
      <c r="I903" s="14" t="n"/>
      <c r="J903" s="15" t="n"/>
      <c r="K903" s="15" t="n"/>
      <c r="L903" s="12" t="n"/>
      <c r="M903" s="12" t="n"/>
    </row>
    <row r="904">
      <c r="A904" s="17" t="n"/>
      <c r="B904" s="18" t="n"/>
      <c r="C904" s="17" t="n"/>
      <c r="D904" s="19" t="n"/>
      <c r="E904" s="17" t="n"/>
      <c r="F904" s="17" t="n"/>
      <c r="G904" s="17" t="n"/>
      <c r="H904" s="19" t="n"/>
      <c r="I904" s="19" t="n"/>
      <c r="J904" s="20" t="n"/>
      <c r="K904" s="20" t="n"/>
      <c r="L904" s="17" t="n"/>
      <c r="M904" s="17" t="n"/>
    </row>
    <row r="905">
      <c r="A905" s="12" t="n"/>
      <c r="B905" s="13" t="n"/>
      <c r="C905" s="12" t="n"/>
      <c r="D905" s="14" t="n"/>
      <c r="E905" s="12" t="n"/>
      <c r="F905" s="12" t="n"/>
      <c r="G905" s="12" t="n"/>
      <c r="H905" s="14" t="n"/>
      <c r="I905" s="14" t="n"/>
      <c r="J905" s="15" t="n"/>
      <c r="K905" s="15" t="n"/>
      <c r="L905" s="12" t="n"/>
      <c r="M905" s="12" t="n"/>
    </row>
    <row r="906">
      <c r="A906" s="17" t="n"/>
      <c r="B906" s="18" t="n"/>
      <c r="C906" s="17" t="n"/>
      <c r="D906" s="19" t="n"/>
      <c r="E906" s="17" t="n"/>
      <c r="F906" s="17" t="n"/>
      <c r="G906" s="17" t="n"/>
      <c r="H906" s="19" t="n"/>
      <c r="I906" s="19" t="n"/>
      <c r="J906" s="20" t="n"/>
      <c r="K906" s="20" t="n"/>
      <c r="L906" s="17" t="n"/>
      <c r="M906" s="17" t="n"/>
    </row>
    <row r="907">
      <c r="A907" s="12" t="n"/>
      <c r="B907" s="13" t="n"/>
      <c r="C907" s="12" t="n"/>
      <c r="D907" s="14" t="n"/>
      <c r="E907" s="12" t="n"/>
      <c r="F907" s="12" t="n"/>
      <c r="G907" s="12" t="n"/>
      <c r="H907" s="14" t="n"/>
      <c r="I907" s="14" t="n"/>
      <c r="J907" s="15" t="n"/>
      <c r="K907" s="15" t="n"/>
      <c r="L907" s="12" t="n"/>
      <c r="M907" s="12" t="n"/>
    </row>
    <row r="908">
      <c r="A908" s="17" t="n"/>
      <c r="B908" s="18" t="n"/>
      <c r="C908" s="17" t="n"/>
      <c r="D908" s="19" t="n"/>
      <c r="E908" s="17" t="n"/>
      <c r="F908" s="17" t="n"/>
      <c r="G908" s="17" t="n"/>
      <c r="H908" s="19" t="n"/>
      <c r="I908" s="19" t="n"/>
      <c r="J908" s="20" t="n"/>
      <c r="K908" s="20" t="n"/>
      <c r="L908" s="17" t="n"/>
      <c r="M908" s="17" t="n"/>
    </row>
    <row r="909">
      <c r="A909" s="12" t="n"/>
      <c r="B909" s="13" t="n"/>
      <c r="C909" s="12" t="n"/>
      <c r="D909" s="14" t="n"/>
      <c r="E909" s="12" t="n"/>
      <c r="F909" s="12" t="n"/>
      <c r="G909" s="12" t="n"/>
      <c r="H909" s="14" t="n"/>
      <c r="I909" s="14" t="n"/>
      <c r="J909" s="15" t="n"/>
      <c r="K909" s="15" t="n"/>
      <c r="L909" s="12" t="n"/>
      <c r="M909" s="12" t="n"/>
    </row>
    <row r="910">
      <c r="A910" s="17" t="n"/>
      <c r="B910" s="18" t="n"/>
      <c r="C910" s="17" t="n"/>
      <c r="D910" s="19" t="n"/>
      <c r="E910" s="17" t="n"/>
      <c r="F910" s="17" t="n"/>
      <c r="G910" s="17" t="n"/>
      <c r="H910" s="19" t="n"/>
      <c r="I910" s="19" t="n"/>
      <c r="J910" s="20" t="n"/>
      <c r="K910" s="20" t="n"/>
      <c r="L910" s="17" t="n"/>
      <c r="M910" s="17" t="n"/>
    </row>
    <row r="911">
      <c r="A911" s="12" t="n"/>
      <c r="B911" s="13" t="n"/>
      <c r="C911" s="12" t="n"/>
      <c r="D911" s="14" t="n"/>
      <c r="E911" s="12" t="n"/>
      <c r="F911" s="12" t="n"/>
      <c r="G911" s="12" t="n"/>
      <c r="H911" s="14" t="n"/>
      <c r="I911" s="14" t="n"/>
      <c r="J911" s="15" t="n"/>
      <c r="K911" s="15" t="n"/>
      <c r="L911" s="12" t="n"/>
      <c r="M911" s="12" t="n"/>
    </row>
    <row r="912">
      <c r="A912" s="17" t="n"/>
      <c r="B912" s="18" t="n"/>
      <c r="C912" s="17" t="n"/>
      <c r="D912" s="19" t="n"/>
      <c r="E912" s="17" t="n"/>
      <c r="F912" s="17" t="n"/>
      <c r="G912" s="17" t="n"/>
      <c r="H912" s="19" t="n"/>
      <c r="I912" s="19" t="n"/>
      <c r="J912" s="20" t="n"/>
      <c r="K912" s="20" t="n"/>
      <c r="L912" s="17" t="n"/>
      <c r="M912" s="17" t="n"/>
    </row>
    <row r="913">
      <c r="A913" s="12" t="n"/>
      <c r="B913" s="13" t="n"/>
      <c r="C913" s="12" t="n"/>
      <c r="D913" s="14" t="n"/>
      <c r="E913" s="12" t="n"/>
      <c r="F913" s="12" t="n"/>
      <c r="G913" s="12" t="n"/>
      <c r="H913" s="14" t="n"/>
      <c r="I913" s="14" t="n"/>
      <c r="J913" s="15" t="n"/>
      <c r="K913" s="15" t="n"/>
      <c r="L913" s="12" t="n"/>
      <c r="M913" s="12" t="n"/>
    </row>
    <row r="914">
      <c r="A914" s="17" t="n"/>
      <c r="B914" s="18" t="n"/>
      <c r="C914" s="17" t="n"/>
      <c r="D914" s="19" t="n"/>
      <c r="E914" s="17" t="n"/>
      <c r="F914" s="17" t="n"/>
      <c r="G914" s="17" t="n"/>
      <c r="H914" s="19" t="n"/>
      <c r="I914" s="19" t="n"/>
      <c r="J914" s="20" t="n"/>
      <c r="K914" s="20" t="n"/>
      <c r="L914" s="17" t="n"/>
      <c r="M914" s="17" t="n"/>
    </row>
    <row r="915">
      <c r="A915" s="12" t="n"/>
      <c r="B915" s="13" t="n"/>
      <c r="C915" s="12" t="n"/>
      <c r="D915" s="14" t="n"/>
      <c r="E915" s="12" t="n"/>
      <c r="F915" s="12" t="n"/>
      <c r="G915" s="12" t="n"/>
      <c r="H915" s="14" t="n"/>
      <c r="I915" s="14" t="n"/>
      <c r="J915" s="15" t="n"/>
      <c r="K915" s="15" t="n"/>
      <c r="L915" s="12" t="n"/>
      <c r="M915" s="12" t="n"/>
    </row>
    <row r="916">
      <c r="A916" s="17" t="n"/>
      <c r="B916" s="18" t="n"/>
      <c r="C916" s="17" t="n"/>
      <c r="D916" s="19" t="n"/>
      <c r="E916" s="17" t="n"/>
      <c r="F916" s="17" t="n"/>
      <c r="G916" s="17" t="n"/>
      <c r="H916" s="19" t="n"/>
      <c r="I916" s="19" t="n"/>
      <c r="J916" s="20" t="n"/>
      <c r="K916" s="20" t="n"/>
      <c r="L916" s="17" t="n"/>
      <c r="M916" s="17" t="n"/>
    </row>
    <row r="917">
      <c r="A917" s="12" t="n"/>
      <c r="B917" s="13" t="n"/>
      <c r="C917" s="12" t="n"/>
      <c r="D917" s="14" t="n"/>
      <c r="E917" s="12" t="n"/>
      <c r="F917" s="12" t="n"/>
      <c r="G917" s="12" t="n"/>
      <c r="H917" s="14" t="n"/>
      <c r="I917" s="14" t="n"/>
      <c r="J917" s="15" t="n"/>
      <c r="K917" s="15" t="n"/>
      <c r="L917" s="12" t="n"/>
      <c r="M917" s="12" t="n"/>
    </row>
    <row r="918">
      <c r="A918" s="17" t="n"/>
      <c r="B918" s="18" t="n"/>
      <c r="C918" s="17" t="n"/>
      <c r="D918" s="19" t="n"/>
      <c r="E918" s="17" t="n"/>
      <c r="F918" s="17" t="n"/>
      <c r="G918" s="17" t="n"/>
      <c r="H918" s="19" t="n"/>
      <c r="I918" s="19" t="n"/>
      <c r="J918" s="20" t="n"/>
      <c r="K918" s="20" t="n"/>
      <c r="L918" s="17" t="n"/>
      <c r="M918" s="17" t="n"/>
    </row>
    <row r="919">
      <c r="A919" s="12" t="n"/>
      <c r="B919" s="13" t="n"/>
      <c r="C919" s="12" t="n"/>
      <c r="D919" s="14" t="n"/>
      <c r="E919" s="12" t="n"/>
      <c r="F919" s="12" t="n"/>
      <c r="G919" s="12" t="n"/>
      <c r="H919" s="14" t="n"/>
      <c r="I919" s="14" t="n"/>
      <c r="J919" s="15" t="n"/>
      <c r="K919" s="15" t="n"/>
      <c r="L919" s="12" t="n"/>
      <c r="M919" s="12" t="n"/>
    </row>
    <row r="920">
      <c r="A920" s="17" t="n"/>
      <c r="B920" s="18" t="n"/>
      <c r="C920" s="17" t="n"/>
      <c r="D920" s="19" t="n"/>
      <c r="E920" s="17" t="n"/>
      <c r="F920" s="17" t="n"/>
      <c r="G920" s="17" t="n"/>
      <c r="H920" s="19" t="n"/>
      <c r="I920" s="19" t="n"/>
      <c r="J920" s="20" t="n"/>
      <c r="K920" s="20" t="n"/>
      <c r="L920" s="17" t="n"/>
      <c r="M920" s="17" t="n"/>
    </row>
    <row r="921">
      <c r="A921" s="12" t="n"/>
      <c r="B921" s="13" t="n"/>
      <c r="C921" s="12" t="n"/>
      <c r="D921" s="14" t="n"/>
      <c r="E921" s="12" t="n"/>
      <c r="F921" s="12" t="n"/>
      <c r="G921" s="12" t="n"/>
      <c r="H921" s="14" t="n"/>
      <c r="I921" s="14" t="n"/>
      <c r="J921" s="15" t="n"/>
      <c r="K921" s="15" t="n"/>
      <c r="L921" s="12" t="n"/>
      <c r="M921" s="12" t="n"/>
    </row>
    <row r="922">
      <c r="A922" s="17" t="n"/>
      <c r="B922" s="18" t="n"/>
      <c r="C922" s="17" t="n"/>
      <c r="D922" s="19" t="n"/>
      <c r="E922" s="17" t="n"/>
      <c r="F922" s="17" t="n"/>
      <c r="G922" s="17" t="n"/>
      <c r="H922" s="19" t="n"/>
      <c r="I922" s="19" t="n"/>
      <c r="J922" s="20" t="n"/>
      <c r="K922" s="20" t="n"/>
      <c r="L922" s="17" t="n"/>
      <c r="M922" s="17" t="n"/>
    </row>
    <row r="923">
      <c r="A923" s="12" t="n"/>
      <c r="B923" s="13" t="n"/>
      <c r="C923" s="12" t="n"/>
      <c r="D923" s="14" t="n"/>
      <c r="E923" s="12" t="n"/>
      <c r="F923" s="12" t="n"/>
      <c r="G923" s="12" t="n"/>
      <c r="H923" s="14" t="n"/>
      <c r="I923" s="14" t="n"/>
      <c r="J923" s="15" t="n"/>
      <c r="K923" s="15" t="n"/>
      <c r="L923" s="12" t="n"/>
      <c r="M923" s="12" t="n"/>
    </row>
    <row r="924">
      <c r="A924" s="17" t="n"/>
      <c r="B924" s="18" t="n"/>
      <c r="C924" s="17" t="n"/>
      <c r="D924" s="19" t="n"/>
      <c r="E924" s="17" t="n"/>
      <c r="F924" s="17" t="n"/>
      <c r="G924" s="17" t="n"/>
      <c r="H924" s="19" t="n"/>
      <c r="I924" s="19" t="n"/>
      <c r="J924" s="20" t="n"/>
      <c r="K924" s="20" t="n"/>
      <c r="L924" s="17" t="n"/>
      <c r="M924" s="17" t="n"/>
    </row>
    <row r="925">
      <c r="A925" s="12" t="n"/>
      <c r="B925" s="13" t="n"/>
      <c r="C925" s="12" t="n"/>
      <c r="D925" s="14" t="n"/>
      <c r="E925" s="12" t="n"/>
      <c r="F925" s="12" t="n"/>
      <c r="G925" s="12" t="n"/>
      <c r="H925" s="14" t="n"/>
      <c r="I925" s="14" t="n"/>
      <c r="J925" s="15" t="n"/>
      <c r="K925" s="15" t="n"/>
      <c r="L925" s="12" t="n"/>
      <c r="M925" s="12" t="n"/>
    </row>
    <row r="926">
      <c r="A926" s="17" t="n"/>
      <c r="B926" s="18" t="n"/>
      <c r="C926" s="17" t="n"/>
      <c r="D926" s="19" t="n"/>
      <c r="E926" s="17" t="n"/>
      <c r="F926" s="17" t="n"/>
      <c r="G926" s="17" t="n"/>
      <c r="H926" s="19" t="n"/>
      <c r="I926" s="19" t="n"/>
      <c r="J926" s="20" t="n"/>
      <c r="K926" s="20" t="n"/>
      <c r="L926" s="17" t="n"/>
      <c r="M926" s="17" t="n"/>
    </row>
    <row r="927">
      <c r="A927" s="12" t="n"/>
      <c r="B927" s="13" t="n"/>
      <c r="C927" s="12" t="n"/>
      <c r="D927" s="14" t="n"/>
      <c r="E927" s="12" t="n"/>
      <c r="F927" s="12" t="n"/>
      <c r="G927" s="12" t="n"/>
      <c r="H927" s="14" t="n"/>
      <c r="I927" s="14" t="n"/>
      <c r="J927" s="15" t="n"/>
      <c r="K927" s="15" t="n"/>
      <c r="L927" s="12" t="n"/>
      <c r="M927" s="12" t="n"/>
    </row>
    <row r="928">
      <c r="A928" s="17" t="n"/>
      <c r="B928" s="18" t="n"/>
      <c r="C928" s="17" t="n"/>
      <c r="D928" s="19" t="n"/>
      <c r="E928" s="17" t="n"/>
      <c r="F928" s="17" t="n"/>
      <c r="G928" s="17" t="n"/>
      <c r="H928" s="19" t="n"/>
      <c r="I928" s="19" t="n"/>
      <c r="J928" s="20" t="n"/>
      <c r="K928" s="20" t="n"/>
      <c r="L928" s="17" t="n"/>
      <c r="M928" s="17" t="n"/>
    </row>
    <row r="929">
      <c r="A929" s="12" t="n"/>
      <c r="B929" s="13" t="n"/>
      <c r="C929" s="12" t="n"/>
      <c r="D929" s="14" t="n"/>
      <c r="E929" s="12" t="n"/>
      <c r="F929" s="12" t="n"/>
      <c r="G929" s="12" t="n"/>
      <c r="H929" s="14" t="n"/>
      <c r="I929" s="14" t="n"/>
      <c r="J929" s="15" t="n"/>
      <c r="K929" s="15" t="n"/>
      <c r="L929" s="12" t="n"/>
      <c r="M929" s="12" t="n"/>
    </row>
    <row r="930">
      <c r="A930" s="17" t="n"/>
      <c r="B930" s="18" t="n"/>
      <c r="C930" s="17" t="n"/>
      <c r="D930" s="19" t="n"/>
      <c r="E930" s="17" t="n"/>
      <c r="F930" s="17" t="n"/>
      <c r="G930" s="17" t="n"/>
      <c r="H930" s="19" t="n"/>
      <c r="I930" s="19" t="n"/>
      <c r="J930" s="20" t="n"/>
      <c r="K930" s="20" t="n"/>
      <c r="L930" s="17" t="n"/>
      <c r="M930" s="17" t="n"/>
    </row>
    <row r="931">
      <c r="A931" s="12" t="n"/>
      <c r="B931" s="13" t="n"/>
      <c r="C931" s="12" t="n"/>
      <c r="D931" s="14" t="n"/>
      <c r="E931" s="12" t="n"/>
      <c r="F931" s="12" t="n"/>
      <c r="G931" s="12" t="n"/>
      <c r="H931" s="14" t="n"/>
      <c r="I931" s="14" t="n"/>
      <c r="J931" s="15" t="n"/>
      <c r="K931" s="15" t="n"/>
      <c r="L931" s="12" t="n"/>
      <c r="M931" s="12" t="n"/>
    </row>
    <row r="932">
      <c r="A932" s="17" t="n"/>
      <c r="B932" s="18" t="n"/>
      <c r="C932" s="17" t="n"/>
      <c r="D932" s="19" t="n"/>
      <c r="E932" s="17" t="n"/>
      <c r="F932" s="17" t="n"/>
      <c r="G932" s="17" t="n"/>
      <c r="H932" s="19" t="n"/>
      <c r="I932" s="19" t="n"/>
      <c r="J932" s="20" t="n"/>
      <c r="K932" s="20" t="n"/>
      <c r="L932" s="17" t="n"/>
      <c r="M932" s="17" t="n"/>
    </row>
    <row r="933">
      <c r="A933" s="12" t="n"/>
      <c r="B933" s="13" t="n"/>
      <c r="C933" s="12" t="n"/>
      <c r="D933" s="14" t="n"/>
      <c r="E933" s="12" t="n"/>
      <c r="F933" s="12" t="n"/>
      <c r="G933" s="12" t="n"/>
      <c r="H933" s="14" t="n"/>
      <c r="I933" s="14" t="n"/>
      <c r="J933" s="15" t="n"/>
      <c r="K933" s="15" t="n"/>
      <c r="L933" s="12" t="n"/>
      <c r="M933" s="12" t="n"/>
    </row>
    <row r="934">
      <c r="A934" s="17" t="n"/>
      <c r="B934" s="18" t="n"/>
      <c r="C934" s="17" t="n"/>
      <c r="D934" s="19" t="n"/>
      <c r="E934" s="17" t="n"/>
      <c r="F934" s="17" t="n"/>
      <c r="G934" s="17" t="n"/>
      <c r="H934" s="19" t="n"/>
      <c r="I934" s="19" t="n"/>
      <c r="J934" s="20" t="n"/>
      <c r="K934" s="20" t="n"/>
      <c r="L934" s="17" t="n"/>
      <c r="M934" s="17" t="n"/>
    </row>
    <row r="935">
      <c r="A935" s="12" t="n"/>
      <c r="B935" s="13" t="n"/>
      <c r="C935" s="12" t="n"/>
      <c r="D935" s="14" t="n"/>
      <c r="E935" s="12" t="n"/>
      <c r="F935" s="12" t="n"/>
      <c r="G935" s="12" t="n"/>
      <c r="H935" s="14" t="n"/>
      <c r="I935" s="14" t="n"/>
      <c r="J935" s="15" t="n"/>
      <c r="K935" s="15" t="n"/>
      <c r="L935" s="12" t="n"/>
      <c r="M935" s="12" t="n"/>
    </row>
    <row r="936">
      <c r="A936" s="17" t="n"/>
      <c r="B936" s="18" t="n"/>
      <c r="C936" s="17" t="n"/>
      <c r="D936" s="19" t="n"/>
      <c r="E936" s="17" t="n"/>
      <c r="F936" s="17" t="n"/>
      <c r="G936" s="17" t="n"/>
      <c r="H936" s="19" t="n"/>
      <c r="I936" s="19" t="n"/>
      <c r="J936" s="20" t="n"/>
      <c r="K936" s="20" t="n"/>
      <c r="L936" s="17" t="n"/>
      <c r="M936" s="17" t="n"/>
    </row>
    <row r="937">
      <c r="A937" s="12" t="n"/>
      <c r="B937" s="13" t="n"/>
      <c r="C937" s="12" t="n"/>
      <c r="D937" s="14" t="n"/>
      <c r="E937" s="12" t="n"/>
      <c r="F937" s="12" t="n"/>
      <c r="G937" s="12" t="n"/>
      <c r="H937" s="14" t="n"/>
      <c r="I937" s="14" t="n"/>
      <c r="J937" s="15" t="n"/>
      <c r="K937" s="15" t="n"/>
      <c r="L937" s="12" t="n"/>
      <c r="M937" s="12" t="n"/>
    </row>
    <row r="938">
      <c r="A938" s="17" t="n"/>
      <c r="B938" s="18" t="n"/>
      <c r="C938" s="17" t="n"/>
      <c r="D938" s="19" t="n"/>
      <c r="E938" s="17" t="n"/>
      <c r="F938" s="17" t="n"/>
      <c r="G938" s="17" t="n"/>
      <c r="H938" s="19" t="n"/>
      <c r="I938" s="19" t="n"/>
      <c r="J938" s="20" t="n"/>
      <c r="K938" s="20" t="n"/>
      <c r="L938" s="17" t="n"/>
      <c r="M938" s="17" t="n"/>
    </row>
    <row r="939">
      <c r="A939" s="12" t="n"/>
      <c r="B939" s="13" t="n"/>
      <c r="C939" s="12" t="n"/>
      <c r="D939" s="14" t="n"/>
      <c r="E939" s="12" t="n"/>
      <c r="F939" s="12" t="n"/>
      <c r="G939" s="12" t="n"/>
      <c r="H939" s="14" t="n"/>
      <c r="I939" s="14" t="n"/>
      <c r="J939" s="15" t="n"/>
      <c r="K939" s="15" t="n"/>
      <c r="L939" s="12" t="n"/>
      <c r="M939" s="12" t="n"/>
    </row>
    <row r="940">
      <c r="A940" s="17" t="n"/>
      <c r="B940" s="18" t="n"/>
      <c r="C940" s="17" t="n"/>
      <c r="D940" s="19" t="n"/>
      <c r="E940" s="17" t="n"/>
      <c r="F940" s="17" t="n"/>
      <c r="G940" s="17" t="n"/>
      <c r="H940" s="19" t="n"/>
      <c r="I940" s="19" t="n"/>
      <c r="J940" s="20" t="n"/>
      <c r="K940" s="20" t="n"/>
      <c r="L940" s="17" t="n"/>
      <c r="M940" s="17" t="n"/>
    </row>
    <row r="941">
      <c r="A941" s="12" t="n"/>
      <c r="B941" s="13" t="n"/>
      <c r="C941" s="12" t="n"/>
      <c r="D941" s="14" t="n"/>
      <c r="E941" s="12" t="n"/>
      <c r="F941" s="12" t="n"/>
      <c r="G941" s="12" t="n"/>
      <c r="H941" s="14" t="n"/>
      <c r="I941" s="14" t="n"/>
      <c r="J941" s="15" t="n"/>
      <c r="K941" s="15" t="n"/>
      <c r="L941" s="12" t="n"/>
      <c r="M941" s="12" t="n"/>
    </row>
    <row r="942">
      <c r="A942" s="17" t="n"/>
      <c r="B942" s="18" t="n"/>
      <c r="C942" s="17" t="n"/>
      <c r="D942" s="19" t="n"/>
      <c r="E942" s="17" t="n"/>
      <c r="F942" s="17" t="n"/>
      <c r="G942" s="17" t="n"/>
      <c r="H942" s="19" t="n"/>
      <c r="I942" s="19" t="n"/>
      <c r="J942" s="20" t="n"/>
      <c r="K942" s="20" t="n"/>
      <c r="L942" s="17" t="n"/>
      <c r="M942" s="17" t="n"/>
    </row>
    <row r="943">
      <c r="A943" s="12" t="n"/>
      <c r="B943" s="13" t="n"/>
      <c r="C943" s="12" t="n"/>
      <c r="D943" s="14" t="n"/>
      <c r="E943" s="12" t="n"/>
      <c r="F943" s="12" t="n"/>
      <c r="G943" s="12" t="n"/>
      <c r="H943" s="14" t="n"/>
      <c r="I943" s="14" t="n"/>
      <c r="J943" s="15" t="n"/>
      <c r="K943" s="15" t="n"/>
      <c r="L943" s="12" t="n"/>
      <c r="M943" s="12" t="n"/>
    </row>
    <row r="944">
      <c r="A944" s="17" t="n"/>
      <c r="B944" s="18" t="n"/>
      <c r="C944" s="17" t="n"/>
      <c r="D944" s="19" t="n"/>
      <c r="E944" s="17" t="n"/>
      <c r="F944" s="17" t="n"/>
      <c r="G944" s="17" t="n"/>
      <c r="H944" s="19" t="n"/>
      <c r="I944" s="19" t="n"/>
      <c r="J944" s="20" t="n"/>
      <c r="K944" s="20" t="n"/>
      <c r="L944" s="17" t="n"/>
      <c r="M944" s="17" t="n"/>
    </row>
    <row r="945">
      <c r="A945" s="12" t="n"/>
      <c r="B945" s="13" t="n"/>
      <c r="C945" s="12" t="n"/>
      <c r="D945" s="14" t="n"/>
      <c r="E945" s="12" t="n"/>
      <c r="F945" s="12" t="n"/>
      <c r="G945" s="12" t="n"/>
      <c r="H945" s="14" t="n"/>
      <c r="I945" s="14" t="n"/>
      <c r="J945" s="15" t="n"/>
      <c r="K945" s="15" t="n"/>
      <c r="L945" s="12" t="n"/>
      <c r="M945" s="12" t="n"/>
    </row>
    <row r="946">
      <c r="A946" s="17" t="n"/>
      <c r="B946" s="18" t="n"/>
      <c r="C946" s="17" t="n"/>
      <c r="D946" s="19" t="n"/>
      <c r="E946" s="17" t="n"/>
      <c r="F946" s="17" t="n"/>
      <c r="G946" s="17" t="n"/>
      <c r="H946" s="19" t="n"/>
      <c r="I946" s="19" t="n"/>
      <c r="J946" s="20" t="n"/>
      <c r="K946" s="20" t="n"/>
      <c r="L946" s="17" t="n"/>
      <c r="M946" s="17" t="n"/>
    </row>
    <row r="947">
      <c r="A947" s="12" t="n"/>
      <c r="B947" s="13" t="n"/>
      <c r="C947" s="12" t="n"/>
      <c r="D947" s="14" t="n"/>
      <c r="E947" s="12" t="n"/>
      <c r="F947" s="12" t="n"/>
      <c r="G947" s="12" t="n"/>
      <c r="H947" s="14" t="n"/>
      <c r="I947" s="14" t="n"/>
      <c r="J947" s="15" t="n"/>
      <c r="K947" s="15" t="n"/>
      <c r="L947" s="12" t="n"/>
      <c r="M947" s="12" t="n"/>
    </row>
    <row r="948">
      <c r="A948" s="17" t="n"/>
      <c r="B948" s="18" t="n"/>
      <c r="C948" s="17" t="n"/>
      <c r="D948" s="19" t="n"/>
      <c r="E948" s="17" t="n"/>
      <c r="F948" s="17" t="n"/>
      <c r="G948" s="17" t="n"/>
      <c r="H948" s="19" t="n"/>
      <c r="I948" s="19" t="n"/>
      <c r="J948" s="20" t="n"/>
      <c r="K948" s="20" t="n"/>
      <c r="L948" s="17" t="n"/>
      <c r="M948" s="17" t="n"/>
    </row>
    <row r="949">
      <c r="A949" s="12" t="n"/>
      <c r="B949" s="13" t="n"/>
      <c r="C949" s="12" t="n"/>
      <c r="D949" s="14" t="n"/>
      <c r="E949" s="12" t="n"/>
      <c r="F949" s="12" t="n"/>
      <c r="G949" s="12" t="n"/>
      <c r="H949" s="14" t="n"/>
      <c r="I949" s="14" t="n"/>
      <c r="J949" s="15" t="n"/>
      <c r="K949" s="15" t="n"/>
      <c r="L949" s="12" t="n"/>
      <c r="M949" s="12" t="n"/>
    </row>
    <row r="950">
      <c r="A950" s="17" t="n"/>
      <c r="B950" s="18" t="n"/>
      <c r="C950" s="17" t="n"/>
      <c r="D950" s="19" t="n"/>
      <c r="E950" s="17" t="n"/>
      <c r="F950" s="17" t="n"/>
      <c r="G950" s="17" t="n"/>
      <c r="H950" s="19" t="n"/>
      <c r="I950" s="19" t="n"/>
      <c r="J950" s="20" t="n"/>
      <c r="K950" s="20" t="n"/>
      <c r="L950" s="17" t="n"/>
      <c r="M950" s="17" t="n"/>
    </row>
    <row r="951">
      <c r="A951" s="12" t="n"/>
      <c r="B951" s="13" t="n"/>
      <c r="C951" s="12" t="n"/>
      <c r="D951" s="14" t="n"/>
      <c r="E951" s="12" t="n"/>
      <c r="F951" s="12" t="n"/>
      <c r="G951" s="12" t="n"/>
      <c r="H951" s="14" t="n"/>
      <c r="I951" s="14" t="n"/>
      <c r="J951" s="15" t="n"/>
      <c r="K951" s="15" t="n"/>
      <c r="L951" s="12" t="n"/>
      <c r="M951" s="12" t="n"/>
    </row>
    <row r="952">
      <c r="A952" s="17" t="n"/>
      <c r="B952" s="18" t="n"/>
      <c r="C952" s="17" t="n"/>
      <c r="D952" s="19" t="n"/>
      <c r="E952" s="17" t="n"/>
      <c r="F952" s="17" t="n"/>
      <c r="G952" s="17" t="n"/>
      <c r="H952" s="19" t="n"/>
      <c r="I952" s="19" t="n"/>
      <c r="J952" s="20" t="n"/>
      <c r="K952" s="20" t="n"/>
      <c r="L952" s="17" t="n"/>
      <c r="M952" s="17" t="n"/>
    </row>
    <row r="953">
      <c r="A953" s="12" t="n"/>
      <c r="B953" s="13" t="n"/>
      <c r="C953" s="12" t="n"/>
      <c r="D953" s="14" t="n"/>
      <c r="E953" s="12" t="n"/>
      <c r="F953" s="12" t="n"/>
      <c r="G953" s="12" t="n"/>
      <c r="H953" s="14" t="n"/>
      <c r="I953" s="14" t="n"/>
      <c r="J953" s="15" t="n"/>
      <c r="K953" s="15" t="n"/>
      <c r="L953" s="12" t="n"/>
      <c r="M953" s="12" t="n"/>
    </row>
    <row r="954">
      <c r="A954" s="17" t="n"/>
      <c r="B954" s="18" t="n"/>
      <c r="C954" s="17" t="n"/>
      <c r="D954" s="19" t="n"/>
      <c r="E954" s="17" t="n"/>
      <c r="F954" s="17" t="n"/>
      <c r="G954" s="17" t="n"/>
      <c r="H954" s="19" t="n"/>
      <c r="I954" s="19" t="n"/>
      <c r="J954" s="20" t="n"/>
      <c r="K954" s="20" t="n"/>
      <c r="L954" s="17" t="n"/>
      <c r="M954" s="17" t="n"/>
    </row>
    <row r="955">
      <c r="A955" s="12" t="n"/>
      <c r="B955" s="13" t="n"/>
      <c r="C955" s="12" t="n"/>
      <c r="D955" s="14" t="n"/>
      <c r="E955" s="12" t="n"/>
      <c r="F955" s="12" t="n"/>
      <c r="G955" s="12" t="n"/>
      <c r="H955" s="14" t="n"/>
      <c r="I955" s="14" t="n"/>
      <c r="J955" s="15" t="n"/>
      <c r="K955" s="15" t="n"/>
      <c r="L955" s="12" t="n"/>
      <c r="M955" s="12" t="n"/>
    </row>
    <row r="956">
      <c r="A956" s="17" t="n"/>
      <c r="B956" s="18" t="n"/>
      <c r="C956" s="17" t="n"/>
      <c r="D956" s="19" t="n"/>
      <c r="E956" s="17" t="n"/>
      <c r="F956" s="17" t="n"/>
      <c r="G956" s="17" t="n"/>
      <c r="H956" s="19" t="n"/>
      <c r="I956" s="19" t="n"/>
      <c r="J956" s="20" t="n"/>
      <c r="K956" s="20" t="n"/>
      <c r="L956" s="17" t="n"/>
      <c r="M956" s="17" t="n"/>
    </row>
    <row r="957">
      <c r="A957" s="12" t="n"/>
      <c r="B957" s="13" t="n"/>
      <c r="C957" s="12" t="n"/>
      <c r="D957" s="14" t="n"/>
      <c r="E957" s="12" t="n"/>
      <c r="F957" s="12" t="n"/>
      <c r="G957" s="12" t="n"/>
      <c r="H957" s="14" t="n"/>
      <c r="I957" s="14" t="n"/>
      <c r="J957" s="15" t="n"/>
      <c r="K957" s="15" t="n"/>
      <c r="L957" s="12" t="n"/>
      <c r="M957" s="12" t="n"/>
    </row>
    <row r="958">
      <c r="A958" s="17" t="n"/>
      <c r="B958" s="18" t="n"/>
      <c r="C958" s="17" t="n"/>
      <c r="D958" s="19" t="n"/>
      <c r="E958" s="17" t="n"/>
      <c r="F958" s="17" t="n"/>
      <c r="G958" s="17" t="n"/>
      <c r="H958" s="19" t="n"/>
      <c r="I958" s="19" t="n"/>
      <c r="J958" s="20" t="n"/>
      <c r="K958" s="20" t="n"/>
      <c r="L958" s="17" t="n"/>
      <c r="M958" s="17" t="n"/>
    </row>
    <row r="959">
      <c r="A959" s="12" t="n"/>
      <c r="B959" s="13" t="n"/>
      <c r="C959" s="12" t="n"/>
      <c r="D959" s="14" t="n"/>
      <c r="E959" s="12" t="n"/>
      <c r="F959" s="12" t="n"/>
      <c r="G959" s="12" t="n"/>
      <c r="H959" s="14" t="n"/>
      <c r="I959" s="14" t="n"/>
      <c r="J959" s="15" t="n"/>
      <c r="K959" s="15" t="n"/>
      <c r="L959" s="12" t="n"/>
      <c r="M959" s="12" t="n"/>
    </row>
    <row r="960">
      <c r="A960" s="17" t="n"/>
      <c r="B960" s="18" t="n"/>
      <c r="C960" s="17" t="n"/>
      <c r="D960" s="19" t="n"/>
      <c r="E960" s="17" t="n"/>
      <c r="F960" s="17" t="n"/>
      <c r="G960" s="17" t="n"/>
      <c r="H960" s="19" t="n"/>
      <c r="I960" s="19" t="n"/>
      <c r="J960" s="20" t="n"/>
      <c r="K960" s="20" t="n"/>
      <c r="L960" s="17" t="n"/>
      <c r="M960" s="17" t="n"/>
    </row>
    <row r="961">
      <c r="A961" s="12" t="n"/>
      <c r="B961" s="13" t="n"/>
      <c r="C961" s="12" t="n"/>
      <c r="D961" s="14" t="n"/>
      <c r="E961" s="12" t="n"/>
      <c r="F961" s="12" t="n"/>
      <c r="G961" s="12" t="n"/>
      <c r="H961" s="14" t="n"/>
      <c r="I961" s="14" t="n"/>
      <c r="J961" s="15" t="n"/>
      <c r="K961" s="15" t="n"/>
      <c r="L961" s="12" t="n"/>
      <c r="M961" s="12" t="n"/>
    </row>
    <row r="962">
      <c r="A962" s="17" t="n"/>
      <c r="B962" s="18" t="n"/>
      <c r="C962" s="17" t="n"/>
      <c r="D962" s="19" t="n"/>
      <c r="E962" s="17" t="n"/>
      <c r="F962" s="17" t="n"/>
      <c r="G962" s="17" t="n"/>
      <c r="H962" s="19" t="n"/>
      <c r="I962" s="19" t="n"/>
      <c r="J962" s="20" t="n"/>
      <c r="K962" s="20" t="n"/>
      <c r="L962" s="17" t="n"/>
      <c r="M962" s="17" t="n"/>
    </row>
    <row r="963">
      <c r="A963" s="12" t="n"/>
      <c r="B963" s="13" t="n"/>
      <c r="C963" s="12" t="n"/>
      <c r="D963" s="14" t="n"/>
      <c r="E963" s="12" t="n"/>
      <c r="F963" s="12" t="n"/>
      <c r="G963" s="12" t="n"/>
      <c r="H963" s="14" t="n"/>
      <c r="I963" s="14" t="n"/>
      <c r="J963" s="15" t="n"/>
      <c r="K963" s="15" t="n"/>
      <c r="L963" s="12" t="n"/>
      <c r="M963" s="12" t="n"/>
    </row>
    <row r="964">
      <c r="A964" s="17" t="n"/>
      <c r="B964" s="18" t="n"/>
      <c r="C964" s="17" t="n"/>
      <c r="D964" s="19" t="n"/>
      <c r="E964" s="17" t="n"/>
      <c r="F964" s="17" t="n"/>
      <c r="G964" s="17" t="n"/>
      <c r="H964" s="19" t="n"/>
      <c r="I964" s="19" t="n"/>
      <c r="J964" s="20" t="n"/>
      <c r="K964" s="20" t="n"/>
      <c r="L964" s="17" t="n"/>
      <c r="M964" s="17" t="n"/>
    </row>
    <row r="965">
      <c r="A965" s="12" t="n"/>
      <c r="B965" s="13" t="n"/>
      <c r="C965" s="12" t="n"/>
      <c r="D965" s="14" t="n"/>
      <c r="E965" s="12" t="n"/>
      <c r="F965" s="12" t="n"/>
      <c r="G965" s="12" t="n"/>
      <c r="H965" s="14" t="n"/>
      <c r="I965" s="14" t="n"/>
      <c r="J965" s="15" t="n"/>
      <c r="K965" s="15" t="n"/>
      <c r="L965" s="12" t="n"/>
      <c r="M965" s="12" t="n"/>
    </row>
    <row r="966">
      <c r="A966" s="17" t="n"/>
      <c r="B966" s="18" t="n"/>
      <c r="C966" s="17" t="n"/>
      <c r="D966" s="19" t="n"/>
      <c r="E966" s="17" t="n"/>
      <c r="F966" s="17" t="n"/>
      <c r="G966" s="17" t="n"/>
      <c r="H966" s="19" t="n"/>
      <c r="I966" s="19" t="n"/>
      <c r="J966" s="20" t="n"/>
      <c r="K966" s="20" t="n"/>
      <c r="L966" s="17" t="n"/>
      <c r="M966" s="17" t="n"/>
    </row>
    <row r="967">
      <c r="A967" s="12" t="n"/>
      <c r="B967" s="13" t="n"/>
      <c r="C967" s="12" t="n"/>
      <c r="D967" s="14" t="n"/>
      <c r="E967" s="12" t="n"/>
      <c r="F967" s="12" t="n"/>
      <c r="G967" s="12" t="n"/>
      <c r="H967" s="14" t="n"/>
      <c r="I967" s="14" t="n"/>
      <c r="J967" s="15" t="n"/>
      <c r="K967" s="15" t="n"/>
      <c r="L967" s="12" t="n"/>
      <c r="M967" s="12" t="n"/>
    </row>
    <row r="968">
      <c r="A968" s="17" t="n"/>
      <c r="B968" s="18" t="n"/>
      <c r="C968" s="17" t="n"/>
      <c r="D968" s="19" t="n"/>
      <c r="E968" s="17" t="n"/>
      <c r="F968" s="17" t="n"/>
      <c r="G968" s="17" t="n"/>
      <c r="H968" s="19" t="n"/>
      <c r="I968" s="19" t="n"/>
      <c r="J968" s="20" t="n"/>
      <c r="K968" s="20" t="n"/>
      <c r="L968" s="17" t="n"/>
      <c r="M968" s="17" t="n"/>
    </row>
    <row r="969">
      <c r="A969" s="12" t="n"/>
      <c r="B969" s="13" t="n"/>
      <c r="C969" s="12" t="n"/>
      <c r="D969" s="14" t="n"/>
      <c r="E969" s="12" t="n"/>
      <c r="F969" s="12" t="n"/>
      <c r="G969" s="12" t="n"/>
      <c r="H969" s="14" t="n"/>
      <c r="I969" s="14" t="n"/>
      <c r="J969" s="15" t="n"/>
      <c r="K969" s="15" t="n"/>
      <c r="L969" s="12" t="n"/>
      <c r="M969" s="12" t="n"/>
    </row>
    <row r="970">
      <c r="A970" s="17" t="n"/>
      <c r="B970" s="18" t="n"/>
      <c r="C970" s="17" t="n"/>
      <c r="D970" s="19" t="n"/>
      <c r="E970" s="17" t="n"/>
      <c r="F970" s="17" t="n"/>
      <c r="G970" s="17" t="n"/>
      <c r="H970" s="19" t="n"/>
      <c r="I970" s="19" t="n"/>
      <c r="J970" s="20" t="n"/>
      <c r="K970" s="20" t="n"/>
      <c r="L970" s="17" t="n"/>
      <c r="M970" s="17" t="n"/>
    </row>
    <row r="971">
      <c r="A971" s="12" t="n"/>
      <c r="B971" s="13" t="n"/>
      <c r="C971" s="12" t="n"/>
      <c r="D971" s="14" t="n"/>
      <c r="E971" s="12" t="n"/>
      <c r="F971" s="12" t="n"/>
      <c r="G971" s="12" t="n"/>
      <c r="H971" s="14" t="n"/>
      <c r="I971" s="14" t="n"/>
      <c r="J971" s="15" t="n"/>
      <c r="K971" s="15" t="n"/>
      <c r="L971" s="12" t="n"/>
      <c r="M971" s="12" t="n"/>
    </row>
    <row r="972">
      <c r="A972" s="17" t="n"/>
      <c r="B972" s="18" t="n"/>
      <c r="C972" s="17" t="n"/>
      <c r="D972" s="19" t="n"/>
      <c r="E972" s="17" t="n"/>
      <c r="F972" s="17" t="n"/>
      <c r="G972" s="17" t="n"/>
      <c r="H972" s="19" t="n"/>
      <c r="I972" s="19" t="n"/>
      <c r="J972" s="20" t="n"/>
      <c r="K972" s="20" t="n"/>
      <c r="L972" s="17" t="n"/>
      <c r="M972" s="17" t="n"/>
    </row>
    <row r="973">
      <c r="A973" s="12" t="n"/>
      <c r="B973" s="13" t="n"/>
      <c r="C973" s="12" t="n"/>
      <c r="D973" s="14" t="n"/>
      <c r="E973" s="12" t="n"/>
      <c r="F973" s="12" t="n"/>
      <c r="G973" s="12" t="n"/>
      <c r="H973" s="14" t="n"/>
      <c r="I973" s="14" t="n"/>
      <c r="J973" s="15" t="n"/>
      <c r="K973" s="15" t="n"/>
      <c r="L973" s="12" t="n"/>
      <c r="M973" s="12" t="n"/>
    </row>
    <row r="974">
      <c r="A974" s="17" t="n"/>
      <c r="B974" s="18" t="n"/>
      <c r="C974" s="17" t="n"/>
      <c r="D974" s="19" t="n"/>
      <c r="E974" s="17" t="n"/>
      <c r="F974" s="17" t="n"/>
      <c r="G974" s="17" t="n"/>
      <c r="H974" s="19" t="n"/>
      <c r="I974" s="19" t="n"/>
      <c r="J974" s="20" t="n"/>
      <c r="K974" s="20" t="n"/>
      <c r="L974" s="17" t="n"/>
      <c r="M974" s="17" t="n"/>
    </row>
    <row r="975">
      <c r="A975" s="12" t="n"/>
      <c r="B975" s="13" t="n"/>
      <c r="C975" s="12" t="n"/>
      <c r="D975" s="14" t="n"/>
      <c r="E975" s="12" t="n"/>
      <c r="F975" s="12" t="n"/>
      <c r="G975" s="12" t="n"/>
      <c r="H975" s="14" t="n"/>
      <c r="I975" s="14" t="n"/>
      <c r="J975" s="15" t="n"/>
      <c r="K975" s="15" t="n"/>
      <c r="L975" s="12" t="n"/>
      <c r="M975" s="12" t="n"/>
    </row>
    <row r="976">
      <c r="A976" s="17" t="n"/>
      <c r="B976" s="18" t="n"/>
      <c r="C976" s="17" t="n"/>
      <c r="D976" s="19" t="n"/>
      <c r="E976" s="17" t="n"/>
      <c r="F976" s="17" t="n"/>
      <c r="G976" s="17" t="n"/>
      <c r="H976" s="19" t="n"/>
      <c r="I976" s="19" t="n"/>
      <c r="J976" s="20" t="n"/>
      <c r="K976" s="20" t="n"/>
      <c r="L976" s="17" t="n"/>
      <c r="M976" s="17" t="n"/>
    </row>
    <row r="977">
      <c r="A977" s="12" t="n"/>
      <c r="B977" s="13" t="n"/>
      <c r="C977" s="12" t="n"/>
      <c r="D977" s="14" t="n"/>
      <c r="E977" s="12" t="n"/>
      <c r="F977" s="12" t="n"/>
      <c r="G977" s="12" t="n"/>
      <c r="H977" s="14" t="n"/>
      <c r="I977" s="14" t="n"/>
      <c r="J977" s="15" t="n"/>
      <c r="K977" s="15" t="n"/>
      <c r="L977" s="12" t="n"/>
      <c r="M977" s="12" t="n"/>
    </row>
    <row r="978">
      <c r="A978" s="17" t="n"/>
      <c r="B978" s="18" t="n"/>
      <c r="C978" s="17" t="n"/>
      <c r="D978" s="19" t="n"/>
      <c r="E978" s="17" t="n"/>
      <c r="F978" s="17" t="n"/>
      <c r="G978" s="17" t="n"/>
      <c r="H978" s="19" t="n"/>
      <c r="I978" s="19" t="n"/>
      <c r="J978" s="20" t="n"/>
      <c r="K978" s="20" t="n"/>
      <c r="L978" s="17" t="n"/>
      <c r="M978" s="17" t="n"/>
    </row>
    <row r="979">
      <c r="A979" s="12" t="n"/>
      <c r="B979" s="13" t="n"/>
      <c r="C979" s="12" t="n"/>
      <c r="D979" s="14" t="n"/>
      <c r="E979" s="12" t="n"/>
      <c r="F979" s="12" t="n"/>
      <c r="G979" s="12" t="n"/>
      <c r="H979" s="14" t="n"/>
      <c r="I979" s="14" t="n"/>
      <c r="J979" s="15" t="n"/>
      <c r="K979" s="15" t="n"/>
      <c r="L979" s="12" t="n"/>
      <c r="M979" s="12" t="n"/>
    </row>
    <row r="980">
      <c r="A980" s="17" t="n"/>
      <c r="B980" s="18" t="n"/>
      <c r="C980" s="17" t="n"/>
      <c r="D980" s="19" t="n"/>
      <c r="E980" s="17" t="n"/>
      <c r="F980" s="17" t="n"/>
      <c r="G980" s="17" t="n"/>
      <c r="H980" s="19" t="n"/>
      <c r="I980" s="19" t="n"/>
      <c r="J980" s="20" t="n"/>
      <c r="K980" s="20" t="n"/>
      <c r="L980" s="17" t="n"/>
      <c r="M980" s="17" t="n"/>
    </row>
    <row r="981">
      <c r="A981" s="12" t="n"/>
      <c r="B981" s="13" t="n"/>
      <c r="C981" s="12" t="n"/>
      <c r="D981" s="14" t="n"/>
      <c r="E981" s="12" t="n"/>
      <c r="F981" s="12" t="n"/>
      <c r="G981" s="12" t="n"/>
      <c r="H981" s="14" t="n"/>
      <c r="I981" s="14" t="n"/>
      <c r="J981" s="15" t="n"/>
      <c r="K981" s="15" t="n"/>
      <c r="L981" s="12" t="n"/>
      <c r="M981" s="12" t="n"/>
    </row>
    <row r="982">
      <c r="A982" s="17" t="n"/>
      <c r="B982" s="18" t="n"/>
      <c r="C982" s="17" t="n"/>
      <c r="D982" s="19" t="n"/>
      <c r="E982" s="17" t="n"/>
      <c r="F982" s="17" t="n"/>
      <c r="G982" s="17" t="n"/>
      <c r="H982" s="19" t="n"/>
      <c r="I982" s="19" t="n"/>
      <c r="J982" s="20" t="n"/>
      <c r="K982" s="20" t="n"/>
      <c r="L982" s="17" t="n"/>
      <c r="M982" s="17" t="n"/>
    </row>
    <row r="983">
      <c r="A983" s="12" t="n"/>
      <c r="B983" s="13" t="n"/>
      <c r="C983" s="12" t="n"/>
      <c r="D983" s="14" t="n"/>
      <c r="E983" s="12" t="n"/>
      <c r="F983" s="12" t="n"/>
      <c r="G983" s="12" t="n"/>
      <c r="H983" s="14" t="n"/>
      <c r="I983" s="14" t="n"/>
      <c r="J983" s="15" t="n"/>
      <c r="K983" s="15" t="n"/>
      <c r="L983" s="12" t="n"/>
      <c r="M983" s="12" t="n"/>
    </row>
    <row r="984">
      <c r="A984" s="17" t="n"/>
      <c r="B984" s="18" t="n"/>
      <c r="C984" s="17" t="n"/>
      <c r="D984" s="19" t="n"/>
      <c r="E984" s="17" t="n"/>
      <c r="F984" s="17" t="n"/>
      <c r="G984" s="17" t="n"/>
      <c r="H984" s="19" t="n"/>
      <c r="I984" s="19" t="n"/>
      <c r="J984" s="20" t="n"/>
      <c r="K984" s="20" t="n"/>
      <c r="L984" s="17" t="n"/>
      <c r="M984" s="17" t="n"/>
    </row>
    <row r="985">
      <c r="A985" s="12" t="n"/>
      <c r="B985" s="13" t="n"/>
      <c r="C985" s="12" t="n"/>
      <c r="D985" s="14" t="n"/>
      <c r="E985" s="12" t="n"/>
      <c r="F985" s="12" t="n"/>
      <c r="G985" s="12" t="n"/>
      <c r="H985" s="14" t="n"/>
      <c r="I985" s="14" t="n"/>
      <c r="J985" s="15" t="n"/>
      <c r="K985" s="15" t="n"/>
      <c r="L985" s="12" t="n"/>
      <c r="M985" s="12" t="n"/>
    </row>
    <row r="986">
      <c r="A986" s="17" t="n"/>
      <c r="B986" s="18" t="n"/>
      <c r="C986" s="17" t="n"/>
      <c r="D986" s="19" t="n"/>
      <c r="E986" s="17" t="n"/>
      <c r="F986" s="17" t="n"/>
      <c r="G986" s="17" t="n"/>
      <c r="H986" s="19" t="n"/>
      <c r="I986" s="19" t="n"/>
      <c r="J986" s="20" t="n"/>
      <c r="K986" s="20" t="n"/>
      <c r="L986" s="17" t="n"/>
      <c r="M986" s="17" t="n"/>
    </row>
    <row r="987">
      <c r="A987" s="12" t="n"/>
      <c r="B987" s="13" t="n"/>
      <c r="C987" s="12" t="n"/>
      <c r="D987" s="14" t="n"/>
      <c r="E987" s="12" t="n"/>
      <c r="F987" s="12" t="n"/>
      <c r="G987" s="12" t="n"/>
      <c r="H987" s="14" t="n"/>
      <c r="I987" s="14" t="n"/>
      <c r="J987" s="15" t="n"/>
      <c r="K987" s="15" t="n"/>
      <c r="L987" s="12" t="n"/>
      <c r="M987" s="12" t="n"/>
    </row>
    <row r="988">
      <c r="A988" s="17" t="n"/>
      <c r="B988" s="18" t="n"/>
      <c r="C988" s="17" t="n"/>
      <c r="D988" s="19" t="n"/>
      <c r="E988" s="17" t="n"/>
      <c r="F988" s="17" t="n"/>
      <c r="G988" s="17" t="n"/>
      <c r="H988" s="19" t="n"/>
      <c r="I988" s="19" t="n"/>
      <c r="J988" s="20" t="n"/>
      <c r="K988" s="20" t="n"/>
      <c r="L988" s="17" t="n"/>
      <c r="M988" s="17" t="n"/>
    </row>
    <row r="989">
      <c r="A989" s="12" t="n"/>
      <c r="B989" s="13" t="n"/>
      <c r="C989" s="12" t="n"/>
      <c r="D989" s="14" t="n"/>
      <c r="E989" s="12" t="n"/>
      <c r="F989" s="12" t="n"/>
      <c r="G989" s="12" t="n"/>
      <c r="H989" s="14" t="n"/>
      <c r="I989" s="14" t="n"/>
      <c r="J989" s="15" t="n"/>
      <c r="K989" s="15" t="n"/>
      <c r="L989" s="12" t="n"/>
      <c r="M989" s="12" t="n"/>
    </row>
    <row r="990">
      <c r="A990" s="17" t="n"/>
      <c r="B990" s="18" t="n"/>
      <c r="C990" s="17" t="n"/>
      <c r="D990" s="19" t="n"/>
      <c r="E990" s="17" t="n"/>
      <c r="F990" s="17" t="n"/>
      <c r="G990" s="17" t="n"/>
      <c r="H990" s="19" t="n"/>
      <c r="I990" s="19" t="n"/>
      <c r="J990" s="20" t="n"/>
      <c r="K990" s="20" t="n"/>
      <c r="L990" s="17" t="n"/>
      <c r="M990" s="17" t="n"/>
    </row>
    <row r="991">
      <c r="A991" s="12" t="n"/>
      <c r="B991" s="13" t="n"/>
      <c r="C991" s="12" t="n"/>
      <c r="D991" s="14" t="n"/>
      <c r="E991" s="12" t="n"/>
      <c r="F991" s="12" t="n"/>
      <c r="G991" s="12" t="n"/>
      <c r="H991" s="14" t="n"/>
      <c r="I991" s="14" t="n"/>
      <c r="J991" s="15" t="n"/>
      <c r="K991" s="15" t="n"/>
      <c r="L991" s="12" t="n"/>
      <c r="M991" s="12" t="n"/>
    </row>
    <row r="992">
      <c r="A992" s="17" t="n"/>
      <c r="B992" s="18" t="n"/>
      <c r="C992" s="17" t="n"/>
      <c r="D992" s="19" t="n"/>
      <c r="E992" s="17" t="n"/>
      <c r="F992" s="17" t="n"/>
      <c r="G992" s="17" t="n"/>
      <c r="H992" s="19" t="n"/>
      <c r="I992" s="19" t="n"/>
      <c r="J992" s="20" t="n"/>
      <c r="K992" s="20" t="n"/>
      <c r="L992" s="17" t="n"/>
      <c r="M992" s="17" t="n"/>
    </row>
    <row r="993">
      <c r="A993" s="12" t="n"/>
      <c r="B993" s="13" t="n"/>
      <c r="C993" s="12" t="n"/>
      <c r="D993" s="14" t="n"/>
      <c r="E993" s="12" t="n"/>
      <c r="F993" s="12" t="n"/>
      <c r="G993" s="12" t="n"/>
      <c r="H993" s="14" t="n"/>
      <c r="I993" s="14" t="n"/>
      <c r="J993" s="15" t="n"/>
      <c r="K993" s="15" t="n"/>
      <c r="L993" s="12" t="n"/>
      <c r="M993" s="12" t="n"/>
    </row>
    <row r="994">
      <c r="A994" s="17" t="n"/>
      <c r="B994" s="18" t="n"/>
      <c r="C994" s="17" t="n"/>
      <c r="D994" s="19" t="n"/>
      <c r="E994" s="17" t="n"/>
      <c r="F994" s="17" t="n"/>
      <c r="G994" s="17" t="n"/>
      <c r="H994" s="19" t="n"/>
      <c r="I994" s="19" t="n"/>
      <c r="J994" s="20" t="n"/>
      <c r="K994" s="20" t="n"/>
      <c r="L994" s="17" t="n"/>
      <c r="M994" s="17" t="n"/>
    </row>
    <row r="995">
      <c r="A995" s="12" t="n"/>
      <c r="B995" s="13" t="n"/>
      <c r="C995" s="12" t="n"/>
      <c r="D995" s="14" t="n"/>
      <c r="E995" s="12" t="n"/>
      <c r="F995" s="12" t="n"/>
      <c r="G995" s="12" t="n"/>
      <c r="H995" s="14" t="n"/>
      <c r="I995" s="14" t="n"/>
      <c r="J995" s="15" t="n"/>
      <c r="K995" s="15" t="n"/>
      <c r="L995" s="12" t="n"/>
      <c r="M995" s="12" t="n"/>
    </row>
    <row r="996">
      <c r="A996" s="17" t="n"/>
      <c r="B996" s="18" t="n"/>
      <c r="C996" s="17" t="n"/>
      <c r="D996" s="19" t="n"/>
      <c r="E996" s="17" t="n"/>
      <c r="F996" s="17" t="n"/>
      <c r="G996" s="17" t="n"/>
      <c r="H996" s="19" t="n"/>
      <c r="I996" s="19" t="n"/>
      <c r="J996" s="20" t="n"/>
      <c r="K996" s="20" t="n"/>
      <c r="L996" s="17" t="n"/>
      <c r="M996" s="17" t="n"/>
    </row>
    <row r="997">
      <c r="A997" s="12" t="n"/>
      <c r="B997" s="13" t="n"/>
      <c r="C997" s="12" t="n"/>
      <c r="D997" s="14" t="n"/>
      <c r="E997" s="12" t="n"/>
      <c r="F997" s="12" t="n"/>
      <c r="G997" s="12" t="n"/>
      <c r="H997" s="14" t="n"/>
      <c r="I997" s="14" t="n"/>
      <c r="J997" s="15" t="n"/>
      <c r="K997" s="15" t="n"/>
      <c r="L997" s="12" t="n"/>
      <c r="M997" s="12" t="n"/>
    </row>
    <row r="998">
      <c r="A998" s="17" t="n"/>
      <c r="B998" s="18" t="n"/>
      <c r="C998" s="17" t="n"/>
      <c r="D998" s="19" t="n"/>
      <c r="E998" s="17" t="n"/>
      <c r="F998" s="17" t="n"/>
      <c r="G998" s="17" t="n"/>
      <c r="H998" s="19" t="n"/>
      <c r="I998" s="19" t="n"/>
      <c r="J998" s="20" t="n"/>
      <c r="K998" s="20" t="n"/>
      <c r="L998" s="17" t="n"/>
      <c r="M998" s="17" t="n"/>
    </row>
    <row r="999">
      <c r="A999" s="12" t="n"/>
      <c r="B999" s="13" t="n"/>
      <c r="C999" s="12" t="n"/>
      <c r="D999" s="14" t="n"/>
      <c r="E999" s="12" t="n"/>
      <c r="F999" s="12" t="n"/>
      <c r="G999" s="12" t="n"/>
      <c r="H999" s="14" t="n"/>
      <c r="I999" s="14" t="n"/>
      <c r="J999" s="15" t="n"/>
      <c r="K999" s="15" t="n"/>
      <c r="L999" s="12" t="n"/>
      <c r="M999" s="12" t="n"/>
    </row>
    <row r="1000">
      <c r="A1000" s="17" t="n"/>
      <c r="B1000" s="18" t="n"/>
      <c r="C1000" s="17" t="n"/>
      <c r="D1000" s="19" t="n"/>
      <c r="E1000" s="17" t="n"/>
      <c r="F1000" s="17" t="n"/>
      <c r="G1000" s="17" t="n"/>
      <c r="H1000" s="19" t="n"/>
      <c r="I1000" s="19" t="n"/>
      <c r="J1000" s="20" t="n"/>
      <c r="K1000" s="20" t="n"/>
      <c r="L1000" s="17" t="n"/>
      <c r="M1000" s="17" t="n"/>
    </row>
  </sheetData>
  <autoFilter ref="A1:M1001"/>
  <dataValidations count="5">
    <dataValidation sqref="E2:E1000" showDropDown="0" showInputMessage="0" showErrorMessage="1" allowBlank="1" errorTitle="Aggregator tidak valid" error="Pilih dari: TuneCore, DistroKid, TooLost, SoundOn, Ditto, Believe, CD Baby, Amuse, Symphonic Distribution, ONErpm, RouteNote, LANDR, Horus Music, Indie" type="list">
      <formula1>"TuneCore,DistroKid,TooLost,SoundOn,Ditto,Believe,CD Baby,Amuse,Symphonic Distribution,ONErpm,RouteNote,LANDR,Horus Music,Indie"</formula1>
    </dataValidation>
    <dataValidation sqref="F2:F1000" showDropDown="0" showInputMessage="0" showErrorMessage="1" allowBlank="1" errorTitle="Genre tidak valid" error="Pilih 1-2 genre dari daftar; pisahkan dengan koma." type="custom">
      <formula1>=OR(TRIM(F2)="",AND((LEN(SUBSTITUTE(SUBSTITUTE(SUBSTITUTE(TRIM(F2),"/",","),";",",")," ",""))-LEN(SUBSTITUTE(SUBSTITUTE(SUBSTITUTE(SUBSTITUTE(TRIM(F2),"/",","),";",",")," ",""),",",""))+1)&lt;=2,SUMPRODUCT(--ISNUMBER(SEARCH(","&amp;{"Pop","Jazz","Hip-Hop","Soul","Indie","Dangdut","Rock","R&amp;B","Electronic","K-Pop","Nasional","Daerah","Alternative","Folk","Country","Metal","Reggae","Latin","Classical","Soundtrack","Gospel","Blues","Funk","EDM"}&amp;",",","&amp;SUBSTITUTE(SUBSTITUTE(SUBSTITUTE(TRIM(F2),"/",","),";",",")," ","")&amp;",")))=(LEN(SUBSTITUTE(SUBSTITUTE(SUBSTITUTE(TRIM(F2),"/",","),";",",")," ",""))-LEN(SUBSTITUTE(SUBSTITUTE(SUBSTITUTE(SUBSTITUTE(TRIM(F2),"/",","),";",",")," ",""),",",""))+1)))</formula1>
    </dataValidation>
    <dataValidation sqref="L2:L1000" showDropDown="0" showInputMessage="0" showErrorMessage="1" allowBlank="1" errorTitle="Status tidak valid" error="Pilih dari: Draft, Menunggu Review, Revisi, Terjadwal, Upload, Publish, Published, Batal" type="list">
      <formula1>"Draft,Menunggu Review,Revisi,Terjadwal,Upload,Publish,Published,Batal"</formula1>
    </dataValidation>
    <dataValidation sqref="H2:H1000" showDropDown="0" showInputMessage="0" showErrorMessage="1" allowBlank="1" errorTitle="Link tidak valid" error="Harus mulai dengan http." type="custom">
      <formula1>=OR(LEFT(H2,4)="http",H2="")</formula1>
    </dataValidation>
    <dataValidation sqref="I2:I1000" showDropDown="0" showInputMessage="0" showErrorMessage="1" allowBlank="1" errorTitle="Link tidak valid" error="Harus mulai dengan http." type="custom">
      <formula1>=OR(LEFT(I2,4)="http",I2="")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8E24AA"/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16" customWidth="1" style="25" min="2" max="2"/>
    <col width="16" customWidth="1" style="25" min="3" max="3"/>
    <col width="16" customWidth="1" style="25" min="4" max="4"/>
    <col width="16" customWidth="1" style="25" min="5" max="5"/>
    <col width="16" customWidth="1" style="25" min="6" max="6"/>
    <col width="16" customWidth="1" style="25" min="7" max="7"/>
    <col width="16" customWidth="1" style="25" min="8" max="8"/>
    <col width="16" customWidth="1" style="25" min="9" max="9"/>
    <col width="16" customWidth="1" style="25" min="10" max="10"/>
    <col width="16" customWidth="1" style="25" min="11" max="11"/>
    <col width="16" customWidth="1" style="25" min="12" max="12"/>
    <col width="16" customWidth="1" style="25" min="13" max="13"/>
    <col width="16" customWidth="1" style="25" min="14" max="14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 xml:space="preserve">Song ID YT 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 xml:space="preserve">Genre 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 xml:space="preserve">PIC channel </t>
        </is>
      </c>
      <c r="N1" s="4" t="inlineStr">
        <is>
          <t>col14</t>
        </is>
      </c>
    </row>
    <row r="2">
      <c r="A2" t="inlineStr">
        <is>
          <t>W01</t>
        </is>
      </c>
      <c r="B2" s="28" t="n">
        <v>46311</v>
      </c>
      <c r="C2" t="inlineStr">
        <is>
          <t>W01-16102026-001</t>
        </is>
      </c>
      <c r="D2" t="inlineStr">
        <is>
          <t>PLAN B</t>
        </is>
      </c>
      <c r="E2" t="inlineStr">
        <is>
          <t>Distrokid</t>
        </is>
      </c>
      <c r="F2" t="inlineStr">
        <is>
          <t>POP</t>
        </is>
      </c>
      <c r="G2" t="inlineStr">
        <is>
          <t>MOONELLE</t>
        </is>
      </c>
      <c r="I2" t="inlineStr">
        <is>
          <t>https://youtu.be/bI8jj576Pdg?si=L99J46Ek0fErrnfT</t>
        </is>
      </c>
      <c r="J2" s="28" t="n">
        <v>46311</v>
      </c>
      <c r="K2" s="28" t="n">
        <v>46311</v>
      </c>
      <c r="L2" t="inlineStr">
        <is>
          <t>Upload</t>
        </is>
      </c>
    </row>
    <row r="3">
      <c r="B3" s="28" t="n">
        <v>46311</v>
      </c>
      <c r="C3" t="inlineStr">
        <is>
          <t>W01-16102026-002</t>
        </is>
      </c>
      <c r="D3" t="inlineStr">
        <is>
          <t>IN MY SHADOW</t>
        </is>
      </c>
      <c r="E3" t="inlineStr">
        <is>
          <t>Distrokid</t>
        </is>
      </c>
      <c r="F3" t="inlineStr">
        <is>
          <t>POP</t>
        </is>
      </c>
      <c r="G3" t="inlineStr">
        <is>
          <t>MOONELLE</t>
        </is>
      </c>
      <c r="I3" t="inlineStr">
        <is>
          <t>https://youtu.be/bI8jj576Pdg?si=L99J46Ek0fErrnfT</t>
        </is>
      </c>
      <c r="J3" s="28" t="n">
        <v>46311</v>
      </c>
      <c r="K3" s="28" t="n">
        <v>46311</v>
      </c>
      <c r="L3" t="inlineStr">
        <is>
          <t>Upload</t>
        </is>
      </c>
      <c r="M3" t="inlineStr">
        <is>
          <t> </t>
        </is>
      </c>
    </row>
    <row r="4">
      <c r="C4" t="inlineStr">
        <is>
          <t>W01-17102016-001</t>
        </is>
      </c>
      <c r="D4" t="inlineStr">
        <is>
          <t>SHMPHONY OF US</t>
        </is>
      </c>
      <c r="E4" t="inlineStr">
        <is>
          <t>Distrokid</t>
        </is>
      </c>
      <c r="F4" t="inlineStr">
        <is>
          <t>POP</t>
        </is>
      </c>
      <c r="G4" t="inlineStr">
        <is>
          <t>MOONELLE</t>
        </is>
      </c>
      <c r="I4" t="inlineStr">
        <is>
          <t>https://youtu.be/eUdT66_D1G0?si=1C5oFfeh3sLXcBwe</t>
        </is>
      </c>
      <c r="J4" s="28" t="n">
        <v>46312</v>
      </c>
      <c r="L4" t="inlineStr">
        <is>
          <t>Upload</t>
        </is>
      </c>
    </row>
    <row r="5">
      <c r="C5" t="inlineStr">
        <is>
          <t>W01-17102016-002</t>
        </is>
      </c>
      <c r="D5" t="inlineStr">
        <is>
          <t>WAITING IN THE WINGS</t>
        </is>
      </c>
      <c r="E5" t="inlineStr">
        <is>
          <t>Distrokid</t>
        </is>
      </c>
      <c r="F5" t="inlineStr">
        <is>
          <t>POP</t>
        </is>
      </c>
      <c r="G5" t="inlineStr">
        <is>
          <t>MOONELLE</t>
        </is>
      </c>
      <c r="I5" t="inlineStr">
        <is>
          <t>https://youtu.be/mvnZCMT6OKA?si=cvLDQ2J0LoJeBFI7</t>
        </is>
      </c>
    </row>
    <row r="6">
      <c r="C6" t="inlineStr">
        <is>
          <t>W01-17102016-003</t>
        </is>
      </c>
      <c r="D6" t="inlineStr">
        <is>
          <t>PETAL AND PROMISES</t>
        </is>
      </c>
      <c r="E6" t="inlineStr">
        <is>
          <t>Distrokid</t>
        </is>
      </c>
      <c r="F6" t="inlineStr">
        <is>
          <t>POP</t>
        </is>
      </c>
      <c r="G6" t="inlineStr">
        <is>
          <t>MOONELLE</t>
        </is>
      </c>
      <c r="I6" t="inlineStr">
        <is>
          <t>https://youtu.be/mvnZCMT6OKA?si=cvLDQ2J0LoJeBFI7</t>
        </is>
      </c>
    </row>
    <row r="7">
      <c r="C7" t="inlineStr">
        <is>
          <t>W01-19102026-001</t>
        </is>
      </c>
      <c r="D7" t="inlineStr">
        <is>
          <t>HALLWAY MEMORIES</t>
        </is>
      </c>
      <c r="E7" t="inlineStr">
        <is>
          <t>Toolost</t>
        </is>
      </c>
      <c r="F7" t="inlineStr">
        <is>
          <t>POP</t>
        </is>
      </c>
      <c r="G7" t="inlineStr">
        <is>
          <t>MOONELLE</t>
        </is>
      </c>
      <c r="I7" t="inlineStr">
        <is>
          <t>https://youtu.be/V8Sq6eCqMHY?si=zDsf9y_PpiLsjJK1</t>
        </is>
      </c>
    </row>
    <row r="8">
      <c r="C8" t="inlineStr">
        <is>
          <t>W01-19102026-002</t>
        </is>
      </c>
      <c r="D8" t="inlineStr">
        <is>
          <t>CHALK CIRCLES AND SPRINGKLERS</t>
        </is>
      </c>
      <c r="E8" t="inlineStr">
        <is>
          <t>Distrokid</t>
        </is>
      </c>
      <c r="F8" t="inlineStr">
        <is>
          <t>POP</t>
        </is>
      </c>
      <c r="G8" t="inlineStr">
        <is>
          <t>MOONELLE</t>
        </is>
      </c>
      <c r="I8" t="inlineStr">
        <is>
          <t>https://youtu.be/V8Sq6eCqMHY?si=zDsf9y_PpiLsjJK1</t>
        </is>
      </c>
    </row>
    <row r="9">
      <c r="C9" t="inlineStr">
        <is>
          <t>W01-19102026-003</t>
        </is>
      </c>
      <c r="D9" t="inlineStr">
        <is>
          <t>HIGH ABOVE THE NOISE</t>
        </is>
      </c>
      <c r="E9" t="inlineStr">
        <is>
          <t>Distrokid</t>
        </is>
      </c>
      <c r="F9" t="inlineStr">
        <is>
          <t>JAZZ</t>
        </is>
      </c>
      <c r="G9" t="inlineStr">
        <is>
          <t>MOONELLE</t>
        </is>
      </c>
      <c r="I9" t="inlineStr">
        <is>
          <t>https://youtu.be/Q9IxyuhXOvU?si=iEY5l_dq_2MAw08G</t>
        </is>
      </c>
    </row>
    <row r="10">
      <c r="C10" t="inlineStr">
        <is>
          <t>W01-19102026-004</t>
        </is>
      </c>
      <c r="D10" t="inlineStr">
        <is>
          <t>HAND THAT HELD ME</t>
        </is>
      </c>
      <c r="E10" t="inlineStr">
        <is>
          <t>Distrokid</t>
        </is>
      </c>
      <c r="F10" t="inlineStr">
        <is>
          <t>POP</t>
        </is>
      </c>
      <c r="G10" t="inlineStr">
        <is>
          <t>MOONELLE</t>
        </is>
      </c>
      <c r="I10" t="inlineStr">
        <is>
          <t>https://youtu.be/Q9IxyuhXOvU?si=iEY5l_dq_2MAw08G</t>
        </is>
      </c>
    </row>
    <row r="11">
      <c r="C11" t="inlineStr">
        <is>
          <t>W01-19102026-005</t>
        </is>
      </c>
      <c r="D11" t="inlineStr">
        <is>
          <t>LIITLE STAR IN MY ARMS</t>
        </is>
      </c>
      <c r="E11" t="inlineStr">
        <is>
          <t>Toolost</t>
        </is>
      </c>
      <c r="F11" t="inlineStr">
        <is>
          <t>POP</t>
        </is>
      </c>
      <c r="G11" t="inlineStr">
        <is>
          <t>MOONELLE</t>
        </is>
      </c>
      <c r="I11" t="inlineStr">
        <is>
          <t>https://youtu.be/sTsYW0sN8V8?si=D1lH7t1qnXGGPgcw</t>
        </is>
      </c>
    </row>
    <row r="12">
      <c r="C12" t="inlineStr">
        <is>
          <t>W01-20102026-001</t>
        </is>
      </c>
      <c r="D12" t="inlineStr">
        <is>
          <t>BLOOM</t>
        </is>
      </c>
      <c r="E12" t="inlineStr">
        <is>
          <t>Distrokid</t>
        </is>
      </c>
      <c r="F12" t="inlineStr">
        <is>
          <t>POP</t>
        </is>
      </c>
      <c r="G12" t="inlineStr">
        <is>
          <t>MOONELLE</t>
        </is>
      </c>
      <c r="I12" t="inlineStr">
        <is>
          <t>https://youtu.be/XsJ1rfBIhxg?si=BTsceuMqheDDWgCG</t>
        </is>
      </c>
    </row>
    <row r="13">
      <c r="C13" t="inlineStr">
        <is>
          <t>W01-20102026-002</t>
        </is>
      </c>
      <c r="D13" t="inlineStr">
        <is>
          <t>MIRROR IN THE WALL</t>
        </is>
      </c>
      <c r="E13" t="inlineStr">
        <is>
          <t>Distrokid</t>
        </is>
      </c>
      <c r="F13" t="inlineStr">
        <is>
          <t>POP</t>
        </is>
      </c>
      <c r="G13" t="inlineStr">
        <is>
          <t>MOONELLE</t>
        </is>
      </c>
      <c r="I13" t="inlineStr">
        <is>
          <t>https://youtu.be/XsJ1rfBIhxg?si=BTsceuMqheDDWgCG</t>
        </is>
      </c>
    </row>
    <row r="14">
      <c r="D14" t="inlineStr">
        <is>
          <t>DANCING IN THE DRIZZLE</t>
        </is>
      </c>
      <c r="E14" t="inlineStr">
        <is>
          <t>Distrokid</t>
        </is>
      </c>
      <c r="F14" t="inlineStr">
        <is>
          <t>JAZZ</t>
        </is>
      </c>
      <c r="G14" t="inlineStr">
        <is>
          <t>MOONELLE</t>
        </is>
      </c>
      <c r="I14" t="inlineStr">
        <is>
          <t>https://youtu.be/avl-KInETVs?si=xa27wpZyqZwv1CdD</t>
        </is>
      </c>
    </row>
    <row r="15">
      <c r="D15" t="inlineStr">
        <is>
          <t>FRONT ROW FEVER</t>
        </is>
      </c>
      <c r="E15" t="inlineStr">
        <is>
          <t>Distrokid</t>
        </is>
      </c>
      <c r="F15" t="inlineStr">
        <is>
          <t>JAZZ</t>
        </is>
      </c>
      <c r="G15" t="inlineStr">
        <is>
          <t>MOONELLE</t>
        </is>
      </c>
      <c r="I15" t="inlineStr">
        <is>
          <t>https://youtu.be/avl-KInETVs?si=xa27wpZyqZwv1CdD</t>
        </is>
      </c>
    </row>
    <row r="16">
      <c r="D16" t="inlineStr">
        <is>
          <t>KNOT MY CHEST</t>
        </is>
      </c>
      <c r="E16" t="inlineStr">
        <is>
          <t>Distrokid</t>
        </is>
      </c>
      <c r="F16" t="inlineStr">
        <is>
          <t>JAZZ</t>
        </is>
      </c>
      <c r="G16" t="inlineStr">
        <is>
          <t>MOONELLE</t>
        </is>
      </c>
      <c r="I16" t="inlineStr">
        <is>
          <t>https://youtu.be/zvyVbevsE3k?si=_ee8YEc2E327Xd-7</t>
        </is>
      </c>
    </row>
    <row r="17">
      <c r="D17" t="inlineStr">
        <is>
          <t>DEADLINE BREAKDOWN</t>
        </is>
      </c>
      <c r="E17" t="inlineStr">
        <is>
          <t>Distrokid</t>
        </is>
      </c>
      <c r="F17" t="inlineStr">
        <is>
          <t>JAZZ</t>
        </is>
      </c>
      <c r="G17" t="inlineStr">
        <is>
          <t>MOONELLE</t>
        </is>
      </c>
      <c r="I17" t="inlineStr">
        <is>
          <t>https://youtu.be/zvyVbevsE3k?si=_ee8YEc2E327Xd-7</t>
        </is>
      </c>
    </row>
    <row r="18">
      <c r="D18" t="inlineStr">
        <is>
          <t>THE SHADOW OG HIS COAT</t>
        </is>
      </c>
    </row>
    <row r="19">
      <c r="D19" t="inlineStr">
        <is>
          <t>SALTY BREEZE AND AZURE DREAMS</t>
        </is>
      </c>
    </row>
    <row r="20">
      <c r="D20" t="inlineStr">
        <is>
          <t>SIDE BY SIDE</t>
        </is>
      </c>
    </row>
    <row r="21">
      <c r="D21" t="inlineStr">
        <is>
          <t>CHASINGA FTER YOU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E24AA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16" customWidth="1" style="25" min="2" max="2"/>
    <col width="16" customWidth="1" style="25" min="3" max="3"/>
    <col width="16" customWidth="1" style="25" min="4" max="4"/>
    <col width="16" customWidth="1" style="25" min="5" max="5"/>
    <col width="16" customWidth="1" style="25" min="6" max="6"/>
    <col width="16" customWidth="1" style="25" min="7" max="7"/>
    <col width="16" customWidth="1" style="25" min="8" max="8"/>
    <col width="16" customWidth="1" style="25" min="9" max="9"/>
    <col width="16" customWidth="1" style="25" min="10" max="10"/>
    <col width="16" customWidth="1" style="25" min="11" max="11"/>
    <col width="16" customWidth="1" style="25" min="12" max="12"/>
    <col width="16" customWidth="1" style="25" min="13" max="13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 xml:space="preserve">Song ID YT 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 xml:space="preserve">Genre 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 xml:space="preserve">PIC channel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24AA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16" customWidth="1" style="25" min="2" max="2"/>
    <col width="16" customWidth="1" style="25" min="3" max="3"/>
    <col width="16" customWidth="1" style="25" min="4" max="4"/>
    <col width="16" customWidth="1" style="25" min="5" max="5"/>
    <col width="16" customWidth="1" style="25" min="6" max="6"/>
    <col width="16" customWidth="1" style="25" min="7" max="7"/>
    <col width="16" customWidth="1" style="25" min="8" max="8"/>
    <col width="16" customWidth="1" style="25" min="9" max="9"/>
    <col width="16" customWidth="1" style="25" min="10" max="10"/>
    <col width="16" customWidth="1" style="25" min="11" max="11"/>
    <col width="16" customWidth="1" style="25" min="12" max="12"/>
    <col width="16" customWidth="1" style="25" min="13" max="13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 xml:space="preserve">Song ID YT 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 xml:space="preserve">Genre 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 xml:space="preserve">PIC channel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E24AA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16" customWidth="1" style="25" min="2" max="2"/>
    <col width="16" customWidth="1" style="25" min="3" max="3"/>
    <col width="16" customWidth="1" style="25" min="4" max="4"/>
    <col width="16" customWidth="1" style="25" min="5" max="5"/>
    <col width="16" customWidth="1" style="25" min="6" max="6"/>
    <col width="16" customWidth="1" style="25" min="7" max="7"/>
    <col width="16" customWidth="1" style="25" min="8" max="8"/>
    <col width="16" customWidth="1" style="25" min="9" max="9"/>
    <col width="16" customWidth="1" style="25" min="10" max="10"/>
    <col width="16" customWidth="1" style="25" min="11" max="11"/>
    <col width="16" customWidth="1" style="25" min="12" max="12"/>
    <col width="16" customWidth="1" style="25" min="13" max="13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 xml:space="preserve">Song ID YT 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 xml:space="preserve">Genre 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 xml:space="preserve">PIC channel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E24AA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16" customWidth="1" style="25" min="2" max="2"/>
    <col width="16" customWidth="1" style="25" min="3" max="3"/>
    <col width="16" customWidth="1" style="25" min="4" max="4"/>
    <col width="16" customWidth="1" style="25" min="5" max="5"/>
    <col width="16" customWidth="1" style="25" min="6" max="6"/>
    <col width="16" customWidth="1" style="25" min="7" max="7"/>
    <col width="16" customWidth="1" style="25" min="8" max="8"/>
    <col width="16" customWidth="1" style="25" min="9" max="9"/>
    <col width="16" customWidth="1" style="25" min="10" max="10"/>
    <col width="16" customWidth="1" style="25" min="11" max="11"/>
    <col width="16" customWidth="1" style="25" min="12" max="12"/>
    <col width="16" customWidth="1" style="25" min="13" max="13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 xml:space="preserve">Song ID YT 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 xml:space="preserve">Genre 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 xml:space="preserve">PIC channel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E24AA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16" customWidth="1" style="25" min="2" max="2"/>
    <col width="16" customWidth="1" style="25" min="3" max="3"/>
    <col width="16" customWidth="1" style="25" min="4" max="4"/>
    <col width="16" customWidth="1" style="25" min="5" max="5"/>
    <col width="16" customWidth="1" style="25" min="6" max="6"/>
    <col width="16" customWidth="1" style="25" min="7" max="7"/>
    <col width="16" customWidth="1" style="25" min="8" max="8"/>
    <col width="16" customWidth="1" style="25" min="9" max="9"/>
    <col width="16" customWidth="1" style="25" min="10" max="10"/>
    <col width="16" customWidth="1" style="25" min="11" max="11"/>
    <col width="16" customWidth="1" style="25" min="12" max="12"/>
    <col width="16" customWidth="1" style="25" min="13" max="13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 xml:space="preserve">Song ID YT 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 xml:space="preserve">Genre 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 xml:space="preserve">PIC channel 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24AA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16" customWidth="1" style="25" min="2" max="2"/>
    <col width="16" customWidth="1" style="25" min="3" max="3"/>
    <col width="16" customWidth="1" style="25" min="4" max="4"/>
    <col width="16" customWidth="1" style="25" min="5" max="5"/>
    <col width="16" customWidth="1" style="25" min="6" max="6"/>
    <col width="16" customWidth="1" style="25" min="7" max="7"/>
    <col width="16" customWidth="1" style="25" min="8" max="8"/>
    <col width="16" customWidth="1" style="25" min="9" max="9"/>
    <col width="16" customWidth="1" style="25" min="10" max="10"/>
    <col width="16" customWidth="1" style="25" min="11" max="11"/>
    <col width="16" customWidth="1" style="25" min="12" max="12"/>
    <col width="16" customWidth="1" style="25" min="13" max="13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 xml:space="preserve">Song ID YT 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 xml:space="preserve">Genre 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 xml:space="preserve">PIC channel 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24AA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16" customWidth="1" style="25" min="2" max="2"/>
    <col width="16" customWidth="1" style="25" min="3" max="3"/>
    <col width="16" customWidth="1" style="25" min="4" max="4"/>
    <col width="16" customWidth="1" style="25" min="5" max="5"/>
    <col width="16" customWidth="1" style="25" min="6" max="6"/>
    <col width="16" customWidth="1" style="25" min="7" max="7"/>
    <col width="16" customWidth="1" style="25" min="8" max="8"/>
    <col width="16" customWidth="1" style="25" min="9" max="9"/>
    <col width="16" customWidth="1" style="25" min="10" max="10"/>
    <col width="16" customWidth="1" style="25" min="11" max="11"/>
    <col width="16" customWidth="1" style="25" min="12" max="12"/>
    <col width="16" customWidth="1" style="25" min="13" max="13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 xml:space="preserve">Song ID YT 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 xml:space="preserve">Genre 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 xml:space="preserve">PIC channel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E24AA"/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16" customWidth="1" style="25" min="2" max="2"/>
    <col width="16" customWidth="1" style="25" min="3" max="3"/>
    <col width="16" customWidth="1" style="25" min="4" max="4"/>
    <col width="16" customWidth="1" style="25" min="5" max="5"/>
    <col width="16" customWidth="1" style="25" min="6" max="6"/>
    <col width="16" customWidth="1" style="25" min="7" max="7"/>
    <col width="16" customWidth="1" style="25" min="8" max="8"/>
    <col width="16" customWidth="1" style="25" min="9" max="9"/>
    <col width="16" customWidth="1" style="25" min="10" max="10"/>
    <col width="16" customWidth="1" style="25" min="11" max="11"/>
    <col width="16" customWidth="1" style="25" min="12" max="12"/>
    <col width="16" customWidth="1" style="25" min="13" max="13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 xml:space="preserve">Song ID YT 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 xml:space="preserve">Genre 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 xml:space="preserve">PIC channel </t>
        </is>
      </c>
    </row>
    <row r="2">
      <c r="A2" t="inlineStr">
        <is>
          <t>PC18-0001</t>
        </is>
      </c>
      <c r="B2" s="28" t="n">
        <v>46318</v>
      </c>
      <c r="C2" t="inlineStr">
        <is>
          <t>W18 -23102026-001</t>
        </is>
      </c>
      <c r="D2" t="inlineStr">
        <is>
          <t>Borrowed Library Silence</t>
        </is>
      </c>
      <c r="E2" t="inlineStr">
        <is>
          <t>Tuncore</t>
        </is>
      </c>
      <c r="F2" t="inlineStr">
        <is>
          <t>Pop</t>
        </is>
      </c>
      <c r="G2" t="inlineStr">
        <is>
          <t>Kade Valen</t>
        </is>
      </c>
      <c r="H2" t="inlineStr">
        <is>
          <t>https://www.youtube.com/@KadeValen</t>
        </is>
      </c>
      <c r="I2" t="inlineStr">
        <is>
          <t>https://youtu.be/2jFFvQX0pNo?si=Wbs7qnbUcStGSg5i</t>
        </is>
      </c>
      <c r="J2" s="28" t="n">
        <v>46304</v>
      </c>
      <c r="K2" s="28" t="n">
        <v>46311</v>
      </c>
      <c r="L2" t="inlineStr">
        <is>
          <t>Published</t>
        </is>
      </c>
    </row>
    <row r="3">
      <c r="A3" t="inlineStr">
        <is>
          <t>PC18-0002</t>
        </is>
      </c>
      <c r="B3" s="28" t="n">
        <v>46318</v>
      </c>
      <c r="C3" t="inlineStr">
        <is>
          <t>W18 -23102026-002</t>
        </is>
      </c>
      <c r="D3" t="inlineStr">
        <is>
          <t>An Apology from Next Tuesday</t>
        </is>
      </c>
      <c r="E3" t="inlineStr">
        <is>
          <t>Tuncore</t>
        </is>
      </c>
      <c r="F3" t="inlineStr">
        <is>
          <t>Pop</t>
        </is>
      </c>
      <c r="G3" t="inlineStr">
        <is>
          <t>Kade Valen</t>
        </is>
      </c>
      <c r="H3" t="inlineStr">
        <is>
          <t>https://www.youtube.com/@KadeValen</t>
        </is>
      </c>
      <c r="I3" t="inlineStr">
        <is>
          <t>https://youtu.be/dThJRAp80q4?si=eyncqnNYapdvYNvL</t>
        </is>
      </c>
      <c r="J3" s="28" t="n">
        <v>46304</v>
      </c>
      <c r="K3" s="28" t="n">
        <v>46314</v>
      </c>
      <c r="L3" t="inlineStr">
        <is>
          <t>Published</t>
        </is>
      </c>
    </row>
    <row r="4">
      <c r="A4" t="inlineStr">
        <is>
          <t>PC18-0003</t>
        </is>
      </c>
      <c r="B4" s="28" t="n">
        <v>46318</v>
      </c>
      <c r="C4" t="inlineStr">
        <is>
          <t>W18 -23102026-003</t>
        </is>
      </c>
      <c r="D4" t="inlineStr">
        <is>
          <t>Honest Mistake</t>
        </is>
      </c>
      <c r="E4" t="inlineStr">
        <is>
          <t>Tuncore</t>
        </is>
      </c>
      <c r="F4" t="inlineStr">
        <is>
          <t>Pop</t>
        </is>
      </c>
      <c r="G4" t="inlineStr">
        <is>
          <t>Kade Valen</t>
        </is>
      </c>
      <c r="H4" t="inlineStr">
        <is>
          <t>https://www.youtube.com/@KadeValen</t>
        </is>
      </c>
      <c r="I4" t="inlineStr">
        <is>
          <t>https://youtu.be/8qZ9g0PENVU?si=bOOwn_UrvTb-IjZL</t>
        </is>
      </c>
      <c r="J4" s="28" t="n">
        <v>46304</v>
      </c>
      <c r="K4" s="28" t="n">
        <v>46314</v>
      </c>
      <c r="L4" t="inlineStr">
        <is>
          <t>Published</t>
        </is>
      </c>
    </row>
    <row r="5">
      <c r="A5" t="inlineStr">
        <is>
          <t>PC18-0004</t>
        </is>
      </c>
      <c r="B5" s="28" t="n">
        <v>46318</v>
      </c>
      <c r="C5" t="inlineStr">
        <is>
          <t>W18 -23102026-004</t>
        </is>
      </c>
      <c r="D5" t="inlineStr">
        <is>
          <t>Common Ground</t>
        </is>
      </c>
      <c r="E5" t="inlineStr">
        <is>
          <t>Tuncore</t>
        </is>
      </c>
      <c r="F5" t="inlineStr">
        <is>
          <t>Pop</t>
        </is>
      </c>
      <c r="G5" t="inlineStr">
        <is>
          <t>Kade Valen</t>
        </is>
      </c>
      <c r="H5" t="inlineStr">
        <is>
          <t>https://www.youtube.com/@KadeValen</t>
        </is>
      </c>
      <c r="I5" t="inlineStr">
        <is>
          <t>https://youtu.be/uFvUzYAzGv4?si=96iq0yXAxXWXRbcK</t>
        </is>
      </c>
      <c r="J5" s="28" t="n">
        <v>46304</v>
      </c>
      <c r="K5" s="28" t="n">
        <v>46314</v>
      </c>
      <c r="L5" t="inlineStr">
        <is>
          <t>Published</t>
        </is>
      </c>
    </row>
    <row r="6">
      <c r="A6" t="inlineStr">
        <is>
          <t>PC18-0005</t>
        </is>
      </c>
      <c r="B6" s="28" t="n">
        <v>46318</v>
      </c>
      <c r="C6" t="inlineStr">
        <is>
          <t>W18 -23102026-005</t>
        </is>
      </c>
      <c r="D6" t="inlineStr">
        <is>
          <t>Gravity Well</t>
        </is>
      </c>
      <c r="E6" t="inlineStr">
        <is>
          <t>Tuncore</t>
        </is>
      </c>
      <c r="F6" t="inlineStr">
        <is>
          <t>Pop</t>
        </is>
      </c>
      <c r="G6" t="inlineStr">
        <is>
          <t>Kade Valen</t>
        </is>
      </c>
      <c r="H6" t="inlineStr">
        <is>
          <t>https://www.youtube.com/@KadeValen</t>
        </is>
      </c>
      <c r="I6" t="inlineStr">
        <is>
          <t>https://youtu.be/x8ox5nPhrP4?si=lBvl3FPxmRjrMc1l</t>
        </is>
      </c>
      <c r="J6" s="28" t="n">
        <v>46304</v>
      </c>
      <c r="K6" s="28" t="n">
        <v>46314</v>
      </c>
      <c r="L6" t="inlineStr">
        <is>
          <t>Published</t>
        </is>
      </c>
    </row>
    <row r="7">
      <c r="A7" t="inlineStr">
        <is>
          <t>PC18-0006</t>
        </is>
      </c>
      <c r="B7" s="28" t="n">
        <v>46318</v>
      </c>
      <c r="C7" t="inlineStr">
        <is>
          <t>W18 -23102026-006</t>
        </is>
      </c>
      <c r="D7" t="inlineStr">
        <is>
          <t>Right of Way</t>
        </is>
      </c>
      <c r="E7" t="inlineStr">
        <is>
          <t>Tuncore</t>
        </is>
      </c>
      <c r="F7" t="inlineStr">
        <is>
          <t>Pop</t>
        </is>
      </c>
      <c r="G7" t="inlineStr">
        <is>
          <t>Kade Valen</t>
        </is>
      </c>
      <c r="H7" t="inlineStr">
        <is>
          <t>https://www.youtube.com/@KadeValen</t>
        </is>
      </c>
      <c r="I7" t="inlineStr">
        <is>
          <t>https://youtu.be/oAfSK_ToUw4?si=bKjD_2PvqR7rdWQB</t>
        </is>
      </c>
      <c r="J7" s="28" t="n">
        <v>46304</v>
      </c>
      <c r="K7" s="28" t="n">
        <v>46315</v>
      </c>
      <c r="L7" t="inlineStr">
        <is>
          <t>Published</t>
        </is>
      </c>
    </row>
    <row r="8">
      <c r="A8" t="inlineStr">
        <is>
          <t>PC18-0007</t>
        </is>
      </c>
      <c r="B8" s="28" t="n">
        <v>46318</v>
      </c>
      <c r="C8" t="inlineStr">
        <is>
          <t>W18 -23102026-007</t>
        </is>
      </c>
      <c r="D8" t="inlineStr">
        <is>
          <t>Magnetic Field</t>
        </is>
      </c>
      <c r="E8" t="inlineStr">
        <is>
          <t>Tuncore</t>
        </is>
      </c>
      <c r="F8" t="inlineStr">
        <is>
          <t>Pop</t>
        </is>
      </c>
      <c r="G8" t="inlineStr">
        <is>
          <t>Kade Valen</t>
        </is>
      </c>
      <c r="H8" t="inlineStr">
        <is>
          <t>https://www.youtube.com/@KadeValen</t>
        </is>
      </c>
      <c r="I8" t="inlineStr">
        <is>
          <t>https://youtu.be/6ANvV0_KhNE?si=PD-VrK7Cw2YAkfqF</t>
        </is>
      </c>
      <c r="J8" s="28" t="n">
        <v>46304</v>
      </c>
      <c r="K8" s="28" t="n">
        <v>46315</v>
      </c>
      <c r="L8" t="inlineStr">
        <is>
          <t>Published</t>
        </is>
      </c>
    </row>
    <row r="9">
      <c r="A9" t="inlineStr">
        <is>
          <t>PC18-0008</t>
        </is>
      </c>
      <c r="B9" s="28" t="n">
        <v>46318</v>
      </c>
      <c r="C9" t="inlineStr">
        <is>
          <t>W18 -23102026-008</t>
        </is>
      </c>
      <c r="D9" t="inlineStr">
        <is>
          <t>Headwind</t>
        </is>
      </c>
      <c r="E9" t="inlineStr">
        <is>
          <t>Tuncore</t>
        </is>
      </c>
      <c r="F9" t="inlineStr">
        <is>
          <t>Pop</t>
        </is>
      </c>
      <c r="G9" t="inlineStr">
        <is>
          <t>Kade Valen</t>
        </is>
      </c>
      <c r="H9" t="inlineStr">
        <is>
          <t>https://www.youtube.com/@KadeValen</t>
        </is>
      </c>
      <c r="I9" t="inlineStr">
        <is>
          <t>https://youtu.be/Oyi7mUFtaQQ?si=jkq7H3dE_qo0K3X8</t>
        </is>
      </c>
      <c r="J9" s="28" t="n">
        <v>46304</v>
      </c>
      <c r="K9" s="28" t="n">
        <v>46315</v>
      </c>
      <c r="L9" t="inlineStr">
        <is>
          <t>Published</t>
        </is>
      </c>
    </row>
    <row r="10">
      <c r="A10" t="inlineStr">
        <is>
          <t>PC18-0009</t>
        </is>
      </c>
      <c r="B10" s="28" t="n">
        <v>46318</v>
      </c>
      <c r="C10" t="inlineStr">
        <is>
          <t>W18 -23102026-009</t>
        </is>
      </c>
      <c r="D10" t="inlineStr">
        <is>
          <t>Seed Bank</t>
        </is>
      </c>
      <c r="E10" t="inlineStr">
        <is>
          <t>Tuncore</t>
        </is>
      </c>
      <c r="F10" t="inlineStr">
        <is>
          <t>Pop</t>
        </is>
      </c>
      <c r="G10" t="inlineStr">
        <is>
          <t>Kade Valen</t>
        </is>
      </c>
      <c r="H10" t="inlineStr">
        <is>
          <t>https://www.youtube.com/@KadeValen</t>
        </is>
      </c>
      <c r="I10" t="inlineStr">
        <is>
          <t>https://youtu.be/uJH1V6L8mLw?si=TUZG9aIBg7b_eb78</t>
        </is>
      </c>
      <c r="J10" s="28" t="n">
        <v>46304</v>
      </c>
      <c r="K10" s="28" t="n">
        <v>46315</v>
      </c>
      <c r="L10" t="inlineStr">
        <is>
          <t>Published</t>
        </is>
      </c>
    </row>
    <row r="11">
      <c r="A11" t="inlineStr">
        <is>
          <t>PC18-0010</t>
        </is>
      </c>
      <c r="B11" s="28" t="n">
        <v>46318</v>
      </c>
      <c r="C11" t="inlineStr">
        <is>
          <t>W18 -23102026-010</t>
        </is>
      </c>
      <c r="D11" t="inlineStr">
        <is>
          <t>Pergola</t>
        </is>
      </c>
      <c r="E11" t="inlineStr">
        <is>
          <t>Tuncore</t>
        </is>
      </c>
      <c r="F11" t="inlineStr">
        <is>
          <t>Pop</t>
        </is>
      </c>
      <c r="G11" t="inlineStr">
        <is>
          <t>Kade Valen</t>
        </is>
      </c>
      <c r="H11" t="inlineStr">
        <is>
          <t>https://www.youtube.com/@KadeValen</t>
        </is>
      </c>
      <c r="I11" t="inlineStr">
        <is>
          <t>https://youtu.be/KMboLJ1TqKs?si=84_voqFwOPiYpCKV</t>
        </is>
      </c>
      <c r="J11" s="28" t="n">
        <v>46304</v>
      </c>
      <c r="K11" s="28" t="n">
        <v>46315</v>
      </c>
      <c r="L11" t="inlineStr">
        <is>
          <t>Published</t>
        </is>
      </c>
    </row>
    <row r="12">
      <c r="A12" t="inlineStr">
        <is>
          <t>PC18-0011</t>
        </is>
      </c>
      <c r="B12" s="28" t="n">
        <v>46318</v>
      </c>
      <c r="C12" t="inlineStr">
        <is>
          <t>W18 -23102026-011</t>
        </is>
      </c>
      <c r="D12" t="inlineStr">
        <is>
          <t>Static Screen Goodnight</t>
        </is>
      </c>
      <c r="E12" t="inlineStr">
        <is>
          <t>Tuncore</t>
        </is>
      </c>
      <c r="F12" t="inlineStr">
        <is>
          <t>Pop</t>
        </is>
      </c>
      <c r="G12" t="inlineStr">
        <is>
          <t>Kade Valen</t>
        </is>
      </c>
      <c r="H12" t="inlineStr">
        <is>
          <t>https://www.youtube.com/@KadeValen</t>
        </is>
      </c>
      <c r="I12" t="inlineStr">
        <is>
          <t>https://youtu.be/16WKdck3od4?si=JNOz9TiAA07BCLX3</t>
        </is>
      </c>
      <c r="J12" s="28" t="n">
        <v>46304</v>
      </c>
      <c r="K12" s="28" t="n">
        <v>46316</v>
      </c>
      <c r="L12" t="inlineStr">
        <is>
          <t>Published</t>
        </is>
      </c>
    </row>
    <row r="13">
      <c r="A13" t="inlineStr">
        <is>
          <t>PC18-0012</t>
        </is>
      </c>
      <c r="B13" s="28" t="n">
        <v>46318</v>
      </c>
      <c r="C13" t="inlineStr">
        <is>
          <t>W18 -23102026-012</t>
        </is>
      </c>
      <c r="D13" t="inlineStr">
        <is>
          <t>Sized Constellations</t>
        </is>
      </c>
      <c r="E13" t="inlineStr">
        <is>
          <t>Tuncore</t>
        </is>
      </c>
      <c r="F13" t="inlineStr">
        <is>
          <t>Pop</t>
        </is>
      </c>
      <c r="G13" t="inlineStr">
        <is>
          <t>Kade Valen</t>
        </is>
      </c>
      <c r="H13" t="inlineStr">
        <is>
          <t>https://www.youtube.com/@KadeValen</t>
        </is>
      </c>
      <c r="I13" t="inlineStr">
        <is>
          <t>https://youtu.be/_Ivq2u047GY?si=2qDaFM7sORWVEpsw</t>
        </is>
      </c>
      <c r="J13" s="28" t="n">
        <v>46305</v>
      </c>
      <c r="K13" s="28" t="n">
        <v>46316</v>
      </c>
      <c r="L13" t="inlineStr">
        <is>
          <t>Published</t>
        </is>
      </c>
    </row>
    <row r="14">
      <c r="A14" t="inlineStr">
        <is>
          <t>PC18-0013</t>
        </is>
      </c>
      <c r="B14" s="28" t="n">
        <v>46318</v>
      </c>
      <c r="C14" t="inlineStr">
        <is>
          <t>W18 -23102026-013</t>
        </is>
      </c>
      <c r="D14" t="inlineStr">
        <is>
          <t>My Childhood in the Trunk</t>
        </is>
      </c>
      <c r="E14" t="inlineStr">
        <is>
          <t>Tuncore</t>
        </is>
      </c>
      <c r="F14" t="inlineStr">
        <is>
          <t>Pop</t>
        </is>
      </c>
      <c r="G14" t="inlineStr">
        <is>
          <t>Kade Valen</t>
        </is>
      </c>
      <c r="H14" t="inlineStr">
        <is>
          <t>https://www.youtube.com/@KadeValen</t>
        </is>
      </c>
      <c r="I14" t="inlineStr">
        <is>
          <t>https://youtu.be/zv5l1nw2vBk?si=d6yrxRmoOyhLmVMf</t>
        </is>
      </c>
      <c r="J14" s="28" t="n">
        <v>46305</v>
      </c>
      <c r="K14" s="28" t="n">
        <v>46316</v>
      </c>
      <c r="L14" t="inlineStr">
        <is>
          <t>Published</t>
        </is>
      </c>
    </row>
    <row r="15">
      <c r="A15" t="inlineStr">
        <is>
          <t>PC18-0014</t>
        </is>
      </c>
      <c r="B15" s="28" t="n">
        <v>46318</v>
      </c>
      <c r="C15" t="inlineStr">
        <is>
          <t>W18 -23102026-014</t>
        </is>
      </c>
      <c r="D15" t="inlineStr">
        <is>
          <t>Cassette Tape Confessions</t>
        </is>
      </c>
      <c r="E15" t="inlineStr">
        <is>
          <t>Tuncore</t>
        </is>
      </c>
      <c r="F15" t="inlineStr">
        <is>
          <t>Pop</t>
        </is>
      </c>
      <c r="G15" t="inlineStr">
        <is>
          <t>Kade Valen</t>
        </is>
      </c>
      <c r="H15" t="inlineStr">
        <is>
          <t>https://www.youtube.com/@KadeValen</t>
        </is>
      </c>
      <c r="I15" t="inlineStr">
        <is>
          <t>https://youtu.be/CeoSggoVGuA?si=kqpkl8QiQ8wHImWn</t>
        </is>
      </c>
      <c r="J15" s="28" t="n">
        <v>46305</v>
      </c>
      <c r="K15" s="28" t="n">
        <v>46316</v>
      </c>
      <c r="L15" t="inlineStr">
        <is>
          <t>Published</t>
        </is>
      </c>
    </row>
    <row r="16">
      <c r="A16" t="inlineStr">
        <is>
          <t>PC18-0015</t>
        </is>
      </c>
      <c r="B16" s="28" t="n">
        <v>46318</v>
      </c>
      <c r="C16" t="inlineStr">
        <is>
          <t>W18 -23102026-015</t>
        </is>
      </c>
      <c r="D16" t="inlineStr">
        <is>
          <t>Greenhouse Effect</t>
        </is>
      </c>
      <c r="E16" t="inlineStr">
        <is>
          <t>Tuncore</t>
        </is>
      </c>
      <c r="F16" t="inlineStr">
        <is>
          <t>Pop</t>
        </is>
      </c>
      <c r="G16" t="inlineStr">
        <is>
          <t>Kade Valen</t>
        </is>
      </c>
      <c r="H16" t="inlineStr">
        <is>
          <t>https://www.youtube.com/@KadeValen</t>
        </is>
      </c>
      <c r="I16" t="inlineStr">
        <is>
          <t>https://youtu.be/1AdYy6c2HZc?si=JXnhMucNFA4d8u0O</t>
        </is>
      </c>
      <c r="J16" s="28" t="n">
        <v>46305</v>
      </c>
      <c r="K16" s="28" t="n">
        <v>46316</v>
      </c>
      <c r="L16" t="inlineStr">
        <is>
          <t>Published</t>
        </is>
      </c>
    </row>
    <row r="17">
      <c r="A17" t="inlineStr">
        <is>
          <t>PC18-0016</t>
        </is>
      </c>
      <c r="B17" s="28" t="n">
        <v>46318</v>
      </c>
      <c r="C17" t="inlineStr">
        <is>
          <t>W18 -23102026-016</t>
        </is>
      </c>
      <c r="D17" t="inlineStr">
        <is>
          <t>Platform Nine</t>
        </is>
      </c>
      <c r="E17" t="inlineStr">
        <is>
          <t>Tuncore</t>
        </is>
      </c>
      <c r="F17" t="inlineStr">
        <is>
          <t>Pop</t>
        </is>
      </c>
      <c r="G17" t="inlineStr">
        <is>
          <t>Kade Valen</t>
        </is>
      </c>
      <c r="H17" t="inlineStr">
        <is>
          <t>https://www.youtube.com/@KadeValen</t>
        </is>
      </c>
      <c r="I17" t="inlineStr">
        <is>
          <t>https://youtu.be/ml6R2e8IBWo?si=BaJlBuCxBS7jB3au</t>
        </is>
      </c>
      <c r="J17" s="28" t="n">
        <v>46305</v>
      </c>
      <c r="K17" s="28" t="n">
        <v>46316</v>
      </c>
      <c r="L17" t="inlineStr">
        <is>
          <t>Published</t>
        </is>
      </c>
    </row>
    <row r="18">
      <c r="A18" t="inlineStr">
        <is>
          <t>PC18-0017</t>
        </is>
      </c>
      <c r="B18" s="28" t="n">
        <v>46318</v>
      </c>
      <c r="C18" t="inlineStr">
        <is>
          <t>W18 -23102026-017</t>
        </is>
      </c>
      <c r="D18" t="inlineStr">
        <is>
          <t>Faded Bus Ticket Stub</t>
        </is>
      </c>
      <c r="E18" t="inlineStr">
        <is>
          <t>Tuncore</t>
        </is>
      </c>
      <c r="F18" t="inlineStr">
        <is>
          <t>Pop</t>
        </is>
      </c>
      <c r="G18" t="inlineStr">
        <is>
          <t>Kade Valen</t>
        </is>
      </c>
      <c r="H18" t="inlineStr">
        <is>
          <t>https://www.youtube.com/@KadeValen</t>
        </is>
      </c>
      <c r="I18" t="inlineStr">
        <is>
          <t>https://youtu.be/jCuC0Q_UKeo?si=d-nZMGbGgU2acE4Z</t>
        </is>
      </c>
      <c r="J18" s="28" t="n">
        <v>46305</v>
      </c>
      <c r="K18" s="28" t="n">
        <v>46317</v>
      </c>
      <c r="L18" t="inlineStr">
        <is>
          <t>Published</t>
        </is>
      </c>
    </row>
    <row r="19">
      <c r="A19" t="inlineStr">
        <is>
          <t>PC18-0018</t>
        </is>
      </c>
      <c r="B19" s="28" t="n">
        <v>46318</v>
      </c>
      <c r="C19" t="inlineStr">
        <is>
          <t>W18 -23102026-018</t>
        </is>
      </c>
      <c r="D19" t="inlineStr">
        <is>
          <t>Loading Screen</t>
        </is>
      </c>
      <c r="E19" t="inlineStr">
        <is>
          <t>Tuncore</t>
        </is>
      </c>
      <c r="F19" t="inlineStr">
        <is>
          <t>Pop</t>
        </is>
      </c>
      <c r="G19" t="inlineStr">
        <is>
          <t>Kade Valen</t>
        </is>
      </c>
      <c r="H19" t="inlineStr">
        <is>
          <t>https://www.youtube.com/@KadeValen</t>
        </is>
      </c>
      <c r="I19" t="inlineStr">
        <is>
          <t>https://youtu.be/aIEBQTdhhEM?si=RD3R9v1K4dPqvrXp</t>
        </is>
      </c>
      <c r="J19" s="28" t="n">
        <v>46305</v>
      </c>
      <c r="K19" s="28" t="n">
        <v>46317</v>
      </c>
      <c r="L19" t="inlineStr">
        <is>
          <t>Published</t>
        </is>
      </c>
    </row>
    <row r="20">
      <c r="A20" t="inlineStr">
        <is>
          <t>PC18-0019</t>
        </is>
      </c>
      <c r="B20" s="28" t="n">
        <v>46318</v>
      </c>
      <c r="C20" t="inlineStr">
        <is>
          <t>W18 -23102026-019</t>
        </is>
      </c>
      <c r="D20" t="inlineStr">
        <is>
          <t>Your Shadow Wears Cologne</t>
        </is>
      </c>
      <c r="E20" t="inlineStr">
        <is>
          <t>Tuncore</t>
        </is>
      </c>
      <c r="F20" t="inlineStr">
        <is>
          <t>Pop</t>
        </is>
      </c>
      <c r="G20" t="inlineStr">
        <is>
          <t>Kade Valen</t>
        </is>
      </c>
      <c r="H20" t="inlineStr">
        <is>
          <t>https://www.youtube.com/@KadeValen</t>
        </is>
      </c>
      <c r="I20" t="inlineStr">
        <is>
          <t>https://youtu.be/YoN7jxTjd4k?si=tOBmf2mv1KxbSbRA</t>
        </is>
      </c>
      <c r="J20" s="28" t="n">
        <v>46305</v>
      </c>
      <c r="K20" s="28" t="n">
        <v>46317</v>
      </c>
      <c r="L20" t="inlineStr">
        <is>
          <t>Published</t>
        </is>
      </c>
    </row>
    <row r="21">
      <c r="A21" t="inlineStr">
        <is>
          <t>PC18-0020</t>
        </is>
      </c>
      <c r="B21" s="28" t="n">
        <v>46318</v>
      </c>
      <c r="C21" t="inlineStr">
        <is>
          <t>W18 -23102026-020</t>
        </is>
      </c>
      <c r="D21" t="inlineStr">
        <is>
          <t>Sideshow</t>
        </is>
      </c>
      <c r="E21" t="inlineStr">
        <is>
          <t>Tuncore</t>
        </is>
      </c>
      <c r="F21" t="inlineStr">
        <is>
          <t>Pop</t>
        </is>
      </c>
      <c r="G21" t="inlineStr">
        <is>
          <t>Kade Valen</t>
        </is>
      </c>
      <c r="H21" t="inlineStr">
        <is>
          <t>https://www.youtube.com/@KadeValen</t>
        </is>
      </c>
      <c r="I21" t="inlineStr">
        <is>
          <t>https://youtu.be/UlsavM-G56k?si=LlElo9VqoQpNf3aQ</t>
        </is>
      </c>
      <c r="J21" s="28" t="n">
        <v>46305</v>
      </c>
      <c r="K21" s="28" t="n">
        <v>46317</v>
      </c>
      <c r="L21" t="inlineStr">
        <is>
          <t>Published</t>
        </is>
      </c>
    </row>
    <row r="22">
      <c r="A22" t="inlineStr">
        <is>
          <t>PC18-0021</t>
        </is>
      </c>
      <c r="B22" s="28" t="n">
        <v>46318</v>
      </c>
      <c r="C22" t="inlineStr">
        <is>
          <t>W18 -23102026-021</t>
        </is>
      </c>
      <c r="D22" t="inlineStr">
        <is>
          <t>Avalance</t>
        </is>
      </c>
      <c r="E22" t="inlineStr">
        <is>
          <t>Tuncore</t>
        </is>
      </c>
      <c r="F22" t="inlineStr">
        <is>
          <t>Pop</t>
        </is>
      </c>
      <c r="G22" t="inlineStr">
        <is>
          <t>Kade Valen</t>
        </is>
      </c>
      <c r="H22" t="inlineStr">
        <is>
          <t>https://www.youtube.com/@KadeValen</t>
        </is>
      </c>
      <c r="I22" t="inlineStr">
        <is>
          <t>https://youtu.be/ess86eYUv8k?si=2tjQuFcdqsoRP1Av</t>
        </is>
      </c>
      <c r="J22" s="28" t="n">
        <v>46305</v>
      </c>
      <c r="K22" s="28" t="n">
        <v>46318</v>
      </c>
      <c r="L22" t="inlineStr">
        <is>
          <t>Published</t>
        </is>
      </c>
    </row>
    <row r="23">
      <c r="A23" t="inlineStr">
        <is>
          <t>PC18-0022</t>
        </is>
      </c>
      <c r="B23" s="28" t="n">
        <v>46318</v>
      </c>
      <c r="C23" t="inlineStr">
        <is>
          <t>W18 -23102026-022</t>
        </is>
      </c>
      <c r="D23" t="inlineStr">
        <is>
          <t>Demolition Day</t>
        </is>
      </c>
      <c r="E23" t="inlineStr">
        <is>
          <t>Tuncore</t>
        </is>
      </c>
      <c r="F23" t="inlineStr">
        <is>
          <t>Pop</t>
        </is>
      </c>
      <c r="G23" t="inlineStr">
        <is>
          <t>Kade Valen</t>
        </is>
      </c>
      <c r="H23" t="inlineStr">
        <is>
          <t>https://www.youtube.com/@KadeValen</t>
        </is>
      </c>
      <c r="I23" t="inlineStr">
        <is>
          <t>https://youtu.be/Xvhh6CM2iO4?si=0Qu9YzYkm25655_d</t>
        </is>
      </c>
      <c r="J23" s="28" t="n">
        <v>46305</v>
      </c>
      <c r="K23" s="28" t="n">
        <v>46318</v>
      </c>
      <c r="L23" t="inlineStr">
        <is>
          <t>Published</t>
        </is>
      </c>
    </row>
    <row r="24">
      <c r="A24" t="inlineStr">
        <is>
          <t>PC18-0023</t>
        </is>
      </c>
      <c r="B24" s="28" t="n">
        <v>46318</v>
      </c>
      <c r="C24" t="inlineStr">
        <is>
          <t>W18 -23102026-023</t>
        </is>
      </c>
      <c r="D24" t="inlineStr">
        <is>
          <t>Foundation Crack</t>
        </is>
      </c>
      <c r="E24" t="inlineStr">
        <is>
          <t>Tuncore</t>
        </is>
      </c>
      <c r="F24" t="inlineStr">
        <is>
          <t>Pop</t>
        </is>
      </c>
      <c r="G24" t="inlineStr">
        <is>
          <t>Kade Valen</t>
        </is>
      </c>
      <c r="H24" t="inlineStr">
        <is>
          <t>https://www.youtube.com/@KadeValen</t>
        </is>
      </c>
      <c r="I24" t="inlineStr">
        <is>
          <t>https://youtu.be/Oa5PA7YDVwc?si=8CwYNdf0x_laZnMA</t>
        </is>
      </c>
      <c r="J24" s="28" t="n">
        <v>46305</v>
      </c>
      <c r="K24" s="28" t="n">
        <v>46318</v>
      </c>
      <c r="L24" t="inlineStr">
        <is>
          <t>Terjadwal</t>
        </is>
      </c>
    </row>
    <row r="25">
      <c r="A25" t="inlineStr">
        <is>
          <t>PC18-0024</t>
        </is>
      </c>
      <c r="B25" s="28" t="n">
        <v>46318</v>
      </c>
      <c r="C25" t="inlineStr">
        <is>
          <t>W18 -23102026-024</t>
        </is>
      </c>
      <c r="D25" t="inlineStr">
        <is>
          <t>Nothing To Defend</t>
        </is>
      </c>
      <c r="E25" t="inlineStr">
        <is>
          <t>Tuncore</t>
        </is>
      </c>
      <c r="F25" t="inlineStr">
        <is>
          <t>Pop</t>
        </is>
      </c>
      <c r="G25" t="inlineStr">
        <is>
          <t>Kade Valen</t>
        </is>
      </c>
      <c r="H25" t="inlineStr">
        <is>
          <t>https://www.youtube.com/@KadeValen</t>
        </is>
      </c>
      <c r="I25" t="inlineStr">
        <is>
          <t>https://youtu.be/pWraEljvKeI?si=kheZJXId_CTDD_BZ</t>
        </is>
      </c>
      <c r="J25" s="28" t="n">
        <v>46305</v>
      </c>
      <c r="K25" s="28" t="n">
        <v>46318</v>
      </c>
      <c r="L25" t="inlineStr">
        <is>
          <t>Terjadwal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E24AA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16" customWidth="1" style="25" min="2" max="2"/>
    <col width="16" customWidth="1" style="25" min="3" max="3"/>
    <col width="16" customWidth="1" style="25" min="4" max="4"/>
    <col width="16" customWidth="1" style="25" min="5" max="5"/>
    <col width="16" customWidth="1" style="25" min="6" max="6"/>
    <col width="16" customWidth="1" style="25" min="7" max="7"/>
    <col width="16" customWidth="1" style="25" min="8" max="8"/>
    <col width="16" customWidth="1" style="25" min="9" max="9"/>
    <col width="16" customWidth="1" style="25" min="10" max="10"/>
    <col width="16" customWidth="1" style="25" min="11" max="11"/>
    <col width="16" customWidth="1" style="25" min="12" max="12"/>
    <col width="16" customWidth="1" style="25" min="13" max="13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 xml:space="preserve">Song ID YT 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 xml:space="preserve">Genre 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 xml:space="preserve">PIC channel 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E24AA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16" customWidth="1" style="25" min="2" max="2"/>
    <col width="16" customWidth="1" style="25" min="3" max="3"/>
    <col width="16" customWidth="1" style="25" min="4" max="4"/>
    <col width="16" customWidth="1" style="25" min="5" max="5"/>
    <col width="16" customWidth="1" style="25" min="6" max="6"/>
    <col width="16" customWidth="1" style="25" min="7" max="7"/>
    <col width="16" customWidth="1" style="25" min="8" max="8"/>
    <col width="16" customWidth="1" style="25" min="9" max="9"/>
    <col width="16" customWidth="1" style="25" min="10" max="10"/>
    <col width="16" customWidth="1" style="25" min="11" max="11"/>
    <col width="16" customWidth="1" style="25" min="12" max="12"/>
    <col width="16" customWidth="1" style="25" min="13" max="13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 xml:space="preserve">Song ID YT 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 xml:space="preserve">Genre 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 xml:space="preserve">PIC channel 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E24AA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16" customWidth="1" style="25" min="2" max="2"/>
    <col width="16" customWidth="1" style="25" min="3" max="3"/>
    <col width="16" customWidth="1" style="25" min="4" max="4"/>
    <col width="16" customWidth="1" style="25" min="5" max="5"/>
    <col width="16" customWidth="1" style="25" min="6" max="6"/>
    <col width="16" customWidth="1" style="25" min="7" max="7"/>
    <col width="16" customWidth="1" style="25" min="8" max="8"/>
    <col width="16" customWidth="1" style="25" min="9" max="9"/>
    <col width="16" customWidth="1" style="25" min="10" max="10"/>
    <col width="16" customWidth="1" style="25" min="11" max="11"/>
    <col width="16" customWidth="1" style="25" min="12" max="12"/>
    <col width="16" customWidth="1" style="25" min="13" max="13"/>
  </cols>
  <sheetData>
    <row r="1" ht="32" customHeight="1" s="25">
      <c r="A1" s="4" t="inlineStr">
        <is>
          <t>Worker ID</t>
        </is>
      </c>
      <c r="B1" s="4" t="inlineStr">
        <is>
          <t>Update Date</t>
        </is>
      </c>
      <c r="C1" s="4" t="inlineStr">
        <is>
          <t xml:space="preserve">Song ID YT </t>
        </is>
      </c>
      <c r="D1" s="4" t="inlineStr">
        <is>
          <t>Judul Lagu Kompilasi</t>
        </is>
      </c>
      <c r="E1" s="4" t="inlineStr">
        <is>
          <t>Aggregator</t>
        </is>
      </c>
      <c r="F1" s="4" t="inlineStr">
        <is>
          <t xml:space="preserve">Genre </t>
        </is>
      </c>
      <c r="G1" s="4" t="inlineStr">
        <is>
          <t>Nama Channel</t>
        </is>
      </c>
      <c r="H1" s="4" t="inlineStr">
        <is>
          <t>Link Channel YT</t>
        </is>
      </c>
      <c r="I1" s="4" t="inlineStr">
        <is>
          <t>Link Video YT</t>
        </is>
      </c>
      <c r="J1" s="4" t="inlineStr">
        <is>
          <t>Tanggal Video Dibuat</t>
        </is>
      </c>
      <c r="K1" s="4" t="inlineStr">
        <is>
          <t>Tanggal Video Dipublish</t>
        </is>
      </c>
      <c r="L1" s="4" t="inlineStr">
        <is>
          <t>Status Upload</t>
        </is>
      </c>
      <c r="M1" s="4" t="inlineStr">
        <is>
          <t xml:space="preserve">PIC channel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2026-10-24T03:11:24Z</dcterms:created>
  <dcterms:modified xsi:type="dcterms:W3CDTF">2026-10-24T03:11:27Z</dcterms:modified>
</cp:coreProperties>
</file>