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C 08" sheetId="1" r:id="rId5"/>
    <sheet state="visible" name="VALIDASI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A1">
      <text>
        <t xml:space="preserve">Worker ID - unik di dalam PC. Format disarankan 'PC07-0001' (prefix PC + nomor urut).</t>
      </text>
    </comment>
    <comment authorId="0" ref="B1">
      <text>
        <t xml:space="preserve">Update Date - format tanggal-jam YYYY-MM-DD HH:MM. Isi waktu entri terakhir diubah.</t>
      </text>
    </comment>
    <comment authorId="0" ref="C1">
      <text>
        <t xml:space="preserve">Song ID YT - ID video YouTube (bukan URL). Contoh: x7pB0nE1g4M.</t>
      </text>
    </comment>
    <comment authorId="0" ref="D1">
      <text>
        <t xml:space="preserve">Judul Lagu Kompilasi - judul bebas; jangan pakai pindah baris (Alt+Enter) di dalam sel.</t>
      </text>
    </comment>
    <comment authorId="0" ref="E1">
      <text>
        <t xml:space="preserve">Aggregator - label distributor, contoh: Believe, Universal, TuneCore, Indie.</t>
      </text>
    </comment>
    <comment authorId="0" ref="F1">
      <text>
        <t xml:space="preserve">Genre - pilih dari daftar baku: Pop / Rock / Dangdut / K-Pop / Electronic / Nasional / Daerah.</t>
      </text>
    </comment>
    <comment authorId="0" ref="G1">
      <text>
        <t xml:space="preserve">Nama Channel - nama channel YouTube yang persis dipakai di baris ini.</t>
      </text>
    </comment>
    <comment authorId="0" ref="H1">
      <text>
        <t xml:space="preserve">Link channel YT - URL channel (bukan link video), contoh: https://www.youtube.com/@nama.</t>
      </text>
    </comment>
    <comment authorId="0" ref="I1">
      <text>
        <t xml:space="preserve">Link channel YT - URL channel (bukan link video), contoh: https://www.youtube.com/@nama.</t>
      </text>
    </comment>
    <comment authorId="0" ref="J1">
      <text>
        <t xml:space="preserve">Tanggal Video Dibuat - format tanggal YYYY-MM-DD, harus bertipe tanggal (bukan teks).</t>
      </text>
    </comment>
    <comment authorId="0" ref="K1">
      <text>
        <t xml:space="preserve">Tanggal Video Dipublish - format tanggal YYYY-MM-DD; boleh kosong bila belum tayang.</t>
      </text>
    </comment>
    <comment authorId="0" ref="L1">
      <text>
        <t xml:space="preserve">Status Upload - pilih dari: Draft / Menunggu Review / Revisi / Terjadwal / Publish / Batal / Published.</t>
      </text>
    </comment>
    <comment authorId="0" ref="M1">
      <text>
        <t xml:space="preserve">PIC channel - nama PIC channel; boleh kosong.</t>
      </text>
    </comment>
  </commentList>
</comments>
</file>

<file path=xl/sharedStrings.xml><?xml version="1.0" encoding="utf-8"?>
<sst xmlns="http://schemas.openxmlformats.org/spreadsheetml/2006/main" count="17" uniqueCount="16">
  <si>
    <t>Baris</t>
  </si>
  <si>
    <t>Worker ID</t>
  </si>
  <si>
    <t>Update Date</t>
  </si>
  <si>
    <t xml:space="preserve">Song ID YT </t>
  </si>
  <si>
    <t>Judul Lagu Kompilasi</t>
  </si>
  <si>
    <t>Aggregator</t>
  </si>
  <si>
    <t xml:space="preserve">Genre </t>
  </si>
  <si>
    <t>Nama Channel</t>
  </si>
  <si>
    <t>Link Channel YT</t>
  </si>
  <si>
    <t>Link Video YT</t>
  </si>
  <si>
    <t>Masalah Ditemukan</t>
  </si>
  <si>
    <t>Tanggal Video Dibuat</t>
  </si>
  <si>
    <t>Status Baris</t>
  </si>
  <si>
    <t>Tanggal Video Dipublish</t>
  </si>
  <si>
    <t>Status Upload</t>
  </si>
  <si>
    <t xml:space="preserve">PIC channel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</si>
</sst>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77B4"/>
        <bgColor rgb="FF1F77B4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vertical="bottom"/>
    </xf>
    <xf borderId="0" fillId="0" fontId="3" numFmtId="0" xfId="0" applyAlignment="1" applyFont="1">
      <alignment readingOrder="0"/>
    </xf>
    <xf borderId="0" fillId="0" fontId="3" numFmtId="0" xfId="0" applyFont="1"/>
  </cellXfs>
  <cellStyles count="1">
    <cellStyle xfId="0" name="Normal" builtinId="0"/>
  </cellStyles>
  <dxfs count="1">
    <dxf>
      <font/>
      <fill>
        <patternFill patternType="solid">
          <fgColor rgb="FFFFCDD2"/>
          <bgColor rgb="FFFFCDD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6.88"/>
    <col customWidth="1" min="8" max="8" width="13.75"/>
    <col customWidth="1" min="9" max="10" width="16.75"/>
    <col customWidth="1" min="11" max="11" width="18.88"/>
  </cols>
  <sheetData>
    <row r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3" t="s">
        <v>8</v>
      </c>
      <c r="I1" s="1" t="s">
        <v>9</v>
      </c>
      <c r="J1" s="1" t="s">
        <v>11</v>
      </c>
      <c r="K1" s="1" t="s">
        <v>13</v>
      </c>
      <c r="L1" s="1" t="s">
        <v>14</v>
      </c>
      <c r="M1" s="1" t="s">
        <v>15</v>
      </c>
    </row>
    <row r="2">
      <c r="E2" s="5"/>
      <c r="L2" s="5"/>
    </row>
  </sheetData>
  <dataValidations>
    <dataValidation type="list" allowBlank="1" showErrorMessage="1" sqref="E2">
      <formula1>"Distrokid,Toolost,Tuncore"</formula1>
    </dataValidation>
    <dataValidation type="list" allowBlank="1" showErrorMessage="1" sqref="L2">
      <formula1>"Dijadwalkan,Upload"</formula1>
    </dataValidation>
  </dataValidation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4.75"/>
    <col customWidth="1" min="2" max="2" width="8.13"/>
    <col customWidth="1" min="3" max="3" width="15.38"/>
    <col customWidth="1" min="4" max="4" width="9.88"/>
  </cols>
  <sheetData>
    <row r="1">
      <c r="A1" s="2" t="s">
        <v>0</v>
      </c>
      <c r="B1" s="2" t="s">
        <v>1</v>
      </c>
      <c r="C1" s="2" t="s">
        <v>10</v>
      </c>
      <c r="D1" s="2" t="s">
        <v>12</v>
      </c>
    </row>
    <row r="2">
      <c r="A2" s="4">
        <v>2.0</v>
      </c>
      <c r="B2" s="5" t="str">
        <f>'PC 08'!A2</f>
        <v/>
      </c>
      <c r="C2" s="5" t="str">
        <f>IF(COUNTA('PC 08'!A2:L2)=0,"",TEXTJOIN(" | ",TRUE,IF('PC 08'!A2="","Worker ID kosong",""),IF('PC 08'!B2="","Update Date kosong",IF(NOT(ISNUMBER('PC 08'!B2)),"Update Date harus tanggal","")),IF('PC 08'!D2="","Judul kosong",""),IF('PC 08'!F2="","Genre kosong",IF(ISERROR(MATCH(TRIM('PC 08'!F2),{"Pop","Rock","Dangdut","K-Pop","Electronic","Nasional","Daerah"},0)),"Genre di luar daftar","")),IF('PC 08'!G2="","Nama Channel kosong",""),IF('PC 08'!H2="","Link kosong",IF(ISERROR(FIND("youtu",LOWER('PC 08'!H2))),"Link bukan youtube","")),IF('PC 08'!I2="","Tgl Dibuat kosong",IF(NOT(ISNUMBER('PC 08'!I2)),"Tgl Dibuat harus tanggal","")),IF(AND('PC 08'!J2&lt;&gt;"",NOT(ISNUMBER('PC 08'!J2))),"Tgl Publish harus tanggal",""),IF(AND(ISNUMBER('PC 08'!I2),ISNUMBER('PC 08'!J2),'PC 08'!J2&lt;'PC 08'!I2),"Tgl Publish &lt; Tgl Dibuat",""),IF(AND('PC 08'!K2&lt;&gt;"",ISERROR(MATCH(TRIM('PC 08'!K2),{"Draft","Menunggu Review","Revisi","Terjadwal","Publish","Batal","Published"},0))),"Status di luar daftar","")))</f>
        <v>#ERROR!</v>
      </c>
      <c r="D2" s="5" t="str">
        <f>IF(C2="","OK","ADA MASALAH")</f>
        <v>#ERROR!</v>
      </c>
    </row>
    <row r="3">
      <c r="A3" s="4">
        <v>3.0</v>
      </c>
      <c r="B3" s="5" t="str">
        <f>'PC 08'!A3</f>
        <v/>
      </c>
      <c r="C3" s="5" t="str">
        <f>IF(COUNTA('PC 08'!A3:L3)=0,"",TEXTJOIN(" | ",TRUE,IF('PC 08'!A3="","Worker ID kosong",""),IF('PC 08'!B3="","Update Date kosong",IF(NOT(ISNUMBER('PC 08'!B3)),"Update Date harus tanggal","")),IF('PC 08'!D3="","Judul kosong",""),IF('PC 08'!F3="","Genre kosong",IF(ISERROR(MATCH(TRIM('PC 08'!F3),{"Pop","Rock","Dangdut","K-Pop","Electronic","Nasional","Daerah"},0)),"Genre di luar daftar","")),IF('PC 08'!G3="","Nama Channel kosong",""),IF('PC 08'!H3="","Link kosong",IF(ISERROR(FIND("youtu",LOWER('PC 08'!H3))),"Link bukan youtube","")),IF('PC 08'!I3="","Tgl Dibuat kosong",IF(NOT(ISNUMBER('PC 08'!I3)),"Tgl Dibuat harus tanggal","")),IF(AND('PC 08'!J3&lt;&gt;"",NOT(ISNUMBER('PC 08'!J3))),"Tgl Publish harus tanggal",""),IF(AND(ISNUMBER('PC 08'!I3),ISNUMBER('PC 08'!J3),'PC 08'!J3&lt;'PC 08'!I3),"Tgl Publish &lt; Tgl Dibuat",""),IF(AND('PC 08'!K3&lt;&gt;"",ISERROR(MATCH(TRIM('PC 08'!K3),{"Draft","Menunggu Review","Revisi","Terjadwal","Publish","Batal","Published"},0))),"Status di luar daftar","")))</f>
        <v>#ERROR!</v>
      </c>
      <c r="D3" s="5" t="str">
        <f>IF(C3="","OK","ADA MASALAH")</f>
        <v>#ERROR!</v>
      </c>
    </row>
    <row r="4">
      <c r="A4" s="4">
        <v>4.0</v>
      </c>
      <c r="B4" s="5" t="str">
        <f>'PC 08'!A4</f>
        <v/>
      </c>
      <c r="C4" s="5" t="str">
        <f>IF(COUNTA('PC 08'!A4:L4)=0,"",TEXTJOIN(" | ",TRUE,IF('PC 08'!A4="","Worker ID kosong",""),IF('PC 08'!B4="","Update Date kosong",IF(NOT(ISNUMBER('PC 08'!B4)),"Update Date harus tanggal","")),IF('PC 08'!D4="","Judul kosong",""),IF('PC 08'!F4="","Genre kosong",IF(ISERROR(MATCH(TRIM('PC 08'!F4),{"Pop","Rock","Dangdut","K-Pop","Electronic","Nasional","Daerah"},0)),"Genre di luar daftar","")),IF('PC 08'!G4="","Nama Channel kosong",""),IF('PC 08'!H4="","Link kosong",IF(ISERROR(FIND("youtu",LOWER('PC 08'!H4))),"Link bukan youtube","")),IF('PC 08'!I4="","Tgl Dibuat kosong",IF(NOT(ISNUMBER('PC 08'!I4)),"Tgl Dibuat harus tanggal","")),IF(AND('PC 08'!J4&lt;&gt;"",NOT(ISNUMBER('PC 08'!J4))),"Tgl Publish harus tanggal",""),IF(AND(ISNUMBER('PC 08'!I4),ISNUMBER('PC 08'!J4),'PC 08'!J4&lt;'PC 08'!I4),"Tgl Publish &lt; Tgl Dibuat",""),IF(AND('PC 08'!K4&lt;&gt;"",ISERROR(MATCH(TRIM('PC 08'!K4),{"Draft","Menunggu Review","Revisi","Terjadwal","Publish","Batal","Published"},0))),"Status di luar daftar","")))</f>
        <v>#ERROR!</v>
      </c>
      <c r="D4" s="5" t="str">
        <f>IF(C4="","OK","ADA MASALAH")</f>
        <v>#ERROR!</v>
      </c>
    </row>
    <row r="5">
      <c r="A5" s="4">
        <v>5.0</v>
      </c>
      <c r="B5" s="5" t="str">
        <f>'PC 08'!A5</f>
        <v/>
      </c>
      <c r="C5" s="5" t="str">
        <f>IF(COUNTA('PC 08'!A5:L5)=0,"",TEXTJOIN(" | ",TRUE,IF('PC 08'!A5="","Worker ID kosong",""),IF('PC 08'!B5="","Update Date kosong",IF(NOT(ISNUMBER('PC 08'!B5)),"Update Date harus tanggal","")),IF('PC 08'!D5="","Judul kosong",""),IF('PC 08'!F5="","Genre kosong",IF(ISERROR(MATCH(TRIM('PC 08'!F5),{"Pop","Rock","Dangdut","K-Pop","Electronic","Nasional","Daerah"},0)),"Genre di luar daftar","")),IF('PC 08'!G5="","Nama Channel kosong",""),IF('PC 08'!H5="","Link kosong",IF(ISERROR(FIND("youtu",LOWER('PC 08'!H5))),"Link bukan youtube","")),IF('PC 08'!I5="","Tgl Dibuat kosong",IF(NOT(ISNUMBER('PC 08'!I5)),"Tgl Dibuat harus tanggal","")),IF(AND('PC 08'!J5&lt;&gt;"",NOT(ISNUMBER('PC 08'!J5))),"Tgl Publish harus tanggal",""),IF(AND(ISNUMBER('PC 08'!I5),ISNUMBER('PC 08'!J5),'PC 08'!J5&lt;'PC 08'!I5),"Tgl Publish &lt; Tgl Dibuat",""),IF(AND('PC 08'!K5&lt;&gt;"",ISERROR(MATCH(TRIM('PC 08'!K5),{"Draft","Menunggu Review","Revisi","Terjadwal","Publish","Batal","Published"},0))),"Status di luar daftar","")))</f>
        <v>#ERROR!</v>
      </c>
      <c r="D5" s="5" t="str">
        <f>IF(C5="","OK","ADA MASALAH")</f>
        <v>#ERROR!</v>
      </c>
    </row>
    <row r="6">
      <c r="A6" s="4">
        <v>6.0</v>
      </c>
      <c r="B6" s="5" t="str">
        <f>'PC 08'!A6</f>
        <v/>
      </c>
      <c r="C6" s="5" t="str">
        <f>IF(COUNTA('PC 08'!A6:L6)=0,"",TEXTJOIN(" | ",TRUE,IF('PC 08'!A6="","Worker ID kosong",""),IF('PC 08'!B6="","Update Date kosong",IF(NOT(ISNUMBER('PC 08'!B6)),"Update Date harus tanggal","")),IF('PC 08'!D6="","Judul kosong",""),IF('PC 08'!F6="","Genre kosong",IF(ISERROR(MATCH(TRIM('PC 08'!F6),{"Pop","Rock","Dangdut","K-Pop","Electronic","Nasional","Daerah"},0)),"Genre di luar daftar","")),IF('PC 08'!G6="","Nama Channel kosong",""),IF('PC 08'!H6="","Link kosong",IF(ISERROR(FIND("youtu",LOWER('PC 08'!H6))),"Link bukan youtube","")),IF('PC 08'!I6="","Tgl Dibuat kosong",IF(NOT(ISNUMBER('PC 08'!I6)),"Tgl Dibuat harus tanggal","")),IF(AND('PC 08'!J6&lt;&gt;"",NOT(ISNUMBER('PC 08'!J6))),"Tgl Publish harus tanggal",""),IF(AND(ISNUMBER('PC 08'!I6),ISNUMBER('PC 08'!J6),'PC 08'!J6&lt;'PC 08'!I6),"Tgl Publish &lt; Tgl Dibuat",""),IF(AND('PC 08'!K6&lt;&gt;"",ISERROR(MATCH(TRIM('PC 08'!K6),{"Draft","Menunggu Review","Revisi","Terjadwal","Publish","Batal","Published"},0))),"Status di luar daftar","")))</f>
        <v>#ERROR!</v>
      </c>
      <c r="D6" s="5" t="str">
        <f>IF(C6="","OK","ADA MASALAH")</f>
        <v>#ERROR!</v>
      </c>
    </row>
    <row r="7">
      <c r="A7" s="4">
        <v>7.0</v>
      </c>
      <c r="B7" s="5" t="str">
        <f>'PC 08'!A7</f>
        <v/>
      </c>
      <c r="C7" s="5" t="str">
        <f>IF(COUNTA('PC 08'!A7:L7)=0,"",TEXTJOIN(" | ",TRUE,IF('PC 08'!A7="","Worker ID kosong",""),IF('PC 08'!B7="","Update Date kosong",IF(NOT(ISNUMBER('PC 08'!B7)),"Update Date harus tanggal","")),IF('PC 08'!D7="","Judul kosong",""),IF('PC 08'!F7="","Genre kosong",IF(ISERROR(MATCH(TRIM('PC 08'!F7),{"Pop","Rock","Dangdut","K-Pop","Electronic","Nasional","Daerah"},0)),"Genre di luar daftar","")),IF('PC 08'!G7="","Nama Channel kosong",""),IF('PC 08'!H7="","Link kosong",IF(ISERROR(FIND("youtu",LOWER('PC 08'!H7))),"Link bukan youtube","")),IF('PC 08'!I7="","Tgl Dibuat kosong",IF(NOT(ISNUMBER('PC 08'!I7)),"Tgl Dibuat harus tanggal","")),IF(AND('PC 08'!J7&lt;&gt;"",NOT(ISNUMBER('PC 08'!J7))),"Tgl Publish harus tanggal",""),IF(AND(ISNUMBER('PC 08'!I7),ISNUMBER('PC 08'!J7),'PC 08'!J7&lt;'PC 08'!I7),"Tgl Publish &lt; Tgl Dibuat",""),IF(AND('PC 08'!K7&lt;&gt;"",ISERROR(MATCH(TRIM('PC 08'!K7),{"Draft","Menunggu Review","Revisi","Terjadwal","Publish","Batal","Published"},0))),"Status di luar daftar","")))</f>
        <v>#ERROR!</v>
      </c>
      <c r="D7" s="5" t="str">
        <f>IF(C7="","OK","ADA MASALAH")</f>
        <v>#ERROR!</v>
      </c>
    </row>
    <row r="8">
      <c r="A8" s="4">
        <v>8.0</v>
      </c>
      <c r="B8" s="5" t="str">
        <f>'PC 08'!A8</f>
        <v/>
      </c>
      <c r="C8" s="5" t="str">
        <f>IF(COUNTA('PC 08'!A8:L8)=0,"",TEXTJOIN(" | ",TRUE,IF('PC 08'!A8="","Worker ID kosong",""),IF('PC 08'!B8="","Update Date kosong",IF(NOT(ISNUMBER('PC 08'!B8)),"Update Date harus tanggal","")),IF('PC 08'!D8="","Judul kosong",""),IF('PC 08'!F8="","Genre kosong",IF(ISERROR(MATCH(TRIM('PC 08'!F8),{"Pop","Rock","Dangdut","K-Pop","Electronic","Nasional","Daerah"},0)),"Genre di luar daftar","")),IF('PC 08'!G8="","Nama Channel kosong",""),IF('PC 08'!H8="","Link kosong",IF(ISERROR(FIND("youtu",LOWER('PC 08'!H8))),"Link bukan youtube","")),IF('PC 08'!I8="","Tgl Dibuat kosong",IF(NOT(ISNUMBER('PC 08'!I8)),"Tgl Dibuat harus tanggal","")),IF(AND('PC 08'!J8&lt;&gt;"",NOT(ISNUMBER('PC 08'!J8))),"Tgl Publish harus tanggal",""),IF(AND(ISNUMBER('PC 08'!I8),ISNUMBER('PC 08'!J8),'PC 08'!J8&lt;'PC 08'!I8),"Tgl Publish &lt; Tgl Dibuat",""),IF(AND('PC 08'!K8&lt;&gt;"",ISERROR(MATCH(TRIM('PC 08'!K8),{"Draft","Menunggu Review","Revisi","Terjadwal","Publish","Batal","Published"},0))),"Status di luar daftar","")))</f>
        <v>#ERROR!</v>
      </c>
      <c r="D8" s="5" t="str">
        <f>IF(C8="","OK","ADA MASALAH")</f>
        <v>#ERROR!</v>
      </c>
    </row>
    <row r="9">
      <c r="A9" s="4">
        <v>9.0</v>
      </c>
      <c r="B9" s="5" t="str">
        <f>'PC 08'!A9</f>
        <v/>
      </c>
      <c r="C9" s="5" t="str">
        <f>IF(COUNTA('PC 08'!A9:L9)=0,"",TEXTJOIN(" | ",TRUE,IF('PC 08'!A9="","Worker ID kosong",""),IF('PC 08'!B9="","Update Date kosong",IF(NOT(ISNUMBER('PC 08'!B9)),"Update Date harus tanggal","")),IF('PC 08'!D9="","Judul kosong",""),IF('PC 08'!F9="","Genre kosong",IF(ISERROR(MATCH(TRIM('PC 08'!F9),{"Pop","Rock","Dangdut","K-Pop","Electronic","Nasional","Daerah"},0)),"Genre di luar daftar","")),IF('PC 08'!G9="","Nama Channel kosong",""),IF('PC 08'!H9="","Link kosong",IF(ISERROR(FIND("youtu",LOWER('PC 08'!H9))),"Link bukan youtube","")),IF('PC 08'!I9="","Tgl Dibuat kosong",IF(NOT(ISNUMBER('PC 08'!I9)),"Tgl Dibuat harus tanggal","")),IF(AND('PC 08'!J9&lt;&gt;"",NOT(ISNUMBER('PC 08'!J9))),"Tgl Publish harus tanggal",""),IF(AND(ISNUMBER('PC 08'!I9),ISNUMBER('PC 08'!J9),'PC 08'!J9&lt;'PC 08'!I9),"Tgl Publish &lt; Tgl Dibuat",""),IF(AND('PC 08'!K9&lt;&gt;"",ISERROR(MATCH(TRIM('PC 08'!K9),{"Draft","Menunggu Review","Revisi","Terjadwal","Publish","Batal","Published"},0))),"Status di luar daftar","")))</f>
        <v>#ERROR!</v>
      </c>
      <c r="D9" s="5" t="str">
        <f>IF(C9="","OK","ADA MASALAH")</f>
        <v>#ERROR!</v>
      </c>
    </row>
    <row r="10">
      <c r="A10" s="4">
        <v>10.0</v>
      </c>
      <c r="B10" s="5" t="str">
        <f>'PC 08'!A10</f>
        <v/>
      </c>
      <c r="C10" s="5" t="str">
        <f>IF(COUNTA('PC 08'!A10:L10)=0,"",TEXTJOIN(" | ",TRUE,IF('PC 08'!A10="","Worker ID kosong",""),IF('PC 08'!B10="","Update Date kosong",IF(NOT(ISNUMBER('PC 08'!B10)),"Update Date harus tanggal","")),IF('PC 08'!D10="","Judul kosong",""),IF('PC 08'!F10="","Genre kosong",IF(ISERROR(MATCH(TRIM('PC 08'!F10),{"Pop","Rock","Dangdut","K-Pop","Electronic","Nasional","Daerah"},0)),"Genre di luar daftar","")),IF('PC 08'!G10="","Nama Channel kosong",""),IF('PC 08'!H10="","Link kosong",IF(ISERROR(FIND("youtu",LOWER('PC 08'!H10))),"Link bukan youtube","")),IF('PC 08'!I10="","Tgl Dibuat kosong",IF(NOT(ISNUMBER('PC 08'!I10)),"Tgl Dibuat harus tanggal","")),IF(AND('PC 08'!J10&lt;&gt;"",NOT(ISNUMBER('PC 08'!J10))),"Tgl Publish harus tanggal",""),IF(AND(ISNUMBER('PC 08'!I10),ISNUMBER('PC 08'!J10),'PC 08'!J10&lt;'PC 08'!I10),"Tgl Publish &lt; Tgl Dibuat",""),IF(AND('PC 08'!K10&lt;&gt;"",ISERROR(MATCH(TRIM('PC 08'!K10),{"Draft","Menunggu Review","Revisi","Terjadwal","Publish","Batal","Published"},0))),"Status di luar daftar","")))</f>
        <v>#ERROR!</v>
      </c>
      <c r="D10" s="5" t="str">
        <f>IF(C10="","OK","ADA MASALAH")</f>
        <v>#ERROR!</v>
      </c>
    </row>
    <row r="11">
      <c r="A11" s="4">
        <v>11.0</v>
      </c>
      <c r="B11" s="5" t="str">
        <f>'PC 08'!A11</f>
        <v/>
      </c>
      <c r="C11" s="5" t="str">
        <f>IF(COUNTA('PC 08'!A11:L11)=0,"",TEXTJOIN(" | ",TRUE,IF('PC 08'!A11="","Worker ID kosong",""),IF('PC 08'!B11="","Update Date kosong",IF(NOT(ISNUMBER('PC 08'!B11)),"Update Date harus tanggal","")),IF('PC 08'!D11="","Judul kosong",""),IF('PC 08'!F11="","Genre kosong",IF(ISERROR(MATCH(TRIM('PC 08'!F11),{"Pop","Rock","Dangdut","K-Pop","Electronic","Nasional","Daerah"},0)),"Genre di luar daftar","")),IF('PC 08'!G11="","Nama Channel kosong",""),IF('PC 08'!H11="","Link kosong",IF(ISERROR(FIND("youtu",LOWER('PC 08'!H11))),"Link bukan youtube","")),IF('PC 08'!I11="","Tgl Dibuat kosong",IF(NOT(ISNUMBER('PC 08'!I11)),"Tgl Dibuat harus tanggal","")),IF(AND('PC 08'!J11&lt;&gt;"",NOT(ISNUMBER('PC 08'!J11))),"Tgl Publish harus tanggal",""),IF(AND(ISNUMBER('PC 08'!I11),ISNUMBER('PC 08'!J11),'PC 08'!J11&lt;'PC 08'!I11),"Tgl Publish &lt; Tgl Dibuat",""),IF(AND('PC 08'!K11&lt;&gt;"",ISERROR(MATCH(TRIM('PC 08'!K11),{"Draft","Menunggu Review","Revisi","Terjadwal","Publish","Batal","Published"},0))),"Status di luar daftar","")))</f>
        <v>#ERROR!</v>
      </c>
      <c r="D11" s="5" t="str">
        <f>IF(C11="","OK","ADA MASALAH")</f>
        <v>#ERROR!</v>
      </c>
    </row>
    <row r="12">
      <c r="A12" s="4">
        <v>12.0</v>
      </c>
      <c r="B12" s="5" t="str">
        <f>'PC 08'!A12</f>
        <v/>
      </c>
      <c r="C12" s="5" t="str">
        <f>IF(COUNTA('PC 08'!A12:L12)=0,"",TEXTJOIN(" | ",TRUE,IF('PC 08'!A12="","Worker ID kosong",""),IF('PC 08'!B12="","Update Date kosong",IF(NOT(ISNUMBER('PC 08'!B12)),"Update Date harus tanggal","")),IF('PC 08'!D12="","Judul kosong",""),IF('PC 08'!F12="","Genre kosong",IF(ISERROR(MATCH(TRIM('PC 08'!F12),{"Pop","Rock","Dangdut","K-Pop","Electronic","Nasional","Daerah"},0)),"Genre di luar daftar","")),IF('PC 08'!G12="","Nama Channel kosong",""),IF('PC 08'!H12="","Link kosong",IF(ISERROR(FIND("youtu",LOWER('PC 08'!H12))),"Link bukan youtube","")),IF('PC 08'!I12="","Tgl Dibuat kosong",IF(NOT(ISNUMBER('PC 08'!I12)),"Tgl Dibuat harus tanggal","")),IF(AND('PC 08'!J12&lt;&gt;"",NOT(ISNUMBER('PC 08'!J12))),"Tgl Publish harus tanggal",""),IF(AND(ISNUMBER('PC 08'!I12),ISNUMBER('PC 08'!J12),'PC 08'!J12&lt;'PC 08'!I12),"Tgl Publish &lt; Tgl Dibuat",""),IF(AND('PC 08'!K12&lt;&gt;"",ISERROR(MATCH(TRIM('PC 08'!K12),{"Draft","Menunggu Review","Revisi","Terjadwal","Publish","Batal","Published"},0))),"Status di luar daftar","")))</f>
        <v>#ERROR!</v>
      </c>
      <c r="D12" s="5" t="str">
        <f>IF(C12="","OK","ADA MASALAH")</f>
        <v>#ERROR!</v>
      </c>
    </row>
    <row r="13">
      <c r="A13" s="4">
        <v>13.0</v>
      </c>
      <c r="B13" s="5" t="str">
        <f>'PC 08'!A13</f>
        <v/>
      </c>
      <c r="C13" s="5" t="str">
        <f>IF(COUNTA('PC 08'!A13:L13)=0,"",TEXTJOIN(" | ",TRUE,IF('PC 08'!A13="","Worker ID kosong",""),IF('PC 08'!B13="","Update Date kosong",IF(NOT(ISNUMBER('PC 08'!B13)),"Update Date harus tanggal","")),IF('PC 08'!D13="","Judul kosong",""),IF('PC 08'!F13="","Genre kosong",IF(ISERROR(MATCH(TRIM('PC 08'!F13),{"Pop","Rock","Dangdut","K-Pop","Electronic","Nasional","Daerah"},0)),"Genre di luar daftar","")),IF('PC 08'!G13="","Nama Channel kosong",""),IF('PC 08'!H13="","Link kosong",IF(ISERROR(FIND("youtu",LOWER('PC 08'!H13))),"Link bukan youtube","")),IF('PC 08'!I13="","Tgl Dibuat kosong",IF(NOT(ISNUMBER('PC 08'!I13)),"Tgl Dibuat harus tanggal","")),IF(AND('PC 08'!J13&lt;&gt;"",NOT(ISNUMBER('PC 08'!J13))),"Tgl Publish harus tanggal",""),IF(AND(ISNUMBER('PC 08'!I13),ISNUMBER('PC 08'!J13),'PC 08'!J13&lt;'PC 08'!I13),"Tgl Publish &lt; Tgl Dibuat",""),IF(AND('PC 08'!K13&lt;&gt;"",ISERROR(MATCH(TRIM('PC 08'!K13),{"Draft","Menunggu Review","Revisi","Terjadwal","Publish","Batal","Published"},0))),"Status di luar daftar","")))</f>
        <v>#ERROR!</v>
      </c>
      <c r="D13" s="5" t="str">
        <f>IF(C13="","OK","ADA MASALAH")</f>
        <v>#ERROR!</v>
      </c>
    </row>
    <row r="14">
      <c r="A14" s="4">
        <v>14.0</v>
      </c>
      <c r="B14" s="5" t="str">
        <f>'PC 08'!A14</f>
        <v/>
      </c>
      <c r="C14" s="5" t="str">
        <f>IF(COUNTA('PC 08'!A14:L14)=0,"",TEXTJOIN(" | ",TRUE,IF('PC 08'!A14="","Worker ID kosong",""),IF('PC 08'!B14="","Update Date kosong",IF(NOT(ISNUMBER('PC 08'!B14)),"Update Date harus tanggal","")),IF('PC 08'!D14="","Judul kosong",""),IF('PC 08'!F14="","Genre kosong",IF(ISERROR(MATCH(TRIM('PC 08'!F14),{"Pop","Rock","Dangdut","K-Pop","Electronic","Nasional","Daerah"},0)),"Genre di luar daftar","")),IF('PC 08'!G14="","Nama Channel kosong",""),IF('PC 08'!H14="","Link kosong",IF(ISERROR(FIND("youtu",LOWER('PC 08'!H14))),"Link bukan youtube","")),IF('PC 08'!I14="","Tgl Dibuat kosong",IF(NOT(ISNUMBER('PC 08'!I14)),"Tgl Dibuat harus tanggal","")),IF(AND('PC 08'!J14&lt;&gt;"",NOT(ISNUMBER('PC 08'!J14))),"Tgl Publish harus tanggal",""),IF(AND(ISNUMBER('PC 08'!I14),ISNUMBER('PC 08'!J14),'PC 08'!J14&lt;'PC 08'!I14),"Tgl Publish &lt; Tgl Dibuat",""),IF(AND('PC 08'!K14&lt;&gt;"",ISERROR(MATCH(TRIM('PC 08'!K14),{"Draft","Menunggu Review","Revisi","Terjadwal","Publish","Batal","Published"},0))),"Status di luar daftar","")))</f>
        <v>#ERROR!</v>
      </c>
      <c r="D14" s="5" t="str">
        <f>IF(C14="","OK","ADA MASALAH")</f>
        <v>#ERROR!</v>
      </c>
    </row>
    <row r="15">
      <c r="A15" s="4">
        <v>15.0</v>
      </c>
      <c r="B15" s="5" t="str">
        <f>'PC 08'!A15</f>
        <v/>
      </c>
      <c r="C15" s="5" t="str">
        <f>IF(COUNTA('PC 08'!A15:L15)=0,"",TEXTJOIN(" | ",TRUE,IF('PC 08'!A15="","Worker ID kosong",""),IF('PC 08'!B15="","Update Date kosong",IF(NOT(ISNUMBER('PC 08'!B15)),"Update Date harus tanggal","")),IF('PC 08'!D15="","Judul kosong",""),IF('PC 08'!F15="","Genre kosong",IF(ISERROR(MATCH(TRIM('PC 08'!F15),{"Pop","Rock","Dangdut","K-Pop","Electronic","Nasional","Daerah"},0)),"Genre di luar daftar","")),IF('PC 08'!G15="","Nama Channel kosong",""),IF('PC 08'!H15="","Link kosong",IF(ISERROR(FIND("youtu",LOWER('PC 08'!H15))),"Link bukan youtube","")),IF('PC 08'!I15="","Tgl Dibuat kosong",IF(NOT(ISNUMBER('PC 08'!I15)),"Tgl Dibuat harus tanggal","")),IF(AND('PC 08'!J15&lt;&gt;"",NOT(ISNUMBER('PC 08'!J15))),"Tgl Publish harus tanggal",""),IF(AND(ISNUMBER('PC 08'!I15),ISNUMBER('PC 08'!J15),'PC 08'!J15&lt;'PC 08'!I15),"Tgl Publish &lt; Tgl Dibuat",""),IF(AND('PC 08'!K15&lt;&gt;"",ISERROR(MATCH(TRIM('PC 08'!K15),{"Draft","Menunggu Review","Revisi","Terjadwal","Publish","Batal","Published"},0))),"Status di luar daftar","")))</f>
        <v>#ERROR!</v>
      </c>
      <c r="D15" s="5" t="str">
        <f>IF(C15="","OK","ADA MASALAH")</f>
        <v>#ERROR!</v>
      </c>
    </row>
    <row r="16">
      <c r="A16" s="4">
        <v>16.0</v>
      </c>
      <c r="B16" s="5" t="str">
        <f>'PC 08'!A16</f>
        <v/>
      </c>
      <c r="C16" s="5" t="str">
        <f>IF(COUNTA('PC 08'!A16:L16)=0,"",TEXTJOIN(" | ",TRUE,IF('PC 08'!A16="","Worker ID kosong",""),IF('PC 08'!B16="","Update Date kosong",IF(NOT(ISNUMBER('PC 08'!B16)),"Update Date harus tanggal","")),IF('PC 08'!D16="","Judul kosong",""),IF('PC 08'!F16="","Genre kosong",IF(ISERROR(MATCH(TRIM('PC 08'!F16),{"Pop","Rock","Dangdut","K-Pop","Electronic","Nasional","Daerah"},0)),"Genre di luar daftar","")),IF('PC 08'!G16="","Nama Channel kosong",""),IF('PC 08'!H16="","Link kosong",IF(ISERROR(FIND("youtu",LOWER('PC 08'!H16))),"Link bukan youtube","")),IF('PC 08'!I16="","Tgl Dibuat kosong",IF(NOT(ISNUMBER('PC 08'!I16)),"Tgl Dibuat harus tanggal","")),IF(AND('PC 08'!J16&lt;&gt;"",NOT(ISNUMBER('PC 08'!J16))),"Tgl Publish harus tanggal",""),IF(AND(ISNUMBER('PC 08'!I16),ISNUMBER('PC 08'!J16),'PC 08'!J16&lt;'PC 08'!I16),"Tgl Publish &lt; Tgl Dibuat",""),IF(AND('PC 08'!K16&lt;&gt;"",ISERROR(MATCH(TRIM('PC 08'!K16),{"Draft","Menunggu Review","Revisi","Terjadwal","Publish","Batal","Published"},0))),"Status di luar daftar","")))</f>
        <v>#ERROR!</v>
      </c>
      <c r="D16" s="5" t="str">
        <f>IF(C16="","OK","ADA MASALAH")</f>
        <v>#ERROR!</v>
      </c>
    </row>
    <row r="17">
      <c r="A17" s="4">
        <v>17.0</v>
      </c>
      <c r="B17" s="5" t="str">
        <f>'PC 08'!A17</f>
        <v/>
      </c>
      <c r="C17" s="5" t="str">
        <f>IF(COUNTA('PC 08'!A17:L17)=0,"",TEXTJOIN(" | ",TRUE,IF('PC 08'!A17="","Worker ID kosong",""),IF('PC 08'!B17="","Update Date kosong",IF(NOT(ISNUMBER('PC 08'!B17)),"Update Date harus tanggal","")),IF('PC 08'!D17="","Judul kosong",""),IF('PC 08'!F17="","Genre kosong",IF(ISERROR(MATCH(TRIM('PC 08'!F17),{"Pop","Rock","Dangdut","K-Pop","Electronic","Nasional","Daerah"},0)),"Genre di luar daftar","")),IF('PC 08'!G17="","Nama Channel kosong",""),IF('PC 08'!H17="","Link kosong",IF(ISERROR(FIND("youtu",LOWER('PC 08'!H17))),"Link bukan youtube","")),IF('PC 08'!I17="","Tgl Dibuat kosong",IF(NOT(ISNUMBER('PC 08'!I17)),"Tgl Dibuat harus tanggal","")),IF(AND('PC 08'!J17&lt;&gt;"",NOT(ISNUMBER('PC 08'!J17))),"Tgl Publish harus tanggal",""),IF(AND(ISNUMBER('PC 08'!I17),ISNUMBER('PC 08'!J17),'PC 08'!J17&lt;'PC 08'!I17),"Tgl Publish &lt; Tgl Dibuat",""),IF(AND('PC 08'!K17&lt;&gt;"",ISERROR(MATCH(TRIM('PC 08'!K17),{"Draft","Menunggu Review","Revisi","Terjadwal","Publish","Batal","Published"},0))),"Status di luar daftar","")))</f>
        <v>#ERROR!</v>
      </c>
      <c r="D17" s="5" t="str">
        <f>IF(C17="","OK","ADA MASALAH")</f>
        <v>#ERROR!</v>
      </c>
    </row>
    <row r="18">
      <c r="A18" s="4">
        <v>18.0</v>
      </c>
      <c r="B18" s="5" t="str">
        <f>'PC 08'!A18</f>
        <v/>
      </c>
      <c r="C18" s="5" t="str">
        <f>IF(COUNTA('PC 08'!A18:L18)=0,"",TEXTJOIN(" | ",TRUE,IF('PC 08'!A18="","Worker ID kosong",""),IF('PC 08'!B18="","Update Date kosong",IF(NOT(ISNUMBER('PC 08'!B18)),"Update Date harus tanggal","")),IF('PC 08'!D18="","Judul kosong",""),IF('PC 08'!F18="","Genre kosong",IF(ISERROR(MATCH(TRIM('PC 08'!F18),{"Pop","Rock","Dangdut","K-Pop","Electronic","Nasional","Daerah"},0)),"Genre di luar daftar","")),IF('PC 08'!G18="","Nama Channel kosong",""),IF('PC 08'!H18="","Link kosong",IF(ISERROR(FIND("youtu",LOWER('PC 08'!H18))),"Link bukan youtube","")),IF('PC 08'!I18="","Tgl Dibuat kosong",IF(NOT(ISNUMBER('PC 08'!I18)),"Tgl Dibuat harus tanggal","")),IF(AND('PC 08'!J18&lt;&gt;"",NOT(ISNUMBER('PC 08'!J18))),"Tgl Publish harus tanggal",""),IF(AND(ISNUMBER('PC 08'!I18),ISNUMBER('PC 08'!J18),'PC 08'!J18&lt;'PC 08'!I18),"Tgl Publish &lt; Tgl Dibuat",""),IF(AND('PC 08'!K18&lt;&gt;"",ISERROR(MATCH(TRIM('PC 08'!K18),{"Draft","Menunggu Review","Revisi","Terjadwal","Publish","Batal","Published"},0))),"Status di luar daftar","")))</f>
        <v>#ERROR!</v>
      </c>
      <c r="D18" s="5" t="str">
        <f>IF(C18="","OK","ADA MASALAH")</f>
        <v>#ERROR!</v>
      </c>
    </row>
    <row r="19">
      <c r="A19" s="4">
        <v>19.0</v>
      </c>
      <c r="B19" s="5" t="str">
        <f>'PC 08'!A19</f>
        <v/>
      </c>
      <c r="C19" s="5" t="str">
        <f>IF(COUNTA('PC 08'!A19:L19)=0,"",TEXTJOIN(" | ",TRUE,IF('PC 08'!A19="","Worker ID kosong",""),IF('PC 08'!B19="","Update Date kosong",IF(NOT(ISNUMBER('PC 08'!B19)),"Update Date harus tanggal","")),IF('PC 08'!D19="","Judul kosong",""),IF('PC 08'!F19="","Genre kosong",IF(ISERROR(MATCH(TRIM('PC 08'!F19),{"Pop","Rock","Dangdut","K-Pop","Electronic","Nasional","Daerah"},0)),"Genre di luar daftar","")),IF('PC 08'!G19="","Nama Channel kosong",""),IF('PC 08'!H19="","Link kosong",IF(ISERROR(FIND("youtu",LOWER('PC 08'!H19))),"Link bukan youtube","")),IF('PC 08'!I19="","Tgl Dibuat kosong",IF(NOT(ISNUMBER('PC 08'!I19)),"Tgl Dibuat harus tanggal","")),IF(AND('PC 08'!J19&lt;&gt;"",NOT(ISNUMBER('PC 08'!J19))),"Tgl Publish harus tanggal",""),IF(AND(ISNUMBER('PC 08'!I19),ISNUMBER('PC 08'!J19),'PC 08'!J19&lt;'PC 08'!I19),"Tgl Publish &lt; Tgl Dibuat",""),IF(AND('PC 08'!K19&lt;&gt;"",ISERROR(MATCH(TRIM('PC 08'!K19),{"Draft","Menunggu Review","Revisi","Terjadwal","Publish","Batal","Published"},0))),"Status di luar daftar","")))</f>
        <v>#ERROR!</v>
      </c>
      <c r="D19" s="5" t="str">
        <f>IF(C19="","OK","ADA MASALAH")</f>
        <v>#ERROR!</v>
      </c>
    </row>
    <row r="20">
      <c r="A20" s="4">
        <v>20.0</v>
      </c>
      <c r="B20" s="5" t="str">
        <f>'PC 08'!A20</f>
        <v/>
      </c>
      <c r="C20" s="5" t="str">
        <f>IF(COUNTA('PC 08'!A20:L20)=0,"",TEXTJOIN(" | ",TRUE,IF('PC 08'!A20="","Worker ID kosong",""),IF('PC 08'!B20="","Update Date kosong",IF(NOT(ISNUMBER('PC 08'!B20)),"Update Date harus tanggal","")),IF('PC 08'!D20="","Judul kosong",""),IF('PC 08'!F20="","Genre kosong",IF(ISERROR(MATCH(TRIM('PC 08'!F20),{"Pop","Rock","Dangdut","K-Pop","Electronic","Nasional","Daerah"},0)),"Genre di luar daftar","")),IF('PC 08'!G20="","Nama Channel kosong",""),IF('PC 08'!H20="","Link kosong",IF(ISERROR(FIND("youtu",LOWER('PC 08'!H20))),"Link bukan youtube","")),IF('PC 08'!I20="","Tgl Dibuat kosong",IF(NOT(ISNUMBER('PC 08'!I20)),"Tgl Dibuat harus tanggal","")),IF(AND('PC 08'!J20&lt;&gt;"",NOT(ISNUMBER('PC 08'!J20))),"Tgl Publish harus tanggal",""),IF(AND(ISNUMBER('PC 08'!I20),ISNUMBER('PC 08'!J20),'PC 08'!J20&lt;'PC 08'!I20),"Tgl Publish &lt; Tgl Dibuat",""),IF(AND('PC 08'!K20&lt;&gt;"",ISERROR(MATCH(TRIM('PC 08'!K20),{"Draft","Menunggu Review","Revisi","Terjadwal","Publish","Batal","Published"},0))),"Status di luar daftar","")))</f>
        <v>#ERROR!</v>
      </c>
      <c r="D20" s="5" t="str">
        <f>IF(C20="","OK","ADA MASALAH")</f>
        <v>#ERROR!</v>
      </c>
    </row>
    <row r="21">
      <c r="A21" s="4">
        <v>21.0</v>
      </c>
      <c r="B21" s="5" t="str">
        <f>'PC 08'!A21</f>
        <v/>
      </c>
      <c r="C21" s="5" t="str">
        <f>IF(COUNTA('PC 08'!A21:L21)=0,"",TEXTJOIN(" | ",TRUE,IF('PC 08'!A21="","Worker ID kosong",""),IF('PC 08'!B21="","Update Date kosong",IF(NOT(ISNUMBER('PC 08'!B21)),"Update Date harus tanggal","")),IF('PC 08'!D21="","Judul kosong",""),IF('PC 08'!F21="","Genre kosong",IF(ISERROR(MATCH(TRIM('PC 08'!F21),{"Pop","Rock","Dangdut","K-Pop","Electronic","Nasional","Daerah"},0)),"Genre di luar daftar","")),IF('PC 08'!G21="","Nama Channel kosong",""),IF('PC 08'!H21="","Link kosong",IF(ISERROR(FIND("youtu",LOWER('PC 08'!H21))),"Link bukan youtube","")),IF('PC 08'!I21="","Tgl Dibuat kosong",IF(NOT(ISNUMBER('PC 08'!I21)),"Tgl Dibuat harus tanggal","")),IF(AND('PC 08'!J21&lt;&gt;"",NOT(ISNUMBER('PC 08'!J21))),"Tgl Publish harus tanggal",""),IF(AND(ISNUMBER('PC 08'!I21),ISNUMBER('PC 08'!J21),'PC 08'!J21&lt;'PC 08'!I21),"Tgl Publish &lt; Tgl Dibuat",""),IF(AND('PC 08'!K21&lt;&gt;"",ISERROR(MATCH(TRIM('PC 08'!K21),{"Draft","Menunggu Review","Revisi","Terjadwal","Publish","Batal","Published"},0))),"Status di luar daftar","")))</f>
        <v>#ERROR!</v>
      </c>
      <c r="D21" s="5" t="str">
        <f>IF(C21="","OK","ADA MASALAH")</f>
        <v>#ERROR!</v>
      </c>
    </row>
    <row r="22">
      <c r="A22" s="4">
        <v>22.0</v>
      </c>
      <c r="B22" s="5" t="str">
        <f>'PC 08'!A22</f>
        <v/>
      </c>
      <c r="C22" s="5" t="str">
        <f>IF(COUNTA('PC 08'!A22:L22)=0,"",TEXTJOIN(" | ",TRUE,IF('PC 08'!A22="","Worker ID kosong",""),IF('PC 08'!B22="","Update Date kosong",IF(NOT(ISNUMBER('PC 08'!B22)),"Update Date harus tanggal","")),IF('PC 08'!D22="","Judul kosong",""),IF('PC 08'!F22="","Genre kosong",IF(ISERROR(MATCH(TRIM('PC 08'!F22),{"Pop","Rock","Dangdut","K-Pop","Electronic","Nasional","Daerah"},0)),"Genre di luar daftar","")),IF('PC 08'!G22="","Nama Channel kosong",""),IF('PC 08'!H22="","Link kosong",IF(ISERROR(FIND("youtu",LOWER('PC 08'!H22))),"Link bukan youtube","")),IF('PC 08'!I22="","Tgl Dibuat kosong",IF(NOT(ISNUMBER('PC 08'!I22)),"Tgl Dibuat harus tanggal","")),IF(AND('PC 08'!J22&lt;&gt;"",NOT(ISNUMBER('PC 08'!J22))),"Tgl Publish harus tanggal",""),IF(AND(ISNUMBER('PC 08'!I22),ISNUMBER('PC 08'!J22),'PC 08'!J22&lt;'PC 08'!I22),"Tgl Publish &lt; Tgl Dibuat",""),IF(AND('PC 08'!K22&lt;&gt;"",ISERROR(MATCH(TRIM('PC 08'!K22),{"Draft","Menunggu Review","Revisi","Terjadwal","Publish","Batal","Published"},0))),"Status di luar daftar","")))</f>
        <v>#ERROR!</v>
      </c>
      <c r="D22" s="5" t="str">
        <f>IF(C22="","OK","ADA MASALAH")</f>
        <v>#ERROR!</v>
      </c>
    </row>
    <row r="23">
      <c r="A23" s="4">
        <v>23.0</v>
      </c>
      <c r="B23" s="5" t="str">
        <f>'PC 08'!A23</f>
        <v/>
      </c>
      <c r="C23" s="5" t="str">
        <f>IF(COUNTA('PC 08'!A23:L23)=0,"",TEXTJOIN(" | ",TRUE,IF('PC 08'!A23="","Worker ID kosong",""),IF('PC 08'!B23="","Update Date kosong",IF(NOT(ISNUMBER('PC 08'!B23)),"Update Date harus tanggal","")),IF('PC 08'!D23="","Judul kosong",""),IF('PC 08'!F23="","Genre kosong",IF(ISERROR(MATCH(TRIM('PC 08'!F23),{"Pop","Rock","Dangdut","K-Pop","Electronic","Nasional","Daerah"},0)),"Genre di luar daftar","")),IF('PC 08'!G23="","Nama Channel kosong",""),IF('PC 08'!H23="","Link kosong",IF(ISERROR(FIND("youtu",LOWER('PC 08'!H23))),"Link bukan youtube","")),IF('PC 08'!I23="","Tgl Dibuat kosong",IF(NOT(ISNUMBER('PC 08'!I23)),"Tgl Dibuat harus tanggal","")),IF(AND('PC 08'!J23&lt;&gt;"",NOT(ISNUMBER('PC 08'!J23))),"Tgl Publish harus tanggal",""),IF(AND(ISNUMBER('PC 08'!I23),ISNUMBER('PC 08'!J23),'PC 08'!J23&lt;'PC 08'!I23),"Tgl Publish &lt; Tgl Dibuat",""),IF(AND('PC 08'!K23&lt;&gt;"",ISERROR(MATCH(TRIM('PC 08'!K23),{"Draft","Menunggu Review","Revisi","Terjadwal","Publish","Batal","Published"},0))),"Status di luar daftar","")))</f>
        <v>#ERROR!</v>
      </c>
      <c r="D23" s="5" t="str">
        <f>IF(C23="","OK","ADA MASALAH")</f>
        <v>#ERROR!</v>
      </c>
    </row>
    <row r="24">
      <c r="A24" s="4">
        <v>24.0</v>
      </c>
      <c r="B24" s="5" t="str">
        <f>'PC 08'!A24</f>
        <v/>
      </c>
      <c r="C24" s="5" t="str">
        <f>IF(COUNTA('PC 08'!A24:L24)=0,"",TEXTJOIN(" | ",TRUE,IF('PC 08'!A24="","Worker ID kosong",""),IF('PC 08'!B24="","Update Date kosong",IF(NOT(ISNUMBER('PC 08'!B24)),"Update Date harus tanggal","")),IF('PC 08'!D24="","Judul kosong",""),IF('PC 08'!F24="","Genre kosong",IF(ISERROR(MATCH(TRIM('PC 08'!F24),{"Pop","Rock","Dangdut","K-Pop","Electronic","Nasional","Daerah"},0)),"Genre di luar daftar","")),IF('PC 08'!G24="","Nama Channel kosong",""),IF('PC 08'!H24="","Link kosong",IF(ISERROR(FIND("youtu",LOWER('PC 08'!H24))),"Link bukan youtube","")),IF('PC 08'!I24="","Tgl Dibuat kosong",IF(NOT(ISNUMBER('PC 08'!I24)),"Tgl Dibuat harus tanggal","")),IF(AND('PC 08'!J24&lt;&gt;"",NOT(ISNUMBER('PC 08'!J24))),"Tgl Publish harus tanggal",""),IF(AND(ISNUMBER('PC 08'!I24),ISNUMBER('PC 08'!J24),'PC 08'!J24&lt;'PC 08'!I24),"Tgl Publish &lt; Tgl Dibuat",""),IF(AND('PC 08'!K24&lt;&gt;"",ISERROR(MATCH(TRIM('PC 08'!K24),{"Draft","Menunggu Review","Revisi","Terjadwal","Publish","Batal","Published"},0))),"Status di luar daftar","")))</f>
        <v>#ERROR!</v>
      </c>
      <c r="D24" s="5" t="str">
        <f>IF(C24="","OK","ADA MASALAH")</f>
        <v>#ERROR!</v>
      </c>
    </row>
    <row r="25">
      <c r="A25" s="4">
        <v>25.0</v>
      </c>
      <c r="B25" s="5" t="str">
        <f>'PC 08'!A25</f>
        <v/>
      </c>
      <c r="C25" s="5" t="str">
        <f>IF(COUNTA('PC 08'!A25:L25)=0,"",TEXTJOIN(" | ",TRUE,IF('PC 08'!A25="","Worker ID kosong",""),IF('PC 08'!B25="","Update Date kosong",IF(NOT(ISNUMBER('PC 08'!B25)),"Update Date harus tanggal","")),IF('PC 08'!D25="","Judul kosong",""),IF('PC 08'!F25="","Genre kosong",IF(ISERROR(MATCH(TRIM('PC 08'!F25),{"Pop","Rock","Dangdut","K-Pop","Electronic","Nasional","Daerah"},0)),"Genre di luar daftar","")),IF('PC 08'!G25="","Nama Channel kosong",""),IF('PC 08'!H25="","Link kosong",IF(ISERROR(FIND("youtu",LOWER('PC 08'!H25))),"Link bukan youtube","")),IF('PC 08'!I25="","Tgl Dibuat kosong",IF(NOT(ISNUMBER('PC 08'!I25)),"Tgl Dibuat harus tanggal","")),IF(AND('PC 08'!J25&lt;&gt;"",NOT(ISNUMBER('PC 08'!J25))),"Tgl Publish harus tanggal",""),IF(AND(ISNUMBER('PC 08'!I25),ISNUMBER('PC 08'!J25),'PC 08'!J25&lt;'PC 08'!I25),"Tgl Publish &lt; Tgl Dibuat",""),IF(AND('PC 08'!K25&lt;&gt;"",ISERROR(MATCH(TRIM('PC 08'!K25),{"Draft","Menunggu Review","Revisi","Terjadwal","Publish","Batal","Published"},0))),"Status di luar daftar","")))</f>
        <v>#ERROR!</v>
      </c>
      <c r="D25" s="5" t="str">
        <f>IF(C25="","OK","ADA MASALAH")</f>
        <v>#ERROR!</v>
      </c>
    </row>
    <row r="26">
      <c r="A26" s="4">
        <v>26.0</v>
      </c>
      <c r="B26" s="5" t="str">
        <f>'PC 08'!A26</f>
        <v/>
      </c>
      <c r="C26" s="5" t="str">
        <f>IF(COUNTA('PC 08'!A26:L26)=0,"",TEXTJOIN(" | ",TRUE,IF('PC 08'!A26="","Worker ID kosong",""),IF('PC 08'!B26="","Update Date kosong",IF(NOT(ISNUMBER('PC 08'!B26)),"Update Date harus tanggal","")),IF('PC 08'!D26="","Judul kosong",""),IF('PC 08'!F26="","Genre kosong",IF(ISERROR(MATCH(TRIM('PC 08'!F26),{"Pop","Rock","Dangdut","K-Pop","Electronic","Nasional","Daerah"},0)),"Genre di luar daftar","")),IF('PC 08'!G26="","Nama Channel kosong",""),IF('PC 08'!H26="","Link kosong",IF(ISERROR(FIND("youtu",LOWER('PC 08'!H26))),"Link bukan youtube","")),IF('PC 08'!I26="","Tgl Dibuat kosong",IF(NOT(ISNUMBER('PC 08'!I26)),"Tgl Dibuat harus tanggal","")),IF(AND('PC 08'!J26&lt;&gt;"",NOT(ISNUMBER('PC 08'!J26))),"Tgl Publish harus tanggal",""),IF(AND(ISNUMBER('PC 08'!I26),ISNUMBER('PC 08'!J26),'PC 08'!J26&lt;'PC 08'!I26),"Tgl Publish &lt; Tgl Dibuat",""),IF(AND('PC 08'!K26&lt;&gt;"",ISERROR(MATCH(TRIM('PC 08'!K26),{"Draft","Menunggu Review","Revisi","Terjadwal","Publish","Batal","Published"},0))),"Status di luar daftar","")))</f>
        <v>#ERROR!</v>
      </c>
      <c r="D26" s="5" t="str">
        <f>IF(C26="","OK","ADA MASALAH")</f>
        <v>#ERROR!</v>
      </c>
    </row>
    <row r="27">
      <c r="A27" s="4">
        <v>27.0</v>
      </c>
      <c r="B27" s="5" t="str">
        <f>'PC 08'!A27</f>
        <v/>
      </c>
      <c r="C27" s="5" t="str">
        <f>IF(COUNTA('PC 08'!A27:L27)=0,"",TEXTJOIN(" | ",TRUE,IF('PC 08'!A27="","Worker ID kosong",""),IF('PC 08'!B27="","Update Date kosong",IF(NOT(ISNUMBER('PC 08'!B27)),"Update Date harus tanggal","")),IF('PC 08'!D27="","Judul kosong",""),IF('PC 08'!F27="","Genre kosong",IF(ISERROR(MATCH(TRIM('PC 08'!F27),{"Pop","Rock","Dangdut","K-Pop","Electronic","Nasional","Daerah"},0)),"Genre di luar daftar","")),IF('PC 08'!G27="","Nama Channel kosong",""),IF('PC 08'!H27="","Link kosong",IF(ISERROR(FIND("youtu",LOWER('PC 08'!H27))),"Link bukan youtube","")),IF('PC 08'!I27="","Tgl Dibuat kosong",IF(NOT(ISNUMBER('PC 08'!I27)),"Tgl Dibuat harus tanggal","")),IF(AND('PC 08'!J27&lt;&gt;"",NOT(ISNUMBER('PC 08'!J27))),"Tgl Publish harus tanggal",""),IF(AND(ISNUMBER('PC 08'!I27),ISNUMBER('PC 08'!J27),'PC 08'!J27&lt;'PC 08'!I27),"Tgl Publish &lt; Tgl Dibuat",""),IF(AND('PC 08'!K27&lt;&gt;"",ISERROR(MATCH(TRIM('PC 08'!K27),{"Draft","Menunggu Review","Revisi","Terjadwal","Publish","Batal","Published"},0))),"Status di luar daftar","")))</f>
        <v>#ERROR!</v>
      </c>
      <c r="D27" s="5" t="str">
        <f>IF(C27="","OK","ADA MASALAH")</f>
        <v>#ERROR!</v>
      </c>
    </row>
    <row r="28">
      <c r="A28" s="4">
        <v>28.0</v>
      </c>
      <c r="B28" s="5" t="str">
        <f>'PC 08'!A28</f>
        <v/>
      </c>
      <c r="C28" s="5" t="str">
        <f>IF(COUNTA('PC 08'!A28:L28)=0,"",TEXTJOIN(" | ",TRUE,IF('PC 08'!A28="","Worker ID kosong",""),IF('PC 08'!B28="","Update Date kosong",IF(NOT(ISNUMBER('PC 08'!B28)),"Update Date harus tanggal","")),IF('PC 08'!D28="","Judul kosong",""),IF('PC 08'!F28="","Genre kosong",IF(ISERROR(MATCH(TRIM('PC 08'!F28),{"Pop","Rock","Dangdut","K-Pop","Electronic","Nasional","Daerah"},0)),"Genre di luar daftar","")),IF('PC 08'!G28="","Nama Channel kosong",""),IF('PC 08'!H28="","Link kosong",IF(ISERROR(FIND("youtu",LOWER('PC 08'!H28))),"Link bukan youtube","")),IF('PC 08'!I28="","Tgl Dibuat kosong",IF(NOT(ISNUMBER('PC 08'!I28)),"Tgl Dibuat harus tanggal","")),IF(AND('PC 08'!J28&lt;&gt;"",NOT(ISNUMBER('PC 08'!J28))),"Tgl Publish harus tanggal",""),IF(AND(ISNUMBER('PC 08'!I28),ISNUMBER('PC 08'!J28),'PC 08'!J28&lt;'PC 08'!I28),"Tgl Publish &lt; Tgl Dibuat",""),IF(AND('PC 08'!K28&lt;&gt;"",ISERROR(MATCH(TRIM('PC 08'!K28),{"Draft","Menunggu Review","Revisi","Terjadwal","Publish","Batal","Published"},0))),"Status di luar daftar","")))</f>
        <v>#ERROR!</v>
      </c>
      <c r="D28" s="5" t="str">
        <f>IF(C28="","OK","ADA MASALAH")</f>
        <v>#ERROR!</v>
      </c>
    </row>
    <row r="29">
      <c r="A29" s="4">
        <v>29.0</v>
      </c>
      <c r="B29" s="5" t="str">
        <f>'PC 08'!A29</f>
        <v/>
      </c>
      <c r="C29" s="5" t="str">
        <f>IF(COUNTA('PC 08'!A29:L29)=0,"",TEXTJOIN(" | ",TRUE,IF('PC 08'!A29="","Worker ID kosong",""),IF('PC 08'!B29="","Update Date kosong",IF(NOT(ISNUMBER('PC 08'!B29)),"Update Date harus tanggal","")),IF('PC 08'!D29="","Judul kosong",""),IF('PC 08'!F29="","Genre kosong",IF(ISERROR(MATCH(TRIM('PC 08'!F29),{"Pop","Rock","Dangdut","K-Pop","Electronic","Nasional","Daerah"},0)),"Genre di luar daftar","")),IF('PC 08'!G29="","Nama Channel kosong",""),IF('PC 08'!H29="","Link kosong",IF(ISERROR(FIND("youtu",LOWER('PC 08'!H29))),"Link bukan youtube","")),IF('PC 08'!I29="","Tgl Dibuat kosong",IF(NOT(ISNUMBER('PC 08'!I29)),"Tgl Dibuat harus tanggal","")),IF(AND('PC 08'!J29&lt;&gt;"",NOT(ISNUMBER('PC 08'!J29))),"Tgl Publish harus tanggal",""),IF(AND(ISNUMBER('PC 08'!I29),ISNUMBER('PC 08'!J29),'PC 08'!J29&lt;'PC 08'!I29),"Tgl Publish &lt; Tgl Dibuat",""),IF(AND('PC 08'!K29&lt;&gt;"",ISERROR(MATCH(TRIM('PC 08'!K29),{"Draft","Menunggu Review","Revisi","Terjadwal","Publish","Batal","Published"},0))),"Status di luar daftar","")))</f>
        <v>#ERROR!</v>
      </c>
      <c r="D29" s="5" t="str">
        <f>IF(C29="","OK","ADA MASALAH")</f>
        <v>#ERROR!</v>
      </c>
    </row>
    <row r="30">
      <c r="A30" s="4">
        <v>30.0</v>
      </c>
      <c r="B30" s="5" t="str">
        <f>'PC 08'!A30</f>
        <v/>
      </c>
      <c r="C30" s="5" t="str">
        <f>IF(COUNTA('PC 08'!A30:L30)=0,"",TEXTJOIN(" | ",TRUE,IF('PC 08'!A30="","Worker ID kosong",""),IF('PC 08'!B30="","Update Date kosong",IF(NOT(ISNUMBER('PC 08'!B30)),"Update Date harus tanggal","")),IF('PC 08'!D30="","Judul kosong",""),IF('PC 08'!F30="","Genre kosong",IF(ISERROR(MATCH(TRIM('PC 08'!F30),{"Pop","Rock","Dangdut","K-Pop","Electronic","Nasional","Daerah"},0)),"Genre di luar daftar","")),IF('PC 08'!G30="","Nama Channel kosong",""),IF('PC 08'!H30="","Link kosong",IF(ISERROR(FIND("youtu",LOWER('PC 08'!H30))),"Link bukan youtube","")),IF('PC 08'!I30="","Tgl Dibuat kosong",IF(NOT(ISNUMBER('PC 08'!I30)),"Tgl Dibuat harus tanggal","")),IF(AND('PC 08'!J30&lt;&gt;"",NOT(ISNUMBER('PC 08'!J30))),"Tgl Publish harus tanggal",""),IF(AND(ISNUMBER('PC 08'!I30),ISNUMBER('PC 08'!J30),'PC 08'!J30&lt;'PC 08'!I30),"Tgl Publish &lt; Tgl Dibuat",""),IF(AND('PC 08'!K30&lt;&gt;"",ISERROR(MATCH(TRIM('PC 08'!K30),{"Draft","Menunggu Review","Revisi","Terjadwal","Publish","Batal","Published"},0))),"Status di luar daftar","")))</f>
        <v>#ERROR!</v>
      </c>
      <c r="D30" s="5" t="str">
        <f>IF(C30="","OK","ADA MASALAH")</f>
        <v>#ERROR!</v>
      </c>
    </row>
    <row r="31">
      <c r="A31" s="4">
        <v>31.0</v>
      </c>
      <c r="B31" s="5" t="str">
        <f>'PC 08'!A31</f>
        <v/>
      </c>
      <c r="C31" s="5" t="str">
        <f>IF(COUNTA('PC 08'!A31:L31)=0,"",TEXTJOIN(" | ",TRUE,IF('PC 08'!A31="","Worker ID kosong",""),IF('PC 08'!B31="","Update Date kosong",IF(NOT(ISNUMBER('PC 08'!B31)),"Update Date harus tanggal","")),IF('PC 08'!D31="","Judul kosong",""),IF('PC 08'!F31="","Genre kosong",IF(ISERROR(MATCH(TRIM('PC 08'!F31),{"Pop","Rock","Dangdut","K-Pop","Electronic","Nasional","Daerah"},0)),"Genre di luar daftar","")),IF('PC 08'!G31="","Nama Channel kosong",""),IF('PC 08'!H31="","Link kosong",IF(ISERROR(FIND("youtu",LOWER('PC 08'!H31))),"Link bukan youtube","")),IF('PC 08'!I31="","Tgl Dibuat kosong",IF(NOT(ISNUMBER('PC 08'!I31)),"Tgl Dibuat harus tanggal","")),IF(AND('PC 08'!J31&lt;&gt;"",NOT(ISNUMBER('PC 08'!J31))),"Tgl Publish harus tanggal",""),IF(AND(ISNUMBER('PC 08'!I31),ISNUMBER('PC 08'!J31),'PC 08'!J31&lt;'PC 08'!I31),"Tgl Publish &lt; Tgl Dibuat",""),IF(AND('PC 08'!K31&lt;&gt;"",ISERROR(MATCH(TRIM('PC 08'!K31),{"Draft","Menunggu Review","Revisi","Terjadwal","Publish","Batal","Published"},0))),"Status di luar daftar","")))</f>
        <v>#ERROR!</v>
      </c>
      <c r="D31" s="5" t="str">
        <f>IF(C31="","OK","ADA MASALAH")</f>
        <v>#ERROR!</v>
      </c>
    </row>
    <row r="32">
      <c r="A32" s="4">
        <v>32.0</v>
      </c>
      <c r="B32" s="5" t="str">
        <f>'PC 08'!A32</f>
        <v/>
      </c>
      <c r="C32" s="5" t="str">
        <f>IF(COUNTA('PC 08'!A32:L32)=0,"",TEXTJOIN(" | ",TRUE,IF('PC 08'!A32="","Worker ID kosong",""),IF('PC 08'!B32="","Update Date kosong",IF(NOT(ISNUMBER('PC 08'!B32)),"Update Date harus tanggal","")),IF('PC 08'!D32="","Judul kosong",""),IF('PC 08'!F32="","Genre kosong",IF(ISERROR(MATCH(TRIM('PC 08'!F32),{"Pop","Rock","Dangdut","K-Pop","Electronic","Nasional","Daerah"},0)),"Genre di luar daftar","")),IF('PC 08'!G32="","Nama Channel kosong",""),IF('PC 08'!H32="","Link kosong",IF(ISERROR(FIND("youtu",LOWER('PC 08'!H32))),"Link bukan youtube","")),IF('PC 08'!I32="","Tgl Dibuat kosong",IF(NOT(ISNUMBER('PC 08'!I32)),"Tgl Dibuat harus tanggal","")),IF(AND('PC 08'!J32&lt;&gt;"",NOT(ISNUMBER('PC 08'!J32))),"Tgl Publish harus tanggal",""),IF(AND(ISNUMBER('PC 08'!I32),ISNUMBER('PC 08'!J32),'PC 08'!J32&lt;'PC 08'!I32),"Tgl Publish &lt; Tgl Dibuat",""),IF(AND('PC 08'!K32&lt;&gt;"",ISERROR(MATCH(TRIM('PC 08'!K32),{"Draft","Menunggu Review","Revisi","Terjadwal","Publish","Batal","Published"},0))),"Status di luar daftar","")))</f>
        <v>#ERROR!</v>
      </c>
      <c r="D32" s="5" t="str">
        <f>IF(C32="","OK","ADA MASALAH")</f>
        <v>#ERROR!</v>
      </c>
    </row>
    <row r="33">
      <c r="A33" s="4">
        <v>33.0</v>
      </c>
      <c r="B33" s="5" t="str">
        <f>'PC 08'!A33</f>
        <v/>
      </c>
      <c r="C33" s="5" t="str">
        <f>IF(COUNTA('PC 08'!A33:L33)=0,"",TEXTJOIN(" | ",TRUE,IF('PC 08'!A33="","Worker ID kosong",""),IF('PC 08'!B33="","Update Date kosong",IF(NOT(ISNUMBER('PC 08'!B33)),"Update Date harus tanggal","")),IF('PC 08'!D33="","Judul kosong",""),IF('PC 08'!F33="","Genre kosong",IF(ISERROR(MATCH(TRIM('PC 08'!F33),{"Pop","Rock","Dangdut","K-Pop","Electronic","Nasional","Daerah"},0)),"Genre di luar daftar","")),IF('PC 08'!G33="","Nama Channel kosong",""),IF('PC 08'!H33="","Link kosong",IF(ISERROR(FIND("youtu",LOWER('PC 08'!H33))),"Link bukan youtube","")),IF('PC 08'!I33="","Tgl Dibuat kosong",IF(NOT(ISNUMBER('PC 08'!I33)),"Tgl Dibuat harus tanggal","")),IF(AND('PC 08'!J33&lt;&gt;"",NOT(ISNUMBER('PC 08'!J33))),"Tgl Publish harus tanggal",""),IF(AND(ISNUMBER('PC 08'!I33),ISNUMBER('PC 08'!J33),'PC 08'!J33&lt;'PC 08'!I33),"Tgl Publish &lt; Tgl Dibuat",""),IF(AND('PC 08'!K33&lt;&gt;"",ISERROR(MATCH(TRIM('PC 08'!K33),{"Draft","Menunggu Review","Revisi","Terjadwal","Publish","Batal","Published"},0))),"Status di luar daftar","")))</f>
        <v>#ERROR!</v>
      </c>
      <c r="D33" s="5" t="str">
        <f>IF(C33="","OK","ADA MASALAH")</f>
        <v>#ERROR!</v>
      </c>
    </row>
    <row r="34">
      <c r="A34" s="4">
        <v>34.0</v>
      </c>
      <c r="B34" s="5" t="str">
        <f>'PC 08'!A34</f>
        <v/>
      </c>
      <c r="C34" s="5" t="str">
        <f>IF(COUNTA('PC 08'!A34:L34)=0,"",TEXTJOIN(" | ",TRUE,IF('PC 08'!A34="","Worker ID kosong",""),IF('PC 08'!B34="","Update Date kosong",IF(NOT(ISNUMBER('PC 08'!B34)),"Update Date harus tanggal","")),IF('PC 08'!D34="","Judul kosong",""),IF('PC 08'!F34="","Genre kosong",IF(ISERROR(MATCH(TRIM('PC 08'!F34),{"Pop","Rock","Dangdut","K-Pop","Electronic","Nasional","Daerah"},0)),"Genre di luar daftar","")),IF('PC 08'!G34="","Nama Channel kosong",""),IF('PC 08'!H34="","Link kosong",IF(ISERROR(FIND("youtu",LOWER('PC 08'!H34))),"Link bukan youtube","")),IF('PC 08'!I34="","Tgl Dibuat kosong",IF(NOT(ISNUMBER('PC 08'!I34)),"Tgl Dibuat harus tanggal","")),IF(AND('PC 08'!J34&lt;&gt;"",NOT(ISNUMBER('PC 08'!J34))),"Tgl Publish harus tanggal",""),IF(AND(ISNUMBER('PC 08'!I34),ISNUMBER('PC 08'!J34),'PC 08'!J34&lt;'PC 08'!I34),"Tgl Publish &lt; Tgl Dibuat",""),IF(AND('PC 08'!K34&lt;&gt;"",ISERROR(MATCH(TRIM('PC 08'!K34),{"Draft","Menunggu Review","Revisi","Terjadwal","Publish","Batal","Published"},0))),"Status di luar daftar","")))</f>
        <v>#ERROR!</v>
      </c>
      <c r="D34" s="5" t="str">
        <f>IF(C34="","OK","ADA MASALAH")</f>
        <v>#ERROR!</v>
      </c>
    </row>
    <row r="35">
      <c r="A35" s="4">
        <v>35.0</v>
      </c>
      <c r="B35" s="5" t="str">
        <f>'PC 08'!A35</f>
        <v/>
      </c>
      <c r="C35" s="5" t="str">
        <f>IF(COUNTA('PC 08'!A35:L35)=0,"",TEXTJOIN(" | ",TRUE,IF('PC 08'!A35="","Worker ID kosong",""),IF('PC 08'!B35="","Update Date kosong",IF(NOT(ISNUMBER('PC 08'!B35)),"Update Date harus tanggal","")),IF('PC 08'!D35="","Judul kosong",""),IF('PC 08'!F35="","Genre kosong",IF(ISERROR(MATCH(TRIM('PC 08'!F35),{"Pop","Rock","Dangdut","K-Pop","Electronic","Nasional","Daerah"},0)),"Genre di luar daftar","")),IF('PC 08'!G35="","Nama Channel kosong",""),IF('PC 08'!H35="","Link kosong",IF(ISERROR(FIND("youtu",LOWER('PC 08'!H35))),"Link bukan youtube","")),IF('PC 08'!I35="","Tgl Dibuat kosong",IF(NOT(ISNUMBER('PC 08'!I35)),"Tgl Dibuat harus tanggal","")),IF(AND('PC 08'!J35&lt;&gt;"",NOT(ISNUMBER('PC 08'!J35))),"Tgl Publish harus tanggal",""),IF(AND(ISNUMBER('PC 08'!I35),ISNUMBER('PC 08'!J35),'PC 08'!J35&lt;'PC 08'!I35),"Tgl Publish &lt; Tgl Dibuat",""),IF(AND('PC 08'!K35&lt;&gt;"",ISERROR(MATCH(TRIM('PC 08'!K35),{"Draft","Menunggu Review","Revisi","Terjadwal","Publish","Batal","Published"},0))),"Status di luar daftar","")))</f>
        <v>#ERROR!</v>
      </c>
      <c r="D35" s="5" t="str">
        <f>IF(C35="","OK","ADA MASALAH")</f>
        <v>#ERROR!</v>
      </c>
    </row>
    <row r="36">
      <c r="A36" s="4">
        <v>36.0</v>
      </c>
      <c r="B36" s="5" t="str">
        <f>'PC 08'!A36</f>
        <v/>
      </c>
      <c r="C36" s="5" t="str">
        <f>IF(COUNTA('PC 08'!A36:L36)=0,"",TEXTJOIN(" | ",TRUE,IF('PC 08'!A36="","Worker ID kosong",""),IF('PC 08'!B36="","Update Date kosong",IF(NOT(ISNUMBER('PC 08'!B36)),"Update Date harus tanggal","")),IF('PC 08'!D36="","Judul kosong",""),IF('PC 08'!F36="","Genre kosong",IF(ISERROR(MATCH(TRIM('PC 08'!F36),{"Pop","Rock","Dangdut","K-Pop","Electronic","Nasional","Daerah"},0)),"Genre di luar daftar","")),IF('PC 08'!G36="","Nama Channel kosong",""),IF('PC 08'!H36="","Link kosong",IF(ISERROR(FIND("youtu",LOWER('PC 08'!H36))),"Link bukan youtube","")),IF('PC 08'!I36="","Tgl Dibuat kosong",IF(NOT(ISNUMBER('PC 08'!I36)),"Tgl Dibuat harus tanggal","")),IF(AND('PC 08'!J36&lt;&gt;"",NOT(ISNUMBER('PC 08'!J36))),"Tgl Publish harus tanggal",""),IF(AND(ISNUMBER('PC 08'!I36),ISNUMBER('PC 08'!J36),'PC 08'!J36&lt;'PC 08'!I36),"Tgl Publish &lt; Tgl Dibuat",""),IF(AND('PC 08'!K36&lt;&gt;"",ISERROR(MATCH(TRIM('PC 08'!K36),{"Draft","Menunggu Review","Revisi","Terjadwal","Publish","Batal","Published"},0))),"Status di luar daftar","")))</f>
        <v>#ERROR!</v>
      </c>
      <c r="D36" s="5" t="str">
        <f>IF(C36="","OK","ADA MASALAH")</f>
        <v>#ERROR!</v>
      </c>
    </row>
    <row r="37">
      <c r="A37" s="4">
        <v>37.0</v>
      </c>
      <c r="B37" s="5" t="str">
        <f>'PC 08'!A37</f>
        <v/>
      </c>
      <c r="C37" s="5" t="str">
        <f>IF(COUNTA('PC 08'!A37:L37)=0,"",TEXTJOIN(" | ",TRUE,IF('PC 08'!A37="","Worker ID kosong",""),IF('PC 08'!B37="","Update Date kosong",IF(NOT(ISNUMBER('PC 08'!B37)),"Update Date harus tanggal","")),IF('PC 08'!D37="","Judul kosong",""),IF('PC 08'!F37="","Genre kosong",IF(ISERROR(MATCH(TRIM('PC 08'!F37),{"Pop","Rock","Dangdut","K-Pop","Electronic","Nasional","Daerah"},0)),"Genre di luar daftar","")),IF('PC 08'!G37="","Nama Channel kosong",""),IF('PC 08'!H37="","Link kosong",IF(ISERROR(FIND("youtu",LOWER('PC 08'!H37))),"Link bukan youtube","")),IF('PC 08'!I37="","Tgl Dibuat kosong",IF(NOT(ISNUMBER('PC 08'!I37)),"Tgl Dibuat harus tanggal","")),IF(AND('PC 08'!J37&lt;&gt;"",NOT(ISNUMBER('PC 08'!J37))),"Tgl Publish harus tanggal",""),IF(AND(ISNUMBER('PC 08'!I37),ISNUMBER('PC 08'!J37),'PC 08'!J37&lt;'PC 08'!I37),"Tgl Publish &lt; Tgl Dibuat",""),IF(AND('PC 08'!K37&lt;&gt;"",ISERROR(MATCH(TRIM('PC 08'!K37),{"Draft","Menunggu Review","Revisi","Terjadwal","Publish","Batal","Published"},0))),"Status di luar daftar","")))</f>
        <v>#ERROR!</v>
      </c>
      <c r="D37" s="5" t="str">
        <f>IF(C37="","OK","ADA MASALAH")</f>
        <v>#ERROR!</v>
      </c>
    </row>
    <row r="38">
      <c r="A38" s="4">
        <v>38.0</v>
      </c>
      <c r="B38" s="5" t="str">
        <f>'PC 08'!A38</f>
        <v/>
      </c>
      <c r="C38" s="5" t="str">
        <f>IF(COUNTA('PC 08'!A38:L38)=0,"",TEXTJOIN(" | ",TRUE,IF('PC 08'!A38="","Worker ID kosong",""),IF('PC 08'!B38="","Update Date kosong",IF(NOT(ISNUMBER('PC 08'!B38)),"Update Date harus tanggal","")),IF('PC 08'!D38="","Judul kosong",""),IF('PC 08'!F38="","Genre kosong",IF(ISERROR(MATCH(TRIM('PC 08'!F38),{"Pop","Rock","Dangdut","K-Pop","Electronic","Nasional","Daerah"},0)),"Genre di luar daftar","")),IF('PC 08'!G38="","Nama Channel kosong",""),IF('PC 08'!H38="","Link kosong",IF(ISERROR(FIND("youtu",LOWER('PC 08'!H38))),"Link bukan youtube","")),IF('PC 08'!I38="","Tgl Dibuat kosong",IF(NOT(ISNUMBER('PC 08'!I38)),"Tgl Dibuat harus tanggal","")),IF(AND('PC 08'!J38&lt;&gt;"",NOT(ISNUMBER('PC 08'!J38))),"Tgl Publish harus tanggal",""),IF(AND(ISNUMBER('PC 08'!I38),ISNUMBER('PC 08'!J38),'PC 08'!J38&lt;'PC 08'!I38),"Tgl Publish &lt; Tgl Dibuat",""),IF(AND('PC 08'!K38&lt;&gt;"",ISERROR(MATCH(TRIM('PC 08'!K38),{"Draft","Menunggu Review","Revisi","Terjadwal","Publish","Batal","Published"},0))),"Status di luar daftar","")))</f>
        <v>#ERROR!</v>
      </c>
      <c r="D38" s="5" t="str">
        <f>IF(C38="","OK","ADA MASALAH")</f>
        <v>#ERROR!</v>
      </c>
    </row>
    <row r="39">
      <c r="A39" s="4">
        <v>39.0</v>
      </c>
      <c r="B39" s="5" t="str">
        <f>'PC 08'!A39</f>
        <v/>
      </c>
      <c r="C39" s="5" t="str">
        <f>IF(COUNTA('PC 08'!A39:L39)=0,"",TEXTJOIN(" | ",TRUE,IF('PC 08'!A39="","Worker ID kosong",""),IF('PC 08'!B39="","Update Date kosong",IF(NOT(ISNUMBER('PC 08'!B39)),"Update Date harus tanggal","")),IF('PC 08'!D39="","Judul kosong",""),IF('PC 08'!F39="","Genre kosong",IF(ISERROR(MATCH(TRIM('PC 08'!F39),{"Pop","Rock","Dangdut","K-Pop","Electronic","Nasional","Daerah"},0)),"Genre di luar daftar","")),IF('PC 08'!G39="","Nama Channel kosong",""),IF('PC 08'!H39="","Link kosong",IF(ISERROR(FIND("youtu",LOWER('PC 08'!H39))),"Link bukan youtube","")),IF('PC 08'!I39="","Tgl Dibuat kosong",IF(NOT(ISNUMBER('PC 08'!I39)),"Tgl Dibuat harus tanggal","")),IF(AND('PC 08'!J39&lt;&gt;"",NOT(ISNUMBER('PC 08'!J39))),"Tgl Publish harus tanggal",""),IF(AND(ISNUMBER('PC 08'!I39),ISNUMBER('PC 08'!J39),'PC 08'!J39&lt;'PC 08'!I39),"Tgl Publish &lt; Tgl Dibuat",""),IF(AND('PC 08'!K39&lt;&gt;"",ISERROR(MATCH(TRIM('PC 08'!K39),{"Draft","Menunggu Review","Revisi","Terjadwal","Publish","Batal","Published"},0))),"Status di luar daftar","")))</f>
        <v>#ERROR!</v>
      </c>
      <c r="D39" s="5" t="str">
        <f>IF(C39="","OK","ADA MASALAH")</f>
        <v>#ERROR!</v>
      </c>
    </row>
    <row r="40">
      <c r="A40" s="4">
        <v>40.0</v>
      </c>
      <c r="B40" s="5" t="str">
        <f>'PC 08'!A40</f>
        <v/>
      </c>
      <c r="C40" s="5" t="str">
        <f>IF(COUNTA('PC 08'!A40:L40)=0,"",TEXTJOIN(" | ",TRUE,IF('PC 08'!A40="","Worker ID kosong",""),IF('PC 08'!B40="","Update Date kosong",IF(NOT(ISNUMBER('PC 08'!B40)),"Update Date harus tanggal","")),IF('PC 08'!D40="","Judul kosong",""),IF('PC 08'!F40="","Genre kosong",IF(ISERROR(MATCH(TRIM('PC 08'!F40),{"Pop","Rock","Dangdut","K-Pop","Electronic","Nasional","Daerah"},0)),"Genre di luar daftar","")),IF('PC 08'!G40="","Nama Channel kosong",""),IF('PC 08'!H40="","Link kosong",IF(ISERROR(FIND("youtu",LOWER('PC 08'!H40))),"Link bukan youtube","")),IF('PC 08'!I40="","Tgl Dibuat kosong",IF(NOT(ISNUMBER('PC 08'!I40)),"Tgl Dibuat harus tanggal","")),IF(AND('PC 08'!J40&lt;&gt;"",NOT(ISNUMBER('PC 08'!J40))),"Tgl Publish harus tanggal",""),IF(AND(ISNUMBER('PC 08'!I40),ISNUMBER('PC 08'!J40),'PC 08'!J40&lt;'PC 08'!I40),"Tgl Publish &lt; Tgl Dibuat",""),IF(AND('PC 08'!K40&lt;&gt;"",ISERROR(MATCH(TRIM('PC 08'!K40),{"Draft","Menunggu Review","Revisi","Terjadwal","Publish","Batal","Published"},0))),"Status di luar daftar","")))</f>
        <v>#ERROR!</v>
      </c>
      <c r="D40" s="5" t="str">
        <f>IF(C40="","OK","ADA MASALAH")</f>
        <v>#ERROR!</v>
      </c>
    </row>
    <row r="41">
      <c r="A41" s="4">
        <v>41.0</v>
      </c>
      <c r="B41" s="5" t="str">
        <f>'PC 08'!A41</f>
        <v/>
      </c>
      <c r="C41" s="5" t="str">
        <f>IF(COUNTA('PC 08'!A41:L41)=0,"",TEXTJOIN(" | ",TRUE,IF('PC 08'!A41="","Worker ID kosong",""),IF('PC 08'!B41="","Update Date kosong",IF(NOT(ISNUMBER('PC 08'!B41)),"Update Date harus tanggal","")),IF('PC 08'!D41="","Judul kosong",""),IF('PC 08'!F41="","Genre kosong",IF(ISERROR(MATCH(TRIM('PC 08'!F41),{"Pop","Rock","Dangdut","K-Pop","Electronic","Nasional","Daerah"},0)),"Genre di luar daftar","")),IF('PC 08'!G41="","Nama Channel kosong",""),IF('PC 08'!H41="","Link kosong",IF(ISERROR(FIND("youtu",LOWER('PC 08'!H41))),"Link bukan youtube","")),IF('PC 08'!I41="","Tgl Dibuat kosong",IF(NOT(ISNUMBER('PC 08'!I41)),"Tgl Dibuat harus tanggal","")),IF(AND('PC 08'!J41&lt;&gt;"",NOT(ISNUMBER('PC 08'!J41))),"Tgl Publish harus tanggal",""),IF(AND(ISNUMBER('PC 08'!I41),ISNUMBER('PC 08'!J41),'PC 08'!J41&lt;'PC 08'!I41),"Tgl Publish &lt; Tgl Dibuat",""),IF(AND('PC 08'!K41&lt;&gt;"",ISERROR(MATCH(TRIM('PC 08'!K41),{"Draft","Menunggu Review","Revisi","Terjadwal","Publish","Batal","Published"},0))),"Status di luar daftar","")))</f>
        <v>#ERROR!</v>
      </c>
      <c r="D41" s="5" t="str">
        <f>IF(C41="","OK","ADA MASALAH")</f>
        <v>#ERROR!</v>
      </c>
    </row>
    <row r="42">
      <c r="A42" s="4">
        <v>42.0</v>
      </c>
      <c r="B42" s="5" t="str">
        <f>'PC 08'!A42</f>
        <v/>
      </c>
      <c r="C42" s="5" t="str">
        <f>IF(COUNTA('PC 08'!A42:L42)=0,"",TEXTJOIN(" | ",TRUE,IF('PC 08'!A42="","Worker ID kosong",""),IF('PC 08'!B42="","Update Date kosong",IF(NOT(ISNUMBER('PC 08'!B42)),"Update Date harus tanggal","")),IF('PC 08'!D42="","Judul kosong",""),IF('PC 08'!F42="","Genre kosong",IF(ISERROR(MATCH(TRIM('PC 08'!F42),{"Pop","Rock","Dangdut","K-Pop","Electronic","Nasional","Daerah"},0)),"Genre di luar daftar","")),IF('PC 08'!G42="","Nama Channel kosong",""),IF('PC 08'!H42="","Link kosong",IF(ISERROR(FIND("youtu",LOWER('PC 08'!H42))),"Link bukan youtube","")),IF('PC 08'!I42="","Tgl Dibuat kosong",IF(NOT(ISNUMBER('PC 08'!I42)),"Tgl Dibuat harus tanggal","")),IF(AND('PC 08'!J42&lt;&gt;"",NOT(ISNUMBER('PC 08'!J42))),"Tgl Publish harus tanggal",""),IF(AND(ISNUMBER('PC 08'!I42),ISNUMBER('PC 08'!J42),'PC 08'!J42&lt;'PC 08'!I42),"Tgl Publish &lt; Tgl Dibuat",""),IF(AND('PC 08'!K42&lt;&gt;"",ISERROR(MATCH(TRIM('PC 08'!K42),{"Draft","Menunggu Review","Revisi","Terjadwal","Publish","Batal","Published"},0))),"Status di luar daftar","")))</f>
        <v>#ERROR!</v>
      </c>
      <c r="D42" s="5" t="str">
        <f>IF(C42="","OK","ADA MASALAH")</f>
        <v>#ERROR!</v>
      </c>
    </row>
    <row r="43">
      <c r="A43" s="4">
        <v>43.0</v>
      </c>
      <c r="B43" s="5" t="str">
        <f>'PC 08'!A43</f>
        <v/>
      </c>
      <c r="C43" s="5" t="str">
        <f>IF(COUNTA('PC 08'!A43:L43)=0,"",TEXTJOIN(" | ",TRUE,IF('PC 08'!A43="","Worker ID kosong",""),IF('PC 08'!B43="","Update Date kosong",IF(NOT(ISNUMBER('PC 08'!B43)),"Update Date harus tanggal","")),IF('PC 08'!D43="","Judul kosong",""),IF('PC 08'!F43="","Genre kosong",IF(ISERROR(MATCH(TRIM('PC 08'!F43),{"Pop","Rock","Dangdut","K-Pop","Electronic","Nasional","Daerah"},0)),"Genre di luar daftar","")),IF('PC 08'!G43="","Nama Channel kosong",""),IF('PC 08'!H43="","Link kosong",IF(ISERROR(FIND("youtu",LOWER('PC 08'!H43))),"Link bukan youtube","")),IF('PC 08'!I43="","Tgl Dibuat kosong",IF(NOT(ISNUMBER('PC 08'!I43)),"Tgl Dibuat harus tanggal","")),IF(AND('PC 08'!J43&lt;&gt;"",NOT(ISNUMBER('PC 08'!J43))),"Tgl Publish harus tanggal",""),IF(AND(ISNUMBER('PC 08'!I43),ISNUMBER('PC 08'!J43),'PC 08'!J43&lt;'PC 08'!I43),"Tgl Publish &lt; Tgl Dibuat",""),IF(AND('PC 08'!K43&lt;&gt;"",ISERROR(MATCH(TRIM('PC 08'!K43),{"Draft","Menunggu Review","Revisi","Terjadwal","Publish","Batal","Published"},0))),"Status di luar daftar","")))</f>
        <v>#ERROR!</v>
      </c>
      <c r="D43" s="5" t="str">
        <f>IF(C43="","OK","ADA MASALAH")</f>
        <v>#ERROR!</v>
      </c>
    </row>
    <row r="44">
      <c r="A44" s="4">
        <v>44.0</v>
      </c>
      <c r="B44" s="5" t="str">
        <f>'PC 08'!A44</f>
        <v/>
      </c>
      <c r="C44" s="5" t="str">
        <f>IF(COUNTA('PC 08'!A44:L44)=0,"",TEXTJOIN(" | ",TRUE,IF('PC 08'!A44="","Worker ID kosong",""),IF('PC 08'!B44="","Update Date kosong",IF(NOT(ISNUMBER('PC 08'!B44)),"Update Date harus tanggal","")),IF('PC 08'!D44="","Judul kosong",""),IF('PC 08'!F44="","Genre kosong",IF(ISERROR(MATCH(TRIM('PC 08'!F44),{"Pop","Rock","Dangdut","K-Pop","Electronic","Nasional","Daerah"},0)),"Genre di luar daftar","")),IF('PC 08'!G44="","Nama Channel kosong",""),IF('PC 08'!H44="","Link kosong",IF(ISERROR(FIND("youtu",LOWER('PC 08'!H44))),"Link bukan youtube","")),IF('PC 08'!I44="","Tgl Dibuat kosong",IF(NOT(ISNUMBER('PC 08'!I44)),"Tgl Dibuat harus tanggal","")),IF(AND('PC 08'!J44&lt;&gt;"",NOT(ISNUMBER('PC 08'!J44))),"Tgl Publish harus tanggal",""),IF(AND(ISNUMBER('PC 08'!I44),ISNUMBER('PC 08'!J44),'PC 08'!J44&lt;'PC 08'!I44),"Tgl Publish &lt; Tgl Dibuat",""),IF(AND('PC 08'!K44&lt;&gt;"",ISERROR(MATCH(TRIM('PC 08'!K44),{"Draft","Menunggu Review","Revisi","Terjadwal","Publish","Batal","Published"},0))),"Status di luar daftar","")))</f>
        <v>#ERROR!</v>
      </c>
      <c r="D44" s="5" t="str">
        <f>IF(C44="","OK","ADA MASALAH")</f>
        <v>#ERROR!</v>
      </c>
    </row>
    <row r="45">
      <c r="A45" s="4">
        <v>45.0</v>
      </c>
      <c r="B45" s="5" t="str">
        <f>'PC 08'!A45</f>
        <v/>
      </c>
      <c r="C45" s="5" t="str">
        <f>IF(COUNTA('PC 08'!A45:L45)=0,"",TEXTJOIN(" | ",TRUE,IF('PC 08'!A45="","Worker ID kosong",""),IF('PC 08'!B45="","Update Date kosong",IF(NOT(ISNUMBER('PC 08'!B45)),"Update Date harus tanggal","")),IF('PC 08'!D45="","Judul kosong",""),IF('PC 08'!F45="","Genre kosong",IF(ISERROR(MATCH(TRIM('PC 08'!F45),{"Pop","Rock","Dangdut","K-Pop","Electronic","Nasional","Daerah"},0)),"Genre di luar daftar","")),IF('PC 08'!G45="","Nama Channel kosong",""),IF('PC 08'!H45="","Link kosong",IF(ISERROR(FIND("youtu",LOWER('PC 08'!H45))),"Link bukan youtube","")),IF('PC 08'!I45="","Tgl Dibuat kosong",IF(NOT(ISNUMBER('PC 08'!I45)),"Tgl Dibuat harus tanggal","")),IF(AND('PC 08'!J45&lt;&gt;"",NOT(ISNUMBER('PC 08'!J45))),"Tgl Publish harus tanggal",""),IF(AND(ISNUMBER('PC 08'!I45),ISNUMBER('PC 08'!J45),'PC 08'!J45&lt;'PC 08'!I45),"Tgl Publish &lt; Tgl Dibuat",""),IF(AND('PC 08'!K45&lt;&gt;"",ISERROR(MATCH(TRIM('PC 08'!K45),{"Draft","Menunggu Review","Revisi","Terjadwal","Publish","Batal","Published"},0))),"Status di luar daftar","")))</f>
        <v>#ERROR!</v>
      </c>
      <c r="D45" s="5" t="str">
        <f>IF(C45="","OK","ADA MASALAH")</f>
        <v>#ERROR!</v>
      </c>
    </row>
    <row r="46">
      <c r="A46" s="4">
        <v>46.0</v>
      </c>
      <c r="B46" s="5" t="str">
        <f>'PC 08'!A46</f>
        <v/>
      </c>
      <c r="C46" s="5" t="str">
        <f>IF(COUNTA('PC 08'!A46:L46)=0,"",TEXTJOIN(" | ",TRUE,IF('PC 08'!A46="","Worker ID kosong",""),IF('PC 08'!B46="","Update Date kosong",IF(NOT(ISNUMBER('PC 08'!B46)),"Update Date harus tanggal","")),IF('PC 08'!D46="","Judul kosong",""),IF('PC 08'!F46="","Genre kosong",IF(ISERROR(MATCH(TRIM('PC 08'!F46),{"Pop","Rock","Dangdut","K-Pop","Electronic","Nasional","Daerah"},0)),"Genre di luar daftar","")),IF('PC 08'!G46="","Nama Channel kosong",""),IF('PC 08'!H46="","Link kosong",IF(ISERROR(FIND("youtu",LOWER('PC 08'!H46))),"Link bukan youtube","")),IF('PC 08'!I46="","Tgl Dibuat kosong",IF(NOT(ISNUMBER('PC 08'!I46)),"Tgl Dibuat harus tanggal","")),IF(AND('PC 08'!J46&lt;&gt;"",NOT(ISNUMBER('PC 08'!J46))),"Tgl Publish harus tanggal",""),IF(AND(ISNUMBER('PC 08'!I46),ISNUMBER('PC 08'!J46),'PC 08'!J46&lt;'PC 08'!I46),"Tgl Publish &lt; Tgl Dibuat",""),IF(AND('PC 08'!K46&lt;&gt;"",ISERROR(MATCH(TRIM('PC 08'!K46),{"Draft","Menunggu Review","Revisi","Terjadwal","Publish","Batal","Published"},0))),"Status di luar daftar","")))</f>
        <v>#ERROR!</v>
      </c>
      <c r="D46" s="5" t="str">
        <f>IF(C46="","OK","ADA MASALAH")</f>
        <v>#ERROR!</v>
      </c>
    </row>
    <row r="47">
      <c r="A47" s="4">
        <v>47.0</v>
      </c>
      <c r="B47" s="5" t="str">
        <f>'PC 08'!A47</f>
        <v/>
      </c>
      <c r="C47" s="5" t="str">
        <f>IF(COUNTA('PC 08'!A47:L47)=0,"",TEXTJOIN(" | ",TRUE,IF('PC 08'!A47="","Worker ID kosong",""),IF('PC 08'!B47="","Update Date kosong",IF(NOT(ISNUMBER('PC 08'!B47)),"Update Date harus tanggal","")),IF('PC 08'!D47="","Judul kosong",""),IF('PC 08'!F47="","Genre kosong",IF(ISERROR(MATCH(TRIM('PC 08'!F47),{"Pop","Rock","Dangdut","K-Pop","Electronic","Nasional","Daerah"},0)),"Genre di luar daftar","")),IF('PC 08'!G47="","Nama Channel kosong",""),IF('PC 08'!H47="","Link kosong",IF(ISERROR(FIND("youtu",LOWER('PC 08'!H47))),"Link bukan youtube","")),IF('PC 08'!I47="","Tgl Dibuat kosong",IF(NOT(ISNUMBER('PC 08'!I47)),"Tgl Dibuat harus tanggal","")),IF(AND('PC 08'!J47&lt;&gt;"",NOT(ISNUMBER('PC 08'!J47))),"Tgl Publish harus tanggal",""),IF(AND(ISNUMBER('PC 08'!I47),ISNUMBER('PC 08'!J47),'PC 08'!J47&lt;'PC 08'!I47),"Tgl Publish &lt; Tgl Dibuat",""),IF(AND('PC 08'!K47&lt;&gt;"",ISERROR(MATCH(TRIM('PC 08'!K47),{"Draft","Menunggu Review","Revisi","Terjadwal","Publish","Batal","Published"},0))),"Status di luar daftar","")))</f>
        <v>#ERROR!</v>
      </c>
      <c r="D47" s="5" t="str">
        <f>IF(C47="","OK","ADA MASALAH")</f>
        <v>#ERROR!</v>
      </c>
    </row>
    <row r="48">
      <c r="A48" s="4">
        <v>48.0</v>
      </c>
      <c r="B48" s="5" t="str">
        <f>'PC 08'!A48</f>
        <v/>
      </c>
      <c r="C48" s="5" t="str">
        <f>IF(COUNTA('PC 08'!A48:L48)=0,"",TEXTJOIN(" | ",TRUE,IF('PC 08'!A48="","Worker ID kosong",""),IF('PC 08'!B48="","Update Date kosong",IF(NOT(ISNUMBER('PC 08'!B48)),"Update Date harus tanggal","")),IF('PC 08'!D48="","Judul kosong",""),IF('PC 08'!F48="","Genre kosong",IF(ISERROR(MATCH(TRIM('PC 08'!F48),{"Pop","Rock","Dangdut","K-Pop","Electronic","Nasional","Daerah"},0)),"Genre di luar daftar","")),IF('PC 08'!G48="","Nama Channel kosong",""),IF('PC 08'!H48="","Link kosong",IF(ISERROR(FIND("youtu",LOWER('PC 08'!H48))),"Link bukan youtube","")),IF('PC 08'!I48="","Tgl Dibuat kosong",IF(NOT(ISNUMBER('PC 08'!I48)),"Tgl Dibuat harus tanggal","")),IF(AND('PC 08'!J48&lt;&gt;"",NOT(ISNUMBER('PC 08'!J48))),"Tgl Publish harus tanggal",""),IF(AND(ISNUMBER('PC 08'!I48),ISNUMBER('PC 08'!J48),'PC 08'!J48&lt;'PC 08'!I48),"Tgl Publish &lt; Tgl Dibuat",""),IF(AND('PC 08'!K48&lt;&gt;"",ISERROR(MATCH(TRIM('PC 08'!K48),{"Draft","Menunggu Review","Revisi","Terjadwal","Publish","Batal","Published"},0))),"Status di luar daftar","")))</f>
        <v>#ERROR!</v>
      </c>
      <c r="D48" s="5" t="str">
        <f>IF(C48="","OK","ADA MASALAH")</f>
        <v>#ERROR!</v>
      </c>
    </row>
    <row r="49">
      <c r="A49" s="4">
        <v>49.0</v>
      </c>
      <c r="B49" s="5" t="str">
        <f>'PC 08'!A49</f>
        <v/>
      </c>
      <c r="C49" s="5" t="str">
        <f>IF(COUNTA('PC 08'!A49:L49)=0,"",TEXTJOIN(" | ",TRUE,IF('PC 08'!A49="","Worker ID kosong",""),IF('PC 08'!B49="","Update Date kosong",IF(NOT(ISNUMBER('PC 08'!B49)),"Update Date harus tanggal","")),IF('PC 08'!D49="","Judul kosong",""),IF('PC 08'!F49="","Genre kosong",IF(ISERROR(MATCH(TRIM('PC 08'!F49),{"Pop","Rock","Dangdut","K-Pop","Electronic","Nasional","Daerah"},0)),"Genre di luar daftar","")),IF('PC 08'!G49="","Nama Channel kosong",""),IF('PC 08'!H49="","Link kosong",IF(ISERROR(FIND("youtu",LOWER('PC 08'!H49))),"Link bukan youtube","")),IF('PC 08'!I49="","Tgl Dibuat kosong",IF(NOT(ISNUMBER('PC 08'!I49)),"Tgl Dibuat harus tanggal","")),IF(AND('PC 08'!J49&lt;&gt;"",NOT(ISNUMBER('PC 08'!J49))),"Tgl Publish harus tanggal",""),IF(AND(ISNUMBER('PC 08'!I49),ISNUMBER('PC 08'!J49),'PC 08'!J49&lt;'PC 08'!I49),"Tgl Publish &lt; Tgl Dibuat",""),IF(AND('PC 08'!K49&lt;&gt;"",ISERROR(MATCH(TRIM('PC 08'!K49),{"Draft","Menunggu Review","Revisi","Terjadwal","Publish","Batal","Published"},0))),"Status di luar daftar","")))</f>
        <v>#ERROR!</v>
      </c>
      <c r="D49" s="5" t="str">
        <f>IF(C49="","OK","ADA MASALAH")</f>
        <v>#ERROR!</v>
      </c>
    </row>
    <row r="50">
      <c r="A50" s="4">
        <v>50.0</v>
      </c>
      <c r="B50" s="5" t="str">
        <f>'PC 08'!A50</f>
        <v/>
      </c>
      <c r="C50" s="5" t="str">
        <f>IF(COUNTA('PC 08'!A50:L50)=0,"",TEXTJOIN(" | ",TRUE,IF('PC 08'!A50="","Worker ID kosong",""),IF('PC 08'!B50="","Update Date kosong",IF(NOT(ISNUMBER('PC 08'!B50)),"Update Date harus tanggal","")),IF('PC 08'!D50="","Judul kosong",""),IF('PC 08'!F50="","Genre kosong",IF(ISERROR(MATCH(TRIM('PC 08'!F50),{"Pop","Rock","Dangdut","K-Pop","Electronic","Nasional","Daerah"},0)),"Genre di luar daftar","")),IF('PC 08'!G50="","Nama Channel kosong",""),IF('PC 08'!H50="","Link kosong",IF(ISERROR(FIND("youtu",LOWER('PC 08'!H50))),"Link bukan youtube","")),IF('PC 08'!I50="","Tgl Dibuat kosong",IF(NOT(ISNUMBER('PC 08'!I50)),"Tgl Dibuat harus tanggal","")),IF(AND('PC 08'!J50&lt;&gt;"",NOT(ISNUMBER('PC 08'!J50))),"Tgl Publish harus tanggal",""),IF(AND(ISNUMBER('PC 08'!I50),ISNUMBER('PC 08'!J50),'PC 08'!J50&lt;'PC 08'!I50),"Tgl Publish &lt; Tgl Dibuat",""),IF(AND('PC 08'!K50&lt;&gt;"",ISERROR(MATCH(TRIM('PC 08'!K50),{"Draft","Menunggu Review","Revisi","Terjadwal","Publish","Batal","Published"},0))),"Status di luar daftar","")))</f>
        <v>#ERROR!</v>
      </c>
      <c r="D50" s="5" t="str">
        <f>IF(C50="","OK","ADA MASALAH")</f>
        <v>#ERROR!</v>
      </c>
    </row>
    <row r="51">
      <c r="A51" s="4">
        <v>51.0</v>
      </c>
      <c r="B51" s="5" t="str">
        <f>'PC 08'!A51</f>
        <v/>
      </c>
      <c r="C51" s="5" t="str">
        <f>IF(COUNTA('PC 08'!A51:L51)=0,"",TEXTJOIN(" | ",TRUE,IF('PC 08'!A51="","Worker ID kosong",""),IF('PC 08'!B51="","Update Date kosong",IF(NOT(ISNUMBER('PC 08'!B51)),"Update Date harus tanggal","")),IF('PC 08'!D51="","Judul kosong",""),IF('PC 08'!F51="","Genre kosong",IF(ISERROR(MATCH(TRIM('PC 08'!F51),{"Pop","Rock","Dangdut","K-Pop","Electronic","Nasional","Daerah"},0)),"Genre di luar daftar","")),IF('PC 08'!G51="","Nama Channel kosong",""),IF('PC 08'!H51="","Link kosong",IF(ISERROR(FIND("youtu",LOWER('PC 08'!H51))),"Link bukan youtube","")),IF('PC 08'!I51="","Tgl Dibuat kosong",IF(NOT(ISNUMBER('PC 08'!I51)),"Tgl Dibuat harus tanggal","")),IF(AND('PC 08'!J51&lt;&gt;"",NOT(ISNUMBER('PC 08'!J51))),"Tgl Publish harus tanggal",""),IF(AND(ISNUMBER('PC 08'!I51),ISNUMBER('PC 08'!J51),'PC 08'!J51&lt;'PC 08'!I51),"Tgl Publish &lt; Tgl Dibuat",""),IF(AND('PC 08'!K51&lt;&gt;"",ISERROR(MATCH(TRIM('PC 08'!K51),{"Draft","Menunggu Review","Revisi","Terjadwal","Publish","Batal","Published"},0))),"Status di luar daftar","")))</f>
        <v>#ERROR!</v>
      </c>
      <c r="D51" s="5" t="str">
        <f>IF(C51="","OK","ADA MASALAH")</f>
        <v>#ERROR!</v>
      </c>
    </row>
    <row r="52">
      <c r="A52" s="4">
        <v>52.0</v>
      </c>
      <c r="B52" s="5" t="str">
        <f>'PC 08'!A52</f>
        <v/>
      </c>
      <c r="C52" s="5" t="str">
        <f>IF(COUNTA('PC 08'!A52:L52)=0,"",TEXTJOIN(" | ",TRUE,IF('PC 08'!A52="","Worker ID kosong",""),IF('PC 08'!B52="","Update Date kosong",IF(NOT(ISNUMBER('PC 08'!B52)),"Update Date harus tanggal","")),IF('PC 08'!D52="","Judul kosong",""),IF('PC 08'!F52="","Genre kosong",IF(ISERROR(MATCH(TRIM('PC 08'!F52),{"Pop","Rock","Dangdut","K-Pop","Electronic","Nasional","Daerah"},0)),"Genre di luar daftar","")),IF('PC 08'!G52="","Nama Channel kosong",""),IF('PC 08'!H52="","Link kosong",IF(ISERROR(FIND("youtu",LOWER('PC 08'!H52))),"Link bukan youtube","")),IF('PC 08'!I52="","Tgl Dibuat kosong",IF(NOT(ISNUMBER('PC 08'!I52)),"Tgl Dibuat harus tanggal","")),IF(AND('PC 08'!J52&lt;&gt;"",NOT(ISNUMBER('PC 08'!J52))),"Tgl Publish harus tanggal",""),IF(AND(ISNUMBER('PC 08'!I52),ISNUMBER('PC 08'!J52),'PC 08'!J52&lt;'PC 08'!I52),"Tgl Publish &lt; Tgl Dibuat",""),IF(AND('PC 08'!K52&lt;&gt;"",ISERROR(MATCH(TRIM('PC 08'!K52),{"Draft","Menunggu Review","Revisi","Terjadwal","Publish","Batal","Published"},0))),"Status di luar daftar","")))</f>
        <v>#ERROR!</v>
      </c>
      <c r="D52" s="5" t="str">
        <f>IF(C52="","OK","ADA MASALAH")</f>
        <v>#ERROR!</v>
      </c>
    </row>
    <row r="53">
      <c r="A53" s="4">
        <v>53.0</v>
      </c>
      <c r="B53" s="5" t="str">
        <f>'PC 08'!A53</f>
        <v/>
      </c>
      <c r="C53" s="5" t="str">
        <f>IF(COUNTA('PC 08'!A53:L53)=0,"",TEXTJOIN(" | ",TRUE,IF('PC 08'!A53="","Worker ID kosong",""),IF('PC 08'!B53="","Update Date kosong",IF(NOT(ISNUMBER('PC 08'!B53)),"Update Date harus tanggal","")),IF('PC 08'!D53="","Judul kosong",""),IF('PC 08'!F53="","Genre kosong",IF(ISERROR(MATCH(TRIM('PC 08'!F53),{"Pop","Rock","Dangdut","K-Pop","Electronic","Nasional","Daerah"},0)),"Genre di luar daftar","")),IF('PC 08'!G53="","Nama Channel kosong",""),IF('PC 08'!H53="","Link kosong",IF(ISERROR(FIND("youtu",LOWER('PC 08'!H53))),"Link bukan youtube","")),IF('PC 08'!I53="","Tgl Dibuat kosong",IF(NOT(ISNUMBER('PC 08'!I53)),"Tgl Dibuat harus tanggal","")),IF(AND('PC 08'!J53&lt;&gt;"",NOT(ISNUMBER('PC 08'!J53))),"Tgl Publish harus tanggal",""),IF(AND(ISNUMBER('PC 08'!I53),ISNUMBER('PC 08'!J53),'PC 08'!J53&lt;'PC 08'!I53),"Tgl Publish &lt; Tgl Dibuat",""),IF(AND('PC 08'!K53&lt;&gt;"",ISERROR(MATCH(TRIM('PC 08'!K53),{"Draft","Menunggu Review","Revisi","Terjadwal","Publish","Batal","Published"},0))),"Status di luar daftar","")))</f>
        <v>#ERROR!</v>
      </c>
      <c r="D53" s="5" t="str">
        <f>IF(C53="","OK","ADA MASALAH")</f>
        <v>#ERROR!</v>
      </c>
    </row>
    <row r="54">
      <c r="A54" s="4">
        <v>54.0</v>
      </c>
      <c r="B54" s="5" t="str">
        <f>'PC 08'!A54</f>
        <v/>
      </c>
      <c r="C54" s="5" t="str">
        <f>IF(COUNTA('PC 08'!A54:L54)=0,"",TEXTJOIN(" | ",TRUE,IF('PC 08'!A54="","Worker ID kosong",""),IF('PC 08'!B54="","Update Date kosong",IF(NOT(ISNUMBER('PC 08'!B54)),"Update Date harus tanggal","")),IF('PC 08'!D54="","Judul kosong",""),IF('PC 08'!F54="","Genre kosong",IF(ISERROR(MATCH(TRIM('PC 08'!F54),{"Pop","Rock","Dangdut","K-Pop","Electronic","Nasional","Daerah"},0)),"Genre di luar daftar","")),IF('PC 08'!G54="","Nama Channel kosong",""),IF('PC 08'!H54="","Link kosong",IF(ISERROR(FIND("youtu",LOWER('PC 08'!H54))),"Link bukan youtube","")),IF('PC 08'!I54="","Tgl Dibuat kosong",IF(NOT(ISNUMBER('PC 08'!I54)),"Tgl Dibuat harus tanggal","")),IF(AND('PC 08'!J54&lt;&gt;"",NOT(ISNUMBER('PC 08'!J54))),"Tgl Publish harus tanggal",""),IF(AND(ISNUMBER('PC 08'!I54),ISNUMBER('PC 08'!J54),'PC 08'!J54&lt;'PC 08'!I54),"Tgl Publish &lt; Tgl Dibuat",""),IF(AND('PC 08'!K54&lt;&gt;"",ISERROR(MATCH(TRIM('PC 08'!K54),{"Draft","Menunggu Review","Revisi","Terjadwal","Publish","Batal","Published"},0))),"Status di luar daftar","")))</f>
        <v>#ERROR!</v>
      </c>
      <c r="D54" s="5" t="str">
        <f>IF(C54="","OK","ADA MASALAH")</f>
        <v>#ERROR!</v>
      </c>
    </row>
    <row r="55">
      <c r="A55" s="4">
        <v>55.0</v>
      </c>
      <c r="B55" s="5" t="str">
        <f>'PC 08'!A55</f>
        <v/>
      </c>
      <c r="C55" s="5" t="str">
        <f>IF(COUNTA('PC 08'!A55:L55)=0,"",TEXTJOIN(" | ",TRUE,IF('PC 08'!A55="","Worker ID kosong",""),IF('PC 08'!B55="","Update Date kosong",IF(NOT(ISNUMBER('PC 08'!B55)),"Update Date harus tanggal","")),IF('PC 08'!D55="","Judul kosong",""),IF('PC 08'!F55="","Genre kosong",IF(ISERROR(MATCH(TRIM('PC 08'!F55),{"Pop","Rock","Dangdut","K-Pop","Electronic","Nasional","Daerah"},0)),"Genre di luar daftar","")),IF('PC 08'!G55="","Nama Channel kosong",""),IF('PC 08'!H55="","Link kosong",IF(ISERROR(FIND("youtu",LOWER('PC 08'!H55))),"Link bukan youtube","")),IF('PC 08'!I55="","Tgl Dibuat kosong",IF(NOT(ISNUMBER('PC 08'!I55)),"Tgl Dibuat harus tanggal","")),IF(AND('PC 08'!J55&lt;&gt;"",NOT(ISNUMBER('PC 08'!J55))),"Tgl Publish harus tanggal",""),IF(AND(ISNUMBER('PC 08'!I55),ISNUMBER('PC 08'!J55),'PC 08'!J55&lt;'PC 08'!I55),"Tgl Publish &lt; Tgl Dibuat",""),IF(AND('PC 08'!K55&lt;&gt;"",ISERROR(MATCH(TRIM('PC 08'!K55),{"Draft","Menunggu Review","Revisi","Terjadwal","Publish","Batal","Published"},0))),"Status di luar daftar","")))</f>
        <v>#ERROR!</v>
      </c>
      <c r="D55" s="5" t="str">
        <f>IF(C55="","OK","ADA MASALAH")</f>
        <v>#ERROR!</v>
      </c>
    </row>
    <row r="56">
      <c r="A56" s="4">
        <v>56.0</v>
      </c>
      <c r="B56" s="5" t="str">
        <f>'PC 08'!A56</f>
        <v/>
      </c>
      <c r="C56" s="5" t="str">
        <f>IF(COUNTA('PC 08'!A56:L56)=0,"",TEXTJOIN(" | ",TRUE,IF('PC 08'!A56="","Worker ID kosong",""),IF('PC 08'!B56="","Update Date kosong",IF(NOT(ISNUMBER('PC 08'!B56)),"Update Date harus tanggal","")),IF('PC 08'!D56="","Judul kosong",""),IF('PC 08'!F56="","Genre kosong",IF(ISERROR(MATCH(TRIM('PC 08'!F56),{"Pop","Rock","Dangdut","K-Pop","Electronic","Nasional","Daerah"},0)),"Genre di luar daftar","")),IF('PC 08'!G56="","Nama Channel kosong",""),IF('PC 08'!H56="","Link kosong",IF(ISERROR(FIND("youtu",LOWER('PC 08'!H56))),"Link bukan youtube","")),IF('PC 08'!I56="","Tgl Dibuat kosong",IF(NOT(ISNUMBER('PC 08'!I56)),"Tgl Dibuat harus tanggal","")),IF(AND('PC 08'!J56&lt;&gt;"",NOT(ISNUMBER('PC 08'!J56))),"Tgl Publish harus tanggal",""),IF(AND(ISNUMBER('PC 08'!I56),ISNUMBER('PC 08'!J56),'PC 08'!J56&lt;'PC 08'!I56),"Tgl Publish &lt; Tgl Dibuat",""),IF(AND('PC 08'!K56&lt;&gt;"",ISERROR(MATCH(TRIM('PC 08'!K56),{"Draft","Menunggu Review","Revisi","Terjadwal","Publish","Batal","Published"},0))),"Status di luar daftar","")))</f>
        <v>#ERROR!</v>
      </c>
      <c r="D56" s="5" t="str">
        <f>IF(C56="","OK","ADA MASALAH")</f>
        <v>#ERROR!</v>
      </c>
    </row>
    <row r="57">
      <c r="A57" s="4">
        <v>57.0</v>
      </c>
      <c r="B57" s="5" t="str">
        <f>'PC 08'!A57</f>
        <v/>
      </c>
      <c r="C57" s="5" t="str">
        <f>IF(COUNTA('PC 08'!A57:L57)=0,"",TEXTJOIN(" | ",TRUE,IF('PC 08'!A57="","Worker ID kosong",""),IF('PC 08'!B57="","Update Date kosong",IF(NOT(ISNUMBER('PC 08'!B57)),"Update Date harus tanggal","")),IF('PC 08'!D57="","Judul kosong",""),IF('PC 08'!F57="","Genre kosong",IF(ISERROR(MATCH(TRIM('PC 08'!F57),{"Pop","Rock","Dangdut","K-Pop","Electronic","Nasional","Daerah"},0)),"Genre di luar daftar","")),IF('PC 08'!G57="","Nama Channel kosong",""),IF('PC 08'!H57="","Link kosong",IF(ISERROR(FIND("youtu",LOWER('PC 08'!H57))),"Link bukan youtube","")),IF('PC 08'!I57="","Tgl Dibuat kosong",IF(NOT(ISNUMBER('PC 08'!I57)),"Tgl Dibuat harus tanggal","")),IF(AND('PC 08'!J57&lt;&gt;"",NOT(ISNUMBER('PC 08'!J57))),"Tgl Publish harus tanggal",""),IF(AND(ISNUMBER('PC 08'!I57),ISNUMBER('PC 08'!J57),'PC 08'!J57&lt;'PC 08'!I57),"Tgl Publish &lt; Tgl Dibuat",""),IF(AND('PC 08'!K57&lt;&gt;"",ISERROR(MATCH(TRIM('PC 08'!K57),{"Draft","Menunggu Review","Revisi","Terjadwal","Publish","Batal","Published"},0))),"Status di luar daftar","")))</f>
        <v>#ERROR!</v>
      </c>
      <c r="D57" s="5" t="str">
        <f>IF(C57="","OK","ADA MASALAH")</f>
        <v>#ERROR!</v>
      </c>
    </row>
    <row r="58">
      <c r="A58" s="4">
        <v>58.0</v>
      </c>
      <c r="B58" s="5" t="str">
        <f>'PC 08'!A58</f>
        <v/>
      </c>
      <c r="C58" s="5" t="str">
        <f>IF(COUNTA('PC 08'!A58:L58)=0,"",TEXTJOIN(" | ",TRUE,IF('PC 08'!A58="","Worker ID kosong",""),IF('PC 08'!B58="","Update Date kosong",IF(NOT(ISNUMBER('PC 08'!B58)),"Update Date harus tanggal","")),IF('PC 08'!D58="","Judul kosong",""),IF('PC 08'!F58="","Genre kosong",IF(ISERROR(MATCH(TRIM('PC 08'!F58),{"Pop","Rock","Dangdut","K-Pop","Electronic","Nasional","Daerah"},0)),"Genre di luar daftar","")),IF('PC 08'!G58="","Nama Channel kosong",""),IF('PC 08'!H58="","Link kosong",IF(ISERROR(FIND("youtu",LOWER('PC 08'!H58))),"Link bukan youtube","")),IF('PC 08'!I58="","Tgl Dibuat kosong",IF(NOT(ISNUMBER('PC 08'!I58)),"Tgl Dibuat harus tanggal","")),IF(AND('PC 08'!J58&lt;&gt;"",NOT(ISNUMBER('PC 08'!J58))),"Tgl Publish harus tanggal",""),IF(AND(ISNUMBER('PC 08'!I58),ISNUMBER('PC 08'!J58),'PC 08'!J58&lt;'PC 08'!I58),"Tgl Publish &lt; Tgl Dibuat",""),IF(AND('PC 08'!K58&lt;&gt;"",ISERROR(MATCH(TRIM('PC 08'!K58),{"Draft","Menunggu Review","Revisi","Terjadwal","Publish","Batal","Published"},0))),"Status di luar daftar","")))</f>
        <v>#ERROR!</v>
      </c>
      <c r="D58" s="5" t="str">
        <f>IF(C58="","OK","ADA MASALAH")</f>
        <v>#ERROR!</v>
      </c>
    </row>
    <row r="59">
      <c r="A59" s="4">
        <v>59.0</v>
      </c>
      <c r="B59" s="5" t="str">
        <f>'PC 08'!A59</f>
        <v/>
      </c>
      <c r="C59" s="5" t="str">
        <f>IF(COUNTA('PC 08'!A59:L59)=0,"",TEXTJOIN(" | ",TRUE,IF('PC 08'!A59="","Worker ID kosong",""),IF('PC 08'!B59="","Update Date kosong",IF(NOT(ISNUMBER('PC 08'!B59)),"Update Date harus tanggal","")),IF('PC 08'!D59="","Judul kosong",""),IF('PC 08'!F59="","Genre kosong",IF(ISERROR(MATCH(TRIM('PC 08'!F59),{"Pop","Rock","Dangdut","K-Pop","Electronic","Nasional","Daerah"},0)),"Genre di luar daftar","")),IF('PC 08'!G59="","Nama Channel kosong",""),IF('PC 08'!H59="","Link kosong",IF(ISERROR(FIND("youtu",LOWER('PC 08'!H59))),"Link bukan youtube","")),IF('PC 08'!I59="","Tgl Dibuat kosong",IF(NOT(ISNUMBER('PC 08'!I59)),"Tgl Dibuat harus tanggal","")),IF(AND('PC 08'!J59&lt;&gt;"",NOT(ISNUMBER('PC 08'!J59))),"Tgl Publish harus tanggal",""),IF(AND(ISNUMBER('PC 08'!I59),ISNUMBER('PC 08'!J59),'PC 08'!J59&lt;'PC 08'!I59),"Tgl Publish &lt; Tgl Dibuat",""),IF(AND('PC 08'!K59&lt;&gt;"",ISERROR(MATCH(TRIM('PC 08'!K59),{"Draft","Menunggu Review","Revisi","Terjadwal","Publish","Batal","Published"},0))),"Status di luar daftar","")))</f>
        <v>#ERROR!</v>
      </c>
      <c r="D59" s="5" t="str">
        <f>IF(C59="","OK","ADA MASALAH")</f>
        <v>#ERROR!</v>
      </c>
    </row>
    <row r="60">
      <c r="A60" s="4">
        <v>60.0</v>
      </c>
      <c r="B60" s="5" t="str">
        <f>'PC 08'!A60</f>
        <v/>
      </c>
      <c r="C60" s="5" t="str">
        <f>IF(COUNTA('PC 08'!A60:L60)=0,"",TEXTJOIN(" | ",TRUE,IF('PC 08'!A60="","Worker ID kosong",""),IF('PC 08'!B60="","Update Date kosong",IF(NOT(ISNUMBER('PC 08'!B60)),"Update Date harus tanggal","")),IF('PC 08'!D60="","Judul kosong",""),IF('PC 08'!F60="","Genre kosong",IF(ISERROR(MATCH(TRIM('PC 08'!F60),{"Pop","Rock","Dangdut","K-Pop","Electronic","Nasional","Daerah"},0)),"Genre di luar daftar","")),IF('PC 08'!G60="","Nama Channel kosong",""),IF('PC 08'!H60="","Link kosong",IF(ISERROR(FIND("youtu",LOWER('PC 08'!H60))),"Link bukan youtube","")),IF('PC 08'!I60="","Tgl Dibuat kosong",IF(NOT(ISNUMBER('PC 08'!I60)),"Tgl Dibuat harus tanggal","")),IF(AND('PC 08'!J60&lt;&gt;"",NOT(ISNUMBER('PC 08'!J60))),"Tgl Publish harus tanggal",""),IF(AND(ISNUMBER('PC 08'!I60),ISNUMBER('PC 08'!J60),'PC 08'!J60&lt;'PC 08'!I60),"Tgl Publish &lt; Tgl Dibuat",""),IF(AND('PC 08'!K60&lt;&gt;"",ISERROR(MATCH(TRIM('PC 08'!K60),{"Draft","Menunggu Review","Revisi","Terjadwal","Publish","Batal","Published"},0))),"Status di luar daftar","")))</f>
        <v>#ERROR!</v>
      </c>
      <c r="D60" s="5" t="str">
        <f>IF(C60="","OK","ADA MASALAH")</f>
        <v>#ERROR!</v>
      </c>
    </row>
    <row r="61">
      <c r="A61" s="4">
        <v>61.0</v>
      </c>
      <c r="B61" s="5" t="str">
        <f>'PC 08'!A61</f>
        <v/>
      </c>
      <c r="C61" s="5" t="str">
        <f>IF(COUNTA('PC 08'!A61:L61)=0,"",TEXTJOIN(" | ",TRUE,IF('PC 08'!A61="","Worker ID kosong",""),IF('PC 08'!B61="","Update Date kosong",IF(NOT(ISNUMBER('PC 08'!B61)),"Update Date harus tanggal","")),IF('PC 08'!D61="","Judul kosong",""),IF('PC 08'!F61="","Genre kosong",IF(ISERROR(MATCH(TRIM('PC 08'!F61),{"Pop","Rock","Dangdut","K-Pop","Electronic","Nasional","Daerah"},0)),"Genre di luar daftar","")),IF('PC 08'!G61="","Nama Channel kosong",""),IF('PC 08'!H61="","Link kosong",IF(ISERROR(FIND("youtu",LOWER('PC 08'!H61))),"Link bukan youtube","")),IF('PC 08'!I61="","Tgl Dibuat kosong",IF(NOT(ISNUMBER('PC 08'!I61)),"Tgl Dibuat harus tanggal","")),IF(AND('PC 08'!J61&lt;&gt;"",NOT(ISNUMBER('PC 08'!J61))),"Tgl Publish harus tanggal",""),IF(AND(ISNUMBER('PC 08'!I61),ISNUMBER('PC 08'!J61),'PC 08'!J61&lt;'PC 08'!I61),"Tgl Publish &lt; Tgl Dibuat",""),IF(AND('PC 08'!K61&lt;&gt;"",ISERROR(MATCH(TRIM('PC 08'!K61),{"Draft","Menunggu Review","Revisi","Terjadwal","Publish","Batal","Published"},0))),"Status di luar daftar","")))</f>
        <v>#ERROR!</v>
      </c>
      <c r="D61" s="5" t="str">
        <f>IF(C61="","OK","ADA MASALAH")</f>
        <v>#ERROR!</v>
      </c>
    </row>
    <row r="62">
      <c r="A62" s="4">
        <v>62.0</v>
      </c>
      <c r="B62" s="5" t="str">
        <f>'PC 08'!A62</f>
        <v/>
      </c>
      <c r="C62" s="5" t="str">
        <f>IF(COUNTA('PC 08'!A62:L62)=0,"",TEXTJOIN(" | ",TRUE,IF('PC 08'!A62="","Worker ID kosong",""),IF('PC 08'!B62="","Update Date kosong",IF(NOT(ISNUMBER('PC 08'!B62)),"Update Date harus tanggal","")),IF('PC 08'!D62="","Judul kosong",""),IF('PC 08'!F62="","Genre kosong",IF(ISERROR(MATCH(TRIM('PC 08'!F62),{"Pop","Rock","Dangdut","K-Pop","Electronic","Nasional","Daerah"},0)),"Genre di luar daftar","")),IF('PC 08'!G62="","Nama Channel kosong",""),IF('PC 08'!H62="","Link kosong",IF(ISERROR(FIND("youtu",LOWER('PC 08'!H62))),"Link bukan youtube","")),IF('PC 08'!I62="","Tgl Dibuat kosong",IF(NOT(ISNUMBER('PC 08'!I62)),"Tgl Dibuat harus tanggal","")),IF(AND('PC 08'!J62&lt;&gt;"",NOT(ISNUMBER('PC 08'!J62))),"Tgl Publish harus tanggal",""),IF(AND(ISNUMBER('PC 08'!I62),ISNUMBER('PC 08'!J62),'PC 08'!J62&lt;'PC 08'!I62),"Tgl Publish &lt; Tgl Dibuat",""),IF(AND('PC 08'!K62&lt;&gt;"",ISERROR(MATCH(TRIM('PC 08'!K62),{"Draft","Menunggu Review","Revisi","Terjadwal","Publish","Batal","Published"},0))),"Status di luar daftar","")))</f>
        <v>#ERROR!</v>
      </c>
      <c r="D62" s="5" t="str">
        <f>IF(C62="","OK","ADA MASALAH")</f>
        <v>#ERROR!</v>
      </c>
    </row>
    <row r="63">
      <c r="A63" s="4">
        <v>63.0</v>
      </c>
      <c r="B63" s="5" t="str">
        <f>'PC 08'!A63</f>
        <v/>
      </c>
      <c r="C63" s="5" t="str">
        <f>IF(COUNTA('PC 08'!A63:L63)=0,"",TEXTJOIN(" | ",TRUE,IF('PC 08'!A63="","Worker ID kosong",""),IF('PC 08'!B63="","Update Date kosong",IF(NOT(ISNUMBER('PC 08'!B63)),"Update Date harus tanggal","")),IF('PC 08'!D63="","Judul kosong",""),IF('PC 08'!F63="","Genre kosong",IF(ISERROR(MATCH(TRIM('PC 08'!F63),{"Pop","Rock","Dangdut","K-Pop","Electronic","Nasional","Daerah"},0)),"Genre di luar daftar","")),IF('PC 08'!G63="","Nama Channel kosong",""),IF('PC 08'!H63="","Link kosong",IF(ISERROR(FIND("youtu",LOWER('PC 08'!H63))),"Link bukan youtube","")),IF('PC 08'!I63="","Tgl Dibuat kosong",IF(NOT(ISNUMBER('PC 08'!I63)),"Tgl Dibuat harus tanggal","")),IF(AND('PC 08'!J63&lt;&gt;"",NOT(ISNUMBER('PC 08'!J63))),"Tgl Publish harus tanggal",""),IF(AND(ISNUMBER('PC 08'!I63),ISNUMBER('PC 08'!J63),'PC 08'!J63&lt;'PC 08'!I63),"Tgl Publish &lt; Tgl Dibuat",""),IF(AND('PC 08'!K63&lt;&gt;"",ISERROR(MATCH(TRIM('PC 08'!K63),{"Draft","Menunggu Review","Revisi","Terjadwal","Publish","Batal","Published"},0))),"Status di luar daftar","")))</f>
        <v>#ERROR!</v>
      </c>
      <c r="D63" s="5" t="str">
        <f>IF(C63="","OK","ADA MASALAH")</f>
        <v>#ERROR!</v>
      </c>
    </row>
    <row r="64">
      <c r="A64" s="4">
        <v>64.0</v>
      </c>
      <c r="B64" s="5" t="str">
        <f>'PC 08'!A64</f>
        <v/>
      </c>
      <c r="C64" s="5" t="str">
        <f>IF(COUNTA('PC 08'!A64:L64)=0,"",TEXTJOIN(" | ",TRUE,IF('PC 08'!A64="","Worker ID kosong",""),IF('PC 08'!B64="","Update Date kosong",IF(NOT(ISNUMBER('PC 08'!B64)),"Update Date harus tanggal","")),IF('PC 08'!D64="","Judul kosong",""),IF('PC 08'!F64="","Genre kosong",IF(ISERROR(MATCH(TRIM('PC 08'!F64),{"Pop","Rock","Dangdut","K-Pop","Electronic","Nasional","Daerah"},0)),"Genre di luar daftar","")),IF('PC 08'!G64="","Nama Channel kosong",""),IF('PC 08'!H64="","Link kosong",IF(ISERROR(FIND("youtu",LOWER('PC 08'!H64))),"Link bukan youtube","")),IF('PC 08'!I64="","Tgl Dibuat kosong",IF(NOT(ISNUMBER('PC 08'!I64)),"Tgl Dibuat harus tanggal","")),IF(AND('PC 08'!J64&lt;&gt;"",NOT(ISNUMBER('PC 08'!J64))),"Tgl Publish harus tanggal",""),IF(AND(ISNUMBER('PC 08'!I64),ISNUMBER('PC 08'!J64),'PC 08'!J64&lt;'PC 08'!I64),"Tgl Publish &lt; Tgl Dibuat",""),IF(AND('PC 08'!K64&lt;&gt;"",ISERROR(MATCH(TRIM('PC 08'!K64),{"Draft","Menunggu Review","Revisi","Terjadwal","Publish","Batal","Published"},0))),"Status di luar daftar","")))</f>
        <v>#ERROR!</v>
      </c>
      <c r="D64" s="5" t="str">
        <f>IF(C64="","OK","ADA MASALAH")</f>
        <v>#ERROR!</v>
      </c>
    </row>
    <row r="65">
      <c r="A65" s="4">
        <v>65.0</v>
      </c>
      <c r="B65" s="5" t="str">
        <f>'PC 08'!A65</f>
        <v/>
      </c>
      <c r="C65" s="5" t="str">
        <f>IF(COUNTA('PC 08'!A65:L65)=0,"",TEXTJOIN(" | ",TRUE,IF('PC 08'!A65="","Worker ID kosong",""),IF('PC 08'!B65="","Update Date kosong",IF(NOT(ISNUMBER('PC 08'!B65)),"Update Date harus tanggal","")),IF('PC 08'!D65="","Judul kosong",""),IF('PC 08'!F65="","Genre kosong",IF(ISERROR(MATCH(TRIM('PC 08'!F65),{"Pop","Rock","Dangdut","K-Pop","Electronic","Nasional","Daerah"},0)),"Genre di luar daftar","")),IF('PC 08'!G65="","Nama Channel kosong",""),IF('PC 08'!H65="","Link kosong",IF(ISERROR(FIND("youtu",LOWER('PC 08'!H65))),"Link bukan youtube","")),IF('PC 08'!I65="","Tgl Dibuat kosong",IF(NOT(ISNUMBER('PC 08'!I65)),"Tgl Dibuat harus tanggal","")),IF(AND('PC 08'!J65&lt;&gt;"",NOT(ISNUMBER('PC 08'!J65))),"Tgl Publish harus tanggal",""),IF(AND(ISNUMBER('PC 08'!I65),ISNUMBER('PC 08'!J65),'PC 08'!J65&lt;'PC 08'!I65),"Tgl Publish &lt; Tgl Dibuat",""),IF(AND('PC 08'!K65&lt;&gt;"",ISERROR(MATCH(TRIM('PC 08'!K65),{"Draft","Menunggu Review","Revisi","Terjadwal","Publish","Batal","Published"},0))),"Status di luar daftar","")))</f>
        <v>#ERROR!</v>
      </c>
      <c r="D65" s="5" t="str">
        <f>IF(C65="","OK","ADA MASALAH")</f>
        <v>#ERROR!</v>
      </c>
    </row>
    <row r="66">
      <c r="A66" s="4">
        <v>66.0</v>
      </c>
      <c r="B66" s="5" t="str">
        <f>'PC 08'!A66</f>
        <v/>
      </c>
      <c r="C66" s="5" t="str">
        <f>IF(COUNTA('PC 08'!A66:L66)=0,"",TEXTJOIN(" | ",TRUE,IF('PC 08'!A66="","Worker ID kosong",""),IF('PC 08'!B66="","Update Date kosong",IF(NOT(ISNUMBER('PC 08'!B66)),"Update Date harus tanggal","")),IF('PC 08'!D66="","Judul kosong",""),IF('PC 08'!F66="","Genre kosong",IF(ISERROR(MATCH(TRIM('PC 08'!F66),{"Pop","Rock","Dangdut","K-Pop","Electronic","Nasional","Daerah"},0)),"Genre di luar daftar","")),IF('PC 08'!G66="","Nama Channel kosong",""),IF('PC 08'!H66="","Link kosong",IF(ISERROR(FIND("youtu",LOWER('PC 08'!H66))),"Link bukan youtube","")),IF('PC 08'!I66="","Tgl Dibuat kosong",IF(NOT(ISNUMBER('PC 08'!I66)),"Tgl Dibuat harus tanggal","")),IF(AND('PC 08'!J66&lt;&gt;"",NOT(ISNUMBER('PC 08'!J66))),"Tgl Publish harus tanggal",""),IF(AND(ISNUMBER('PC 08'!I66),ISNUMBER('PC 08'!J66),'PC 08'!J66&lt;'PC 08'!I66),"Tgl Publish &lt; Tgl Dibuat",""),IF(AND('PC 08'!K66&lt;&gt;"",ISERROR(MATCH(TRIM('PC 08'!K66),{"Draft","Menunggu Review","Revisi","Terjadwal","Publish","Batal","Published"},0))),"Status di luar daftar","")))</f>
        <v>#ERROR!</v>
      </c>
      <c r="D66" s="5" t="str">
        <f>IF(C66="","OK","ADA MASALAH")</f>
        <v>#ERROR!</v>
      </c>
    </row>
    <row r="67">
      <c r="A67" s="4">
        <v>67.0</v>
      </c>
      <c r="B67" s="5" t="str">
        <f>'PC 08'!A67</f>
        <v/>
      </c>
      <c r="C67" s="5" t="str">
        <f>IF(COUNTA('PC 08'!A67:L67)=0,"",TEXTJOIN(" | ",TRUE,IF('PC 08'!A67="","Worker ID kosong",""),IF('PC 08'!B67="","Update Date kosong",IF(NOT(ISNUMBER('PC 08'!B67)),"Update Date harus tanggal","")),IF('PC 08'!D67="","Judul kosong",""),IF('PC 08'!F67="","Genre kosong",IF(ISERROR(MATCH(TRIM('PC 08'!F67),{"Pop","Rock","Dangdut","K-Pop","Electronic","Nasional","Daerah"},0)),"Genre di luar daftar","")),IF('PC 08'!G67="","Nama Channel kosong",""),IF('PC 08'!H67="","Link kosong",IF(ISERROR(FIND("youtu",LOWER('PC 08'!H67))),"Link bukan youtube","")),IF('PC 08'!I67="","Tgl Dibuat kosong",IF(NOT(ISNUMBER('PC 08'!I67)),"Tgl Dibuat harus tanggal","")),IF(AND('PC 08'!J67&lt;&gt;"",NOT(ISNUMBER('PC 08'!J67))),"Tgl Publish harus tanggal",""),IF(AND(ISNUMBER('PC 08'!I67),ISNUMBER('PC 08'!J67),'PC 08'!J67&lt;'PC 08'!I67),"Tgl Publish &lt; Tgl Dibuat",""),IF(AND('PC 08'!K67&lt;&gt;"",ISERROR(MATCH(TRIM('PC 08'!K67),{"Draft","Menunggu Review","Revisi","Terjadwal","Publish","Batal","Published"},0))),"Status di luar daftar","")))</f>
        <v>#ERROR!</v>
      </c>
      <c r="D67" s="5" t="str">
        <f>IF(C67="","OK","ADA MASALAH")</f>
        <v>#ERROR!</v>
      </c>
    </row>
    <row r="68">
      <c r="A68" s="4">
        <v>68.0</v>
      </c>
      <c r="B68" s="5" t="str">
        <f>'PC 08'!A68</f>
        <v/>
      </c>
      <c r="C68" s="5" t="str">
        <f>IF(COUNTA('PC 08'!A68:L68)=0,"",TEXTJOIN(" | ",TRUE,IF('PC 08'!A68="","Worker ID kosong",""),IF('PC 08'!B68="","Update Date kosong",IF(NOT(ISNUMBER('PC 08'!B68)),"Update Date harus tanggal","")),IF('PC 08'!D68="","Judul kosong",""),IF('PC 08'!F68="","Genre kosong",IF(ISERROR(MATCH(TRIM('PC 08'!F68),{"Pop","Rock","Dangdut","K-Pop","Electronic","Nasional","Daerah"},0)),"Genre di luar daftar","")),IF('PC 08'!G68="","Nama Channel kosong",""),IF('PC 08'!H68="","Link kosong",IF(ISERROR(FIND("youtu",LOWER('PC 08'!H68))),"Link bukan youtube","")),IF('PC 08'!I68="","Tgl Dibuat kosong",IF(NOT(ISNUMBER('PC 08'!I68)),"Tgl Dibuat harus tanggal","")),IF(AND('PC 08'!J68&lt;&gt;"",NOT(ISNUMBER('PC 08'!J68))),"Tgl Publish harus tanggal",""),IF(AND(ISNUMBER('PC 08'!I68),ISNUMBER('PC 08'!J68),'PC 08'!J68&lt;'PC 08'!I68),"Tgl Publish &lt; Tgl Dibuat",""),IF(AND('PC 08'!K68&lt;&gt;"",ISERROR(MATCH(TRIM('PC 08'!K68),{"Draft","Menunggu Review","Revisi","Terjadwal","Publish","Batal","Published"},0))),"Status di luar daftar","")))</f>
        <v>#ERROR!</v>
      </c>
      <c r="D68" s="5" t="str">
        <f>IF(C68="","OK","ADA MASALAH")</f>
        <v>#ERROR!</v>
      </c>
    </row>
    <row r="69">
      <c r="A69" s="4">
        <v>69.0</v>
      </c>
      <c r="B69" s="5" t="str">
        <f>'PC 08'!A69</f>
        <v/>
      </c>
      <c r="C69" s="5" t="str">
        <f>IF(COUNTA('PC 08'!A69:L69)=0,"",TEXTJOIN(" | ",TRUE,IF('PC 08'!A69="","Worker ID kosong",""),IF('PC 08'!B69="","Update Date kosong",IF(NOT(ISNUMBER('PC 08'!B69)),"Update Date harus tanggal","")),IF('PC 08'!D69="","Judul kosong",""),IF('PC 08'!F69="","Genre kosong",IF(ISERROR(MATCH(TRIM('PC 08'!F69),{"Pop","Rock","Dangdut","K-Pop","Electronic","Nasional","Daerah"},0)),"Genre di luar daftar","")),IF('PC 08'!G69="","Nama Channel kosong",""),IF('PC 08'!H69="","Link kosong",IF(ISERROR(FIND("youtu",LOWER('PC 08'!H69))),"Link bukan youtube","")),IF('PC 08'!I69="","Tgl Dibuat kosong",IF(NOT(ISNUMBER('PC 08'!I69)),"Tgl Dibuat harus tanggal","")),IF(AND('PC 08'!J69&lt;&gt;"",NOT(ISNUMBER('PC 08'!J69))),"Tgl Publish harus tanggal",""),IF(AND(ISNUMBER('PC 08'!I69),ISNUMBER('PC 08'!J69),'PC 08'!J69&lt;'PC 08'!I69),"Tgl Publish &lt; Tgl Dibuat",""),IF(AND('PC 08'!K69&lt;&gt;"",ISERROR(MATCH(TRIM('PC 08'!K69),{"Draft","Menunggu Review","Revisi","Terjadwal","Publish","Batal","Published"},0))),"Status di luar daftar","")))</f>
        <v>#ERROR!</v>
      </c>
      <c r="D69" s="5" t="str">
        <f>IF(C69="","OK","ADA MASALAH")</f>
        <v>#ERROR!</v>
      </c>
    </row>
    <row r="70">
      <c r="A70" s="4">
        <v>70.0</v>
      </c>
      <c r="B70" s="5" t="str">
        <f>'PC 08'!A70</f>
        <v/>
      </c>
      <c r="C70" s="5" t="str">
        <f>IF(COUNTA('PC 08'!A70:L70)=0,"",TEXTJOIN(" | ",TRUE,IF('PC 08'!A70="","Worker ID kosong",""),IF('PC 08'!B70="","Update Date kosong",IF(NOT(ISNUMBER('PC 08'!B70)),"Update Date harus tanggal","")),IF('PC 08'!D70="","Judul kosong",""),IF('PC 08'!F70="","Genre kosong",IF(ISERROR(MATCH(TRIM('PC 08'!F70),{"Pop","Rock","Dangdut","K-Pop","Electronic","Nasional","Daerah"},0)),"Genre di luar daftar","")),IF('PC 08'!G70="","Nama Channel kosong",""),IF('PC 08'!H70="","Link kosong",IF(ISERROR(FIND("youtu",LOWER('PC 08'!H70))),"Link bukan youtube","")),IF('PC 08'!I70="","Tgl Dibuat kosong",IF(NOT(ISNUMBER('PC 08'!I70)),"Tgl Dibuat harus tanggal","")),IF(AND('PC 08'!J70&lt;&gt;"",NOT(ISNUMBER('PC 08'!J70))),"Tgl Publish harus tanggal",""),IF(AND(ISNUMBER('PC 08'!I70),ISNUMBER('PC 08'!J70),'PC 08'!J70&lt;'PC 08'!I70),"Tgl Publish &lt; Tgl Dibuat",""),IF(AND('PC 08'!K70&lt;&gt;"",ISERROR(MATCH(TRIM('PC 08'!K70),{"Draft","Menunggu Review","Revisi","Terjadwal","Publish","Batal","Published"},0))),"Status di luar daftar","")))</f>
        <v>#ERROR!</v>
      </c>
      <c r="D70" s="5" t="str">
        <f>IF(C70="","OK","ADA MASALAH")</f>
        <v>#ERROR!</v>
      </c>
    </row>
    <row r="71">
      <c r="A71" s="4">
        <v>71.0</v>
      </c>
      <c r="B71" s="5" t="str">
        <f>'PC 08'!A71</f>
        <v/>
      </c>
      <c r="C71" s="5" t="str">
        <f>IF(COUNTA('PC 08'!A71:L71)=0,"",TEXTJOIN(" | ",TRUE,IF('PC 08'!A71="","Worker ID kosong",""),IF('PC 08'!B71="","Update Date kosong",IF(NOT(ISNUMBER('PC 08'!B71)),"Update Date harus tanggal","")),IF('PC 08'!D71="","Judul kosong",""),IF('PC 08'!F71="","Genre kosong",IF(ISERROR(MATCH(TRIM('PC 08'!F71),{"Pop","Rock","Dangdut","K-Pop","Electronic","Nasional","Daerah"},0)),"Genre di luar daftar","")),IF('PC 08'!G71="","Nama Channel kosong",""),IF('PC 08'!H71="","Link kosong",IF(ISERROR(FIND("youtu",LOWER('PC 08'!H71))),"Link bukan youtube","")),IF('PC 08'!I71="","Tgl Dibuat kosong",IF(NOT(ISNUMBER('PC 08'!I71)),"Tgl Dibuat harus tanggal","")),IF(AND('PC 08'!J71&lt;&gt;"",NOT(ISNUMBER('PC 08'!J71))),"Tgl Publish harus tanggal",""),IF(AND(ISNUMBER('PC 08'!I71),ISNUMBER('PC 08'!J71),'PC 08'!J71&lt;'PC 08'!I71),"Tgl Publish &lt; Tgl Dibuat",""),IF(AND('PC 08'!K71&lt;&gt;"",ISERROR(MATCH(TRIM('PC 08'!K71),{"Draft","Menunggu Review","Revisi","Terjadwal","Publish","Batal","Published"},0))),"Status di luar daftar","")))</f>
        <v>#ERROR!</v>
      </c>
      <c r="D71" s="5" t="str">
        <f>IF(C71="","OK","ADA MASALAH")</f>
        <v>#ERROR!</v>
      </c>
    </row>
    <row r="72">
      <c r="A72" s="4">
        <v>72.0</v>
      </c>
      <c r="B72" s="5" t="str">
        <f>'PC 08'!A72</f>
        <v/>
      </c>
      <c r="C72" s="5" t="str">
        <f>IF(COUNTA('PC 08'!A72:L72)=0,"",TEXTJOIN(" | ",TRUE,IF('PC 08'!A72="","Worker ID kosong",""),IF('PC 08'!B72="","Update Date kosong",IF(NOT(ISNUMBER('PC 08'!B72)),"Update Date harus tanggal","")),IF('PC 08'!D72="","Judul kosong",""),IF('PC 08'!F72="","Genre kosong",IF(ISERROR(MATCH(TRIM('PC 08'!F72),{"Pop","Rock","Dangdut","K-Pop","Electronic","Nasional","Daerah"},0)),"Genre di luar daftar","")),IF('PC 08'!G72="","Nama Channel kosong",""),IF('PC 08'!H72="","Link kosong",IF(ISERROR(FIND("youtu",LOWER('PC 08'!H72))),"Link bukan youtube","")),IF('PC 08'!I72="","Tgl Dibuat kosong",IF(NOT(ISNUMBER('PC 08'!I72)),"Tgl Dibuat harus tanggal","")),IF(AND('PC 08'!J72&lt;&gt;"",NOT(ISNUMBER('PC 08'!J72))),"Tgl Publish harus tanggal",""),IF(AND(ISNUMBER('PC 08'!I72),ISNUMBER('PC 08'!J72),'PC 08'!J72&lt;'PC 08'!I72),"Tgl Publish &lt; Tgl Dibuat",""),IF(AND('PC 08'!K72&lt;&gt;"",ISERROR(MATCH(TRIM('PC 08'!K72),{"Draft","Menunggu Review","Revisi","Terjadwal","Publish","Batal","Published"},0))),"Status di luar daftar","")))</f>
        <v>#ERROR!</v>
      </c>
      <c r="D72" s="5" t="str">
        <f>IF(C72="","OK","ADA MASALAH")</f>
        <v>#ERROR!</v>
      </c>
    </row>
    <row r="73">
      <c r="A73" s="4">
        <v>73.0</v>
      </c>
      <c r="B73" s="5" t="str">
        <f>'PC 08'!A73</f>
        <v/>
      </c>
      <c r="C73" s="5" t="str">
        <f>IF(COUNTA('PC 08'!A73:L73)=0,"",TEXTJOIN(" | ",TRUE,IF('PC 08'!A73="","Worker ID kosong",""),IF('PC 08'!B73="","Update Date kosong",IF(NOT(ISNUMBER('PC 08'!B73)),"Update Date harus tanggal","")),IF('PC 08'!D73="","Judul kosong",""),IF('PC 08'!F73="","Genre kosong",IF(ISERROR(MATCH(TRIM('PC 08'!F73),{"Pop","Rock","Dangdut","K-Pop","Electronic","Nasional","Daerah"},0)),"Genre di luar daftar","")),IF('PC 08'!G73="","Nama Channel kosong",""),IF('PC 08'!H73="","Link kosong",IF(ISERROR(FIND("youtu",LOWER('PC 08'!H73))),"Link bukan youtube","")),IF('PC 08'!I73="","Tgl Dibuat kosong",IF(NOT(ISNUMBER('PC 08'!I73)),"Tgl Dibuat harus tanggal","")),IF(AND('PC 08'!J73&lt;&gt;"",NOT(ISNUMBER('PC 08'!J73))),"Tgl Publish harus tanggal",""),IF(AND(ISNUMBER('PC 08'!I73),ISNUMBER('PC 08'!J73),'PC 08'!J73&lt;'PC 08'!I73),"Tgl Publish &lt; Tgl Dibuat",""),IF(AND('PC 08'!K73&lt;&gt;"",ISERROR(MATCH(TRIM('PC 08'!K73),{"Draft","Menunggu Review","Revisi","Terjadwal","Publish","Batal","Published"},0))),"Status di luar daftar","")))</f>
        <v>#ERROR!</v>
      </c>
      <c r="D73" s="5" t="str">
        <f>IF(C73="","OK","ADA MASALAH")</f>
        <v>#ERROR!</v>
      </c>
    </row>
    <row r="74">
      <c r="A74" s="4">
        <v>74.0</v>
      </c>
      <c r="B74" s="5" t="str">
        <f>'PC 08'!A74</f>
        <v/>
      </c>
      <c r="C74" s="5" t="str">
        <f>IF(COUNTA('PC 08'!A74:L74)=0,"",TEXTJOIN(" | ",TRUE,IF('PC 08'!A74="","Worker ID kosong",""),IF('PC 08'!B74="","Update Date kosong",IF(NOT(ISNUMBER('PC 08'!B74)),"Update Date harus tanggal","")),IF('PC 08'!D74="","Judul kosong",""),IF('PC 08'!F74="","Genre kosong",IF(ISERROR(MATCH(TRIM('PC 08'!F74),{"Pop","Rock","Dangdut","K-Pop","Electronic","Nasional","Daerah"},0)),"Genre di luar daftar","")),IF('PC 08'!G74="","Nama Channel kosong",""),IF('PC 08'!H74="","Link kosong",IF(ISERROR(FIND("youtu",LOWER('PC 08'!H74))),"Link bukan youtube","")),IF('PC 08'!I74="","Tgl Dibuat kosong",IF(NOT(ISNUMBER('PC 08'!I74)),"Tgl Dibuat harus tanggal","")),IF(AND('PC 08'!J74&lt;&gt;"",NOT(ISNUMBER('PC 08'!J74))),"Tgl Publish harus tanggal",""),IF(AND(ISNUMBER('PC 08'!I74),ISNUMBER('PC 08'!J74),'PC 08'!J74&lt;'PC 08'!I74),"Tgl Publish &lt; Tgl Dibuat",""),IF(AND('PC 08'!K74&lt;&gt;"",ISERROR(MATCH(TRIM('PC 08'!K74),{"Draft","Menunggu Review","Revisi","Terjadwal","Publish","Batal","Published"},0))),"Status di luar daftar","")))</f>
        <v>#ERROR!</v>
      </c>
      <c r="D74" s="5" t="str">
        <f>IF(C74="","OK","ADA MASALAH")</f>
        <v>#ERROR!</v>
      </c>
    </row>
    <row r="75">
      <c r="A75" s="4">
        <v>75.0</v>
      </c>
      <c r="B75" s="5" t="str">
        <f>'PC 08'!A75</f>
        <v/>
      </c>
      <c r="C75" s="5" t="str">
        <f>IF(COUNTA('PC 08'!A75:L75)=0,"",TEXTJOIN(" | ",TRUE,IF('PC 08'!A75="","Worker ID kosong",""),IF('PC 08'!B75="","Update Date kosong",IF(NOT(ISNUMBER('PC 08'!B75)),"Update Date harus tanggal","")),IF('PC 08'!D75="","Judul kosong",""),IF('PC 08'!F75="","Genre kosong",IF(ISERROR(MATCH(TRIM('PC 08'!F75),{"Pop","Rock","Dangdut","K-Pop","Electronic","Nasional","Daerah"},0)),"Genre di luar daftar","")),IF('PC 08'!G75="","Nama Channel kosong",""),IF('PC 08'!H75="","Link kosong",IF(ISERROR(FIND("youtu",LOWER('PC 08'!H75))),"Link bukan youtube","")),IF('PC 08'!I75="","Tgl Dibuat kosong",IF(NOT(ISNUMBER('PC 08'!I75)),"Tgl Dibuat harus tanggal","")),IF(AND('PC 08'!J75&lt;&gt;"",NOT(ISNUMBER('PC 08'!J75))),"Tgl Publish harus tanggal",""),IF(AND(ISNUMBER('PC 08'!I75),ISNUMBER('PC 08'!J75),'PC 08'!J75&lt;'PC 08'!I75),"Tgl Publish &lt; Tgl Dibuat",""),IF(AND('PC 08'!K75&lt;&gt;"",ISERROR(MATCH(TRIM('PC 08'!K75),{"Draft","Menunggu Review","Revisi","Terjadwal","Publish","Batal","Published"},0))),"Status di luar daftar","")))</f>
        <v>#ERROR!</v>
      </c>
      <c r="D75" s="5" t="str">
        <f>IF(C75="","OK","ADA MASALAH")</f>
        <v>#ERROR!</v>
      </c>
    </row>
    <row r="76">
      <c r="A76" s="4">
        <v>76.0</v>
      </c>
      <c r="B76" s="5" t="str">
        <f>'PC 08'!A76</f>
        <v/>
      </c>
      <c r="C76" s="5" t="str">
        <f>IF(COUNTA('PC 08'!A76:L76)=0,"",TEXTJOIN(" | ",TRUE,IF('PC 08'!A76="","Worker ID kosong",""),IF('PC 08'!B76="","Update Date kosong",IF(NOT(ISNUMBER('PC 08'!B76)),"Update Date harus tanggal","")),IF('PC 08'!D76="","Judul kosong",""),IF('PC 08'!F76="","Genre kosong",IF(ISERROR(MATCH(TRIM('PC 08'!F76),{"Pop","Rock","Dangdut","K-Pop","Electronic","Nasional","Daerah"},0)),"Genre di luar daftar","")),IF('PC 08'!G76="","Nama Channel kosong",""),IF('PC 08'!H76="","Link kosong",IF(ISERROR(FIND("youtu",LOWER('PC 08'!H76))),"Link bukan youtube","")),IF('PC 08'!I76="","Tgl Dibuat kosong",IF(NOT(ISNUMBER('PC 08'!I76)),"Tgl Dibuat harus tanggal","")),IF(AND('PC 08'!J76&lt;&gt;"",NOT(ISNUMBER('PC 08'!J76))),"Tgl Publish harus tanggal",""),IF(AND(ISNUMBER('PC 08'!I76),ISNUMBER('PC 08'!J76),'PC 08'!J76&lt;'PC 08'!I76),"Tgl Publish &lt; Tgl Dibuat",""),IF(AND('PC 08'!K76&lt;&gt;"",ISERROR(MATCH(TRIM('PC 08'!K76),{"Draft","Menunggu Review","Revisi","Terjadwal","Publish","Batal","Published"},0))),"Status di luar daftar","")))</f>
        <v>#ERROR!</v>
      </c>
      <c r="D76" s="5" t="str">
        <f>IF(C76="","OK","ADA MASALAH")</f>
        <v>#ERROR!</v>
      </c>
    </row>
    <row r="77">
      <c r="A77" s="4">
        <v>77.0</v>
      </c>
      <c r="B77" s="5" t="str">
        <f>'PC 08'!A77</f>
        <v/>
      </c>
      <c r="C77" s="5" t="str">
        <f>IF(COUNTA('PC 08'!A77:L77)=0,"",TEXTJOIN(" | ",TRUE,IF('PC 08'!A77="","Worker ID kosong",""),IF('PC 08'!B77="","Update Date kosong",IF(NOT(ISNUMBER('PC 08'!B77)),"Update Date harus tanggal","")),IF('PC 08'!D77="","Judul kosong",""),IF('PC 08'!F77="","Genre kosong",IF(ISERROR(MATCH(TRIM('PC 08'!F77),{"Pop","Rock","Dangdut","K-Pop","Electronic","Nasional","Daerah"},0)),"Genre di luar daftar","")),IF('PC 08'!G77="","Nama Channel kosong",""),IF('PC 08'!H77="","Link kosong",IF(ISERROR(FIND("youtu",LOWER('PC 08'!H77))),"Link bukan youtube","")),IF('PC 08'!I77="","Tgl Dibuat kosong",IF(NOT(ISNUMBER('PC 08'!I77)),"Tgl Dibuat harus tanggal","")),IF(AND('PC 08'!J77&lt;&gt;"",NOT(ISNUMBER('PC 08'!J77))),"Tgl Publish harus tanggal",""),IF(AND(ISNUMBER('PC 08'!I77),ISNUMBER('PC 08'!J77),'PC 08'!J77&lt;'PC 08'!I77),"Tgl Publish &lt; Tgl Dibuat",""),IF(AND('PC 08'!K77&lt;&gt;"",ISERROR(MATCH(TRIM('PC 08'!K77),{"Draft","Menunggu Review","Revisi","Terjadwal","Publish","Batal","Published"},0))),"Status di luar daftar","")))</f>
        <v>#ERROR!</v>
      </c>
      <c r="D77" s="5" t="str">
        <f>IF(C77="","OK","ADA MASALAH")</f>
        <v>#ERROR!</v>
      </c>
    </row>
    <row r="78">
      <c r="A78" s="4">
        <v>78.0</v>
      </c>
      <c r="B78" s="5" t="str">
        <f>'PC 08'!A78</f>
        <v/>
      </c>
      <c r="C78" s="5" t="str">
        <f>IF(COUNTA('PC 08'!A78:L78)=0,"",TEXTJOIN(" | ",TRUE,IF('PC 08'!A78="","Worker ID kosong",""),IF('PC 08'!B78="","Update Date kosong",IF(NOT(ISNUMBER('PC 08'!B78)),"Update Date harus tanggal","")),IF('PC 08'!D78="","Judul kosong",""),IF('PC 08'!F78="","Genre kosong",IF(ISERROR(MATCH(TRIM('PC 08'!F78),{"Pop","Rock","Dangdut","K-Pop","Electronic","Nasional","Daerah"},0)),"Genre di luar daftar","")),IF('PC 08'!G78="","Nama Channel kosong",""),IF('PC 08'!H78="","Link kosong",IF(ISERROR(FIND("youtu",LOWER('PC 08'!H78))),"Link bukan youtube","")),IF('PC 08'!I78="","Tgl Dibuat kosong",IF(NOT(ISNUMBER('PC 08'!I78)),"Tgl Dibuat harus tanggal","")),IF(AND('PC 08'!J78&lt;&gt;"",NOT(ISNUMBER('PC 08'!J78))),"Tgl Publish harus tanggal",""),IF(AND(ISNUMBER('PC 08'!I78),ISNUMBER('PC 08'!J78),'PC 08'!J78&lt;'PC 08'!I78),"Tgl Publish &lt; Tgl Dibuat",""),IF(AND('PC 08'!K78&lt;&gt;"",ISERROR(MATCH(TRIM('PC 08'!K78),{"Draft","Menunggu Review","Revisi","Terjadwal","Publish","Batal","Published"},0))),"Status di luar daftar","")))</f>
        <v>#ERROR!</v>
      </c>
      <c r="D78" s="5" t="str">
        <f>IF(C78="","OK","ADA MASALAH")</f>
        <v>#ERROR!</v>
      </c>
    </row>
    <row r="79">
      <c r="A79" s="4">
        <v>79.0</v>
      </c>
      <c r="B79" s="5" t="str">
        <f>'PC 08'!A79</f>
        <v/>
      </c>
      <c r="C79" s="5" t="str">
        <f>IF(COUNTA('PC 08'!A79:L79)=0,"",TEXTJOIN(" | ",TRUE,IF('PC 08'!A79="","Worker ID kosong",""),IF('PC 08'!B79="","Update Date kosong",IF(NOT(ISNUMBER('PC 08'!B79)),"Update Date harus tanggal","")),IF('PC 08'!D79="","Judul kosong",""),IF('PC 08'!F79="","Genre kosong",IF(ISERROR(MATCH(TRIM('PC 08'!F79),{"Pop","Rock","Dangdut","K-Pop","Electronic","Nasional","Daerah"},0)),"Genre di luar daftar","")),IF('PC 08'!G79="","Nama Channel kosong",""),IF('PC 08'!H79="","Link kosong",IF(ISERROR(FIND("youtu",LOWER('PC 08'!H79))),"Link bukan youtube","")),IF('PC 08'!I79="","Tgl Dibuat kosong",IF(NOT(ISNUMBER('PC 08'!I79)),"Tgl Dibuat harus tanggal","")),IF(AND('PC 08'!J79&lt;&gt;"",NOT(ISNUMBER('PC 08'!J79))),"Tgl Publish harus tanggal",""),IF(AND(ISNUMBER('PC 08'!I79),ISNUMBER('PC 08'!J79),'PC 08'!J79&lt;'PC 08'!I79),"Tgl Publish &lt; Tgl Dibuat",""),IF(AND('PC 08'!K79&lt;&gt;"",ISERROR(MATCH(TRIM('PC 08'!K79),{"Draft","Menunggu Review","Revisi","Terjadwal","Publish","Batal","Published"},0))),"Status di luar daftar","")))</f>
        <v>#ERROR!</v>
      </c>
      <c r="D79" s="5" t="str">
        <f>IF(C79="","OK","ADA MASALAH")</f>
        <v>#ERROR!</v>
      </c>
    </row>
    <row r="80">
      <c r="A80" s="4">
        <v>80.0</v>
      </c>
      <c r="B80" s="5" t="str">
        <f>'PC 08'!A80</f>
        <v/>
      </c>
      <c r="C80" s="5" t="str">
        <f>IF(COUNTA('PC 08'!A80:L80)=0,"",TEXTJOIN(" | ",TRUE,IF('PC 08'!A80="","Worker ID kosong",""),IF('PC 08'!B80="","Update Date kosong",IF(NOT(ISNUMBER('PC 08'!B80)),"Update Date harus tanggal","")),IF('PC 08'!D80="","Judul kosong",""),IF('PC 08'!F80="","Genre kosong",IF(ISERROR(MATCH(TRIM('PC 08'!F80),{"Pop","Rock","Dangdut","K-Pop","Electronic","Nasional","Daerah"},0)),"Genre di luar daftar","")),IF('PC 08'!G80="","Nama Channel kosong",""),IF('PC 08'!H80="","Link kosong",IF(ISERROR(FIND("youtu",LOWER('PC 08'!H80))),"Link bukan youtube","")),IF('PC 08'!I80="","Tgl Dibuat kosong",IF(NOT(ISNUMBER('PC 08'!I80)),"Tgl Dibuat harus tanggal","")),IF(AND('PC 08'!J80&lt;&gt;"",NOT(ISNUMBER('PC 08'!J80))),"Tgl Publish harus tanggal",""),IF(AND(ISNUMBER('PC 08'!I80),ISNUMBER('PC 08'!J80),'PC 08'!J80&lt;'PC 08'!I80),"Tgl Publish &lt; Tgl Dibuat",""),IF(AND('PC 08'!K80&lt;&gt;"",ISERROR(MATCH(TRIM('PC 08'!K80),{"Draft","Menunggu Review","Revisi","Terjadwal","Publish","Batal","Published"},0))),"Status di luar daftar","")))</f>
        <v>#ERROR!</v>
      </c>
      <c r="D80" s="5" t="str">
        <f>IF(C80="","OK","ADA MASALAH")</f>
        <v>#ERROR!</v>
      </c>
    </row>
    <row r="81">
      <c r="A81" s="4">
        <v>81.0</v>
      </c>
      <c r="B81" s="5" t="str">
        <f>'PC 08'!A81</f>
        <v/>
      </c>
      <c r="C81" s="5" t="str">
        <f>IF(COUNTA('PC 08'!A81:L81)=0,"",TEXTJOIN(" | ",TRUE,IF('PC 08'!A81="","Worker ID kosong",""),IF('PC 08'!B81="","Update Date kosong",IF(NOT(ISNUMBER('PC 08'!B81)),"Update Date harus tanggal","")),IF('PC 08'!D81="","Judul kosong",""),IF('PC 08'!F81="","Genre kosong",IF(ISERROR(MATCH(TRIM('PC 08'!F81),{"Pop","Rock","Dangdut","K-Pop","Electronic","Nasional","Daerah"},0)),"Genre di luar daftar","")),IF('PC 08'!G81="","Nama Channel kosong",""),IF('PC 08'!H81="","Link kosong",IF(ISERROR(FIND("youtu",LOWER('PC 08'!H81))),"Link bukan youtube","")),IF('PC 08'!I81="","Tgl Dibuat kosong",IF(NOT(ISNUMBER('PC 08'!I81)),"Tgl Dibuat harus tanggal","")),IF(AND('PC 08'!J81&lt;&gt;"",NOT(ISNUMBER('PC 08'!J81))),"Tgl Publish harus tanggal",""),IF(AND(ISNUMBER('PC 08'!I81),ISNUMBER('PC 08'!J81),'PC 08'!J81&lt;'PC 08'!I81),"Tgl Publish &lt; Tgl Dibuat",""),IF(AND('PC 08'!K81&lt;&gt;"",ISERROR(MATCH(TRIM('PC 08'!K81),{"Draft","Menunggu Review","Revisi","Terjadwal","Publish","Batal","Published"},0))),"Status di luar daftar","")))</f>
        <v>#ERROR!</v>
      </c>
      <c r="D81" s="5" t="str">
        <f>IF(C81="","OK","ADA MASALAH")</f>
        <v>#ERROR!</v>
      </c>
    </row>
    <row r="82">
      <c r="A82" s="4">
        <v>82.0</v>
      </c>
      <c r="B82" s="5" t="str">
        <f>'PC 08'!A82</f>
        <v/>
      </c>
      <c r="C82" s="5" t="str">
        <f>IF(COUNTA('PC 08'!A82:L82)=0,"",TEXTJOIN(" | ",TRUE,IF('PC 08'!A82="","Worker ID kosong",""),IF('PC 08'!B82="","Update Date kosong",IF(NOT(ISNUMBER('PC 08'!B82)),"Update Date harus tanggal","")),IF('PC 08'!D82="","Judul kosong",""),IF('PC 08'!F82="","Genre kosong",IF(ISERROR(MATCH(TRIM('PC 08'!F82),{"Pop","Rock","Dangdut","K-Pop","Electronic","Nasional","Daerah"},0)),"Genre di luar daftar","")),IF('PC 08'!G82="","Nama Channel kosong",""),IF('PC 08'!H82="","Link kosong",IF(ISERROR(FIND("youtu",LOWER('PC 08'!H82))),"Link bukan youtube","")),IF('PC 08'!I82="","Tgl Dibuat kosong",IF(NOT(ISNUMBER('PC 08'!I82)),"Tgl Dibuat harus tanggal","")),IF(AND('PC 08'!J82&lt;&gt;"",NOT(ISNUMBER('PC 08'!J82))),"Tgl Publish harus tanggal",""),IF(AND(ISNUMBER('PC 08'!I82),ISNUMBER('PC 08'!J82),'PC 08'!J82&lt;'PC 08'!I82),"Tgl Publish &lt; Tgl Dibuat",""),IF(AND('PC 08'!K82&lt;&gt;"",ISERROR(MATCH(TRIM('PC 08'!K82),{"Draft","Menunggu Review","Revisi","Terjadwal","Publish","Batal","Published"},0))),"Status di luar daftar","")))</f>
        <v>#ERROR!</v>
      </c>
      <c r="D82" s="5" t="str">
        <f>IF(C82="","OK","ADA MASALAH")</f>
        <v>#ERROR!</v>
      </c>
    </row>
    <row r="83">
      <c r="A83" s="4">
        <v>83.0</v>
      </c>
      <c r="B83" s="5" t="str">
        <f>'PC 08'!A83</f>
        <v/>
      </c>
      <c r="C83" s="5" t="str">
        <f>IF(COUNTA('PC 08'!A83:L83)=0,"",TEXTJOIN(" | ",TRUE,IF('PC 08'!A83="","Worker ID kosong",""),IF('PC 08'!B83="","Update Date kosong",IF(NOT(ISNUMBER('PC 08'!B83)),"Update Date harus tanggal","")),IF('PC 08'!D83="","Judul kosong",""),IF('PC 08'!F83="","Genre kosong",IF(ISERROR(MATCH(TRIM('PC 08'!F83),{"Pop","Rock","Dangdut","K-Pop","Electronic","Nasional","Daerah"},0)),"Genre di luar daftar","")),IF('PC 08'!G83="","Nama Channel kosong",""),IF('PC 08'!H83="","Link kosong",IF(ISERROR(FIND("youtu",LOWER('PC 08'!H83))),"Link bukan youtube","")),IF('PC 08'!I83="","Tgl Dibuat kosong",IF(NOT(ISNUMBER('PC 08'!I83)),"Tgl Dibuat harus tanggal","")),IF(AND('PC 08'!J83&lt;&gt;"",NOT(ISNUMBER('PC 08'!J83))),"Tgl Publish harus tanggal",""),IF(AND(ISNUMBER('PC 08'!I83),ISNUMBER('PC 08'!J83),'PC 08'!J83&lt;'PC 08'!I83),"Tgl Publish &lt; Tgl Dibuat",""),IF(AND('PC 08'!K83&lt;&gt;"",ISERROR(MATCH(TRIM('PC 08'!K83),{"Draft","Menunggu Review","Revisi","Terjadwal","Publish","Batal","Published"},0))),"Status di luar daftar","")))</f>
        <v>#ERROR!</v>
      </c>
      <c r="D83" s="5" t="str">
        <f>IF(C83="","OK","ADA MASALAH")</f>
        <v>#ERROR!</v>
      </c>
    </row>
    <row r="84">
      <c r="A84" s="4">
        <v>84.0</v>
      </c>
      <c r="B84" s="5" t="str">
        <f>'PC 08'!A84</f>
        <v/>
      </c>
      <c r="C84" s="5" t="str">
        <f>IF(COUNTA('PC 08'!A84:L84)=0,"",TEXTJOIN(" | ",TRUE,IF('PC 08'!A84="","Worker ID kosong",""),IF('PC 08'!B84="","Update Date kosong",IF(NOT(ISNUMBER('PC 08'!B84)),"Update Date harus tanggal","")),IF('PC 08'!D84="","Judul kosong",""),IF('PC 08'!F84="","Genre kosong",IF(ISERROR(MATCH(TRIM('PC 08'!F84),{"Pop","Rock","Dangdut","K-Pop","Electronic","Nasional","Daerah"},0)),"Genre di luar daftar","")),IF('PC 08'!G84="","Nama Channel kosong",""),IF('PC 08'!H84="","Link kosong",IF(ISERROR(FIND("youtu",LOWER('PC 08'!H84))),"Link bukan youtube","")),IF('PC 08'!I84="","Tgl Dibuat kosong",IF(NOT(ISNUMBER('PC 08'!I84)),"Tgl Dibuat harus tanggal","")),IF(AND('PC 08'!J84&lt;&gt;"",NOT(ISNUMBER('PC 08'!J84))),"Tgl Publish harus tanggal",""),IF(AND(ISNUMBER('PC 08'!I84),ISNUMBER('PC 08'!J84),'PC 08'!J84&lt;'PC 08'!I84),"Tgl Publish &lt; Tgl Dibuat",""),IF(AND('PC 08'!K84&lt;&gt;"",ISERROR(MATCH(TRIM('PC 08'!K84),{"Draft","Menunggu Review","Revisi","Terjadwal","Publish","Batal","Published"},0))),"Status di luar daftar","")))</f>
        <v>#ERROR!</v>
      </c>
      <c r="D84" s="5" t="str">
        <f>IF(C84="","OK","ADA MASALAH")</f>
        <v>#ERROR!</v>
      </c>
    </row>
    <row r="85">
      <c r="A85" s="4">
        <v>85.0</v>
      </c>
      <c r="B85" s="5" t="str">
        <f>'PC 08'!A85</f>
        <v/>
      </c>
      <c r="C85" s="5" t="str">
        <f>IF(COUNTA('PC 08'!A85:L85)=0,"",TEXTJOIN(" | ",TRUE,IF('PC 08'!A85="","Worker ID kosong",""),IF('PC 08'!B85="","Update Date kosong",IF(NOT(ISNUMBER('PC 08'!B85)),"Update Date harus tanggal","")),IF('PC 08'!D85="","Judul kosong",""),IF('PC 08'!F85="","Genre kosong",IF(ISERROR(MATCH(TRIM('PC 08'!F85),{"Pop","Rock","Dangdut","K-Pop","Electronic","Nasional","Daerah"},0)),"Genre di luar daftar","")),IF('PC 08'!G85="","Nama Channel kosong",""),IF('PC 08'!H85="","Link kosong",IF(ISERROR(FIND("youtu",LOWER('PC 08'!H85))),"Link bukan youtube","")),IF('PC 08'!I85="","Tgl Dibuat kosong",IF(NOT(ISNUMBER('PC 08'!I85)),"Tgl Dibuat harus tanggal","")),IF(AND('PC 08'!J85&lt;&gt;"",NOT(ISNUMBER('PC 08'!J85))),"Tgl Publish harus tanggal",""),IF(AND(ISNUMBER('PC 08'!I85),ISNUMBER('PC 08'!J85),'PC 08'!J85&lt;'PC 08'!I85),"Tgl Publish &lt; Tgl Dibuat",""),IF(AND('PC 08'!K85&lt;&gt;"",ISERROR(MATCH(TRIM('PC 08'!K85),{"Draft","Menunggu Review","Revisi","Terjadwal","Publish","Batal","Published"},0))),"Status di luar daftar","")))</f>
        <v>#ERROR!</v>
      </c>
      <c r="D85" s="5" t="str">
        <f>IF(C85="","OK","ADA MASALAH")</f>
        <v>#ERROR!</v>
      </c>
    </row>
    <row r="86">
      <c r="A86" s="4">
        <v>86.0</v>
      </c>
      <c r="B86" s="5" t="str">
        <f>'PC 08'!A86</f>
        <v/>
      </c>
      <c r="C86" s="5" t="str">
        <f>IF(COUNTA('PC 08'!A86:L86)=0,"",TEXTJOIN(" | ",TRUE,IF('PC 08'!A86="","Worker ID kosong",""),IF('PC 08'!B86="","Update Date kosong",IF(NOT(ISNUMBER('PC 08'!B86)),"Update Date harus tanggal","")),IF('PC 08'!D86="","Judul kosong",""),IF('PC 08'!F86="","Genre kosong",IF(ISERROR(MATCH(TRIM('PC 08'!F86),{"Pop","Rock","Dangdut","K-Pop","Electronic","Nasional","Daerah"},0)),"Genre di luar daftar","")),IF('PC 08'!G86="","Nama Channel kosong",""),IF('PC 08'!H86="","Link kosong",IF(ISERROR(FIND("youtu",LOWER('PC 08'!H86))),"Link bukan youtube","")),IF('PC 08'!I86="","Tgl Dibuat kosong",IF(NOT(ISNUMBER('PC 08'!I86)),"Tgl Dibuat harus tanggal","")),IF(AND('PC 08'!J86&lt;&gt;"",NOT(ISNUMBER('PC 08'!J86))),"Tgl Publish harus tanggal",""),IF(AND(ISNUMBER('PC 08'!I86),ISNUMBER('PC 08'!J86),'PC 08'!J86&lt;'PC 08'!I86),"Tgl Publish &lt; Tgl Dibuat",""),IF(AND('PC 08'!K86&lt;&gt;"",ISERROR(MATCH(TRIM('PC 08'!K86),{"Draft","Menunggu Review","Revisi","Terjadwal","Publish","Batal","Published"},0))),"Status di luar daftar","")))</f>
        <v>#ERROR!</v>
      </c>
      <c r="D86" s="5" t="str">
        <f>IF(C86="","OK","ADA MASALAH")</f>
        <v>#ERROR!</v>
      </c>
    </row>
    <row r="87">
      <c r="A87" s="4">
        <v>87.0</v>
      </c>
      <c r="B87" s="5" t="str">
        <f>'PC 08'!A87</f>
        <v/>
      </c>
      <c r="C87" s="5" t="str">
        <f>IF(COUNTA('PC 08'!A87:L87)=0,"",TEXTJOIN(" | ",TRUE,IF('PC 08'!A87="","Worker ID kosong",""),IF('PC 08'!B87="","Update Date kosong",IF(NOT(ISNUMBER('PC 08'!B87)),"Update Date harus tanggal","")),IF('PC 08'!D87="","Judul kosong",""),IF('PC 08'!F87="","Genre kosong",IF(ISERROR(MATCH(TRIM('PC 08'!F87),{"Pop","Rock","Dangdut","K-Pop","Electronic","Nasional","Daerah"},0)),"Genre di luar daftar","")),IF('PC 08'!G87="","Nama Channel kosong",""),IF('PC 08'!H87="","Link kosong",IF(ISERROR(FIND("youtu",LOWER('PC 08'!H87))),"Link bukan youtube","")),IF('PC 08'!I87="","Tgl Dibuat kosong",IF(NOT(ISNUMBER('PC 08'!I87)),"Tgl Dibuat harus tanggal","")),IF(AND('PC 08'!J87&lt;&gt;"",NOT(ISNUMBER('PC 08'!J87))),"Tgl Publish harus tanggal",""),IF(AND(ISNUMBER('PC 08'!I87),ISNUMBER('PC 08'!J87),'PC 08'!J87&lt;'PC 08'!I87),"Tgl Publish &lt; Tgl Dibuat",""),IF(AND('PC 08'!K87&lt;&gt;"",ISERROR(MATCH(TRIM('PC 08'!K87),{"Draft","Menunggu Review","Revisi","Terjadwal","Publish","Batal","Published"},0))),"Status di luar daftar","")))</f>
        <v>#ERROR!</v>
      </c>
      <c r="D87" s="5" t="str">
        <f>IF(C87="","OK","ADA MASALAH")</f>
        <v>#ERROR!</v>
      </c>
    </row>
    <row r="88">
      <c r="A88" s="4">
        <v>88.0</v>
      </c>
      <c r="B88" s="5" t="str">
        <f>'PC 08'!A88</f>
        <v/>
      </c>
      <c r="C88" s="5" t="str">
        <f>IF(COUNTA('PC 08'!A88:L88)=0,"",TEXTJOIN(" | ",TRUE,IF('PC 08'!A88="","Worker ID kosong",""),IF('PC 08'!B88="","Update Date kosong",IF(NOT(ISNUMBER('PC 08'!B88)),"Update Date harus tanggal","")),IF('PC 08'!D88="","Judul kosong",""),IF('PC 08'!F88="","Genre kosong",IF(ISERROR(MATCH(TRIM('PC 08'!F88),{"Pop","Rock","Dangdut","K-Pop","Electronic","Nasional","Daerah"},0)),"Genre di luar daftar","")),IF('PC 08'!G88="","Nama Channel kosong",""),IF('PC 08'!H88="","Link kosong",IF(ISERROR(FIND("youtu",LOWER('PC 08'!H88))),"Link bukan youtube","")),IF('PC 08'!I88="","Tgl Dibuat kosong",IF(NOT(ISNUMBER('PC 08'!I88)),"Tgl Dibuat harus tanggal","")),IF(AND('PC 08'!J88&lt;&gt;"",NOT(ISNUMBER('PC 08'!J88))),"Tgl Publish harus tanggal",""),IF(AND(ISNUMBER('PC 08'!I88),ISNUMBER('PC 08'!J88),'PC 08'!J88&lt;'PC 08'!I88),"Tgl Publish &lt; Tgl Dibuat",""),IF(AND('PC 08'!K88&lt;&gt;"",ISERROR(MATCH(TRIM('PC 08'!K88),{"Draft","Menunggu Review","Revisi","Terjadwal","Publish","Batal","Published"},0))),"Status di luar daftar","")))</f>
        <v>#ERROR!</v>
      </c>
      <c r="D88" s="5" t="str">
        <f>IF(C88="","OK","ADA MASALAH")</f>
        <v>#ERROR!</v>
      </c>
    </row>
    <row r="89">
      <c r="A89" s="4">
        <v>89.0</v>
      </c>
      <c r="B89" s="5" t="str">
        <f>'PC 08'!A89</f>
        <v/>
      </c>
      <c r="C89" s="5" t="str">
        <f>IF(COUNTA('PC 08'!A89:L89)=0,"",TEXTJOIN(" | ",TRUE,IF('PC 08'!A89="","Worker ID kosong",""),IF('PC 08'!B89="","Update Date kosong",IF(NOT(ISNUMBER('PC 08'!B89)),"Update Date harus tanggal","")),IF('PC 08'!D89="","Judul kosong",""),IF('PC 08'!F89="","Genre kosong",IF(ISERROR(MATCH(TRIM('PC 08'!F89),{"Pop","Rock","Dangdut","K-Pop","Electronic","Nasional","Daerah"},0)),"Genre di luar daftar","")),IF('PC 08'!G89="","Nama Channel kosong",""),IF('PC 08'!H89="","Link kosong",IF(ISERROR(FIND("youtu",LOWER('PC 08'!H89))),"Link bukan youtube","")),IF('PC 08'!I89="","Tgl Dibuat kosong",IF(NOT(ISNUMBER('PC 08'!I89)),"Tgl Dibuat harus tanggal","")),IF(AND('PC 08'!J89&lt;&gt;"",NOT(ISNUMBER('PC 08'!J89))),"Tgl Publish harus tanggal",""),IF(AND(ISNUMBER('PC 08'!I89),ISNUMBER('PC 08'!J89),'PC 08'!J89&lt;'PC 08'!I89),"Tgl Publish &lt; Tgl Dibuat",""),IF(AND('PC 08'!K89&lt;&gt;"",ISERROR(MATCH(TRIM('PC 08'!K89),{"Draft","Menunggu Review","Revisi","Terjadwal","Publish","Batal","Published"},0))),"Status di luar daftar","")))</f>
        <v>#ERROR!</v>
      </c>
      <c r="D89" s="5" t="str">
        <f>IF(C89="","OK","ADA MASALAH")</f>
        <v>#ERROR!</v>
      </c>
    </row>
    <row r="90">
      <c r="A90" s="4">
        <v>90.0</v>
      </c>
      <c r="B90" s="5" t="str">
        <f>'PC 08'!A90</f>
        <v/>
      </c>
      <c r="C90" s="5" t="str">
        <f>IF(COUNTA('PC 08'!A90:L90)=0,"",TEXTJOIN(" | ",TRUE,IF('PC 08'!A90="","Worker ID kosong",""),IF('PC 08'!B90="","Update Date kosong",IF(NOT(ISNUMBER('PC 08'!B90)),"Update Date harus tanggal","")),IF('PC 08'!D90="","Judul kosong",""),IF('PC 08'!F90="","Genre kosong",IF(ISERROR(MATCH(TRIM('PC 08'!F90),{"Pop","Rock","Dangdut","K-Pop","Electronic","Nasional","Daerah"},0)),"Genre di luar daftar","")),IF('PC 08'!G90="","Nama Channel kosong",""),IF('PC 08'!H90="","Link kosong",IF(ISERROR(FIND("youtu",LOWER('PC 08'!H90))),"Link bukan youtube","")),IF('PC 08'!I90="","Tgl Dibuat kosong",IF(NOT(ISNUMBER('PC 08'!I90)),"Tgl Dibuat harus tanggal","")),IF(AND('PC 08'!J90&lt;&gt;"",NOT(ISNUMBER('PC 08'!J90))),"Tgl Publish harus tanggal",""),IF(AND(ISNUMBER('PC 08'!I90),ISNUMBER('PC 08'!J90),'PC 08'!J90&lt;'PC 08'!I90),"Tgl Publish &lt; Tgl Dibuat",""),IF(AND('PC 08'!K90&lt;&gt;"",ISERROR(MATCH(TRIM('PC 08'!K90),{"Draft","Menunggu Review","Revisi","Terjadwal","Publish","Batal","Published"},0))),"Status di luar daftar","")))</f>
        <v>#ERROR!</v>
      </c>
      <c r="D90" s="5" t="str">
        <f>IF(C90="","OK","ADA MASALAH")</f>
        <v>#ERROR!</v>
      </c>
    </row>
    <row r="91">
      <c r="A91" s="4">
        <v>91.0</v>
      </c>
      <c r="B91" s="5" t="str">
        <f>'PC 08'!A91</f>
        <v/>
      </c>
      <c r="C91" s="5" t="str">
        <f>IF(COUNTA('PC 08'!A91:L91)=0,"",TEXTJOIN(" | ",TRUE,IF('PC 08'!A91="","Worker ID kosong",""),IF('PC 08'!B91="","Update Date kosong",IF(NOT(ISNUMBER('PC 08'!B91)),"Update Date harus tanggal","")),IF('PC 08'!D91="","Judul kosong",""),IF('PC 08'!F91="","Genre kosong",IF(ISERROR(MATCH(TRIM('PC 08'!F91),{"Pop","Rock","Dangdut","K-Pop","Electronic","Nasional","Daerah"},0)),"Genre di luar daftar","")),IF('PC 08'!G91="","Nama Channel kosong",""),IF('PC 08'!H91="","Link kosong",IF(ISERROR(FIND("youtu",LOWER('PC 08'!H91))),"Link bukan youtube","")),IF('PC 08'!I91="","Tgl Dibuat kosong",IF(NOT(ISNUMBER('PC 08'!I91)),"Tgl Dibuat harus tanggal","")),IF(AND('PC 08'!J91&lt;&gt;"",NOT(ISNUMBER('PC 08'!J91))),"Tgl Publish harus tanggal",""),IF(AND(ISNUMBER('PC 08'!I91),ISNUMBER('PC 08'!J91),'PC 08'!J91&lt;'PC 08'!I91),"Tgl Publish &lt; Tgl Dibuat",""),IF(AND('PC 08'!K91&lt;&gt;"",ISERROR(MATCH(TRIM('PC 08'!K91),{"Draft","Menunggu Review","Revisi","Terjadwal","Publish","Batal","Published"},0))),"Status di luar daftar","")))</f>
        <v>#ERROR!</v>
      </c>
      <c r="D91" s="5" t="str">
        <f>IF(C91="","OK","ADA MASALAH")</f>
        <v>#ERROR!</v>
      </c>
    </row>
    <row r="92">
      <c r="A92" s="4">
        <v>92.0</v>
      </c>
      <c r="B92" s="5" t="str">
        <f>'PC 08'!A92</f>
        <v/>
      </c>
      <c r="C92" s="5" t="str">
        <f>IF(COUNTA('PC 08'!A92:L92)=0,"",TEXTJOIN(" | ",TRUE,IF('PC 08'!A92="","Worker ID kosong",""),IF('PC 08'!B92="","Update Date kosong",IF(NOT(ISNUMBER('PC 08'!B92)),"Update Date harus tanggal","")),IF('PC 08'!D92="","Judul kosong",""),IF('PC 08'!F92="","Genre kosong",IF(ISERROR(MATCH(TRIM('PC 08'!F92),{"Pop","Rock","Dangdut","K-Pop","Electronic","Nasional","Daerah"},0)),"Genre di luar daftar","")),IF('PC 08'!G92="","Nama Channel kosong",""),IF('PC 08'!H92="","Link kosong",IF(ISERROR(FIND("youtu",LOWER('PC 08'!H92))),"Link bukan youtube","")),IF('PC 08'!I92="","Tgl Dibuat kosong",IF(NOT(ISNUMBER('PC 08'!I92)),"Tgl Dibuat harus tanggal","")),IF(AND('PC 08'!J92&lt;&gt;"",NOT(ISNUMBER('PC 08'!J92))),"Tgl Publish harus tanggal",""),IF(AND(ISNUMBER('PC 08'!I92),ISNUMBER('PC 08'!J92),'PC 08'!J92&lt;'PC 08'!I92),"Tgl Publish &lt; Tgl Dibuat",""),IF(AND('PC 08'!K92&lt;&gt;"",ISERROR(MATCH(TRIM('PC 08'!K92),{"Draft","Menunggu Review","Revisi","Terjadwal","Publish","Batal","Published"},0))),"Status di luar daftar","")))</f>
        <v>#ERROR!</v>
      </c>
      <c r="D92" s="5" t="str">
        <f>IF(C92="","OK","ADA MASALAH")</f>
        <v>#ERROR!</v>
      </c>
    </row>
    <row r="93">
      <c r="A93" s="4">
        <v>93.0</v>
      </c>
      <c r="B93" s="5" t="str">
        <f>'PC 08'!A93</f>
        <v/>
      </c>
      <c r="C93" s="5" t="str">
        <f>IF(COUNTA('PC 08'!A93:L93)=0,"",TEXTJOIN(" | ",TRUE,IF('PC 08'!A93="","Worker ID kosong",""),IF('PC 08'!B93="","Update Date kosong",IF(NOT(ISNUMBER('PC 08'!B93)),"Update Date harus tanggal","")),IF('PC 08'!D93="","Judul kosong",""),IF('PC 08'!F93="","Genre kosong",IF(ISERROR(MATCH(TRIM('PC 08'!F93),{"Pop","Rock","Dangdut","K-Pop","Electronic","Nasional","Daerah"},0)),"Genre di luar daftar","")),IF('PC 08'!G93="","Nama Channel kosong",""),IF('PC 08'!H93="","Link kosong",IF(ISERROR(FIND("youtu",LOWER('PC 08'!H93))),"Link bukan youtube","")),IF('PC 08'!I93="","Tgl Dibuat kosong",IF(NOT(ISNUMBER('PC 08'!I93)),"Tgl Dibuat harus tanggal","")),IF(AND('PC 08'!J93&lt;&gt;"",NOT(ISNUMBER('PC 08'!J93))),"Tgl Publish harus tanggal",""),IF(AND(ISNUMBER('PC 08'!I93),ISNUMBER('PC 08'!J93),'PC 08'!J93&lt;'PC 08'!I93),"Tgl Publish &lt; Tgl Dibuat",""),IF(AND('PC 08'!K93&lt;&gt;"",ISERROR(MATCH(TRIM('PC 08'!K93),{"Draft","Menunggu Review","Revisi","Terjadwal","Publish","Batal","Published"},0))),"Status di luar daftar","")))</f>
        <v>#ERROR!</v>
      </c>
      <c r="D93" s="5" t="str">
        <f>IF(C93="","OK","ADA MASALAH")</f>
        <v>#ERROR!</v>
      </c>
    </row>
    <row r="94">
      <c r="A94" s="4">
        <v>94.0</v>
      </c>
      <c r="B94" s="5" t="str">
        <f>'PC 08'!A94</f>
        <v/>
      </c>
      <c r="C94" s="5" t="str">
        <f>IF(COUNTA('PC 08'!A94:L94)=0,"",TEXTJOIN(" | ",TRUE,IF('PC 08'!A94="","Worker ID kosong",""),IF('PC 08'!B94="","Update Date kosong",IF(NOT(ISNUMBER('PC 08'!B94)),"Update Date harus tanggal","")),IF('PC 08'!D94="","Judul kosong",""),IF('PC 08'!F94="","Genre kosong",IF(ISERROR(MATCH(TRIM('PC 08'!F94),{"Pop","Rock","Dangdut","K-Pop","Electronic","Nasional","Daerah"},0)),"Genre di luar daftar","")),IF('PC 08'!G94="","Nama Channel kosong",""),IF('PC 08'!H94="","Link kosong",IF(ISERROR(FIND("youtu",LOWER('PC 08'!H94))),"Link bukan youtube","")),IF('PC 08'!I94="","Tgl Dibuat kosong",IF(NOT(ISNUMBER('PC 08'!I94)),"Tgl Dibuat harus tanggal","")),IF(AND('PC 08'!J94&lt;&gt;"",NOT(ISNUMBER('PC 08'!J94))),"Tgl Publish harus tanggal",""),IF(AND(ISNUMBER('PC 08'!I94),ISNUMBER('PC 08'!J94),'PC 08'!J94&lt;'PC 08'!I94),"Tgl Publish &lt; Tgl Dibuat",""),IF(AND('PC 08'!K94&lt;&gt;"",ISERROR(MATCH(TRIM('PC 08'!K94),{"Draft","Menunggu Review","Revisi","Terjadwal","Publish","Batal","Published"},0))),"Status di luar daftar","")))</f>
        <v>#ERROR!</v>
      </c>
      <c r="D94" s="5" t="str">
        <f>IF(C94="","OK","ADA MASALAH")</f>
        <v>#ERROR!</v>
      </c>
    </row>
    <row r="95">
      <c r="A95" s="4">
        <v>95.0</v>
      </c>
      <c r="B95" s="5" t="str">
        <f>'PC 08'!A95</f>
        <v/>
      </c>
      <c r="C95" s="5" t="str">
        <f>IF(COUNTA('PC 08'!A95:L95)=0,"",TEXTJOIN(" | ",TRUE,IF('PC 08'!A95="","Worker ID kosong",""),IF('PC 08'!B95="","Update Date kosong",IF(NOT(ISNUMBER('PC 08'!B95)),"Update Date harus tanggal","")),IF('PC 08'!D95="","Judul kosong",""),IF('PC 08'!F95="","Genre kosong",IF(ISERROR(MATCH(TRIM('PC 08'!F95),{"Pop","Rock","Dangdut","K-Pop","Electronic","Nasional","Daerah"},0)),"Genre di luar daftar","")),IF('PC 08'!G95="","Nama Channel kosong",""),IF('PC 08'!H95="","Link kosong",IF(ISERROR(FIND("youtu",LOWER('PC 08'!H95))),"Link bukan youtube","")),IF('PC 08'!I95="","Tgl Dibuat kosong",IF(NOT(ISNUMBER('PC 08'!I95)),"Tgl Dibuat harus tanggal","")),IF(AND('PC 08'!J95&lt;&gt;"",NOT(ISNUMBER('PC 08'!J95))),"Tgl Publish harus tanggal",""),IF(AND(ISNUMBER('PC 08'!I95),ISNUMBER('PC 08'!J95),'PC 08'!J95&lt;'PC 08'!I95),"Tgl Publish &lt; Tgl Dibuat",""),IF(AND('PC 08'!K95&lt;&gt;"",ISERROR(MATCH(TRIM('PC 08'!K95),{"Draft","Menunggu Review","Revisi","Terjadwal","Publish","Batal","Published"},0))),"Status di luar daftar","")))</f>
        <v>#ERROR!</v>
      </c>
      <c r="D95" s="5" t="str">
        <f>IF(C95="","OK","ADA MASALAH")</f>
        <v>#ERROR!</v>
      </c>
    </row>
    <row r="96">
      <c r="A96" s="4">
        <v>96.0</v>
      </c>
      <c r="B96" s="5" t="str">
        <f>'PC 08'!A96</f>
        <v/>
      </c>
      <c r="C96" s="5" t="str">
        <f>IF(COUNTA('PC 08'!A96:L96)=0,"",TEXTJOIN(" | ",TRUE,IF('PC 08'!A96="","Worker ID kosong",""),IF('PC 08'!B96="","Update Date kosong",IF(NOT(ISNUMBER('PC 08'!B96)),"Update Date harus tanggal","")),IF('PC 08'!D96="","Judul kosong",""),IF('PC 08'!F96="","Genre kosong",IF(ISERROR(MATCH(TRIM('PC 08'!F96),{"Pop","Rock","Dangdut","K-Pop","Electronic","Nasional","Daerah"},0)),"Genre di luar daftar","")),IF('PC 08'!G96="","Nama Channel kosong",""),IF('PC 08'!H96="","Link kosong",IF(ISERROR(FIND("youtu",LOWER('PC 08'!H96))),"Link bukan youtube","")),IF('PC 08'!I96="","Tgl Dibuat kosong",IF(NOT(ISNUMBER('PC 08'!I96)),"Tgl Dibuat harus tanggal","")),IF(AND('PC 08'!J96&lt;&gt;"",NOT(ISNUMBER('PC 08'!J96))),"Tgl Publish harus tanggal",""),IF(AND(ISNUMBER('PC 08'!I96),ISNUMBER('PC 08'!J96),'PC 08'!J96&lt;'PC 08'!I96),"Tgl Publish &lt; Tgl Dibuat",""),IF(AND('PC 08'!K96&lt;&gt;"",ISERROR(MATCH(TRIM('PC 08'!K96),{"Draft","Menunggu Review","Revisi","Terjadwal","Publish","Batal","Published"},0))),"Status di luar daftar","")))</f>
        <v>#ERROR!</v>
      </c>
      <c r="D96" s="5" t="str">
        <f>IF(C96="","OK","ADA MASALAH")</f>
        <v>#ERROR!</v>
      </c>
    </row>
    <row r="97">
      <c r="A97" s="4">
        <v>97.0</v>
      </c>
      <c r="B97" s="5" t="str">
        <f>'PC 08'!A97</f>
        <v/>
      </c>
      <c r="C97" s="5" t="str">
        <f>IF(COUNTA('PC 08'!A97:L97)=0,"",TEXTJOIN(" | ",TRUE,IF('PC 08'!A97="","Worker ID kosong",""),IF('PC 08'!B97="","Update Date kosong",IF(NOT(ISNUMBER('PC 08'!B97)),"Update Date harus tanggal","")),IF('PC 08'!D97="","Judul kosong",""),IF('PC 08'!F97="","Genre kosong",IF(ISERROR(MATCH(TRIM('PC 08'!F97),{"Pop","Rock","Dangdut","K-Pop","Electronic","Nasional","Daerah"},0)),"Genre di luar daftar","")),IF('PC 08'!G97="","Nama Channel kosong",""),IF('PC 08'!H97="","Link kosong",IF(ISERROR(FIND("youtu",LOWER('PC 08'!H97))),"Link bukan youtube","")),IF('PC 08'!I97="","Tgl Dibuat kosong",IF(NOT(ISNUMBER('PC 08'!I97)),"Tgl Dibuat harus tanggal","")),IF(AND('PC 08'!J97&lt;&gt;"",NOT(ISNUMBER('PC 08'!J97))),"Tgl Publish harus tanggal",""),IF(AND(ISNUMBER('PC 08'!I97),ISNUMBER('PC 08'!J97),'PC 08'!J97&lt;'PC 08'!I97),"Tgl Publish &lt; Tgl Dibuat",""),IF(AND('PC 08'!K97&lt;&gt;"",ISERROR(MATCH(TRIM('PC 08'!K97),{"Draft","Menunggu Review","Revisi","Terjadwal","Publish","Batal","Published"},0))),"Status di luar daftar","")))</f>
        <v>#ERROR!</v>
      </c>
      <c r="D97" s="5" t="str">
        <f>IF(C97="","OK","ADA MASALAH")</f>
        <v>#ERROR!</v>
      </c>
    </row>
    <row r="98">
      <c r="A98" s="4">
        <v>98.0</v>
      </c>
      <c r="B98" s="5" t="str">
        <f>'PC 08'!A98</f>
        <v/>
      </c>
      <c r="C98" s="5" t="str">
        <f>IF(COUNTA('PC 08'!A98:L98)=0,"",TEXTJOIN(" | ",TRUE,IF('PC 08'!A98="","Worker ID kosong",""),IF('PC 08'!B98="","Update Date kosong",IF(NOT(ISNUMBER('PC 08'!B98)),"Update Date harus tanggal","")),IF('PC 08'!D98="","Judul kosong",""),IF('PC 08'!F98="","Genre kosong",IF(ISERROR(MATCH(TRIM('PC 08'!F98),{"Pop","Rock","Dangdut","K-Pop","Electronic","Nasional","Daerah"},0)),"Genre di luar daftar","")),IF('PC 08'!G98="","Nama Channel kosong",""),IF('PC 08'!H98="","Link kosong",IF(ISERROR(FIND("youtu",LOWER('PC 08'!H98))),"Link bukan youtube","")),IF('PC 08'!I98="","Tgl Dibuat kosong",IF(NOT(ISNUMBER('PC 08'!I98)),"Tgl Dibuat harus tanggal","")),IF(AND('PC 08'!J98&lt;&gt;"",NOT(ISNUMBER('PC 08'!J98))),"Tgl Publish harus tanggal",""),IF(AND(ISNUMBER('PC 08'!I98),ISNUMBER('PC 08'!J98),'PC 08'!J98&lt;'PC 08'!I98),"Tgl Publish &lt; Tgl Dibuat",""),IF(AND('PC 08'!K98&lt;&gt;"",ISERROR(MATCH(TRIM('PC 08'!K98),{"Draft","Menunggu Review","Revisi","Terjadwal","Publish","Batal","Published"},0))),"Status di luar daftar","")))</f>
        <v>#ERROR!</v>
      </c>
      <c r="D98" s="5" t="str">
        <f>IF(C98="","OK","ADA MASALAH")</f>
        <v>#ERROR!</v>
      </c>
    </row>
    <row r="99">
      <c r="A99" s="4">
        <v>99.0</v>
      </c>
      <c r="B99" s="5" t="str">
        <f>'PC 08'!A99</f>
        <v/>
      </c>
      <c r="C99" s="5" t="str">
        <f>IF(COUNTA('PC 08'!A99:L99)=0,"",TEXTJOIN(" | ",TRUE,IF('PC 08'!A99="","Worker ID kosong",""),IF('PC 08'!B99="","Update Date kosong",IF(NOT(ISNUMBER('PC 08'!B99)),"Update Date harus tanggal","")),IF('PC 08'!D99="","Judul kosong",""),IF('PC 08'!F99="","Genre kosong",IF(ISERROR(MATCH(TRIM('PC 08'!F99),{"Pop","Rock","Dangdut","K-Pop","Electronic","Nasional","Daerah"},0)),"Genre di luar daftar","")),IF('PC 08'!G99="","Nama Channel kosong",""),IF('PC 08'!H99="","Link kosong",IF(ISERROR(FIND("youtu",LOWER('PC 08'!H99))),"Link bukan youtube","")),IF('PC 08'!I99="","Tgl Dibuat kosong",IF(NOT(ISNUMBER('PC 08'!I99)),"Tgl Dibuat harus tanggal","")),IF(AND('PC 08'!J99&lt;&gt;"",NOT(ISNUMBER('PC 08'!J99))),"Tgl Publish harus tanggal",""),IF(AND(ISNUMBER('PC 08'!I99),ISNUMBER('PC 08'!J99),'PC 08'!J99&lt;'PC 08'!I99),"Tgl Publish &lt; Tgl Dibuat",""),IF(AND('PC 08'!K99&lt;&gt;"",ISERROR(MATCH(TRIM('PC 08'!K99),{"Draft","Menunggu Review","Revisi","Terjadwal","Publish","Batal","Published"},0))),"Status di luar daftar","")))</f>
        <v>#ERROR!</v>
      </c>
      <c r="D99" s="5" t="str">
        <f>IF(C99="","OK","ADA MASALAH")</f>
        <v>#ERROR!</v>
      </c>
    </row>
    <row r="100">
      <c r="A100" s="4">
        <v>100.0</v>
      </c>
      <c r="B100" s="5" t="str">
        <f>'PC 08'!A100</f>
        <v/>
      </c>
      <c r="C100" s="5" t="str">
        <f>IF(COUNTA('PC 08'!A100:L100)=0,"",TEXTJOIN(" | ",TRUE,IF('PC 08'!A100="","Worker ID kosong",""),IF('PC 08'!B100="","Update Date kosong",IF(NOT(ISNUMBER('PC 08'!B100)),"Update Date harus tanggal","")),IF('PC 08'!D100="","Judul kosong",""),IF('PC 08'!F100="","Genre kosong",IF(ISERROR(MATCH(TRIM('PC 08'!F100),{"Pop","Rock","Dangdut","K-Pop","Electronic","Nasional","Daerah"},0)),"Genre di luar daftar","")),IF('PC 08'!G100="","Nama Channel kosong",""),IF('PC 08'!H100="","Link kosong",IF(ISERROR(FIND("youtu",LOWER('PC 08'!H100))),"Link bukan youtube","")),IF('PC 08'!I100="","Tgl Dibuat kosong",IF(NOT(ISNUMBER('PC 08'!I100)),"Tgl Dibuat harus tanggal","")),IF(AND('PC 08'!J100&lt;&gt;"",NOT(ISNUMBER('PC 08'!J100))),"Tgl Publish harus tanggal",""),IF(AND(ISNUMBER('PC 08'!I100),ISNUMBER('PC 08'!J100),'PC 08'!J100&lt;'PC 08'!I100),"Tgl Publish &lt; Tgl Dibuat",""),IF(AND('PC 08'!K100&lt;&gt;"",ISERROR(MATCH(TRIM('PC 08'!K100),{"Draft","Menunggu Review","Revisi","Terjadwal","Publish","Batal","Published"},0))),"Status di luar daftar","")))</f>
        <v>#ERROR!</v>
      </c>
      <c r="D100" s="5" t="str">
        <f>IF(C100="","OK","ADA MASALAH")</f>
        <v>#ERROR!</v>
      </c>
    </row>
    <row r="101">
      <c r="A101" s="4">
        <v>101.0</v>
      </c>
      <c r="B101" s="5" t="str">
        <f>'PC 08'!A101</f>
        <v/>
      </c>
      <c r="C101" s="5" t="str">
        <f>IF(COUNTA('PC 08'!A101:L101)=0,"",TEXTJOIN(" | ",TRUE,IF('PC 08'!A101="","Worker ID kosong",""),IF('PC 08'!B101="","Update Date kosong",IF(NOT(ISNUMBER('PC 08'!B101)),"Update Date harus tanggal","")),IF('PC 08'!D101="","Judul kosong",""),IF('PC 08'!F101="","Genre kosong",IF(ISERROR(MATCH(TRIM('PC 08'!F101),{"Pop","Rock","Dangdut","K-Pop","Electronic","Nasional","Daerah"},0)),"Genre di luar daftar","")),IF('PC 08'!G101="","Nama Channel kosong",""),IF('PC 08'!H101="","Link kosong",IF(ISERROR(FIND("youtu",LOWER('PC 08'!H101))),"Link bukan youtube","")),IF('PC 08'!I101="","Tgl Dibuat kosong",IF(NOT(ISNUMBER('PC 08'!I101)),"Tgl Dibuat harus tanggal","")),IF(AND('PC 08'!J101&lt;&gt;"",NOT(ISNUMBER('PC 08'!J101))),"Tgl Publish harus tanggal",""),IF(AND(ISNUMBER('PC 08'!I101),ISNUMBER('PC 08'!J101),'PC 08'!J101&lt;'PC 08'!I101),"Tgl Publish &lt; Tgl Dibuat",""),IF(AND('PC 08'!K101&lt;&gt;"",ISERROR(MATCH(TRIM('PC 08'!K101),{"Draft","Menunggu Review","Revisi","Terjadwal","Publish","Batal","Published"},0))),"Status di luar daftar","")))</f>
        <v>#ERROR!</v>
      </c>
      <c r="D101" s="5" t="str">
        <f>IF(C101="","OK","ADA MASALAH")</f>
        <v>#ERROR!</v>
      </c>
    </row>
    <row r="102">
      <c r="A102" s="4">
        <v>102.0</v>
      </c>
      <c r="B102" s="5" t="str">
        <f>'PC 08'!A102</f>
        <v/>
      </c>
      <c r="C102" s="5" t="str">
        <f>IF(COUNTA('PC 08'!A102:L102)=0,"",TEXTJOIN(" | ",TRUE,IF('PC 08'!A102="","Worker ID kosong",""),IF('PC 08'!B102="","Update Date kosong",IF(NOT(ISNUMBER('PC 08'!B102)),"Update Date harus tanggal","")),IF('PC 08'!D102="","Judul kosong",""),IF('PC 08'!F102="","Genre kosong",IF(ISERROR(MATCH(TRIM('PC 08'!F102),{"Pop","Rock","Dangdut","K-Pop","Electronic","Nasional","Daerah"},0)),"Genre di luar daftar","")),IF('PC 08'!G102="","Nama Channel kosong",""),IF('PC 08'!H102="","Link kosong",IF(ISERROR(FIND("youtu",LOWER('PC 08'!H102))),"Link bukan youtube","")),IF('PC 08'!I102="","Tgl Dibuat kosong",IF(NOT(ISNUMBER('PC 08'!I102)),"Tgl Dibuat harus tanggal","")),IF(AND('PC 08'!J102&lt;&gt;"",NOT(ISNUMBER('PC 08'!J102))),"Tgl Publish harus tanggal",""),IF(AND(ISNUMBER('PC 08'!I102),ISNUMBER('PC 08'!J102),'PC 08'!J102&lt;'PC 08'!I102),"Tgl Publish &lt; Tgl Dibuat",""),IF(AND('PC 08'!K102&lt;&gt;"",ISERROR(MATCH(TRIM('PC 08'!K102),{"Draft","Menunggu Review","Revisi","Terjadwal","Publish","Batal","Published"},0))),"Status di luar daftar","")))</f>
        <v>#ERROR!</v>
      </c>
      <c r="D102" s="5" t="str">
        <f>IF(C102="","OK","ADA MASALAH")</f>
        <v>#ERROR!</v>
      </c>
    </row>
    <row r="103">
      <c r="A103" s="4">
        <v>103.0</v>
      </c>
      <c r="B103" s="5" t="str">
        <f>'PC 08'!A103</f>
        <v/>
      </c>
      <c r="C103" s="5" t="str">
        <f>IF(COUNTA('PC 08'!A103:L103)=0,"",TEXTJOIN(" | ",TRUE,IF('PC 08'!A103="","Worker ID kosong",""),IF('PC 08'!B103="","Update Date kosong",IF(NOT(ISNUMBER('PC 08'!B103)),"Update Date harus tanggal","")),IF('PC 08'!D103="","Judul kosong",""),IF('PC 08'!F103="","Genre kosong",IF(ISERROR(MATCH(TRIM('PC 08'!F103),{"Pop","Rock","Dangdut","K-Pop","Electronic","Nasional","Daerah"},0)),"Genre di luar daftar","")),IF('PC 08'!G103="","Nama Channel kosong",""),IF('PC 08'!H103="","Link kosong",IF(ISERROR(FIND("youtu",LOWER('PC 08'!H103))),"Link bukan youtube","")),IF('PC 08'!I103="","Tgl Dibuat kosong",IF(NOT(ISNUMBER('PC 08'!I103)),"Tgl Dibuat harus tanggal","")),IF(AND('PC 08'!J103&lt;&gt;"",NOT(ISNUMBER('PC 08'!J103))),"Tgl Publish harus tanggal",""),IF(AND(ISNUMBER('PC 08'!I103),ISNUMBER('PC 08'!J103),'PC 08'!J103&lt;'PC 08'!I103),"Tgl Publish &lt; Tgl Dibuat",""),IF(AND('PC 08'!K103&lt;&gt;"",ISERROR(MATCH(TRIM('PC 08'!K103),{"Draft","Menunggu Review","Revisi","Terjadwal","Publish","Batal","Published"},0))),"Status di luar daftar","")))</f>
        <v>#ERROR!</v>
      </c>
      <c r="D103" s="5" t="str">
        <f>IF(C103="","OK","ADA MASALAH")</f>
        <v>#ERROR!</v>
      </c>
    </row>
    <row r="104">
      <c r="A104" s="4">
        <v>104.0</v>
      </c>
      <c r="B104" s="5" t="str">
        <f>'PC 08'!A104</f>
        <v/>
      </c>
      <c r="C104" s="5" t="str">
        <f>IF(COUNTA('PC 08'!A104:L104)=0,"",TEXTJOIN(" | ",TRUE,IF('PC 08'!A104="","Worker ID kosong",""),IF('PC 08'!B104="","Update Date kosong",IF(NOT(ISNUMBER('PC 08'!B104)),"Update Date harus tanggal","")),IF('PC 08'!D104="","Judul kosong",""),IF('PC 08'!F104="","Genre kosong",IF(ISERROR(MATCH(TRIM('PC 08'!F104),{"Pop","Rock","Dangdut","K-Pop","Electronic","Nasional","Daerah"},0)),"Genre di luar daftar","")),IF('PC 08'!G104="","Nama Channel kosong",""),IF('PC 08'!H104="","Link kosong",IF(ISERROR(FIND("youtu",LOWER('PC 08'!H104))),"Link bukan youtube","")),IF('PC 08'!I104="","Tgl Dibuat kosong",IF(NOT(ISNUMBER('PC 08'!I104)),"Tgl Dibuat harus tanggal","")),IF(AND('PC 08'!J104&lt;&gt;"",NOT(ISNUMBER('PC 08'!J104))),"Tgl Publish harus tanggal",""),IF(AND(ISNUMBER('PC 08'!I104),ISNUMBER('PC 08'!J104),'PC 08'!J104&lt;'PC 08'!I104),"Tgl Publish &lt; Tgl Dibuat",""),IF(AND('PC 08'!K104&lt;&gt;"",ISERROR(MATCH(TRIM('PC 08'!K104),{"Draft","Menunggu Review","Revisi","Terjadwal","Publish","Batal","Published"},0))),"Status di luar daftar","")))</f>
        <v>#ERROR!</v>
      </c>
      <c r="D104" s="5" t="str">
        <f>IF(C104="","OK","ADA MASALAH")</f>
        <v>#ERROR!</v>
      </c>
    </row>
    <row r="105">
      <c r="A105" s="4">
        <v>105.0</v>
      </c>
      <c r="B105" s="5" t="str">
        <f>'PC 08'!A105</f>
        <v/>
      </c>
      <c r="C105" s="5" t="str">
        <f>IF(COUNTA('PC 08'!A105:L105)=0,"",TEXTJOIN(" | ",TRUE,IF('PC 08'!A105="","Worker ID kosong",""),IF('PC 08'!B105="","Update Date kosong",IF(NOT(ISNUMBER('PC 08'!B105)),"Update Date harus tanggal","")),IF('PC 08'!D105="","Judul kosong",""),IF('PC 08'!F105="","Genre kosong",IF(ISERROR(MATCH(TRIM('PC 08'!F105),{"Pop","Rock","Dangdut","K-Pop","Electronic","Nasional","Daerah"},0)),"Genre di luar daftar","")),IF('PC 08'!G105="","Nama Channel kosong",""),IF('PC 08'!H105="","Link kosong",IF(ISERROR(FIND("youtu",LOWER('PC 08'!H105))),"Link bukan youtube","")),IF('PC 08'!I105="","Tgl Dibuat kosong",IF(NOT(ISNUMBER('PC 08'!I105)),"Tgl Dibuat harus tanggal","")),IF(AND('PC 08'!J105&lt;&gt;"",NOT(ISNUMBER('PC 08'!J105))),"Tgl Publish harus tanggal",""),IF(AND(ISNUMBER('PC 08'!I105),ISNUMBER('PC 08'!J105),'PC 08'!J105&lt;'PC 08'!I105),"Tgl Publish &lt; Tgl Dibuat",""),IF(AND('PC 08'!K105&lt;&gt;"",ISERROR(MATCH(TRIM('PC 08'!K105),{"Draft","Menunggu Review","Revisi","Terjadwal","Publish","Batal","Published"},0))),"Status di luar daftar","")))</f>
        <v>#ERROR!</v>
      </c>
      <c r="D105" s="5" t="str">
        <f>IF(C105="","OK","ADA MASALAH")</f>
        <v>#ERROR!</v>
      </c>
    </row>
    <row r="106">
      <c r="A106" s="4">
        <v>106.0</v>
      </c>
      <c r="B106" s="5" t="str">
        <f>'PC 08'!A106</f>
        <v/>
      </c>
      <c r="C106" s="5" t="str">
        <f>IF(COUNTA('PC 08'!A106:L106)=0,"",TEXTJOIN(" | ",TRUE,IF('PC 08'!A106="","Worker ID kosong",""),IF('PC 08'!B106="","Update Date kosong",IF(NOT(ISNUMBER('PC 08'!B106)),"Update Date harus tanggal","")),IF('PC 08'!D106="","Judul kosong",""),IF('PC 08'!F106="","Genre kosong",IF(ISERROR(MATCH(TRIM('PC 08'!F106),{"Pop","Rock","Dangdut","K-Pop","Electronic","Nasional","Daerah"},0)),"Genre di luar daftar","")),IF('PC 08'!G106="","Nama Channel kosong",""),IF('PC 08'!H106="","Link kosong",IF(ISERROR(FIND("youtu",LOWER('PC 08'!H106))),"Link bukan youtube","")),IF('PC 08'!I106="","Tgl Dibuat kosong",IF(NOT(ISNUMBER('PC 08'!I106)),"Tgl Dibuat harus tanggal","")),IF(AND('PC 08'!J106&lt;&gt;"",NOT(ISNUMBER('PC 08'!J106))),"Tgl Publish harus tanggal",""),IF(AND(ISNUMBER('PC 08'!I106),ISNUMBER('PC 08'!J106),'PC 08'!J106&lt;'PC 08'!I106),"Tgl Publish &lt; Tgl Dibuat",""),IF(AND('PC 08'!K106&lt;&gt;"",ISERROR(MATCH(TRIM('PC 08'!K106),{"Draft","Menunggu Review","Revisi","Terjadwal","Publish","Batal","Published"},0))),"Status di luar daftar","")))</f>
        <v>#ERROR!</v>
      </c>
      <c r="D106" s="5" t="str">
        <f>IF(C106="","OK","ADA MASALAH")</f>
        <v>#ERROR!</v>
      </c>
    </row>
    <row r="107">
      <c r="A107" s="4">
        <v>107.0</v>
      </c>
      <c r="B107" s="5" t="str">
        <f>'PC 08'!A107</f>
        <v/>
      </c>
      <c r="C107" s="5" t="str">
        <f>IF(COUNTA('PC 08'!A107:L107)=0,"",TEXTJOIN(" | ",TRUE,IF('PC 08'!A107="","Worker ID kosong",""),IF('PC 08'!B107="","Update Date kosong",IF(NOT(ISNUMBER('PC 08'!B107)),"Update Date harus tanggal","")),IF('PC 08'!D107="","Judul kosong",""),IF('PC 08'!F107="","Genre kosong",IF(ISERROR(MATCH(TRIM('PC 08'!F107),{"Pop","Rock","Dangdut","K-Pop","Electronic","Nasional","Daerah"},0)),"Genre di luar daftar","")),IF('PC 08'!G107="","Nama Channel kosong",""),IF('PC 08'!H107="","Link kosong",IF(ISERROR(FIND("youtu",LOWER('PC 08'!H107))),"Link bukan youtube","")),IF('PC 08'!I107="","Tgl Dibuat kosong",IF(NOT(ISNUMBER('PC 08'!I107)),"Tgl Dibuat harus tanggal","")),IF(AND('PC 08'!J107&lt;&gt;"",NOT(ISNUMBER('PC 08'!J107))),"Tgl Publish harus tanggal",""),IF(AND(ISNUMBER('PC 08'!I107),ISNUMBER('PC 08'!J107),'PC 08'!J107&lt;'PC 08'!I107),"Tgl Publish &lt; Tgl Dibuat",""),IF(AND('PC 08'!K107&lt;&gt;"",ISERROR(MATCH(TRIM('PC 08'!K107),{"Draft","Menunggu Review","Revisi","Terjadwal","Publish","Batal","Published"},0))),"Status di luar daftar","")))</f>
        <v>#ERROR!</v>
      </c>
      <c r="D107" s="5" t="str">
        <f>IF(C107="","OK","ADA MASALAH")</f>
        <v>#ERROR!</v>
      </c>
    </row>
    <row r="108">
      <c r="A108" s="4">
        <v>108.0</v>
      </c>
      <c r="B108" s="5" t="str">
        <f>'PC 08'!A108</f>
        <v/>
      </c>
      <c r="C108" s="5" t="str">
        <f>IF(COUNTA('PC 08'!A108:L108)=0,"",TEXTJOIN(" | ",TRUE,IF('PC 08'!A108="","Worker ID kosong",""),IF('PC 08'!B108="","Update Date kosong",IF(NOT(ISNUMBER('PC 08'!B108)),"Update Date harus tanggal","")),IF('PC 08'!D108="","Judul kosong",""),IF('PC 08'!F108="","Genre kosong",IF(ISERROR(MATCH(TRIM('PC 08'!F108),{"Pop","Rock","Dangdut","K-Pop","Electronic","Nasional","Daerah"},0)),"Genre di luar daftar","")),IF('PC 08'!G108="","Nama Channel kosong",""),IF('PC 08'!H108="","Link kosong",IF(ISERROR(FIND("youtu",LOWER('PC 08'!H108))),"Link bukan youtube","")),IF('PC 08'!I108="","Tgl Dibuat kosong",IF(NOT(ISNUMBER('PC 08'!I108)),"Tgl Dibuat harus tanggal","")),IF(AND('PC 08'!J108&lt;&gt;"",NOT(ISNUMBER('PC 08'!J108))),"Tgl Publish harus tanggal",""),IF(AND(ISNUMBER('PC 08'!I108),ISNUMBER('PC 08'!J108),'PC 08'!J108&lt;'PC 08'!I108),"Tgl Publish &lt; Tgl Dibuat",""),IF(AND('PC 08'!K108&lt;&gt;"",ISERROR(MATCH(TRIM('PC 08'!K108),{"Draft","Menunggu Review","Revisi","Terjadwal","Publish","Batal","Published"},0))),"Status di luar daftar","")))</f>
        <v>#ERROR!</v>
      </c>
      <c r="D108" s="5" t="str">
        <f>IF(C108="","OK","ADA MASALAH")</f>
        <v>#ERROR!</v>
      </c>
    </row>
    <row r="109">
      <c r="A109" s="4">
        <v>109.0</v>
      </c>
      <c r="B109" s="5" t="str">
        <f>'PC 08'!A109</f>
        <v/>
      </c>
      <c r="C109" s="5" t="str">
        <f>IF(COUNTA('PC 08'!A109:L109)=0,"",TEXTJOIN(" | ",TRUE,IF('PC 08'!A109="","Worker ID kosong",""),IF('PC 08'!B109="","Update Date kosong",IF(NOT(ISNUMBER('PC 08'!B109)),"Update Date harus tanggal","")),IF('PC 08'!D109="","Judul kosong",""),IF('PC 08'!F109="","Genre kosong",IF(ISERROR(MATCH(TRIM('PC 08'!F109),{"Pop","Rock","Dangdut","K-Pop","Electronic","Nasional","Daerah"},0)),"Genre di luar daftar","")),IF('PC 08'!G109="","Nama Channel kosong",""),IF('PC 08'!H109="","Link kosong",IF(ISERROR(FIND("youtu",LOWER('PC 08'!H109))),"Link bukan youtube","")),IF('PC 08'!I109="","Tgl Dibuat kosong",IF(NOT(ISNUMBER('PC 08'!I109)),"Tgl Dibuat harus tanggal","")),IF(AND('PC 08'!J109&lt;&gt;"",NOT(ISNUMBER('PC 08'!J109))),"Tgl Publish harus tanggal",""),IF(AND(ISNUMBER('PC 08'!I109),ISNUMBER('PC 08'!J109),'PC 08'!J109&lt;'PC 08'!I109),"Tgl Publish &lt; Tgl Dibuat",""),IF(AND('PC 08'!K109&lt;&gt;"",ISERROR(MATCH(TRIM('PC 08'!K109),{"Draft","Menunggu Review","Revisi","Terjadwal","Publish","Batal","Published"},0))),"Status di luar daftar","")))</f>
        <v>#ERROR!</v>
      </c>
      <c r="D109" s="5" t="str">
        <f>IF(C109="","OK","ADA MASALAH")</f>
        <v>#ERROR!</v>
      </c>
    </row>
    <row r="110">
      <c r="A110" s="4">
        <v>110.0</v>
      </c>
      <c r="B110" s="5" t="str">
        <f>'PC 08'!A110</f>
        <v/>
      </c>
      <c r="C110" s="5" t="str">
        <f>IF(COUNTA('PC 08'!A110:L110)=0,"",TEXTJOIN(" | ",TRUE,IF('PC 08'!A110="","Worker ID kosong",""),IF('PC 08'!B110="","Update Date kosong",IF(NOT(ISNUMBER('PC 08'!B110)),"Update Date harus tanggal","")),IF('PC 08'!D110="","Judul kosong",""),IF('PC 08'!F110="","Genre kosong",IF(ISERROR(MATCH(TRIM('PC 08'!F110),{"Pop","Rock","Dangdut","K-Pop","Electronic","Nasional","Daerah"},0)),"Genre di luar daftar","")),IF('PC 08'!G110="","Nama Channel kosong",""),IF('PC 08'!H110="","Link kosong",IF(ISERROR(FIND("youtu",LOWER('PC 08'!H110))),"Link bukan youtube","")),IF('PC 08'!I110="","Tgl Dibuat kosong",IF(NOT(ISNUMBER('PC 08'!I110)),"Tgl Dibuat harus tanggal","")),IF(AND('PC 08'!J110&lt;&gt;"",NOT(ISNUMBER('PC 08'!J110))),"Tgl Publish harus tanggal",""),IF(AND(ISNUMBER('PC 08'!I110),ISNUMBER('PC 08'!J110),'PC 08'!J110&lt;'PC 08'!I110),"Tgl Publish &lt; Tgl Dibuat",""),IF(AND('PC 08'!K110&lt;&gt;"",ISERROR(MATCH(TRIM('PC 08'!K110),{"Draft","Menunggu Review","Revisi","Terjadwal","Publish","Batal","Published"},0))),"Status di luar daftar","")))</f>
        <v>#ERROR!</v>
      </c>
      <c r="D110" s="5" t="str">
        <f>IF(C110="","OK","ADA MASALAH")</f>
        <v>#ERROR!</v>
      </c>
    </row>
    <row r="111">
      <c r="A111" s="4">
        <v>111.0</v>
      </c>
      <c r="B111" s="5" t="str">
        <f>'PC 08'!A111</f>
        <v/>
      </c>
      <c r="C111" s="5" t="str">
        <f>IF(COUNTA('PC 08'!A111:L111)=0,"",TEXTJOIN(" | ",TRUE,IF('PC 08'!A111="","Worker ID kosong",""),IF('PC 08'!B111="","Update Date kosong",IF(NOT(ISNUMBER('PC 08'!B111)),"Update Date harus tanggal","")),IF('PC 08'!D111="","Judul kosong",""),IF('PC 08'!F111="","Genre kosong",IF(ISERROR(MATCH(TRIM('PC 08'!F111),{"Pop","Rock","Dangdut","K-Pop","Electronic","Nasional","Daerah"},0)),"Genre di luar daftar","")),IF('PC 08'!G111="","Nama Channel kosong",""),IF('PC 08'!H111="","Link kosong",IF(ISERROR(FIND("youtu",LOWER('PC 08'!H111))),"Link bukan youtube","")),IF('PC 08'!I111="","Tgl Dibuat kosong",IF(NOT(ISNUMBER('PC 08'!I111)),"Tgl Dibuat harus tanggal","")),IF(AND('PC 08'!J111&lt;&gt;"",NOT(ISNUMBER('PC 08'!J111))),"Tgl Publish harus tanggal",""),IF(AND(ISNUMBER('PC 08'!I111),ISNUMBER('PC 08'!J111),'PC 08'!J111&lt;'PC 08'!I111),"Tgl Publish &lt; Tgl Dibuat",""),IF(AND('PC 08'!K111&lt;&gt;"",ISERROR(MATCH(TRIM('PC 08'!K111),{"Draft","Menunggu Review","Revisi","Terjadwal","Publish","Batal","Published"},0))),"Status di luar daftar","")))</f>
        <v>#ERROR!</v>
      </c>
      <c r="D111" s="5" t="str">
        <f>IF(C111="","OK","ADA MASALAH")</f>
        <v>#ERROR!</v>
      </c>
    </row>
    <row r="112">
      <c r="A112" s="4">
        <v>112.0</v>
      </c>
      <c r="B112" s="5" t="str">
        <f>'PC 08'!A112</f>
        <v/>
      </c>
      <c r="C112" s="5" t="str">
        <f>IF(COUNTA('PC 08'!A112:L112)=0,"",TEXTJOIN(" | ",TRUE,IF('PC 08'!A112="","Worker ID kosong",""),IF('PC 08'!B112="","Update Date kosong",IF(NOT(ISNUMBER('PC 08'!B112)),"Update Date harus tanggal","")),IF('PC 08'!D112="","Judul kosong",""),IF('PC 08'!F112="","Genre kosong",IF(ISERROR(MATCH(TRIM('PC 08'!F112),{"Pop","Rock","Dangdut","K-Pop","Electronic","Nasional","Daerah"},0)),"Genre di luar daftar","")),IF('PC 08'!G112="","Nama Channel kosong",""),IF('PC 08'!H112="","Link kosong",IF(ISERROR(FIND("youtu",LOWER('PC 08'!H112))),"Link bukan youtube","")),IF('PC 08'!I112="","Tgl Dibuat kosong",IF(NOT(ISNUMBER('PC 08'!I112)),"Tgl Dibuat harus tanggal","")),IF(AND('PC 08'!J112&lt;&gt;"",NOT(ISNUMBER('PC 08'!J112))),"Tgl Publish harus tanggal",""),IF(AND(ISNUMBER('PC 08'!I112),ISNUMBER('PC 08'!J112),'PC 08'!J112&lt;'PC 08'!I112),"Tgl Publish &lt; Tgl Dibuat",""),IF(AND('PC 08'!K112&lt;&gt;"",ISERROR(MATCH(TRIM('PC 08'!K112),{"Draft","Menunggu Review","Revisi","Terjadwal","Publish","Batal","Published"},0))),"Status di luar daftar","")))</f>
        <v>#ERROR!</v>
      </c>
      <c r="D112" s="5" t="str">
        <f>IF(C112="","OK","ADA MASALAH")</f>
        <v>#ERROR!</v>
      </c>
    </row>
    <row r="113">
      <c r="A113" s="4">
        <v>113.0</v>
      </c>
      <c r="B113" s="5" t="str">
        <f>'PC 08'!A113</f>
        <v/>
      </c>
      <c r="C113" s="5" t="str">
        <f>IF(COUNTA('PC 08'!A113:L113)=0,"",TEXTJOIN(" | ",TRUE,IF('PC 08'!A113="","Worker ID kosong",""),IF('PC 08'!B113="","Update Date kosong",IF(NOT(ISNUMBER('PC 08'!B113)),"Update Date harus tanggal","")),IF('PC 08'!D113="","Judul kosong",""),IF('PC 08'!F113="","Genre kosong",IF(ISERROR(MATCH(TRIM('PC 08'!F113),{"Pop","Rock","Dangdut","K-Pop","Electronic","Nasional","Daerah"},0)),"Genre di luar daftar","")),IF('PC 08'!G113="","Nama Channel kosong",""),IF('PC 08'!H113="","Link kosong",IF(ISERROR(FIND("youtu",LOWER('PC 08'!H113))),"Link bukan youtube","")),IF('PC 08'!I113="","Tgl Dibuat kosong",IF(NOT(ISNUMBER('PC 08'!I113)),"Tgl Dibuat harus tanggal","")),IF(AND('PC 08'!J113&lt;&gt;"",NOT(ISNUMBER('PC 08'!J113))),"Tgl Publish harus tanggal",""),IF(AND(ISNUMBER('PC 08'!I113),ISNUMBER('PC 08'!J113),'PC 08'!J113&lt;'PC 08'!I113),"Tgl Publish &lt; Tgl Dibuat",""),IF(AND('PC 08'!K113&lt;&gt;"",ISERROR(MATCH(TRIM('PC 08'!K113),{"Draft","Menunggu Review","Revisi","Terjadwal","Publish","Batal","Published"},0))),"Status di luar daftar","")))</f>
        <v>#ERROR!</v>
      </c>
      <c r="D113" s="5" t="str">
        <f>IF(C113="","OK","ADA MASALAH")</f>
        <v>#ERROR!</v>
      </c>
    </row>
    <row r="114">
      <c r="A114" s="4">
        <v>114.0</v>
      </c>
      <c r="B114" s="5" t="str">
        <f>'PC 08'!A114</f>
        <v/>
      </c>
      <c r="C114" s="5" t="str">
        <f>IF(COUNTA('PC 08'!A114:L114)=0,"",TEXTJOIN(" | ",TRUE,IF('PC 08'!A114="","Worker ID kosong",""),IF('PC 08'!B114="","Update Date kosong",IF(NOT(ISNUMBER('PC 08'!B114)),"Update Date harus tanggal","")),IF('PC 08'!D114="","Judul kosong",""),IF('PC 08'!F114="","Genre kosong",IF(ISERROR(MATCH(TRIM('PC 08'!F114),{"Pop","Rock","Dangdut","K-Pop","Electronic","Nasional","Daerah"},0)),"Genre di luar daftar","")),IF('PC 08'!G114="","Nama Channel kosong",""),IF('PC 08'!H114="","Link kosong",IF(ISERROR(FIND("youtu",LOWER('PC 08'!H114))),"Link bukan youtube","")),IF('PC 08'!I114="","Tgl Dibuat kosong",IF(NOT(ISNUMBER('PC 08'!I114)),"Tgl Dibuat harus tanggal","")),IF(AND('PC 08'!J114&lt;&gt;"",NOT(ISNUMBER('PC 08'!J114))),"Tgl Publish harus tanggal",""),IF(AND(ISNUMBER('PC 08'!I114),ISNUMBER('PC 08'!J114),'PC 08'!J114&lt;'PC 08'!I114),"Tgl Publish &lt; Tgl Dibuat",""),IF(AND('PC 08'!K114&lt;&gt;"",ISERROR(MATCH(TRIM('PC 08'!K114),{"Draft","Menunggu Review","Revisi","Terjadwal","Publish","Batal","Published"},0))),"Status di luar daftar","")))</f>
        <v>#ERROR!</v>
      </c>
      <c r="D114" s="5" t="str">
        <f>IF(C114="","OK","ADA MASALAH")</f>
        <v>#ERROR!</v>
      </c>
    </row>
    <row r="115">
      <c r="A115" s="4">
        <v>115.0</v>
      </c>
      <c r="B115" s="5" t="str">
        <f>'PC 08'!A115</f>
        <v/>
      </c>
      <c r="C115" s="5" t="str">
        <f>IF(COUNTA('PC 08'!A115:L115)=0,"",TEXTJOIN(" | ",TRUE,IF('PC 08'!A115="","Worker ID kosong",""),IF('PC 08'!B115="","Update Date kosong",IF(NOT(ISNUMBER('PC 08'!B115)),"Update Date harus tanggal","")),IF('PC 08'!D115="","Judul kosong",""),IF('PC 08'!F115="","Genre kosong",IF(ISERROR(MATCH(TRIM('PC 08'!F115),{"Pop","Rock","Dangdut","K-Pop","Electronic","Nasional","Daerah"},0)),"Genre di luar daftar","")),IF('PC 08'!G115="","Nama Channel kosong",""),IF('PC 08'!H115="","Link kosong",IF(ISERROR(FIND("youtu",LOWER('PC 08'!H115))),"Link bukan youtube","")),IF('PC 08'!I115="","Tgl Dibuat kosong",IF(NOT(ISNUMBER('PC 08'!I115)),"Tgl Dibuat harus tanggal","")),IF(AND('PC 08'!J115&lt;&gt;"",NOT(ISNUMBER('PC 08'!J115))),"Tgl Publish harus tanggal",""),IF(AND(ISNUMBER('PC 08'!I115),ISNUMBER('PC 08'!J115),'PC 08'!J115&lt;'PC 08'!I115),"Tgl Publish &lt; Tgl Dibuat",""),IF(AND('PC 08'!K115&lt;&gt;"",ISERROR(MATCH(TRIM('PC 08'!K115),{"Draft","Menunggu Review","Revisi","Terjadwal","Publish","Batal","Published"},0))),"Status di luar daftar","")))</f>
        <v>#ERROR!</v>
      </c>
      <c r="D115" s="5" t="str">
        <f>IF(C115="","OK","ADA MASALAH")</f>
        <v>#ERROR!</v>
      </c>
    </row>
    <row r="116">
      <c r="A116" s="4">
        <v>116.0</v>
      </c>
      <c r="B116" s="5" t="str">
        <f>'PC 08'!A116</f>
        <v/>
      </c>
      <c r="C116" s="5" t="str">
        <f>IF(COUNTA('PC 08'!A116:L116)=0,"",TEXTJOIN(" | ",TRUE,IF('PC 08'!A116="","Worker ID kosong",""),IF('PC 08'!B116="","Update Date kosong",IF(NOT(ISNUMBER('PC 08'!B116)),"Update Date harus tanggal","")),IF('PC 08'!D116="","Judul kosong",""),IF('PC 08'!F116="","Genre kosong",IF(ISERROR(MATCH(TRIM('PC 08'!F116),{"Pop","Rock","Dangdut","K-Pop","Electronic","Nasional","Daerah"},0)),"Genre di luar daftar","")),IF('PC 08'!G116="","Nama Channel kosong",""),IF('PC 08'!H116="","Link kosong",IF(ISERROR(FIND("youtu",LOWER('PC 08'!H116))),"Link bukan youtube","")),IF('PC 08'!I116="","Tgl Dibuat kosong",IF(NOT(ISNUMBER('PC 08'!I116)),"Tgl Dibuat harus tanggal","")),IF(AND('PC 08'!J116&lt;&gt;"",NOT(ISNUMBER('PC 08'!J116))),"Tgl Publish harus tanggal",""),IF(AND(ISNUMBER('PC 08'!I116),ISNUMBER('PC 08'!J116),'PC 08'!J116&lt;'PC 08'!I116),"Tgl Publish &lt; Tgl Dibuat",""),IF(AND('PC 08'!K116&lt;&gt;"",ISERROR(MATCH(TRIM('PC 08'!K116),{"Draft","Menunggu Review","Revisi","Terjadwal","Publish","Batal","Published"},0))),"Status di luar daftar","")))</f>
        <v>#ERROR!</v>
      </c>
      <c r="D116" s="5" t="str">
        <f>IF(C116="","OK","ADA MASALAH")</f>
        <v>#ERROR!</v>
      </c>
    </row>
    <row r="117">
      <c r="A117" s="4">
        <v>117.0</v>
      </c>
      <c r="B117" s="5" t="str">
        <f>'PC 08'!A117</f>
        <v/>
      </c>
      <c r="C117" s="5" t="str">
        <f>IF(COUNTA('PC 08'!A117:L117)=0,"",TEXTJOIN(" | ",TRUE,IF('PC 08'!A117="","Worker ID kosong",""),IF('PC 08'!B117="","Update Date kosong",IF(NOT(ISNUMBER('PC 08'!B117)),"Update Date harus tanggal","")),IF('PC 08'!D117="","Judul kosong",""),IF('PC 08'!F117="","Genre kosong",IF(ISERROR(MATCH(TRIM('PC 08'!F117),{"Pop","Rock","Dangdut","K-Pop","Electronic","Nasional","Daerah"},0)),"Genre di luar daftar","")),IF('PC 08'!G117="","Nama Channel kosong",""),IF('PC 08'!H117="","Link kosong",IF(ISERROR(FIND("youtu",LOWER('PC 08'!H117))),"Link bukan youtube","")),IF('PC 08'!I117="","Tgl Dibuat kosong",IF(NOT(ISNUMBER('PC 08'!I117)),"Tgl Dibuat harus tanggal","")),IF(AND('PC 08'!J117&lt;&gt;"",NOT(ISNUMBER('PC 08'!J117))),"Tgl Publish harus tanggal",""),IF(AND(ISNUMBER('PC 08'!I117),ISNUMBER('PC 08'!J117),'PC 08'!J117&lt;'PC 08'!I117),"Tgl Publish &lt; Tgl Dibuat",""),IF(AND('PC 08'!K117&lt;&gt;"",ISERROR(MATCH(TRIM('PC 08'!K117),{"Draft","Menunggu Review","Revisi","Terjadwal","Publish","Batal","Published"},0))),"Status di luar daftar","")))</f>
        <v>#ERROR!</v>
      </c>
      <c r="D117" s="5" t="str">
        <f>IF(C117="","OK","ADA MASALAH")</f>
        <v>#ERROR!</v>
      </c>
    </row>
    <row r="118">
      <c r="A118" s="4">
        <v>118.0</v>
      </c>
      <c r="B118" s="5" t="str">
        <f>'PC 08'!A118</f>
        <v/>
      </c>
      <c r="C118" s="5" t="str">
        <f>IF(COUNTA('PC 08'!A118:L118)=0,"",TEXTJOIN(" | ",TRUE,IF('PC 08'!A118="","Worker ID kosong",""),IF('PC 08'!B118="","Update Date kosong",IF(NOT(ISNUMBER('PC 08'!B118)),"Update Date harus tanggal","")),IF('PC 08'!D118="","Judul kosong",""),IF('PC 08'!F118="","Genre kosong",IF(ISERROR(MATCH(TRIM('PC 08'!F118),{"Pop","Rock","Dangdut","K-Pop","Electronic","Nasional","Daerah"},0)),"Genre di luar daftar","")),IF('PC 08'!G118="","Nama Channel kosong",""),IF('PC 08'!H118="","Link kosong",IF(ISERROR(FIND("youtu",LOWER('PC 08'!H118))),"Link bukan youtube","")),IF('PC 08'!I118="","Tgl Dibuat kosong",IF(NOT(ISNUMBER('PC 08'!I118)),"Tgl Dibuat harus tanggal","")),IF(AND('PC 08'!J118&lt;&gt;"",NOT(ISNUMBER('PC 08'!J118))),"Tgl Publish harus tanggal",""),IF(AND(ISNUMBER('PC 08'!I118),ISNUMBER('PC 08'!J118),'PC 08'!J118&lt;'PC 08'!I118),"Tgl Publish &lt; Tgl Dibuat",""),IF(AND('PC 08'!K118&lt;&gt;"",ISERROR(MATCH(TRIM('PC 08'!K118),{"Draft","Menunggu Review","Revisi","Terjadwal","Publish","Batal","Published"},0))),"Status di luar daftar","")))</f>
        <v>#ERROR!</v>
      </c>
      <c r="D118" s="5" t="str">
        <f>IF(C118="","OK","ADA MASALAH")</f>
        <v>#ERROR!</v>
      </c>
    </row>
    <row r="119">
      <c r="A119" s="4">
        <v>119.0</v>
      </c>
      <c r="B119" s="5" t="str">
        <f>'PC 08'!A119</f>
        <v/>
      </c>
      <c r="C119" s="5" t="str">
        <f>IF(COUNTA('PC 08'!A119:L119)=0,"",TEXTJOIN(" | ",TRUE,IF('PC 08'!A119="","Worker ID kosong",""),IF('PC 08'!B119="","Update Date kosong",IF(NOT(ISNUMBER('PC 08'!B119)),"Update Date harus tanggal","")),IF('PC 08'!D119="","Judul kosong",""),IF('PC 08'!F119="","Genre kosong",IF(ISERROR(MATCH(TRIM('PC 08'!F119),{"Pop","Rock","Dangdut","K-Pop","Electronic","Nasional","Daerah"},0)),"Genre di luar daftar","")),IF('PC 08'!G119="","Nama Channel kosong",""),IF('PC 08'!H119="","Link kosong",IF(ISERROR(FIND("youtu",LOWER('PC 08'!H119))),"Link bukan youtube","")),IF('PC 08'!I119="","Tgl Dibuat kosong",IF(NOT(ISNUMBER('PC 08'!I119)),"Tgl Dibuat harus tanggal","")),IF(AND('PC 08'!J119&lt;&gt;"",NOT(ISNUMBER('PC 08'!J119))),"Tgl Publish harus tanggal",""),IF(AND(ISNUMBER('PC 08'!I119),ISNUMBER('PC 08'!J119),'PC 08'!J119&lt;'PC 08'!I119),"Tgl Publish &lt; Tgl Dibuat",""),IF(AND('PC 08'!K119&lt;&gt;"",ISERROR(MATCH(TRIM('PC 08'!K119),{"Draft","Menunggu Review","Revisi","Terjadwal","Publish","Batal","Published"},0))),"Status di luar daftar","")))</f>
        <v>#ERROR!</v>
      </c>
      <c r="D119" s="5" t="str">
        <f>IF(C119="","OK","ADA MASALAH")</f>
        <v>#ERROR!</v>
      </c>
    </row>
    <row r="120">
      <c r="A120" s="4">
        <v>120.0</v>
      </c>
      <c r="B120" s="5" t="str">
        <f>'PC 08'!A120</f>
        <v/>
      </c>
      <c r="C120" s="5" t="str">
        <f>IF(COUNTA('PC 08'!A120:L120)=0,"",TEXTJOIN(" | ",TRUE,IF('PC 08'!A120="","Worker ID kosong",""),IF('PC 08'!B120="","Update Date kosong",IF(NOT(ISNUMBER('PC 08'!B120)),"Update Date harus tanggal","")),IF('PC 08'!D120="","Judul kosong",""),IF('PC 08'!F120="","Genre kosong",IF(ISERROR(MATCH(TRIM('PC 08'!F120),{"Pop","Rock","Dangdut","K-Pop","Electronic","Nasional","Daerah"},0)),"Genre di luar daftar","")),IF('PC 08'!G120="","Nama Channel kosong",""),IF('PC 08'!H120="","Link kosong",IF(ISERROR(FIND("youtu",LOWER('PC 08'!H120))),"Link bukan youtube","")),IF('PC 08'!I120="","Tgl Dibuat kosong",IF(NOT(ISNUMBER('PC 08'!I120)),"Tgl Dibuat harus tanggal","")),IF(AND('PC 08'!J120&lt;&gt;"",NOT(ISNUMBER('PC 08'!J120))),"Tgl Publish harus tanggal",""),IF(AND(ISNUMBER('PC 08'!I120),ISNUMBER('PC 08'!J120),'PC 08'!J120&lt;'PC 08'!I120),"Tgl Publish &lt; Tgl Dibuat",""),IF(AND('PC 08'!K120&lt;&gt;"",ISERROR(MATCH(TRIM('PC 08'!K120),{"Draft","Menunggu Review","Revisi","Terjadwal","Publish","Batal","Published"},0))),"Status di luar daftar","")))</f>
        <v>#ERROR!</v>
      </c>
      <c r="D120" s="5" t="str">
        <f>IF(C120="","OK","ADA MASALAH")</f>
        <v>#ERROR!</v>
      </c>
    </row>
    <row r="121">
      <c r="A121" s="4">
        <v>121.0</v>
      </c>
      <c r="B121" s="5" t="str">
        <f>'PC 08'!A121</f>
        <v/>
      </c>
      <c r="C121" s="5" t="str">
        <f>IF(COUNTA('PC 08'!A121:L121)=0,"",TEXTJOIN(" | ",TRUE,IF('PC 08'!A121="","Worker ID kosong",""),IF('PC 08'!B121="","Update Date kosong",IF(NOT(ISNUMBER('PC 08'!B121)),"Update Date harus tanggal","")),IF('PC 08'!D121="","Judul kosong",""),IF('PC 08'!F121="","Genre kosong",IF(ISERROR(MATCH(TRIM('PC 08'!F121),{"Pop","Rock","Dangdut","K-Pop","Electronic","Nasional","Daerah"},0)),"Genre di luar daftar","")),IF('PC 08'!G121="","Nama Channel kosong",""),IF('PC 08'!H121="","Link kosong",IF(ISERROR(FIND("youtu",LOWER('PC 08'!H121))),"Link bukan youtube","")),IF('PC 08'!I121="","Tgl Dibuat kosong",IF(NOT(ISNUMBER('PC 08'!I121)),"Tgl Dibuat harus tanggal","")),IF(AND('PC 08'!J121&lt;&gt;"",NOT(ISNUMBER('PC 08'!J121))),"Tgl Publish harus tanggal",""),IF(AND(ISNUMBER('PC 08'!I121),ISNUMBER('PC 08'!J121),'PC 08'!J121&lt;'PC 08'!I121),"Tgl Publish &lt; Tgl Dibuat",""),IF(AND('PC 08'!K121&lt;&gt;"",ISERROR(MATCH(TRIM('PC 08'!K121),{"Draft","Menunggu Review","Revisi","Terjadwal","Publish","Batal","Published"},0))),"Status di luar daftar","")))</f>
        <v>#ERROR!</v>
      </c>
      <c r="D121" s="5" t="str">
        <f>IF(C121="","OK","ADA MASALAH")</f>
        <v>#ERROR!</v>
      </c>
    </row>
    <row r="122">
      <c r="A122" s="4">
        <v>122.0</v>
      </c>
      <c r="B122" s="5" t="str">
        <f>'PC 08'!A122</f>
        <v/>
      </c>
      <c r="C122" s="5" t="str">
        <f>IF(COUNTA('PC 08'!A122:L122)=0,"",TEXTJOIN(" | ",TRUE,IF('PC 08'!A122="","Worker ID kosong",""),IF('PC 08'!B122="","Update Date kosong",IF(NOT(ISNUMBER('PC 08'!B122)),"Update Date harus tanggal","")),IF('PC 08'!D122="","Judul kosong",""),IF('PC 08'!F122="","Genre kosong",IF(ISERROR(MATCH(TRIM('PC 08'!F122),{"Pop","Rock","Dangdut","K-Pop","Electronic","Nasional","Daerah"},0)),"Genre di luar daftar","")),IF('PC 08'!G122="","Nama Channel kosong",""),IF('PC 08'!H122="","Link kosong",IF(ISERROR(FIND("youtu",LOWER('PC 08'!H122))),"Link bukan youtube","")),IF('PC 08'!I122="","Tgl Dibuat kosong",IF(NOT(ISNUMBER('PC 08'!I122)),"Tgl Dibuat harus tanggal","")),IF(AND('PC 08'!J122&lt;&gt;"",NOT(ISNUMBER('PC 08'!J122))),"Tgl Publish harus tanggal",""),IF(AND(ISNUMBER('PC 08'!I122),ISNUMBER('PC 08'!J122),'PC 08'!J122&lt;'PC 08'!I122),"Tgl Publish &lt; Tgl Dibuat",""),IF(AND('PC 08'!K122&lt;&gt;"",ISERROR(MATCH(TRIM('PC 08'!K122),{"Draft","Menunggu Review","Revisi","Terjadwal","Publish","Batal","Published"},0))),"Status di luar daftar","")))</f>
        <v>#ERROR!</v>
      </c>
      <c r="D122" s="5" t="str">
        <f>IF(C122="","OK","ADA MASALAH")</f>
        <v>#ERROR!</v>
      </c>
    </row>
    <row r="123">
      <c r="A123" s="4">
        <v>123.0</v>
      </c>
      <c r="B123" s="5" t="str">
        <f>'PC 08'!A123</f>
        <v/>
      </c>
      <c r="C123" s="5" t="str">
        <f>IF(COUNTA('PC 08'!A123:L123)=0,"",TEXTJOIN(" | ",TRUE,IF('PC 08'!A123="","Worker ID kosong",""),IF('PC 08'!B123="","Update Date kosong",IF(NOT(ISNUMBER('PC 08'!B123)),"Update Date harus tanggal","")),IF('PC 08'!D123="","Judul kosong",""),IF('PC 08'!F123="","Genre kosong",IF(ISERROR(MATCH(TRIM('PC 08'!F123),{"Pop","Rock","Dangdut","K-Pop","Electronic","Nasional","Daerah"},0)),"Genre di luar daftar","")),IF('PC 08'!G123="","Nama Channel kosong",""),IF('PC 08'!H123="","Link kosong",IF(ISERROR(FIND("youtu",LOWER('PC 08'!H123))),"Link bukan youtube","")),IF('PC 08'!I123="","Tgl Dibuat kosong",IF(NOT(ISNUMBER('PC 08'!I123)),"Tgl Dibuat harus tanggal","")),IF(AND('PC 08'!J123&lt;&gt;"",NOT(ISNUMBER('PC 08'!J123))),"Tgl Publish harus tanggal",""),IF(AND(ISNUMBER('PC 08'!I123),ISNUMBER('PC 08'!J123),'PC 08'!J123&lt;'PC 08'!I123),"Tgl Publish &lt; Tgl Dibuat",""),IF(AND('PC 08'!K123&lt;&gt;"",ISERROR(MATCH(TRIM('PC 08'!K123),{"Draft","Menunggu Review","Revisi","Terjadwal","Publish","Batal","Published"},0))),"Status di luar daftar","")))</f>
        <v>#ERROR!</v>
      </c>
      <c r="D123" s="5" t="str">
        <f>IF(C123="","OK","ADA MASALAH")</f>
        <v>#ERROR!</v>
      </c>
    </row>
    <row r="124">
      <c r="A124" s="4">
        <v>124.0</v>
      </c>
      <c r="B124" s="5" t="str">
        <f>'PC 08'!A124</f>
        <v/>
      </c>
      <c r="C124" s="5" t="str">
        <f>IF(COUNTA('PC 08'!A124:L124)=0,"",TEXTJOIN(" | ",TRUE,IF('PC 08'!A124="","Worker ID kosong",""),IF('PC 08'!B124="","Update Date kosong",IF(NOT(ISNUMBER('PC 08'!B124)),"Update Date harus tanggal","")),IF('PC 08'!D124="","Judul kosong",""),IF('PC 08'!F124="","Genre kosong",IF(ISERROR(MATCH(TRIM('PC 08'!F124),{"Pop","Rock","Dangdut","K-Pop","Electronic","Nasional","Daerah"},0)),"Genre di luar daftar","")),IF('PC 08'!G124="","Nama Channel kosong",""),IF('PC 08'!H124="","Link kosong",IF(ISERROR(FIND("youtu",LOWER('PC 08'!H124))),"Link bukan youtube","")),IF('PC 08'!I124="","Tgl Dibuat kosong",IF(NOT(ISNUMBER('PC 08'!I124)),"Tgl Dibuat harus tanggal","")),IF(AND('PC 08'!J124&lt;&gt;"",NOT(ISNUMBER('PC 08'!J124))),"Tgl Publish harus tanggal",""),IF(AND(ISNUMBER('PC 08'!I124),ISNUMBER('PC 08'!J124),'PC 08'!J124&lt;'PC 08'!I124),"Tgl Publish &lt; Tgl Dibuat",""),IF(AND('PC 08'!K124&lt;&gt;"",ISERROR(MATCH(TRIM('PC 08'!K124),{"Draft","Menunggu Review","Revisi","Terjadwal","Publish","Batal","Published"},0))),"Status di luar daftar","")))</f>
        <v>#ERROR!</v>
      </c>
      <c r="D124" s="5" t="str">
        <f>IF(C124="","OK","ADA MASALAH")</f>
        <v>#ERROR!</v>
      </c>
    </row>
    <row r="125">
      <c r="A125" s="4">
        <v>125.0</v>
      </c>
      <c r="B125" s="5" t="str">
        <f>'PC 08'!A125</f>
        <v/>
      </c>
      <c r="C125" s="5" t="str">
        <f>IF(COUNTA('PC 08'!A125:L125)=0,"",TEXTJOIN(" | ",TRUE,IF('PC 08'!A125="","Worker ID kosong",""),IF('PC 08'!B125="","Update Date kosong",IF(NOT(ISNUMBER('PC 08'!B125)),"Update Date harus tanggal","")),IF('PC 08'!D125="","Judul kosong",""),IF('PC 08'!F125="","Genre kosong",IF(ISERROR(MATCH(TRIM('PC 08'!F125),{"Pop","Rock","Dangdut","K-Pop","Electronic","Nasional","Daerah"},0)),"Genre di luar daftar","")),IF('PC 08'!G125="","Nama Channel kosong",""),IF('PC 08'!H125="","Link kosong",IF(ISERROR(FIND("youtu",LOWER('PC 08'!H125))),"Link bukan youtube","")),IF('PC 08'!I125="","Tgl Dibuat kosong",IF(NOT(ISNUMBER('PC 08'!I125)),"Tgl Dibuat harus tanggal","")),IF(AND('PC 08'!J125&lt;&gt;"",NOT(ISNUMBER('PC 08'!J125))),"Tgl Publish harus tanggal",""),IF(AND(ISNUMBER('PC 08'!I125),ISNUMBER('PC 08'!J125),'PC 08'!J125&lt;'PC 08'!I125),"Tgl Publish &lt; Tgl Dibuat",""),IF(AND('PC 08'!K125&lt;&gt;"",ISERROR(MATCH(TRIM('PC 08'!K125),{"Draft","Menunggu Review","Revisi","Terjadwal","Publish","Batal","Published"},0))),"Status di luar daftar","")))</f>
        <v>#ERROR!</v>
      </c>
      <c r="D125" s="5" t="str">
        <f>IF(C125="","OK","ADA MASALAH")</f>
        <v>#ERROR!</v>
      </c>
    </row>
    <row r="126">
      <c r="A126" s="4">
        <v>126.0</v>
      </c>
      <c r="B126" s="5" t="str">
        <f>'PC 08'!A126</f>
        <v/>
      </c>
      <c r="C126" s="5" t="str">
        <f>IF(COUNTA('PC 08'!A126:L126)=0,"",TEXTJOIN(" | ",TRUE,IF('PC 08'!A126="","Worker ID kosong",""),IF('PC 08'!B126="","Update Date kosong",IF(NOT(ISNUMBER('PC 08'!B126)),"Update Date harus tanggal","")),IF('PC 08'!D126="","Judul kosong",""),IF('PC 08'!F126="","Genre kosong",IF(ISERROR(MATCH(TRIM('PC 08'!F126),{"Pop","Rock","Dangdut","K-Pop","Electronic","Nasional","Daerah"},0)),"Genre di luar daftar","")),IF('PC 08'!G126="","Nama Channel kosong",""),IF('PC 08'!H126="","Link kosong",IF(ISERROR(FIND("youtu",LOWER('PC 08'!H126))),"Link bukan youtube","")),IF('PC 08'!I126="","Tgl Dibuat kosong",IF(NOT(ISNUMBER('PC 08'!I126)),"Tgl Dibuat harus tanggal","")),IF(AND('PC 08'!J126&lt;&gt;"",NOT(ISNUMBER('PC 08'!J126))),"Tgl Publish harus tanggal",""),IF(AND(ISNUMBER('PC 08'!I126),ISNUMBER('PC 08'!J126),'PC 08'!J126&lt;'PC 08'!I126),"Tgl Publish &lt; Tgl Dibuat",""),IF(AND('PC 08'!K126&lt;&gt;"",ISERROR(MATCH(TRIM('PC 08'!K126),{"Draft","Menunggu Review","Revisi","Terjadwal","Publish","Batal","Published"},0))),"Status di luar daftar","")))</f>
        <v>#ERROR!</v>
      </c>
      <c r="D126" s="5" t="str">
        <f>IF(C126="","OK","ADA MASALAH")</f>
        <v>#ERROR!</v>
      </c>
    </row>
    <row r="127">
      <c r="A127" s="4">
        <v>127.0</v>
      </c>
      <c r="B127" s="5" t="str">
        <f>'PC 08'!A127</f>
        <v/>
      </c>
      <c r="C127" s="5" t="str">
        <f>IF(COUNTA('PC 08'!A127:L127)=0,"",TEXTJOIN(" | ",TRUE,IF('PC 08'!A127="","Worker ID kosong",""),IF('PC 08'!B127="","Update Date kosong",IF(NOT(ISNUMBER('PC 08'!B127)),"Update Date harus tanggal","")),IF('PC 08'!D127="","Judul kosong",""),IF('PC 08'!F127="","Genre kosong",IF(ISERROR(MATCH(TRIM('PC 08'!F127),{"Pop","Rock","Dangdut","K-Pop","Electronic","Nasional","Daerah"},0)),"Genre di luar daftar","")),IF('PC 08'!G127="","Nama Channel kosong",""),IF('PC 08'!H127="","Link kosong",IF(ISERROR(FIND("youtu",LOWER('PC 08'!H127))),"Link bukan youtube","")),IF('PC 08'!I127="","Tgl Dibuat kosong",IF(NOT(ISNUMBER('PC 08'!I127)),"Tgl Dibuat harus tanggal","")),IF(AND('PC 08'!J127&lt;&gt;"",NOT(ISNUMBER('PC 08'!J127))),"Tgl Publish harus tanggal",""),IF(AND(ISNUMBER('PC 08'!I127),ISNUMBER('PC 08'!J127),'PC 08'!J127&lt;'PC 08'!I127),"Tgl Publish &lt; Tgl Dibuat",""),IF(AND('PC 08'!K127&lt;&gt;"",ISERROR(MATCH(TRIM('PC 08'!K127),{"Draft","Menunggu Review","Revisi","Terjadwal","Publish","Batal","Published"},0))),"Status di luar daftar","")))</f>
        <v>#ERROR!</v>
      </c>
      <c r="D127" s="5" t="str">
        <f>IF(C127="","OK","ADA MASALAH")</f>
        <v>#ERROR!</v>
      </c>
    </row>
    <row r="128">
      <c r="A128" s="4">
        <v>128.0</v>
      </c>
      <c r="B128" s="5" t="str">
        <f>'PC 08'!A128</f>
        <v/>
      </c>
      <c r="C128" s="5" t="str">
        <f>IF(COUNTA('PC 08'!A128:L128)=0,"",TEXTJOIN(" | ",TRUE,IF('PC 08'!A128="","Worker ID kosong",""),IF('PC 08'!B128="","Update Date kosong",IF(NOT(ISNUMBER('PC 08'!B128)),"Update Date harus tanggal","")),IF('PC 08'!D128="","Judul kosong",""),IF('PC 08'!F128="","Genre kosong",IF(ISERROR(MATCH(TRIM('PC 08'!F128),{"Pop","Rock","Dangdut","K-Pop","Electronic","Nasional","Daerah"},0)),"Genre di luar daftar","")),IF('PC 08'!G128="","Nama Channel kosong",""),IF('PC 08'!H128="","Link kosong",IF(ISERROR(FIND("youtu",LOWER('PC 08'!H128))),"Link bukan youtube","")),IF('PC 08'!I128="","Tgl Dibuat kosong",IF(NOT(ISNUMBER('PC 08'!I128)),"Tgl Dibuat harus tanggal","")),IF(AND('PC 08'!J128&lt;&gt;"",NOT(ISNUMBER('PC 08'!J128))),"Tgl Publish harus tanggal",""),IF(AND(ISNUMBER('PC 08'!I128),ISNUMBER('PC 08'!J128),'PC 08'!J128&lt;'PC 08'!I128),"Tgl Publish &lt; Tgl Dibuat",""),IF(AND('PC 08'!K128&lt;&gt;"",ISERROR(MATCH(TRIM('PC 08'!K128),{"Draft","Menunggu Review","Revisi","Terjadwal","Publish","Batal","Published"},0))),"Status di luar daftar","")))</f>
        <v>#ERROR!</v>
      </c>
      <c r="D128" s="5" t="str">
        <f>IF(C128="","OK","ADA MASALAH")</f>
        <v>#ERROR!</v>
      </c>
    </row>
    <row r="129">
      <c r="A129" s="4">
        <v>129.0</v>
      </c>
      <c r="B129" s="5" t="str">
        <f>'PC 08'!A129</f>
        <v/>
      </c>
      <c r="C129" s="5" t="str">
        <f>IF(COUNTA('PC 08'!A129:L129)=0,"",TEXTJOIN(" | ",TRUE,IF('PC 08'!A129="","Worker ID kosong",""),IF('PC 08'!B129="","Update Date kosong",IF(NOT(ISNUMBER('PC 08'!B129)),"Update Date harus tanggal","")),IF('PC 08'!D129="","Judul kosong",""),IF('PC 08'!F129="","Genre kosong",IF(ISERROR(MATCH(TRIM('PC 08'!F129),{"Pop","Rock","Dangdut","K-Pop","Electronic","Nasional","Daerah"},0)),"Genre di luar daftar","")),IF('PC 08'!G129="","Nama Channel kosong",""),IF('PC 08'!H129="","Link kosong",IF(ISERROR(FIND("youtu",LOWER('PC 08'!H129))),"Link bukan youtube","")),IF('PC 08'!I129="","Tgl Dibuat kosong",IF(NOT(ISNUMBER('PC 08'!I129)),"Tgl Dibuat harus tanggal","")),IF(AND('PC 08'!J129&lt;&gt;"",NOT(ISNUMBER('PC 08'!J129))),"Tgl Publish harus tanggal",""),IF(AND(ISNUMBER('PC 08'!I129),ISNUMBER('PC 08'!J129),'PC 08'!J129&lt;'PC 08'!I129),"Tgl Publish &lt; Tgl Dibuat",""),IF(AND('PC 08'!K129&lt;&gt;"",ISERROR(MATCH(TRIM('PC 08'!K129),{"Draft","Menunggu Review","Revisi","Terjadwal","Publish","Batal","Published"},0))),"Status di luar daftar","")))</f>
        <v>#ERROR!</v>
      </c>
      <c r="D129" s="5" t="str">
        <f>IF(C129="","OK","ADA MASALAH")</f>
        <v>#ERROR!</v>
      </c>
    </row>
    <row r="130">
      <c r="A130" s="4">
        <v>130.0</v>
      </c>
      <c r="B130" s="5" t="str">
        <f>'PC 08'!A130</f>
        <v/>
      </c>
      <c r="C130" s="5" t="str">
        <f>IF(COUNTA('PC 08'!A130:L130)=0,"",TEXTJOIN(" | ",TRUE,IF('PC 08'!A130="","Worker ID kosong",""),IF('PC 08'!B130="","Update Date kosong",IF(NOT(ISNUMBER('PC 08'!B130)),"Update Date harus tanggal","")),IF('PC 08'!D130="","Judul kosong",""),IF('PC 08'!F130="","Genre kosong",IF(ISERROR(MATCH(TRIM('PC 08'!F130),{"Pop","Rock","Dangdut","K-Pop","Electronic","Nasional","Daerah"},0)),"Genre di luar daftar","")),IF('PC 08'!G130="","Nama Channel kosong",""),IF('PC 08'!H130="","Link kosong",IF(ISERROR(FIND("youtu",LOWER('PC 08'!H130))),"Link bukan youtube","")),IF('PC 08'!I130="","Tgl Dibuat kosong",IF(NOT(ISNUMBER('PC 08'!I130)),"Tgl Dibuat harus tanggal","")),IF(AND('PC 08'!J130&lt;&gt;"",NOT(ISNUMBER('PC 08'!J130))),"Tgl Publish harus tanggal",""),IF(AND(ISNUMBER('PC 08'!I130),ISNUMBER('PC 08'!J130),'PC 08'!J130&lt;'PC 08'!I130),"Tgl Publish &lt; Tgl Dibuat",""),IF(AND('PC 08'!K130&lt;&gt;"",ISERROR(MATCH(TRIM('PC 08'!K130),{"Draft","Menunggu Review","Revisi","Terjadwal","Publish","Batal","Published"},0))),"Status di luar daftar","")))</f>
        <v>#ERROR!</v>
      </c>
      <c r="D130" s="5" t="str">
        <f>IF(C130="","OK","ADA MASALAH")</f>
        <v>#ERROR!</v>
      </c>
    </row>
    <row r="131">
      <c r="A131" s="4">
        <v>131.0</v>
      </c>
      <c r="B131" s="5" t="str">
        <f>'PC 08'!A131</f>
        <v/>
      </c>
      <c r="C131" s="5" t="str">
        <f>IF(COUNTA('PC 08'!A131:L131)=0,"",TEXTJOIN(" | ",TRUE,IF('PC 08'!A131="","Worker ID kosong",""),IF('PC 08'!B131="","Update Date kosong",IF(NOT(ISNUMBER('PC 08'!B131)),"Update Date harus tanggal","")),IF('PC 08'!D131="","Judul kosong",""),IF('PC 08'!F131="","Genre kosong",IF(ISERROR(MATCH(TRIM('PC 08'!F131),{"Pop","Rock","Dangdut","K-Pop","Electronic","Nasional","Daerah"},0)),"Genre di luar daftar","")),IF('PC 08'!G131="","Nama Channel kosong",""),IF('PC 08'!H131="","Link kosong",IF(ISERROR(FIND("youtu",LOWER('PC 08'!H131))),"Link bukan youtube","")),IF('PC 08'!I131="","Tgl Dibuat kosong",IF(NOT(ISNUMBER('PC 08'!I131)),"Tgl Dibuat harus tanggal","")),IF(AND('PC 08'!J131&lt;&gt;"",NOT(ISNUMBER('PC 08'!J131))),"Tgl Publish harus tanggal",""),IF(AND(ISNUMBER('PC 08'!I131),ISNUMBER('PC 08'!J131),'PC 08'!J131&lt;'PC 08'!I131),"Tgl Publish &lt; Tgl Dibuat",""),IF(AND('PC 08'!K131&lt;&gt;"",ISERROR(MATCH(TRIM('PC 08'!K131),{"Draft","Menunggu Review","Revisi","Terjadwal","Publish","Batal","Published"},0))),"Status di luar daftar","")))</f>
        <v>#ERROR!</v>
      </c>
      <c r="D131" s="5" t="str">
        <f>IF(C131="","OK","ADA MASALAH")</f>
        <v>#ERROR!</v>
      </c>
    </row>
    <row r="132">
      <c r="A132" s="4">
        <v>132.0</v>
      </c>
      <c r="B132" s="5" t="str">
        <f>'PC 08'!A132</f>
        <v/>
      </c>
      <c r="C132" s="5" t="str">
        <f>IF(COUNTA('PC 08'!A132:L132)=0,"",TEXTJOIN(" | ",TRUE,IF('PC 08'!A132="","Worker ID kosong",""),IF('PC 08'!B132="","Update Date kosong",IF(NOT(ISNUMBER('PC 08'!B132)),"Update Date harus tanggal","")),IF('PC 08'!D132="","Judul kosong",""),IF('PC 08'!F132="","Genre kosong",IF(ISERROR(MATCH(TRIM('PC 08'!F132),{"Pop","Rock","Dangdut","K-Pop","Electronic","Nasional","Daerah"},0)),"Genre di luar daftar","")),IF('PC 08'!G132="","Nama Channel kosong",""),IF('PC 08'!H132="","Link kosong",IF(ISERROR(FIND("youtu",LOWER('PC 08'!H132))),"Link bukan youtube","")),IF('PC 08'!I132="","Tgl Dibuat kosong",IF(NOT(ISNUMBER('PC 08'!I132)),"Tgl Dibuat harus tanggal","")),IF(AND('PC 08'!J132&lt;&gt;"",NOT(ISNUMBER('PC 08'!J132))),"Tgl Publish harus tanggal",""),IF(AND(ISNUMBER('PC 08'!I132),ISNUMBER('PC 08'!J132),'PC 08'!J132&lt;'PC 08'!I132),"Tgl Publish &lt; Tgl Dibuat",""),IF(AND('PC 08'!K132&lt;&gt;"",ISERROR(MATCH(TRIM('PC 08'!K132),{"Draft","Menunggu Review","Revisi","Terjadwal","Publish","Batal","Published"},0))),"Status di luar daftar","")))</f>
        <v>#ERROR!</v>
      </c>
      <c r="D132" s="5" t="str">
        <f>IF(C132="","OK","ADA MASALAH")</f>
        <v>#ERROR!</v>
      </c>
    </row>
    <row r="133">
      <c r="A133" s="4">
        <v>133.0</v>
      </c>
      <c r="B133" s="5" t="str">
        <f>'PC 08'!A133</f>
        <v/>
      </c>
      <c r="C133" s="5" t="str">
        <f>IF(COUNTA('PC 08'!A133:L133)=0,"",TEXTJOIN(" | ",TRUE,IF('PC 08'!A133="","Worker ID kosong",""),IF('PC 08'!B133="","Update Date kosong",IF(NOT(ISNUMBER('PC 08'!B133)),"Update Date harus tanggal","")),IF('PC 08'!D133="","Judul kosong",""),IF('PC 08'!F133="","Genre kosong",IF(ISERROR(MATCH(TRIM('PC 08'!F133),{"Pop","Rock","Dangdut","K-Pop","Electronic","Nasional","Daerah"},0)),"Genre di luar daftar","")),IF('PC 08'!G133="","Nama Channel kosong",""),IF('PC 08'!H133="","Link kosong",IF(ISERROR(FIND("youtu",LOWER('PC 08'!H133))),"Link bukan youtube","")),IF('PC 08'!I133="","Tgl Dibuat kosong",IF(NOT(ISNUMBER('PC 08'!I133)),"Tgl Dibuat harus tanggal","")),IF(AND('PC 08'!J133&lt;&gt;"",NOT(ISNUMBER('PC 08'!J133))),"Tgl Publish harus tanggal",""),IF(AND(ISNUMBER('PC 08'!I133),ISNUMBER('PC 08'!J133),'PC 08'!J133&lt;'PC 08'!I133),"Tgl Publish &lt; Tgl Dibuat",""),IF(AND('PC 08'!K133&lt;&gt;"",ISERROR(MATCH(TRIM('PC 08'!K133),{"Draft","Menunggu Review","Revisi","Terjadwal","Publish","Batal","Published"},0))),"Status di luar daftar","")))</f>
        <v>#ERROR!</v>
      </c>
      <c r="D133" s="5" t="str">
        <f>IF(C133="","OK","ADA MASALAH")</f>
        <v>#ERROR!</v>
      </c>
    </row>
    <row r="134">
      <c r="A134" s="4">
        <v>134.0</v>
      </c>
      <c r="B134" s="5" t="str">
        <f>'PC 08'!A134</f>
        <v/>
      </c>
      <c r="C134" s="5" t="str">
        <f>IF(COUNTA('PC 08'!A134:L134)=0,"",TEXTJOIN(" | ",TRUE,IF('PC 08'!A134="","Worker ID kosong",""),IF('PC 08'!B134="","Update Date kosong",IF(NOT(ISNUMBER('PC 08'!B134)),"Update Date harus tanggal","")),IF('PC 08'!D134="","Judul kosong",""),IF('PC 08'!F134="","Genre kosong",IF(ISERROR(MATCH(TRIM('PC 08'!F134),{"Pop","Rock","Dangdut","K-Pop","Electronic","Nasional","Daerah"},0)),"Genre di luar daftar","")),IF('PC 08'!G134="","Nama Channel kosong",""),IF('PC 08'!H134="","Link kosong",IF(ISERROR(FIND("youtu",LOWER('PC 08'!H134))),"Link bukan youtube","")),IF('PC 08'!I134="","Tgl Dibuat kosong",IF(NOT(ISNUMBER('PC 08'!I134)),"Tgl Dibuat harus tanggal","")),IF(AND('PC 08'!J134&lt;&gt;"",NOT(ISNUMBER('PC 08'!J134))),"Tgl Publish harus tanggal",""),IF(AND(ISNUMBER('PC 08'!I134),ISNUMBER('PC 08'!J134),'PC 08'!J134&lt;'PC 08'!I134),"Tgl Publish &lt; Tgl Dibuat",""),IF(AND('PC 08'!K134&lt;&gt;"",ISERROR(MATCH(TRIM('PC 08'!K134),{"Draft","Menunggu Review","Revisi","Terjadwal","Publish","Batal","Published"},0))),"Status di luar daftar","")))</f>
        <v>#ERROR!</v>
      </c>
      <c r="D134" s="5" t="str">
        <f>IF(C134="","OK","ADA MASALAH")</f>
        <v>#ERROR!</v>
      </c>
    </row>
    <row r="135">
      <c r="A135" s="4">
        <v>135.0</v>
      </c>
      <c r="B135" s="5" t="str">
        <f>'PC 08'!A135</f>
        <v/>
      </c>
      <c r="C135" s="5" t="str">
        <f>IF(COUNTA('PC 08'!A135:L135)=0,"",TEXTJOIN(" | ",TRUE,IF('PC 08'!A135="","Worker ID kosong",""),IF('PC 08'!B135="","Update Date kosong",IF(NOT(ISNUMBER('PC 08'!B135)),"Update Date harus tanggal","")),IF('PC 08'!D135="","Judul kosong",""),IF('PC 08'!F135="","Genre kosong",IF(ISERROR(MATCH(TRIM('PC 08'!F135),{"Pop","Rock","Dangdut","K-Pop","Electronic","Nasional","Daerah"},0)),"Genre di luar daftar","")),IF('PC 08'!G135="","Nama Channel kosong",""),IF('PC 08'!H135="","Link kosong",IF(ISERROR(FIND("youtu",LOWER('PC 08'!H135))),"Link bukan youtube","")),IF('PC 08'!I135="","Tgl Dibuat kosong",IF(NOT(ISNUMBER('PC 08'!I135)),"Tgl Dibuat harus tanggal","")),IF(AND('PC 08'!J135&lt;&gt;"",NOT(ISNUMBER('PC 08'!J135))),"Tgl Publish harus tanggal",""),IF(AND(ISNUMBER('PC 08'!I135),ISNUMBER('PC 08'!J135),'PC 08'!J135&lt;'PC 08'!I135),"Tgl Publish &lt; Tgl Dibuat",""),IF(AND('PC 08'!K135&lt;&gt;"",ISERROR(MATCH(TRIM('PC 08'!K135),{"Draft","Menunggu Review","Revisi","Terjadwal","Publish","Batal","Published"},0))),"Status di luar daftar","")))</f>
        <v>#ERROR!</v>
      </c>
      <c r="D135" s="5" t="str">
        <f>IF(C135="","OK","ADA MASALAH")</f>
        <v>#ERROR!</v>
      </c>
    </row>
    <row r="136">
      <c r="A136" s="4">
        <v>136.0</v>
      </c>
      <c r="B136" s="5" t="str">
        <f>'PC 08'!A136</f>
        <v/>
      </c>
      <c r="C136" s="5" t="str">
        <f>IF(COUNTA('PC 08'!A136:L136)=0,"",TEXTJOIN(" | ",TRUE,IF('PC 08'!A136="","Worker ID kosong",""),IF('PC 08'!B136="","Update Date kosong",IF(NOT(ISNUMBER('PC 08'!B136)),"Update Date harus tanggal","")),IF('PC 08'!D136="","Judul kosong",""),IF('PC 08'!F136="","Genre kosong",IF(ISERROR(MATCH(TRIM('PC 08'!F136),{"Pop","Rock","Dangdut","K-Pop","Electronic","Nasional","Daerah"},0)),"Genre di luar daftar","")),IF('PC 08'!G136="","Nama Channel kosong",""),IF('PC 08'!H136="","Link kosong",IF(ISERROR(FIND("youtu",LOWER('PC 08'!H136))),"Link bukan youtube","")),IF('PC 08'!I136="","Tgl Dibuat kosong",IF(NOT(ISNUMBER('PC 08'!I136)),"Tgl Dibuat harus tanggal","")),IF(AND('PC 08'!J136&lt;&gt;"",NOT(ISNUMBER('PC 08'!J136))),"Tgl Publish harus tanggal",""),IF(AND(ISNUMBER('PC 08'!I136),ISNUMBER('PC 08'!J136),'PC 08'!J136&lt;'PC 08'!I136),"Tgl Publish &lt; Tgl Dibuat",""),IF(AND('PC 08'!K136&lt;&gt;"",ISERROR(MATCH(TRIM('PC 08'!K136),{"Draft","Menunggu Review","Revisi","Terjadwal","Publish","Batal","Published"},0))),"Status di luar daftar","")))</f>
        <v>#ERROR!</v>
      </c>
      <c r="D136" s="5" t="str">
        <f>IF(C136="","OK","ADA MASALAH")</f>
        <v>#ERROR!</v>
      </c>
    </row>
    <row r="137">
      <c r="A137" s="4">
        <v>137.0</v>
      </c>
      <c r="B137" s="5" t="str">
        <f>'PC 08'!A137</f>
        <v/>
      </c>
      <c r="C137" s="5" t="str">
        <f>IF(COUNTA('PC 08'!A137:L137)=0,"",TEXTJOIN(" | ",TRUE,IF('PC 08'!A137="","Worker ID kosong",""),IF('PC 08'!B137="","Update Date kosong",IF(NOT(ISNUMBER('PC 08'!B137)),"Update Date harus tanggal","")),IF('PC 08'!D137="","Judul kosong",""),IF('PC 08'!F137="","Genre kosong",IF(ISERROR(MATCH(TRIM('PC 08'!F137),{"Pop","Rock","Dangdut","K-Pop","Electronic","Nasional","Daerah"},0)),"Genre di luar daftar","")),IF('PC 08'!G137="","Nama Channel kosong",""),IF('PC 08'!H137="","Link kosong",IF(ISERROR(FIND("youtu",LOWER('PC 08'!H137))),"Link bukan youtube","")),IF('PC 08'!I137="","Tgl Dibuat kosong",IF(NOT(ISNUMBER('PC 08'!I137)),"Tgl Dibuat harus tanggal","")),IF(AND('PC 08'!J137&lt;&gt;"",NOT(ISNUMBER('PC 08'!J137))),"Tgl Publish harus tanggal",""),IF(AND(ISNUMBER('PC 08'!I137),ISNUMBER('PC 08'!J137),'PC 08'!J137&lt;'PC 08'!I137),"Tgl Publish &lt; Tgl Dibuat",""),IF(AND('PC 08'!K137&lt;&gt;"",ISERROR(MATCH(TRIM('PC 08'!K137),{"Draft","Menunggu Review","Revisi","Terjadwal","Publish","Batal","Published"},0))),"Status di luar daftar","")))</f>
        <v>#ERROR!</v>
      </c>
      <c r="D137" s="5" t="str">
        <f>IF(C137="","OK","ADA MASALAH")</f>
        <v>#ERROR!</v>
      </c>
    </row>
    <row r="138">
      <c r="A138" s="4">
        <v>138.0</v>
      </c>
      <c r="B138" s="5" t="str">
        <f>'PC 08'!A138</f>
        <v/>
      </c>
      <c r="C138" s="5" t="str">
        <f>IF(COUNTA('PC 08'!A138:L138)=0,"",TEXTJOIN(" | ",TRUE,IF('PC 08'!A138="","Worker ID kosong",""),IF('PC 08'!B138="","Update Date kosong",IF(NOT(ISNUMBER('PC 08'!B138)),"Update Date harus tanggal","")),IF('PC 08'!D138="","Judul kosong",""),IF('PC 08'!F138="","Genre kosong",IF(ISERROR(MATCH(TRIM('PC 08'!F138),{"Pop","Rock","Dangdut","K-Pop","Electronic","Nasional","Daerah"},0)),"Genre di luar daftar","")),IF('PC 08'!G138="","Nama Channel kosong",""),IF('PC 08'!H138="","Link kosong",IF(ISERROR(FIND("youtu",LOWER('PC 08'!H138))),"Link bukan youtube","")),IF('PC 08'!I138="","Tgl Dibuat kosong",IF(NOT(ISNUMBER('PC 08'!I138)),"Tgl Dibuat harus tanggal","")),IF(AND('PC 08'!J138&lt;&gt;"",NOT(ISNUMBER('PC 08'!J138))),"Tgl Publish harus tanggal",""),IF(AND(ISNUMBER('PC 08'!I138),ISNUMBER('PC 08'!J138),'PC 08'!J138&lt;'PC 08'!I138),"Tgl Publish &lt; Tgl Dibuat",""),IF(AND('PC 08'!K138&lt;&gt;"",ISERROR(MATCH(TRIM('PC 08'!K138),{"Draft","Menunggu Review","Revisi","Terjadwal","Publish","Batal","Published"},0))),"Status di luar daftar","")))</f>
        <v>#ERROR!</v>
      </c>
      <c r="D138" s="5" t="str">
        <f>IF(C138="","OK","ADA MASALAH")</f>
        <v>#ERROR!</v>
      </c>
    </row>
    <row r="139">
      <c r="A139" s="4">
        <v>139.0</v>
      </c>
      <c r="B139" s="5" t="str">
        <f>'PC 08'!A139</f>
        <v/>
      </c>
      <c r="C139" s="5" t="str">
        <f>IF(COUNTA('PC 08'!A139:L139)=0,"",TEXTJOIN(" | ",TRUE,IF('PC 08'!A139="","Worker ID kosong",""),IF('PC 08'!B139="","Update Date kosong",IF(NOT(ISNUMBER('PC 08'!B139)),"Update Date harus tanggal","")),IF('PC 08'!D139="","Judul kosong",""),IF('PC 08'!F139="","Genre kosong",IF(ISERROR(MATCH(TRIM('PC 08'!F139),{"Pop","Rock","Dangdut","K-Pop","Electronic","Nasional","Daerah"},0)),"Genre di luar daftar","")),IF('PC 08'!G139="","Nama Channel kosong",""),IF('PC 08'!H139="","Link kosong",IF(ISERROR(FIND("youtu",LOWER('PC 08'!H139))),"Link bukan youtube","")),IF('PC 08'!I139="","Tgl Dibuat kosong",IF(NOT(ISNUMBER('PC 08'!I139)),"Tgl Dibuat harus tanggal","")),IF(AND('PC 08'!J139&lt;&gt;"",NOT(ISNUMBER('PC 08'!J139))),"Tgl Publish harus tanggal",""),IF(AND(ISNUMBER('PC 08'!I139),ISNUMBER('PC 08'!J139),'PC 08'!J139&lt;'PC 08'!I139),"Tgl Publish &lt; Tgl Dibuat",""),IF(AND('PC 08'!K139&lt;&gt;"",ISERROR(MATCH(TRIM('PC 08'!K139),{"Draft","Menunggu Review","Revisi","Terjadwal","Publish","Batal","Published"},0))),"Status di luar daftar","")))</f>
        <v>#ERROR!</v>
      </c>
      <c r="D139" s="5" t="str">
        <f>IF(C139="","OK","ADA MASALAH")</f>
        <v>#ERROR!</v>
      </c>
    </row>
    <row r="140">
      <c r="A140" s="4">
        <v>140.0</v>
      </c>
      <c r="B140" s="5" t="str">
        <f>'PC 08'!A140</f>
        <v/>
      </c>
      <c r="C140" s="5" t="str">
        <f>IF(COUNTA('PC 08'!A140:L140)=0,"",TEXTJOIN(" | ",TRUE,IF('PC 08'!A140="","Worker ID kosong",""),IF('PC 08'!B140="","Update Date kosong",IF(NOT(ISNUMBER('PC 08'!B140)),"Update Date harus tanggal","")),IF('PC 08'!D140="","Judul kosong",""),IF('PC 08'!F140="","Genre kosong",IF(ISERROR(MATCH(TRIM('PC 08'!F140),{"Pop","Rock","Dangdut","K-Pop","Electronic","Nasional","Daerah"},0)),"Genre di luar daftar","")),IF('PC 08'!G140="","Nama Channel kosong",""),IF('PC 08'!H140="","Link kosong",IF(ISERROR(FIND("youtu",LOWER('PC 08'!H140))),"Link bukan youtube","")),IF('PC 08'!I140="","Tgl Dibuat kosong",IF(NOT(ISNUMBER('PC 08'!I140)),"Tgl Dibuat harus tanggal","")),IF(AND('PC 08'!J140&lt;&gt;"",NOT(ISNUMBER('PC 08'!J140))),"Tgl Publish harus tanggal",""),IF(AND(ISNUMBER('PC 08'!I140),ISNUMBER('PC 08'!J140),'PC 08'!J140&lt;'PC 08'!I140),"Tgl Publish &lt; Tgl Dibuat",""),IF(AND('PC 08'!K140&lt;&gt;"",ISERROR(MATCH(TRIM('PC 08'!K140),{"Draft","Menunggu Review","Revisi","Terjadwal","Publish","Batal","Published"},0))),"Status di luar daftar","")))</f>
        <v>#ERROR!</v>
      </c>
      <c r="D140" s="5" t="str">
        <f>IF(C140="","OK","ADA MASALAH")</f>
        <v>#ERROR!</v>
      </c>
    </row>
    <row r="141">
      <c r="A141" s="4">
        <v>141.0</v>
      </c>
      <c r="B141" s="5" t="str">
        <f>'PC 08'!A141</f>
        <v/>
      </c>
      <c r="C141" s="5" t="str">
        <f>IF(COUNTA('PC 08'!A141:L141)=0,"",TEXTJOIN(" | ",TRUE,IF('PC 08'!A141="","Worker ID kosong",""),IF('PC 08'!B141="","Update Date kosong",IF(NOT(ISNUMBER('PC 08'!B141)),"Update Date harus tanggal","")),IF('PC 08'!D141="","Judul kosong",""),IF('PC 08'!F141="","Genre kosong",IF(ISERROR(MATCH(TRIM('PC 08'!F141),{"Pop","Rock","Dangdut","K-Pop","Electronic","Nasional","Daerah"},0)),"Genre di luar daftar","")),IF('PC 08'!G141="","Nama Channel kosong",""),IF('PC 08'!H141="","Link kosong",IF(ISERROR(FIND("youtu",LOWER('PC 08'!H141))),"Link bukan youtube","")),IF('PC 08'!I141="","Tgl Dibuat kosong",IF(NOT(ISNUMBER('PC 08'!I141)),"Tgl Dibuat harus tanggal","")),IF(AND('PC 08'!J141&lt;&gt;"",NOT(ISNUMBER('PC 08'!J141))),"Tgl Publish harus tanggal",""),IF(AND(ISNUMBER('PC 08'!I141),ISNUMBER('PC 08'!J141),'PC 08'!J141&lt;'PC 08'!I141),"Tgl Publish &lt; Tgl Dibuat",""),IF(AND('PC 08'!K141&lt;&gt;"",ISERROR(MATCH(TRIM('PC 08'!K141),{"Draft","Menunggu Review","Revisi","Terjadwal","Publish","Batal","Published"},0))),"Status di luar daftar","")))</f>
        <v>#ERROR!</v>
      </c>
      <c r="D141" s="5" t="str">
        <f>IF(C141="","OK","ADA MASALAH")</f>
        <v>#ERROR!</v>
      </c>
    </row>
    <row r="142">
      <c r="A142" s="4">
        <v>142.0</v>
      </c>
      <c r="B142" s="5" t="str">
        <f>'PC 08'!A142</f>
        <v/>
      </c>
      <c r="C142" s="5" t="str">
        <f>IF(COUNTA('PC 08'!A142:L142)=0,"",TEXTJOIN(" | ",TRUE,IF('PC 08'!A142="","Worker ID kosong",""),IF('PC 08'!B142="","Update Date kosong",IF(NOT(ISNUMBER('PC 08'!B142)),"Update Date harus tanggal","")),IF('PC 08'!D142="","Judul kosong",""),IF('PC 08'!F142="","Genre kosong",IF(ISERROR(MATCH(TRIM('PC 08'!F142),{"Pop","Rock","Dangdut","K-Pop","Electronic","Nasional","Daerah"},0)),"Genre di luar daftar","")),IF('PC 08'!G142="","Nama Channel kosong",""),IF('PC 08'!H142="","Link kosong",IF(ISERROR(FIND("youtu",LOWER('PC 08'!H142))),"Link bukan youtube","")),IF('PC 08'!I142="","Tgl Dibuat kosong",IF(NOT(ISNUMBER('PC 08'!I142)),"Tgl Dibuat harus tanggal","")),IF(AND('PC 08'!J142&lt;&gt;"",NOT(ISNUMBER('PC 08'!J142))),"Tgl Publish harus tanggal",""),IF(AND(ISNUMBER('PC 08'!I142),ISNUMBER('PC 08'!J142),'PC 08'!J142&lt;'PC 08'!I142),"Tgl Publish &lt; Tgl Dibuat",""),IF(AND('PC 08'!K142&lt;&gt;"",ISERROR(MATCH(TRIM('PC 08'!K142),{"Draft","Menunggu Review","Revisi","Terjadwal","Publish","Batal","Published"},0))),"Status di luar daftar","")))</f>
        <v>#ERROR!</v>
      </c>
      <c r="D142" s="5" t="str">
        <f>IF(C142="","OK","ADA MASALAH")</f>
        <v>#ERROR!</v>
      </c>
    </row>
    <row r="143">
      <c r="A143" s="4">
        <v>143.0</v>
      </c>
      <c r="B143" s="5" t="str">
        <f>'PC 08'!A143</f>
        <v/>
      </c>
      <c r="C143" s="5" t="str">
        <f>IF(COUNTA('PC 08'!A143:L143)=0,"",TEXTJOIN(" | ",TRUE,IF('PC 08'!A143="","Worker ID kosong",""),IF('PC 08'!B143="","Update Date kosong",IF(NOT(ISNUMBER('PC 08'!B143)),"Update Date harus tanggal","")),IF('PC 08'!D143="","Judul kosong",""),IF('PC 08'!F143="","Genre kosong",IF(ISERROR(MATCH(TRIM('PC 08'!F143),{"Pop","Rock","Dangdut","K-Pop","Electronic","Nasional","Daerah"},0)),"Genre di luar daftar","")),IF('PC 08'!G143="","Nama Channel kosong",""),IF('PC 08'!H143="","Link kosong",IF(ISERROR(FIND("youtu",LOWER('PC 08'!H143))),"Link bukan youtube","")),IF('PC 08'!I143="","Tgl Dibuat kosong",IF(NOT(ISNUMBER('PC 08'!I143)),"Tgl Dibuat harus tanggal","")),IF(AND('PC 08'!J143&lt;&gt;"",NOT(ISNUMBER('PC 08'!J143))),"Tgl Publish harus tanggal",""),IF(AND(ISNUMBER('PC 08'!I143),ISNUMBER('PC 08'!J143),'PC 08'!J143&lt;'PC 08'!I143),"Tgl Publish &lt; Tgl Dibuat",""),IF(AND('PC 08'!K143&lt;&gt;"",ISERROR(MATCH(TRIM('PC 08'!K143),{"Draft","Menunggu Review","Revisi","Terjadwal","Publish","Batal","Published"},0))),"Status di luar daftar","")))</f>
        <v>#ERROR!</v>
      </c>
      <c r="D143" s="5" t="str">
        <f>IF(C143="","OK","ADA MASALAH")</f>
        <v>#ERROR!</v>
      </c>
    </row>
    <row r="144">
      <c r="A144" s="4">
        <v>144.0</v>
      </c>
      <c r="B144" s="5" t="str">
        <f>'PC 08'!A144</f>
        <v/>
      </c>
      <c r="C144" s="5" t="str">
        <f>IF(COUNTA('PC 08'!A144:L144)=0,"",TEXTJOIN(" | ",TRUE,IF('PC 08'!A144="","Worker ID kosong",""),IF('PC 08'!B144="","Update Date kosong",IF(NOT(ISNUMBER('PC 08'!B144)),"Update Date harus tanggal","")),IF('PC 08'!D144="","Judul kosong",""),IF('PC 08'!F144="","Genre kosong",IF(ISERROR(MATCH(TRIM('PC 08'!F144),{"Pop","Rock","Dangdut","K-Pop","Electronic","Nasional","Daerah"},0)),"Genre di luar daftar","")),IF('PC 08'!G144="","Nama Channel kosong",""),IF('PC 08'!H144="","Link kosong",IF(ISERROR(FIND("youtu",LOWER('PC 08'!H144))),"Link bukan youtube","")),IF('PC 08'!I144="","Tgl Dibuat kosong",IF(NOT(ISNUMBER('PC 08'!I144)),"Tgl Dibuat harus tanggal","")),IF(AND('PC 08'!J144&lt;&gt;"",NOT(ISNUMBER('PC 08'!J144))),"Tgl Publish harus tanggal",""),IF(AND(ISNUMBER('PC 08'!I144),ISNUMBER('PC 08'!J144),'PC 08'!J144&lt;'PC 08'!I144),"Tgl Publish &lt; Tgl Dibuat",""),IF(AND('PC 08'!K144&lt;&gt;"",ISERROR(MATCH(TRIM('PC 08'!K144),{"Draft","Menunggu Review","Revisi","Terjadwal","Publish","Batal","Published"},0))),"Status di luar daftar","")))</f>
        <v>#ERROR!</v>
      </c>
      <c r="D144" s="5" t="str">
        <f>IF(C144="","OK","ADA MASALAH")</f>
        <v>#ERROR!</v>
      </c>
    </row>
    <row r="145">
      <c r="A145" s="4">
        <v>145.0</v>
      </c>
      <c r="B145" s="5" t="str">
        <f>'PC 08'!A145</f>
        <v/>
      </c>
      <c r="C145" s="5" t="str">
        <f>IF(COUNTA('PC 08'!A145:L145)=0,"",TEXTJOIN(" | ",TRUE,IF('PC 08'!A145="","Worker ID kosong",""),IF('PC 08'!B145="","Update Date kosong",IF(NOT(ISNUMBER('PC 08'!B145)),"Update Date harus tanggal","")),IF('PC 08'!D145="","Judul kosong",""),IF('PC 08'!F145="","Genre kosong",IF(ISERROR(MATCH(TRIM('PC 08'!F145),{"Pop","Rock","Dangdut","K-Pop","Electronic","Nasional","Daerah"},0)),"Genre di luar daftar","")),IF('PC 08'!G145="","Nama Channel kosong",""),IF('PC 08'!H145="","Link kosong",IF(ISERROR(FIND("youtu",LOWER('PC 08'!H145))),"Link bukan youtube","")),IF('PC 08'!I145="","Tgl Dibuat kosong",IF(NOT(ISNUMBER('PC 08'!I145)),"Tgl Dibuat harus tanggal","")),IF(AND('PC 08'!J145&lt;&gt;"",NOT(ISNUMBER('PC 08'!J145))),"Tgl Publish harus tanggal",""),IF(AND(ISNUMBER('PC 08'!I145),ISNUMBER('PC 08'!J145),'PC 08'!J145&lt;'PC 08'!I145),"Tgl Publish &lt; Tgl Dibuat",""),IF(AND('PC 08'!K145&lt;&gt;"",ISERROR(MATCH(TRIM('PC 08'!K145),{"Draft","Menunggu Review","Revisi","Terjadwal","Publish","Batal","Published"},0))),"Status di luar daftar","")))</f>
        <v>#ERROR!</v>
      </c>
      <c r="D145" s="5" t="str">
        <f>IF(C145="","OK","ADA MASALAH")</f>
        <v>#ERROR!</v>
      </c>
    </row>
    <row r="146">
      <c r="A146" s="4">
        <v>146.0</v>
      </c>
      <c r="B146" s="5" t="str">
        <f>'PC 08'!A146</f>
        <v/>
      </c>
      <c r="C146" s="5" t="str">
        <f>IF(COUNTA('PC 08'!A146:L146)=0,"",TEXTJOIN(" | ",TRUE,IF('PC 08'!A146="","Worker ID kosong",""),IF('PC 08'!B146="","Update Date kosong",IF(NOT(ISNUMBER('PC 08'!B146)),"Update Date harus tanggal","")),IF('PC 08'!D146="","Judul kosong",""),IF('PC 08'!F146="","Genre kosong",IF(ISERROR(MATCH(TRIM('PC 08'!F146),{"Pop","Rock","Dangdut","K-Pop","Electronic","Nasional","Daerah"},0)),"Genre di luar daftar","")),IF('PC 08'!G146="","Nama Channel kosong",""),IF('PC 08'!H146="","Link kosong",IF(ISERROR(FIND("youtu",LOWER('PC 08'!H146))),"Link bukan youtube","")),IF('PC 08'!I146="","Tgl Dibuat kosong",IF(NOT(ISNUMBER('PC 08'!I146)),"Tgl Dibuat harus tanggal","")),IF(AND('PC 08'!J146&lt;&gt;"",NOT(ISNUMBER('PC 08'!J146))),"Tgl Publish harus tanggal",""),IF(AND(ISNUMBER('PC 08'!I146),ISNUMBER('PC 08'!J146),'PC 08'!J146&lt;'PC 08'!I146),"Tgl Publish &lt; Tgl Dibuat",""),IF(AND('PC 08'!K146&lt;&gt;"",ISERROR(MATCH(TRIM('PC 08'!K146),{"Draft","Menunggu Review","Revisi","Terjadwal","Publish","Batal","Published"},0))),"Status di luar daftar","")))</f>
        <v>#ERROR!</v>
      </c>
      <c r="D146" s="5" t="str">
        <f>IF(C146="","OK","ADA MASALAH")</f>
        <v>#ERROR!</v>
      </c>
    </row>
    <row r="147">
      <c r="A147" s="4">
        <v>147.0</v>
      </c>
      <c r="B147" s="5" t="str">
        <f>'PC 08'!A147</f>
        <v/>
      </c>
      <c r="C147" s="5" t="str">
        <f>IF(COUNTA('PC 08'!A147:L147)=0,"",TEXTJOIN(" | ",TRUE,IF('PC 08'!A147="","Worker ID kosong",""),IF('PC 08'!B147="","Update Date kosong",IF(NOT(ISNUMBER('PC 08'!B147)),"Update Date harus tanggal","")),IF('PC 08'!D147="","Judul kosong",""),IF('PC 08'!F147="","Genre kosong",IF(ISERROR(MATCH(TRIM('PC 08'!F147),{"Pop","Rock","Dangdut","K-Pop","Electronic","Nasional","Daerah"},0)),"Genre di luar daftar","")),IF('PC 08'!G147="","Nama Channel kosong",""),IF('PC 08'!H147="","Link kosong",IF(ISERROR(FIND("youtu",LOWER('PC 08'!H147))),"Link bukan youtube","")),IF('PC 08'!I147="","Tgl Dibuat kosong",IF(NOT(ISNUMBER('PC 08'!I147)),"Tgl Dibuat harus tanggal","")),IF(AND('PC 08'!J147&lt;&gt;"",NOT(ISNUMBER('PC 08'!J147))),"Tgl Publish harus tanggal",""),IF(AND(ISNUMBER('PC 08'!I147),ISNUMBER('PC 08'!J147),'PC 08'!J147&lt;'PC 08'!I147),"Tgl Publish &lt; Tgl Dibuat",""),IF(AND('PC 08'!K147&lt;&gt;"",ISERROR(MATCH(TRIM('PC 08'!K147),{"Draft","Menunggu Review","Revisi","Terjadwal","Publish","Batal","Published"},0))),"Status di luar daftar","")))</f>
        <v>#ERROR!</v>
      </c>
      <c r="D147" s="5" t="str">
        <f>IF(C147="","OK","ADA MASALAH")</f>
        <v>#ERROR!</v>
      </c>
    </row>
    <row r="148">
      <c r="A148" s="4">
        <v>148.0</v>
      </c>
      <c r="B148" s="5" t="str">
        <f>'PC 08'!A148</f>
        <v/>
      </c>
      <c r="C148" s="5" t="str">
        <f>IF(COUNTA('PC 08'!A148:L148)=0,"",TEXTJOIN(" | ",TRUE,IF('PC 08'!A148="","Worker ID kosong",""),IF('PC 08'!B148="","Update Date kosong",IF(NOT(ISNUMBER('PC 08'!B148)),"Update Date harus tanggal","")),IF('PC 08'!D148="","Judul kosong",""),IF('PC 08'!F148="","Genre kosong",IF(ISERROR(MATCH(TRIM('PC 08'!F148),{"Pop","Rock","Dangdut","K-Pop","Electronic","Nasional","Daerah"},0)),"Genre di luar daftar","")),IF('PC 08'!G148="","Nama Channel kosong",""),IF('PC 08'!H148="","Link kosong",IF(ISERROR(FIND("youtu",LOWER('PC 08'!H148))),"Link bukan youtube","")),IF('PC 08'!I148="","Tgl Dibuat kosong",IF(NOT(ISNUMBER('PC 08'!I148)),"Tgl Dibuat harus tanggal","")),IF(AND('PC 08'!J148&lt;&gt;"",NOT(ISNUMBER('PC 08'!J148))),"Tgl Publish harus tanggal",""),IF(AND(ISNUMBER('PC 08'!I148),ISNUMBER('PC 08'!J148),'PC 08'!J148&lt;'PC 08'!I148),"Tgl Publish &lt; Tgl Dibuat",""),IF(AND('PC 08'!K148&lt;&gt;"",ISERROR(MATCH(TRIM('PC 08'!K148),{"Draft","Menunggu Review","Revisi","Terjadwal","Publish","Batal","Published"},0))),"Status di luar daftar","")))</f>
        <v>#ERROR!</v>
      </c>
      <c r="D148" s="5" t="str">
        <f>IF(C148="","OK","ADA MASALAH")</f>
        <v>#ERROR!</v>
      </c>
    </row>
    <row r="149">
      <c r="A149" s="4">
        <v>149.0</v>
      </c>
      <c r="B149" s="5" t="str">
        <f>'PC 08'!A149</f>
        <v/>
      </c>
      <c r="C149" s="5" t="str">
        <f>IF(COUNTA('PC 08'!A149:L149)=0,"",TEXTJOIN(" | ",TRUE,IF('PC 08'!A149="","Worker ID kosong",""),IF('PC 08'!B149="","Update Date kosong",IF(NOT(ISNUMBER('PC 08'!B149)),"Update Date harus tanggal","")),IF('PC 08'!D149="","Judul kosong",""),IF('PC 08'!F149="","Genre kosong",IF(ISERROR(MATCH(TRIM('PC 08'!F149),{"Pop","Rock","Dangdut","K-Pop","Electronic","Nasional","Daerah"},0)),"Genre di luar daftar","")),IF('PC 08'!G149="","Nama Channel kosong",""),IF('PC 08'!H149="","Link kosong",IF(ISERROR(FIND("youtu",LOWER('PC 08'!H149))),"Link bukan youtube","")),IF('PC 08'!I149="","Tgl Dibuat kosong",IF(NOT(ISNUMBER('PC 08'!I149)),"Tgl Dibuat harus tanggal","")),IF(AND('PC 08'!J149&lt;&gt;"",NOT(ISNUMBER('PC 08'!J149))),"Tgl Publish harus tanggal",""),IF(AND(ISNUMBER('PC 08'!I149),ISNUMBER('PC 08'!J149),'PC 08'!J149&lt;'PC 08'!I149),"Tgl Publish &lt; Tgl Dibuat",""),IF(AND('PC 08'!K149&lt;&gt;"",ISERROR(MATCH(TRIM('PC 08'!K149),{"Draft","Menunggu Review","Revisi","Terjadwal","Publish","Batal","Published"},0))),"Status di luar daftar","")))</f>
        <v>#ERROR!</v>
      </c>
      <c r="D149" s="5" t="str">
        <f>IF(C149="","OK","ADA MASALAH")</f>
        <v>#ERROR!</v>
      </c>
    </row>
    <row r="150">
      <c r="A150" s="4">
        <v>150.0</v>
      </c>
      <c r="B150" s="5" t="str">
        <f>'PC 08'!A150</f>
        <v/>
      </c>
      <c r="C150" s="5" t="str">
        <f>IF(COUNTA('PC 08'!A150:L150)=0,"",TEXTJOIN(" | ",TRUE,IF('PC 08'!A150="","Worker ID kosong",""),IF('PC 08'!B150="","Update Date kosong",IF(NOT(ISNUMBER('PC 08'!B150)),"Update Date harus tanggal","")),IF('PC 08'!D150="","Judul kosong",""),IF('PC 08'!F150="","Genre kosong",IF(ISERROR(MATCH(TRIM('PC 08'!F150),{"Pop","Rock","Dangdut","K-Pop","Electronic","Nasional","Daerah"},0)),"Genre di luar daftar","")),IF('PC 08'!G150="","Nama Channel kosong",""),IF('PC 08'!H150="","Link kosong",IF(ISERROR(FIND("youtu",LOWER('PC 08'!H150))),"Link bukan youtube","")),IF('PC 08'!I150="","Tgl Dibuat kosong",IF(NOT(ISNUMBER('PC 08'!I150)),"Tgl Dibuat harus tanggal","")),IF(AND('PC 08'!J150&lt;&gt;"",NOT(ISNUMBER('PC 08'!J150))),"Tgl Publish harus tanggal",""),IF(AND(ISNUMBER('PC 08'!I150),ISNUMBER('PC 08'!J150),'PC 08'!J150&lt;'PC 08'!I150),"Tgl Publish &lt; Tgl Dibuat",""),IF(AND('PC 08'!K150&lt;&gt;"",ISERROR(MATCH(TRIM('PC 08'!K150),{"Draft","Menunggu Review","Revisi","Terjadwal","Publish","Batal","Published"},0))),"Status di luar daftar","")))</f>
        <v>#ERROR!</v>
      </c>
      <c r="D150" s="5" t="str">
        <f>IF(C150="","OK","ADA MASALAH")</f>
        <v>#ERROR!</v>
      </c>
    </row>
    <row r="151">
      <c r="A151" s="4">
        <v>151.0</v>
      </c>
      <c r="B151" s="5" t="str">
        <f>'PC 08'!A151</f>
        <v/>
      </c>
      <c r="C151" s="5" t="str">
        <f>IF(COUNTA('PC 08'!A151:L151)=0,"",TEXTJOIN(" | ",TRUE,IF('PC 08'!A151="","Worker ID kosong",""),IF('PC 08'!B151="","Update Date kosong",IF(NOT(ISNUMBER('PC 08'!B151)),"Update Date harus tanggal","")),IF('PC 08'!D151="","Judul kosong",""),IF('PC 08'!F151="","Genre kosong",IF(ISERROR(MATCH(TRIM('PC 08'!F151),{"Pop","Rock","Dangdut","K-Pop","Electronic","Nasional","Daerah"},0)),"Genre di luar daftar","")),IF('PC 08'!G151="","Nama Channel kosong",""),IF('PC 08'!H151="","Link kosong",IF(ISERROR(FIND("youtu",LOWER('PC 08'!H151))),"Link bukan youtube","")),IF('PC 08'!I151="","Tgl Dibuat kosong",IF(NOT(ISNUMBER('PC 08'!I151)),"Tgl Dibuat harus tanggal","")),IF(AND('PC 08'!J151&lt;&gt;"",NOT(ISNUMBER('PC 08'!J151))),"Tgl Publish harus tanggal",""),IF(AND(ISNUMBER('PC 08'!I151),ISNUMBER('PC 08'!J151),'PC 08'!J151&lt;'PC 08'!I151),"Tgl Publish &lt; Tgl Dibuat",""),IF(AND('PC 08'!K151&lt;&gt;"",ISERROR(MATCH(TRIM('PC 08'!K151),{"Draft","Menunggu Review","Revisi","Terjadwal","Publish","Batal","Published"},0))),"Status di luar daftar","")))</f>
        <v>#ERROR!</v>
      </c>
      <c r="D151" s="5" t="str">
        <f>IF(C151="","OK","ADA MASALAH")</f>
        <v>#ERROR!</v>
      </c>
    </row>
    <row r="152">
      <c r="A152" s="4">
        <v>152.0</v>
      </c>
      <c r="B152" s="5" t="str">
        <f>'PC 08'!A152</f>
        <v/>
      </c>
      <c r="C152" s="5" t="str">
        <f>IF(COUNTA('PC 08'!A152:L152)=0,"",TEXTJOIN(" | ",TRUE,IF('PC 08'!A152="","Worker ID kosong",""),IF('PC 08'!B152="","Update Date kosong",IF(NOT(ISNUMBER('PC 08'!B152)),"Update Date harus tanggal","")),IF('PC 08'!D152="","Judul kosong",""),IF('PC 08'!F152="","Genre kosong",IF(ISERROR(MATCH(TRIM('PC 08'!F152),{"Pop","Rock","Dangdut","K-Pop","Electronic","Nasional","Daerah"},0)),"Genre di luar daftar","")),IF('PC 08'!G152="","Nama Channel kosong",""),IF('PC 08'!H152="","Link kosong",IF(ISERROR(FIND("youtu",LOWER('PC 08'!H152))),"Link bukan youtube","")),IF('PC 08'!I152="","Tgl Dibuat kosong",IF(NOT(ISNUMBER('PC 08'!I152)),"Tgl Dibuat harus tanggal","")),IF(AND('PC 08'!J152&lt;&gt;"",NOT(ISNUMBER('PC 08'!J152))),"Tgl Publish harus tanggal",""),IF(AND(ISNUMBER('PC 08'!I152),ISNUMBER('PC 08'!J152),'PC 08'!J152&lt;'PC 08'!I152),"Tgl Publish &lt; Tgl Dibuat",""),IF(AND('PC 08'!K152&lt;&gt;"",ISERROR(MATCH(TRIM('PC 08'!K152),{"Draft","Menunggu Review","Revisi","Terjadwal","Publish","Batal","Published"},0))),"Status di luar daftar","")))</f>
        <v>#ERROR!</v>
      </c>
      <c r="D152" s="5" t="str">
        <f>IF(C152="","OK","ADA MASALAH")</f>
        <v>#ERROR!</v>
      </c>
    </row>
    <row r="153">
      <c r="A153" s="4">
        <v>153.0</v>
      </c>
      <c r="B153" s="5" t="str">
        <f>'PC 08'!A153</f>
        <v/>
      </c>
      <c r="C153" s="5" t="str">
        <f>IF(COUNTA('PC 08'!A153:L153)=0,"",TEXTJOIN(" | ",TRUE,IF('PC 08'!A153="","Worker ID kosong",""),IF('PC 08'!B153="","Update Date kosong",IF(NOT(ISNUMBER('PC 08'!B153)),"Update Date harus tanggal","")),IF('PC 08'!D153="","Judul kosong",""),IF('PC 08'!F153="","Genre kosong",IF(ISERROR(MATCH(TRIM('PC 08'!F153),{"Pop","Rock","Dangdut","K-Pop","Electronic","Nasional","Daerah"},0)),"Genre di luar daftar","")),IF('PC 08'!G153="","Nama Channel kosong",""),IF('PC 08'!H153="","Link kosong",IF(ISERROR(FIND("youtu",LOWER('PC 08'!H153))),"Link bukan youtube","")),IF('PC 08'!I153="","Tgl Dibuat kosong",IF(NOT(ISNUMBER('PC 08'!I153)),"Tgl Dibuat harus tanggal","")),IF(AND('PC 08'!J153&lt;&gt;"",NOT(ISNUMBER('PC 08'!J153))),"Tgl Publish harus tanggal",""),IF(AND(ISNUMBER('PC 08'!I153),ISNUMBER('PC 08'!J153),'PC 08'!J153&lt;'PC 08'!I153),"Tgl Publish &lt; Tgl Dibuat",""),IF(AND('PC 08'!K153&lt;&gt;"",ISERROR(MATCH(TRIM('PC 08'!K153),{"Draft","Menunggu Review","Revisi","Terjadwal","Publish","Batal","Published"},0))),"Status di luar daftar","")))</f>
        <v>#ERROR!</v>
      </c>
      <c r="D153" s="5" t="str">
        <f>IF(C153="","OK","ADA MASALAH")</f>
        <v>#ERROR!</v>
      </c>
    </row>
    <row r="154">
      <c r="A154" s="4">
        <v>154.0</v>
      </c>
      <c r="B154" s="5" t="str">
        <f>'PC 08'!A154</f>
        <v/>
      </c>
      <c r="C154" s="5" t="str">
        <f>IF(COUNTA('PC 08'!A154:L154)=0,"",TEXTJOIN(" | ",TRUE,IF('PC 08'!A154="","Worker ID kosong",""),IF('PC 08'!B154="","Update Date kosong",IF(NOT(ISNUMBER('PC 08'!B154)),"Update Date harus tanggal","")),IF('PC 08'!D154="","Judul kosong",""),IF('PC 08'!F154="","Genre kosong",IF(ISERROR(MATCH(TRIM('PC 08'!F154),{"Pop","Rock","Dangdut","K-Pop","Electronic","Nasional","Daerah"},0)),"Genre di luar daftar","")),IF('PC 08'!G154="","Nama Channel kosong",""),IF('PC 08'!H154="","Link kosong",IF(ISERROR(FIND("youtu",LOWER('PC 08'!H154))),"Link bukan youtube","")),IF('PC 08'!I154="","Tgl Dibuat kosong",IF(NOT(ISNUMBER('PC 08'!I154)),"Tgl Dibuat harus tanggal","")),IF(AND('PC 08'!J154&lt;&gt;"",NOT(ISNUMBER('PC 08'!J154))),"Tgl Publish harus tanggal",""),IF(AND(ISNUMBER('PC 08'!I154),ISNUMBER('PC 08'!J154),'PC 08'!J154&lt;'PC 08'!I154),"Tgl Publish &lt; Tgl Dibuat",""),IF(AND('PC 08'!K154&lt;&gt;"",ISERROR(MATCH(TRIM('PC 08'!K154),{"Draft","Menunggu Review","Revisi","Terjadwal","Publish","Batal","Published"},0))),"Status di luar daftar","")))</f>
        <v>#ERROR!</v>
      </c>
      <c r="D154" s="5" t="str">
        <f>IF(C154="","OK","ADA MASALAH")</f>
        <v>#ERROR!</v>
      </c>
    </row>
    <row r="155">
      <c r="A155" s="4">
        <v>155.0</v>
      </c>
      <c r="B155" s="5" t="str">
        <f>'PC 08'!A155</f>
        <v/>
      </c>
      <c r="C155" s="5" t="str">
        <f>IF(COUNTA('PC 08'!A155:L155)=0,"",TEXTJOIN(" | ",TRUE,IF('PC 08'!A155="","Worker ID kosong",""),IF('PC 08'!B155="","Update Date kosong",IF(NOT(ISNUMBER('PC 08'!B155)),"Update Date harus tanggal","")),IF('PC 08'!D155="","Judul kosong",""),IF('PC 08'!F155="","Genre kosong",IF(ISERROR(MATCH(TRIM('PC 08'!F155),{"Pop","Rock","Dangdut","K-Pop","Electronic","Nasional","Daerah"},0)),"Genre di luar daftar","")),IF('PC 08'!G155="","Nama Channel kosong",""),IF('PC 08'!H155="","Link kosong",IF(ISERROR(FIND("youtu",LOWER('PC 08'!H155))),"Link bukan youtube","")),IF('PC 08'!I155="","Tgl Dibuat kosong",IF(NOT(ISNUMBER('PC 08'!I155)),"Tgl Dibuat harus tanggal","")),IF(AND('PC 08'!J155&lt;&gt;"",NOT(ISNUMBER('PC 08'!J155))),"Tgl Publish harus tanggal",""),IF(AND(ISNUMBER('PC 08'!I155),ISNUMBER('PC 08'!J155),'PC 08'!J155&lt;'PC 08'!I155),"Tgl Publish &lt; Tgl Dibuat",""),IF(AND('PC 08'!K155&lt;&gt;"",ISERROR(MATCH(TRIM('PC 08'!K155),{"Draft","Menunggu Review","Revisi","Terjadwal","Publish","Batal","Published"},0))),"Status di luar daftar","")))</f>
        <v>#ERROR!</v>
      </c>
      <c r="D155" s="5" t="str">
        <f>IF(C155="","OK","ADA MASALAH")</f>
        <v>#ERROR!</v>
      </c>
    </row>
    <row r="156">
      <c r="A156" s="4">
        <v>156.0</v>
      </c>
      <c r="B156" s="5" t="str">
        <f>'PC 08'!A156</f>
        <v/>
      </c>
      <c r="C156" s="5" t="str">
        <f>IF(COUNTA('PC 08'!A156:L156)=0,"",TEXTJOIN(" | ",TRUE,IF('PC 08'!A156="","Worker ID kosong",""),IF('PC 08'!B156="","Update Date kosong",IF(NOT(ISNUMBER('PC 08'!B156)),"Update Date harus tanggal","")),IF('PC 08'!D156="","Judul kosong",""),IF('PC 08'!F156="","Genre kosong",IF(ISERROR(MATCH(TRIM('PC 08'!F156),{"Pop","Rock","Dangdut","K-Pop","Electronic","Nasional","Daerah"},0)),"Genre di luar daftar","")),IF('PC 08'!G156="","Nama Channel kosong",""),IF('PC 08'!H156="","Link kosong",IF(ISERROR(FIND("youtu",LOWER('PC 08'!H156))),"Link bukan youtube","")),IF('PC 08'!I156="","Tgl Dibuat kosong",IF(NOT(ISNUMBER('PC 08'!I156)),"Tgl Dibuat harus tanggal","")),IF(AND('PC 08'!J156&lt;&gt;"",NOT(ISNUMBER('PC 08'!J156))),"Tgl Publish harus tanggal",""),IF(AND(ISNUMBER('PC 08'!I156),ISNUMBER('PC 08'!J156),'PC 08'!J156&lt;'PC 08'!I156),"Tgl Publish &lt; Tgl Dibuat",""),IF(AND('PC 08'!K156&lt;&gt;"",ISERROR(MATCH(TRIM('PC 08'!K156),{"Draft","Menunggu Review","Revisi","Terjadwal","Publish","Batal","Published"},0))),"Status di luar daftar","")))</f>
        <v>#ERROR!</v>
      </c>
      <c r="D156" s="5" t="str">
        <f>IF(C156="","OK","ADA MASALAH")</f>
        <v>#ERROR!</v>
      </c>
    </row>
    <row r="157">
      <c r="A157" s="4">
        <v>157.0</v>
      </c>
      <c r="B157" s="5" t="str">
        <f>'PC 08'!A157</f>
        <v/>
      </c>
      <c r="C157" s="5" t="str">
        <f>IF(COUNTA('PC 08'!A157:L157)=0,"",TEXTJOIN(" | ",TRUE,IF('PC 08'!A157="","Worker ID kosong",""),IF('PC 08'!B157="","Update Date kosong",IF(NOT(ISNUMBER('PC 08'!B157)),"Update Date harus tanggal","")),IF('PC 08'!D157="","Judul kosong",""),IF('PC 08'!F157="","Genre kosong",IF(ISERROR(MATCH(TRIM('PC 08'!F157),{"Pop","Rock","Dangdut","K-Pop","Electronic","Nasional","Daerah"},0)),"Genre di luar daftar","")),IF('PC 08'!G157="","Nama Channel kosong",""),IF('PC 08'!H157="","Link kosong",IF(ISERROR(FIND("youtu",LOWER('PC 08'!H157))),"Link bukan youtube","")),IF('PC 08'!I157="","Tgl Dibuat kosong",IF(NOT(ISNUMBER('PC 08'!I157)),"Tgl Dibuat harus tanggal","")),IF(AND('PC 08'!J157&lt;&gt;"",NOT(ISNUMBER('PC 08'!J157))),"Tgl Publish harus tanggal",""),IF(AND(ISNUMBER('PC 08'!I157),ISNUMBER('PC 08'!J157),'PC 08'!J157&lt;'PC 08'!I157),"Tgl Publish &lt; Tgl Dibuat",""),IF(AND('PC 08'!K157&lt;&gt;"",ISERROR(MATCH(TRIM('PC 08'!K157),{"Draft","Menunggu Review","Revisi","Terjadwal","Publish","Batal","Published"},0))),"Status di luar daftar","")))</f>
        <v>#ERROR!</v>
      </c>
      <c r="D157" s="5" t="str">
        <f>IF(C157="","OK","ADA MASALAH")</f>
        <v>#ERROR!</v>
      </c>
    </row>
    <row r="158">
      <c r="A158" s="4">
        <v>158.0</v>
      </c>
      <c r="B158" s="5" t="str">
        <f>'PC 08'!A158</f>
        <v/>
      </c>
      <c r="C158" s="5" t="str">
        <f>IF(COUNTA('PC 08'!A158:L158)=0,"",TEXTJOIN(" | ",TRUE,IF('PC 08'!A158="","Worker ID kosong",""),IF('PC 08'!B158="","Update Date kosong",IF(NOT(ISNUMBER('PC 08'!B158)),"Update Date harus tanggal","")),IF('PC 08'!D158="","Judul kosong",""),IF('PC 08'!F158="","Genre kosong",IF(ISERROR(MATCH(TRIM('PC 08'!F158),{"Pop","Rock","Dangdut","K-Pop","Electronic","Nasional","Daerah"},0)),"Genre di luar daftar","")),IF('PC 08'!G158="","Nama Channel kosong",""),IF('PC 08'!H158="","Link kosong",IF(ISERROR(FIND("youtu",LOWER('PC 08'!H158))),"Link bukan youtube","")),IF('PC 08'!I158="","Tgl Dibuat kosong",IF(NOT(ISNUMBER('PC 08'!I158)),"Tgl Dibuat harus tanggal","")),IF(AND('PC 08'!J158&lt;&gt;"",NOT(ISNUMBER('PC 08'!J158))),"Tgl Publish harus tanggal",""),IF(AND(ISNUMBER('PC 08'!I158),ISNUMBER('PC 08'!J158),'PC 08'!J158&lt;'PC 08'!I158),"Tgl Publish &lt; Tgl Dibuat",""),IF(AND('PC 08'!K158&lt;&gt;"",ISERROR(MATCH(TRIM('PC 08'!K158),{"Draft","Menunggu Review","Revisi","Terjadwal","Publish","Batal","Published"},0))),"Status di luar daftar","")))</f>
        <v>#ERROR!</v>
      </c>
      <c r="D158" s="5" t="str">
        <f>IF(C158="","OK","ADA MASALAH")</f>
        <v>#ERROR!</v>
      </c>
    </row>
    <row r="159">
      <c r="A159" s="4">
        <v>159.0</v>
      </c>
      <c r="B159" s="5" t="str">
        <f>'PC 08'!A159</f>
        <v/>
      </c>
      <c r="C159" s="5" t="str">
        <f>IF(COUNTA('PC 08'!A159:L159)=0,"",TEXTJOIN(" | ",TRUE,IF('PC 08'!A159="","Worker ID kosong",""),IF('PC 08'!B159="","Update Date kosong",IF(NOT(ISNUMBER('PC 08'!B159)),"Update Date harus tanggal","")),IF('PC 08'!D159="","Judul kosong",""),IF('PC 08'!F159="","Genre kosong",IF(ISERROR(MATCH(TRIM('PC 08'!F159),{"Pop","Rock","Dangdut","K-Pop","Electronic","Nasional","Daerah"},0)),"Genre di luar daftar","")),IF('PC 08'!G159="","Nama Channel kosong",""),IF('PC 08'!H159="","Link kosong",IF(ISERROR(FIND("youtu",LOWER('PC 08'!H159))),"Link bukan youtube","")),IF('PC 08'!I159="","Tgl Dibuat kosong",IF(NOT(ISNUMBER('PC 08'!I159)),"Tgl Dibuat harus tanggal","")),IF(AND('PC 08'!J159&lt;&gt;"",NOT(ISNUMBER('PC 08'!J159))),"Tgl Publish harus tanggal",""),IF(AND(ISNUMBER('PC 08'!I159),ISNUMBER('PC 08'!J159),'PC 08'!J159&lt;'PC 08'!I159),"Tgl Publish &lt; Tgl Dibuat",""),IF(AND('PC 08'!K159&lt;&gt;"",ISERROR(MATCH(TRIM('PC 08'!K159),{"Draft","Menunggu Review","Revisi","Terjadwal","Publish","Batal","Published"},0))),"Status di luar daftar","")))</f>
        <v>#ERROR!</v>
      </c>
      <c r="D159" s="5" t="str">
        <f>IF(C159="","OK","ADA MASALAH")</f>
        <v>#ERROR!</v>
      </c>
    </row>
    <row r="160">
      <c r="A160" s="4">
        <v>160.0</v>
      </c>
      <c r="B160" s="5" t="str">
        <f>'PC 08'!A160</f>
        <v/>
      </c>
      <c r="C160" s="5" t="str">
        <f>IF(COUNTA('PC 08'!A160:L160)=0,"",TEXTJOIN(" | ",TRUE,IF('PC 08'!A160="","Worker ID kosong",""),IF('PC 08'!B160="","Update Date kosong",IF(NOT(ISNUMBER('PC 08'!B160)),"Update Date harus tanggal","")),IF('PC 08'!D160="","Judul kosong",""),IF('PC 08'!F160="","Genre kosong",IF(ISERROR(MATCH(TRIM('PC 08'!F160),{"Pop","Rock","Dangdut","K-Pop","Electronic","Nasional","Daerah"},0)),"Genre di luar daftar","")),IF('PC 08'!G160="","Nama Channel kosong",""),IF('PC 08'!H160="","Link kosong",IF(ISERROR(FIND("youtu",LOWER('PC 08'!H160))),"Link bukan youtube","")),IF('PC 08'!I160="","Tgl Dibuat kosong",IF(NOT(ISNUMBER('PC 08'!I160)),"Tgl Dibuat harus tanggal","")),IF(AND('PC 08'!J160&lt;&gt;"",NOT(ISNUMBER('PC 08'!J160))),"Tgl Publish harus tanggal",""),IF(AND(ISNUMBER('PC 08'!I160),ISNUMBER('PC 08'!J160),'PC 08'!J160&lt;'PC 08'!I160),"Tgl Publish &lt; Tgl Dibuat",""),IF(AND('PC 08'!K160&lt;&gt;"",ISERROR(MATCH(TRIM('PC 08'!K160),{"Draft","Menunggu Review","Revisi","Terjadwal","Publish","Batal","Published"},0))),"Status di luar daftar","")))</f>
        <v>#ERROR!</v>
      </c>
      <c r="D160" s="5" t="str">
        <f>IF(C160="","OK","ADA MASALAH")</f>
        <v>#ERROR!</v>
      </c>
    </row>
    <row r="161">
      <c r="A161" s="4">
        <v>161.0</v>
      </c>
      <c r="B161" s="5" t="str">
        <f>'PC 08'!A161</f>
        <v/>
      </c>
      <c r="C161" s="5" t="str">
        <f>IF(COUNTA('PC 08'!A161:L161)=0,"",TEXTJOIN(" | ",TRUE,IF('PC 08'!A161="","Worker ID kosong",""),IF('PC 08'!B161="","Update Date kosong",IF(NOT(ISNUMBER('PC 08'!B161)),"Update Date harus tanggal","")),IF('PC 08'!D161="","Judul kosong",""),IF('PC 08'!F161="","Genre kosong",IF(ISERROR(MATCH(TRIM('PC 08'!F161),{"Pop","Rock","Dangdut","K-Pop","Electronic","Nasional","Daerah"},0)),"Genre di luar daftar","")),IF('PC 08'!G161="","Nama Channel kosong",""),IF('PC 08'!H161="","Link kosong",IF(ISERROR(FIND("youtu",LOWER('PC 08'!H161))),"Link bukan youtube","")),IF('PC 08'!I161="","Tgl Dibuat kosong",IF(NOT(ISNUMBER('PC 08'!I161)),"Tgl Dibuat harus tanggal","")),IF(AND('PC 08'!J161&lt;&gt;"",NOT(ISNUMBER('PC 08'!J161))),"Tgl Publish harus tanggal",""),IF(AND(ISNUMBER('PC 08'!I161),ISNUMBER('PC 08'!J161),'PC 08'!J161&lt;'PC 08'!I161),"Tgl Publish &lt; Tgl Dibuat",""),IF(AND('PC 08'!K161&lt;&gt;"",ISERROR(MATCH(TRIM('PC 08'!K161),{"Draft","Menunggu Review","Revisi","Terjadwal","Publish","Batal","Published"},0))),"Status di luar daftar","")))</f>
        <v>#ERROR!</v>
      </c>
      <c r="D161" s="5" t="str">
        <f>IF(C161="","OK","ADA MASALAH")</f>
        <v>#ERROR!</v>
      </c>
    </row>
    <row r="162">
      <c r="A162" s="4">
        <v>162.0</v>
      </c>
      <c r="B162" s="5" t="str">
        <f>'PC 08'!A162</f>
        <v/>
      </c>
      <c r="C162" s="5" t="str">
        <f>IF(COUNTA('PC 08'!A162:L162)=0,"",TEXTJOIN(" | ",TRUE,IF('PC 08'!A162="","Worker ID kosong",""),IF('PC 08'!B162="","Update Date kosong",IF(NOT(ISNUMBER('PC 08'!B162)),"Update Date harus tanggal","")),IF('PC 08'!D162="","Judul kosong",""),IF('PC 08'!F162="","Genre kosong",IF(ISERROR(MATCH(TRIM('PC 08'!F162),{"Pop","Rock","Dangdut","K-Pop","Electronic","Nasional","Daerah"},0)),"Genre di luar daftar","")),IF('PC 08'!G162="","Nama Channel kosong",""),IF('PC 08'!H162="","Link kosong",IF(ISERROR(FIND("youtu",LOWER('PC 08'!H162))),"Link bukan youtube","")),IF('PC 08'!I162="","Tgl Dibuat kosong",IF(NOT(ISNUMBER('PC 08'!I162)),"Tgl Dibuat harus tanggal","")),IF(AND('PC 08'!J162&lt;&gt;"",NOT(ISNUMBER('PC 08'!J162))),"Tgl Publish harus tanggal",""),IF(AND(ISNUMBER('PC 08'!I162),ISNUMBER('PC 08'!J162),'PC 08'!J162&lt;'PC 08'!I162),"Tgl Publish &lt; Tgl Dibuat",""),IF(AND('PC 08'!K162&lt;&gt;"",ISERROR(MATCH(TRIM('PC 08'!K162),{"Draft","Menunggu Review","Revisi","Terjadwal","Publish","Batal","Published"},0))),"Status di luar daftar","")))</f>
        <v>#ERROR!</v>
      </c>
      <c r="D162" s="5" t="str">
        <f>IF(C162="","OK","ADA MASALAH")</f>
        <v>#ERROR!</v>
      </c>
    </row>
    <row r="163">
      <c r="A163" s="4">
        <v>163.0</v>
      </c>
      <c r="B163" s="5" t="str">
        <f>'PC 08'!A163</f>
        <v/>
      </c>
      <c r="C163" s="5" t="str">
        <f>IF(COUNTA('PC 08'!A163:L163)=0,"",TEXTJOIN(" | ",TRUE,IF('PC 08'!A163="","Worker ID kosong",""),IF('PC 08'!B163="","Update Date kosong",IF(NOT(ISNUMBER('PC 08'!B163)),"Update Date harus tanggal","")),IF('PC 08'!D163="","Judul kosong",""),IF('PC 08'!F163="","Genre kosong",IF(ISERROR(MATCH(TRIM('PC 08'!F163),{"Pop","Rock","Dangdut","K-Pop","Electronic","Nasional","Daerah"},0)),"Genre di luar daftar","")),IF('PC 08'!G163="","Nama Channel kosong",""),IF('PC 08'!H163="","Link kosong",IF(ISERROR(FIND("youtu",LOWER('PC 08'!H163))),"Link bukan youtube","")),IF('PC 08'!I163="","Tgl Dibuat kosong",IF(NOT(ISNUMBER('PC 08'!I163)),"Tgl Dibuat harus tanggal","")),IF(AND('PC 08'!J163&lt;&gt;"",NOT(ISNUMBER('PC 08'!J163))),"Tgl Publish harus tanggal",""),IF(AND(ISNUMBER('PC 08'!I163),ISNUMBER('PC 08'!J163),'PC 08'!J163&lt;'PC 08'!I163),"Tgl Publish &lt; Tgl Dibuat",""),IF(AND('PC 08'!K163&lt;&gt;"",ISERROR(MATCH(TRIM('PC 08'!K163),{"Draft","Menunggu Review","Revisi","Terjadwal","Publish","Batal","Published"},0))),"Status di luar daftar","")))</f>
        <v>#ERROR!</v>
      </c>
      <c r="D163" s="5" t="str">
        <f>IF(C163="","OK","ADA MASALAH")</f>
        <v>#ERROR!</v>
      </c>
    </row>
    <row r="164">
      <c r="A164" s="4">
        <v>164.0</v>
      </c>
      <c r="B164" s="5" t="str">
        <f>'PC 08'!A164</f>
        <v/>
      </c>
      <c r="C164" s="5" t="str">
        <f>IF(COUNTA('PC 08'!A164:L164)=0,"",TEXTJOIN(" | ",TRUE,IF('PC 08'!A164="","Worker ID kosong",""),IF('PC 08'!B164="","Update Date kosong",IF(NOT(ISNUMBER('PC 08'!B164)),"Update Date harus tanggal","")),IF('PC 08'!D164="","Judul kosong",""),IF('PC 08'!F164="","Genre kosong",IF(ISERROR(MATCH(TRIM('PC 08'!F164),{"Pop","Rock","Dangdut","K-Pop","Electronic","Nasional","Daerah"},0)),"Genre di luar daftar","")),IF('PC 08'!G164="","Nama Channel kosong",""),IF('PC 08'!H164="","Link kosong",IF(ISERROR(FIND("youtu",LOWER('PC 08'!H164))),"Link bukan youtube","")),IF('PC 08'!I164="","Tgl Dibuat kosong",IF(NOT(ISNUMBER('PC 08'!I164)),"Tgl Dibuat harus tanggal","")),IF(AND('PC 08'!J164&lt;&gt;"",NOT(ISNUMBER('PC 08'!J164))),"Tgl Publish harus tanggal",""),IF(AND(ISNUMBER('PC 08'!I164),ISNUMBER('PC 08'!J164),'PC 08'!J164&lt;'PC 08'!I164),"Tgl Publish &lt; Tgl Dibuat",""),IF(AND('PC 08'!K164&lt;&gt;"",ISERROR(MATCH(TRIM('PC 08'!K164),{"Draft","Menunggu Review","Revisi","Terjadwal","Publish","Batal","Published"},0))),"Status di luar daftar","")))</f>
        <v>#ERROR!</v>
      </c>
      <c r="D164" s="5" t="str">
        <f>IF(C164="","OK","ADA MASALAH")</f>
        <v>#ERROR!</v>
      </c>
    </row>
    <row r="165">
      <c r="A165" s="4">
        <v>165.0</v>
      </c>
      <c r="B165" s="5" t="str">
        <f>'PC 08'!A165</f>
        <v/>
      </c>
      <c r="C165" s="5" t="str">
        <f>IF(COUNTA('PC 08'!A165:L165)=0,"",TEXTJOIN(" | ",TRUE,IF('PC 08'!A165="","Worker ID kosong",""),IF('PC 08'!B165="","Update Date kosong",IF(NOT(ISNUMBER('PC 08'!B165)),"Update Date harus tanggal","")),IF('PC 08'!D165="","Judul kosong",""),IF('PC 08'!F165="","Genre kosong",IF(ISERROR(MATCH(TRIM('PC 08'!F165),{"Pop","Rock","Dangdut","K-Pop","Electronic","Nasional","Daerah"},0)),"Genre di luar daftar","")),IF('PC 08'!G165="","Nama Channel kosong",""),IF('PC 08'!H165="","Link kosong",IF(ISERROR(FIND("youtu",LOWER('PC 08'!H165))),"Link bukan youtube","")),IF('PC 08'!I165="","Tgl Dibuat kosong",IF(NOT(ISNUMBER('PC 08'!I165)),"Tgl Dibuat harus tanggal","")),IF(AND('PC 08'!J165&lt;&gt;"",NOT(ISNUMBER('PC 08'!J165))),"Tgl Publish harus tanggal",""),IF(AND(ISNUMBER('PC 08'!I165),ISNUMBER('PC 08'!J165),'PC 08'!J165&lt;'PC 08'!I165),"Tgl Publish &lt; Tgl Dibuat",""),IF(AND('PC 08'!K165&lt;&gt;"",ISERROR(MATCH(TRIM('PC 08'!K165),{"Draft","Menunggu Review","Revisi","Terjadwal","Publish","Batal","Published"},0))),"Status di luar daftar","")))</f>
        <v>#ERROR!</v>
      </c>
      <c r="D165" s="5" t="str">
        <f>IF(C165="","OK","ADA MASALAH")</f>
        <v>#ERROR!</v>
      </c>
    </row>
    <row r="166">
      <c r="A166" s="4">
        <v>166.0</v>
      </c>
      <c r="B166" s="5" t="str">
        <f>'PC 08'!A166</f>
        <v/>
      </c>
      <c r="C166" s="5" t="str">
        <f>IF(COUNTA('PC 08'!A166:L166)=0,"",TEXTJOIN(" | ",TRUE,IF('PC 08'!A166="","Worker ID kosong",""),IF('PC 08'!B166="","Update Date kosong",IF(NOT(ISNUMBER('PC 08'!B166)),"Update Date harus tanggal","")),IF('PC 08'!D166="","Judul kosong",""),IF('PC 08'!F166="","Genre kosong",IF(ISERROR(MATCH(TRIM('PC 08'!F166),{"Pop","Rock","Dangdut","K-Pop","Electronic","Nasional","Daerah"},0)),"Genre di luar daftar","")),IF('PC 08'!G166="","Nama Channel kosong",""),IF('PC 08'!H166="","Link kosong",IF(ISERROR(FIND("youtu",LOWER('PC 08'!H166))),"Link bukan youtube","")),IF('PC 08'!I166="","Tgl Dibuat kosong",IF(NOT(ISNUMBER('PC 08'!I166)),"Tgl Dibuat harus tanggal","")),IF(AND('PC 08'!J166&lt;&gt;"",NOT(ISNUMBER('PC 08'!J166))),"Tgl Publish harus tanggal",""),IF(AND(ISNUMBER('PC 08'!I166),ISNUMBER('PC 08'!J166),'PC 08'!J166&lt;'PC 08'!I166),"Tgl Publish &lt; Tgl Dibuat",""),IF(AND('PC 08'!K166&lt;&gt;"",ISERROR(MATCH(TRIM('PC 08'!K166),{"Draft","Menunggu Review","Revisi","Terjadwal","Publish","Batal","Published"},0))),"Status di luar daftar","")))</f>
        <v>#ERROR!</v>
      </c>
      <c r="D166" s="5" t="str">
        <f>IF(C166="","OK","ADA MASALAH")</f>
        <v>#ERROR!</v>
      </c>
    </row>
    <row r="167">
      <c r="A167" s="4">
        <v>167.0</v>
      </c>
      <c r="B167" s="5" t="str">
        <f>'PC 08'!A167</f>
        <v/>
      </c>
      <c r="C167" s="5" t="str">
        <f>IF(COUNTA('PC 08'!A167:L167)=0,"",TEXTJOIN(" | ",TRUE,IF('PC 08'!A167="","Worker ID kosong",""),IF('PC 08'!B167="","Update Date kosong",IF(NOT(ISNUMBER('PC 08'!B167)),"Update Date harus tanggal","")),IF('PC 08'!D167="","Judul kosong",""),IF('PC 08'!F167="","Genre kosong",IF(ISERROR(MATCH(TRIM('PC 08'!F167),{"Pop","Rock","Dangdut","K-Pop","Electronic","Nasional","Daerah"},0)),"Genre di luar daftar","")),IF('PC 08'!G167="","Nama Channel kosong",""),IF('PC 08'!H167="","Link kosong",IF(ISERROR(FIND("youtu",LOWER('PC 08'!H167))),"Link bukan youtube","")),IF('PC 08'!I167="","Tgl Dibuat kosong",IF(NOT(ISNUMBER('PC 08'!I167)),"Tgl Dibuat harus tanggal","")),IF(AND('PC 08'!J167&lt;&gt;"",NOT(ISNUMBER('PC 08'!J167))),"Tgl Publish harus tanggal",""),IF(AND(ISNUMBER('PC 08'!I167),ISNUMBER('PC 08'!J167),'PC 08'!J167&lt;'PC 08'!I167),"Tgl Publish &lt; Tgl Dibuat",""),IF(AND('PC 08'!K167&lt;&gt;"",ISERROR(MATCH(TRIM('PC 08'!K167),{"Draft","Menunggu Review","Revisi","Terjadwal","Publish","Batal","Published"},0))),"Status di luar daftar","")))</f>
        <v>#ERROR!</v>
      </c>
      <c r="D167" s="5" t="str">
        <f>IF(C167="","OK","ADA MASALAH")</f>
        <v>#ERROR!</v>
      </c>
    </row>
    <row r="168">
      <c r="A168" s="4">
        <v>168.0</v>
      </c>
      <c r="B168" s="5" t="str">
        <f>'PC 08'!A168</f>
        <v/>
      </c>
      <c r="C168" s="5" t="str">
        <f>IF(COUNTA('PC 08'!A168:L168)=0,"",TEXTJOIN(" | ",TRUE,IF('PC 08'!A168="","Worker ID kosong",""),IF('PC 08'!B168="","Update Date kosong",IF(NOT(ISNUMBER('PC 08'!B168)),"Update Date harus tanggal","")),IF('PC 08'!D168="","Judul kosong",""),IF('PC 08'!F168="","Genre kosong",IF(ISERROR(MATCH(TRIM('PC 08'!F168),{"Pop","Rock","Dangdut","K-Pop","Electronic","Nasional","Daerah"},0)),"Genre di luar daftar","")),IF('PC 08'!G168="","Nama Channel kosong",""),IF('PC 08'!H168="","Link kosong",IF(ISERROR(FIND("youtu",LOWER('PC 08'!H168))),"Link bukan youtube","")),IF('PC 08'!I168="","Tgl Dibuat kosong",IF(NOT(ISNUMBER('PC 08'!I168)),"Tgl Dibuat harus tanggal","")),IF(AND('PC 08'!J168&lt;&gt;"",NOT(ISNUMBER('PC 08'!J168))),"Tgl Publish harus tanggal",""),IF(AND(ISNUMBER('PC 08'!I168),ISNUMBER('PC 08'!J168),'PC 08'!J168&lt;'PC 08'!I168),"Tgl Publish &lt; Tgl Dibuat",""),IF(AND('PC 08'!K168&lt;&gt;"",ISERROR(MATCH(TRIM('PC 08'!K168),{"Draft","Menunggu Review","Revisi","Terjadwal","Publish","Batal","Published"},0))),"Status di luar daftar","")))</f>
        <v>#ERROR!</v>
      </c>
      <c r="D168" s="5" t="str">
        <f>IF(C168="","OK","ADA MASALAH")</f>
        <v>#ERROR!</v>
      </c>
    </row>
    <row r="169">
      <c r="A169" s="4">
        <v>169.0</v>
      </c>
      <c r="B169" s="5" t="str">
        <f>'PC 08'!A169</f>
        <v/>
      </c>
      <c r="C169" s="5" t="str">
        <f>IF(COUNTA('PC 08'!A169:L169)=0,"",TEXTJOIN(" | ",TRUE,IF('PC 08'!A169="","Worker ID kosong",""),IF('PC 08'!B169="","Update Date kosong",IF(NOT(ISNUMBER('PC 08'!B169)),"Update Date harus tanggal","")),IF('PC 08'!D169="","Judul kosong",""),IF('PC 08'!F169="","Genre kosong",IF(ISERROR(MATCH(TRIM('PC 08'!F169),{"Pop","Rock","Dangdut","K-Pop","Electronic","Nasional","Daerah"},0)),"Genre di luar daftar","")),IF('PC 08'!G169="","Nama Channel kosong",""),IF('PC 08'!H169="","Link kosong",IF(ISERROR(FIND("youtu",LOWER('PC 08'!H169))),"Link bukan youtube","")),IF('PC 08'!I169="","Tgl Dibuat kosong",IF(NOT(ISNUMBER('PC 08'!I169)),"Tgl Dibuat harus tanggal","")),IF(AND('PC 08'!J169&lt;&gt;"",NOT(ISNUMBER('PC 08'!J169))),"Tgl Publish harus tanggal",""),IF(AND(ISNUMBER('PC 08'!I169),ISNUMBER('PC 08'!J169),'PC 08'!J169&lt;'PC 08'!I169),"Tgl Publish &lt; Tgl Dibuat",""),IF(AND('PC 08'!K169&lt;&gt;"",ISERROR(MATCH(TRIM('PC 08'!K169),{"Draft","Menunggu Review","Revisi","Terjadwal","Publish","Batal","Published"},0))),"Status di luar daftar","")))</f>
        <v>#ERROR!</v>
      </c>
      <c r="D169" s="5" t="str">
        <f>IF(C169="","OK","ADA MASALAH")</f>
        <v>#ERROR!</v>
      </c>
    </row>
    <row r="170">
      <c r="A170" s="4">
        <v>170.0</v>
      </c>
      <c r="B170" s="5" t="str">
        <f>'PC 08'!A170</f>
        <v/>
      </c>
      <c r="C170" s="5" t="str">
        <f>IF(COUNTA('PC 08'!A170:L170)=0,"",TEXTJOIN(" | ",TRUE,IF('PC 08'!A170="","Worker ID kosong",""),IF('PC 08'!B170="","Update Date kosong",IF(NOT(ISNUMBER('PC 08'!B170)),"Update Date harus tanggal","")),IF('PC 08'!D170="","Judul kosong",""),IF('PC 08'!F170="","Genre kosong",IF(ISERROR(MATCH(TRIM('PC 08'!F170),{"Pop","Rock","Dangdut","K-Pop","Electronic","Nasional","Daerah"},0)),"Genre di luar daftar","")),IF('PC 08'!G170="","Nama Channel kosong",""),IF('PC 08'!H170="","Link kosong",IF(ISERROR(FIND("youtu",LOWER('PC 08'!H170))),"Link bukan youtube","")),IF('PC 08'!I170="","Tgl Dibuat kosong",IF(NOT(ISNUMBER('PC 08'!I170)),"Tgl Dibuat harus tanggal","")),IF(AND('PC 08'!J170&lt;&gt;"",NOT(ISNUMBER('PC 08'!J170))),"Tgl Publish harus tanggal",""),IF(AND(ISNUMBER('PC 08'!I170),ISNUMBER('PC 08'!J170),'PC 08'!J170&lt;'PC 08'!I170),"Tgl Publish &lt; Tgl Dibuat",""),IF(AND('PC 08'!K170&lt;&gt;"",ISERROR(MATCH(TRIM('PC 08'!K170),{"Draft","Menunggu Review","Revisi","Terjadwal","Publish","Batal","Published"},0))),"Status di luar daftar","")))</f>
        <v>#ERROR!</v>
      </c>
      <c r="D170" s="5" t="str">
        <f>IF(C170="","OK","ADA MASALAH")</f>
        <v>#ERROR!</v>
      </c>
    </row>
    <row r="171">
      <c r="A171" s="4">
        <v>171.0</v>
      </c>
      <c r="B171" s="5" t="str">
        <f>'PC 08'!A171</f>
        <v/>
      </c>
      <c r="C171" s="5" t="str">
        <f>IF(COUNTA('PC 08'!A171:L171)=0,"",TEXTJOIN(" | ",TRUE,IF('PC 08'!A171="","Worker ID kosong",""),IF('PC 08'!B171="","Update Date kosong",IF(NOT(ISNUMBER('PC 08'!B171)),"Update Date harus tanggal","")),IF('PC 08'!D171="","Judul kosong",""),IF('PC 08'!F171="","Genre kosong",IF(ISERROR(MATCH(TRIM('PC 08'!F171),{"Pop","Rock","Dangdut","K-Pop","Electronic","Nasional","Daerah"},0)),"Genre di luar daftar","")),IF('PC 08'!G171="","Nama Channel kosong",""),IF('PC 08'!H171="","Link kosong",IF(ISERROR(FIND("youtu",LOWER('PC 08'!H171))),"Link bukan youtube","")),IF('PC 08'!I171="","Tgl Dibuat kosong",IF(NOT(ISNUMBER('PC 08'!I171)),"Tgl Dibuat harus tanggal","")),IF(AND('PC 08'!J171&lt;&gt;"",NOT(ISNUMBER('PC 08'!J171))),"Tgl Publish harus tanggal",""),IF(AND(ISNUMBER('PC 08'!I171),ISNUMBER('PC 08'!J171),'PC 08'!J171&lt;'PC 08'!I171),"Tgl Publish &lt; Tgl Dibuat",""),IF(AND('PC 08'!K171&lt;&gt;"",ISERROR(MATCH(TRIM('PC 08'!K171),{"Draft","Menunggu Review","Revisi","Terjadwal","Publish","Batal","Published"},0))),"Status di luar daftar","")))</f>
        <v>#ERROR!</v>
      </c>
      <c r="D171" s="5" t="str">
        <f>IF(C171="","OK","ADA MASALAH")</f>
        <v>#ERROR!</v>
      </c>
    </row>
    <row r="172">
      <c r="A172" s="4">
        <v>172.0</v>
      </c>
      <c r="B172" s="5" t="str">
        <f>'PC 08'!A172</f>
        <v/>
      </c>
      <c r="C172" s="5" t="str">
        <f>IF(COUNTA('PC 08'!A172:L172)=0,"",TEXTJOIN(" | ",TRUE,IF('PC 08'!A172="","Worker ID kosong",""),IF('PC 08'!B172="","Update Date kosong",IF(NOT(ISNUMBER('PC 08'!B172)),"Update Date harus tanggal","")),IF('PC 08'!D172="","Judul kosong",""),IF('PC 08'!F172="","Genre kosong",IF(ISERROR(MATCH(TRIM('PC 08'!F172),{"Pop","Rock","Dangdut","K-Pop","Electronic","Nasional","Daerah"},0)),"Genre di luar daftar","")),IF('PC 08'!G172="","Nama Channel kosong",""),IF('PC 08'!H172="","Link kosong",IF(ISERROR(FIND("youtu",LOWER('PC 08'!H172))),"Link bukan youtube","")),IF('PC 08'!I172="","Tgl Dibuat kosong",IF(NOT(ISNUMBER('PC 08'!I172)),"Tgl Dibuat harus tanggal","")),IF(AND('PC 08'!J172&lt;&gt;"",NOT(ISNUMBER('PC 08'!J172))),"Tgl Publish harus tanggal",""),IF(AND(ISNUMBER('PC 08'!I172),ISNUMBER('PC 08'!J172),'PC 08'!J172&lt;'PC 08'!I172),"Tgl Publish &lt; Tgl Dibuat",""),IF(AND('PC 08'!K172&lt;&gt;"",ISERROR(MATCH(TRIM('PC 08'!K172),{"Draft","Menunggu Review","Revisi","Terjadwal","Publish","Batal","Published"},0))),"Status di luar daftar","")))</f>
        <v>#ERROR!</v>
      </c>
      <c r="D172" s="5" t="str">
        <f>IF(C172="","OK","ADA MASALAH")</f>
        <v>#ERROR!</v>
      </c>
    </row>
    <row r="173">
      <c r="A173" s="4">
        <v>173.0</v>
      </c>
      <c r="B173" s="5" t="str">
        <f>'PC 08'!A173</f>
        <v/>
      </c>
      <c r="C173" s="5" t="str">
        <f>IF(COUNTA('PC 08'!A173:L173)=0,"",TEXTJOIN(" | ",TRUE,IF('PC 08'!A173="","Worker ID kosong",""),IF('PC 08'!B173="","Update Date kosong",IF(NOT(ISNUMBER('PC 08'!B173)),"Update Date harus tanggal","")),IF('PC 08'!D173="","Judul kosong",""),IF('PC 08'!F173="","Genre kosong",IF(ISERROR(MATCH(TRIM('PC 08'!F173),{"Pop","Rock","Dangdut","K-Pop","Electronic","Nasional","Daerah"},0)),"Genre di luar daftar","")),IF('PC 08'!G173="","Nama Channel kosong",""),IF('PC 08'!H173="","Link kosong",IF(ISERROR(FIND("youtu",LOWER('PC 08'!H173))),"Link bukan youtube","")),IF('PC 08'!I173="","Tgl Dibuat kosong",IF(NOT(ISNUMBER('PC 08'!I173)),"Tgl Dibuat harus tanggal","")),IF(AND('PC 08'!J173&lt;&gt;"",NOT(ISNUMBER('PC 08'!J173))),"Tgl Publish harus tanggal",""),IF(AND(ISNUMBER('PC 08'!I173),ISNUMBER('PC 08'!J173),'PC 08'!J173&lt;'PC 08'!I173),"Tgl Publish &lt; Tgl Dibuat",""),IF(AND('PC 08'!K173&lt;&gt;"",ISERROR(MATCH(TRIM('PC 08'!K173),{"Draft","Menunggu Review","Revisi","Terjadwal","Publish","Batal","Published"},0))),"Status di luar daftar","")))</f>
        <v>#ERROR!</v>
      </c>
      <c r="D173" s="5" t="str">
        <f>IF(C173="","OK","ADA MASALAH")</f>
        <v>#ERROR!</v>
      </c>
    </row>
    <row r="174">
      <c r="A174" s="4">
        <v>174.0</v>
      </c>
      <c r="B174" s="5" t="str">
        <f>'PC 08'!A174</f>
        <v/>
      </c>
      <c r="C174" s="5" t="str">
        <f>IF(COUNTA('PC 08'!A174:L174)=0,"",TEXTJOIN(" | ",TRUE,IF('PC 08'!A174="","Worker ID kosong",""),IF('PC 08'!B174="","Update Date kosong",IF(NOT(ISNUMBER('PC 08'!B174)),"Update Date harus tanggal","")),IF('PC 08'!D174="","Judul kosong",""),IF('PC 08'!F174="","Genre kosong",IF(ISERROR(MATCH(TRIM('PC 08'!F174),{"Pop","Rock","Dangdut","K-Pop","Electronic","Nasional","Daerah"},0)),"Genre di luar daftar","")),IF('PC 08'!G174="","Nama Channel kosong",""),IF('PC 08'!H174="","Link kosong",IF(ISERROR(FIND("youtu",LOWER('PC 08'!H174))),"Link bukan youtube","")),IF('PC 08'!I174="","Tgl Dibuat kosong",IF(NOT(ISNUMBER('PC 08'!I174)),"Tgl Dibuat harus tanggal","")),IF(AND('PC 08'!J174&lt;&gt;"",NOT(ISNUMBER('PC 08'!J174))),"Tgl Publish harus tanggal",""),IF(AND(ISNUMBER('PC 08'!I174),ISNUMBER('PC 08'!J174),'PC 08'!J174&lt;'PC 08'!I174),"Tgl Publish &lt; Tgl Dibuat",""),IF(AND('PC 08'!K174&lt;&gt;"",ISERROR(MATCH(TRIM('PC 08'!K174),{"Draft","Menunggu Review","Revisi","Terjadwal","Publish","Batal","Published"},0))),"Status di luar daftar","")))</f>
        <v>#ERROR!</v>
      </c>
      <c r="D174" s="5" t="str">
        <f>IF(C174="","OK","ADA MASALAH")</f>
        <v>#ERROR!</v>
      </c>
    </row>
    <row r="175">
      <c r="A175" s="4">
        <v>175.0</v>
      </c>
      <c r="B175" s="5" t="str">
        <f>'PC 08'!A175</f>
        <v/>
      </c>
      <c r="C175" s="5" t="str">
        <f>IF(COUNTA('PC 08'!A175:L175)=0,"",TEXTJOIN(" | ",TRUE,IF('PC 08'!A175="","Worker ID kosong",""),IF('PC 08'!B175="","Update Date kosong",IF(NOT(ISNUMBER('PC 08'!B175)),"Update Date harus tanggal","")),IF('PC 08'!D175="","Judul kosong",""),IF('PC 08'!F175="","Genre kosong",IF(ISERROR(MATCH(TRIM('PC 08'!F175),{"Pop","Rock","Dangdut","K-Pop","Electronic","Nasional","Daerah"},0)),"Genre di luar daftar","")),IF('PC 08'!G175="","Nama Channel kosong",""),IF('PC 08'!H175="","Link kosong",IF(ISERROR(FIND("youtu",LOWER('PC 08'!H175))),"Link bukan youtube","")),IF('PC 08'!I175="","Tgl Dibuat kosong",IF(NOT(ISNUMBER('PC 08'!I175)),"Tgl Dibuat harus tanggal","")),IF(AND('PC 08'!J175&lt;&gt;"",NOT(ISNUMBER('PC 08'!J175))),"Tgl Publish harus tanggal",""),IF(AND(ISNUMBER('PC 08'!I175),ISNUMBER('PC 08'!J175),'PC 08'!J175&lt;'PC 08'!I175),"Tgl Publish &lt; Tgl Dibuat",""),IF(AND('PC 08'!K175&lt;&gt;"",ISERROR(MATCH(TRIM('PC 08'!K175),{"Draft","Menunggu Review","Revisi","Terjadwal","Publish","Batal","Published"},0))),"Status di luar daftar","")))</f>
        <v>#ERROR!</v>
      </c>
      <c r="D175" s="5" t="str">
        <f>IF(C175="","OK","ADA MASALAH")</f>
        <v>#ERROR!</v>
      </c>
    </row>
    <row r="176">
      <c r="A176" s="4">
        <v>176.0</v>
      </c>
      <c r="B176" s="5" t="str">
        <f>'PC 08'!A176</f>
        <v/>
      </c>
      <c r="C176" s="5" t="str">
        <f>IF(COUNTA('PC 08'!A176:L176)=0,"",TEXTJOIN(" | ",TRUE,IF('PC 08'!A176="","Worker ID kosong",""),IF('PC 08'!B176="","Update Date kosong",IF(NOT(ISNUMBER('PC 08'!B176)),"Update Date harus tanggal","")),IF('PC 08'!D176="","Judul kosong",""),IF('PC 08'!F176="","Genre kosong",IF(ISERROR(MATCH(TRIM('PC 08'!F176),{"Pop","Rock","Dangdut","K-Pop","Electronic","Nasional","Daerah"},0)),"Genre di luar daftar","")),IF('PC 08'!G176="","Nama Channel kosong",""),IF('PC 08'!H176="","Link kosong",IF(ISERROR(FIND("youtu",LOWER('PC 08'!H176))),"Link bukan youtube","")),IF('PC 08'!I176="","Tgl Dibuat kosong",IF(NOT(ISNUMBER('PC 08'!I176)),"Tgl Dibuat harus tanggal","")),IF(AND('PC 08'!J176&lt;&gt;"",NOT(ISNUMBER('PC 08'!J176))),"Tgl Publish harus tanggal",""),IF(AND(ISNUMBER('PC 08'!I176),ISNUMBER('PC 08'!J176),'PC 08'!J176&lt;'PC 08'!I176),"Tgl Publish &lt; Tgl Dibuat",""),IF(AND('PC 08'!K176&lt;&gt;"",ISERROR(MATCH(TRIM('PC 08'!K176),{"Draft","Menunggu Review","Revisi","Terjadwal","Publish","Batal","Published"},0))),"Status di luar daftar","")))</f>
        <v>#ERROR!</v>
      </c>
      <c r="D176" s="5" t="str">
        <f>IF(C176="","OK","ADA MASALAH")</f>
        <v>#ERROR!</v>
      </c>
    </row>
    <row r="177">
      <c r="A177" s="4">
        <v>177.0</v>
      </c>
      <c r="B177" s="5" t="str">
        <f>'PC 08'!A177</f>
        <v/>
      </c>
      <c r="C177" s="5" t="str">
        <f>IF(COUNTA('PC 08'!A177:L177)=0,"",TEXTJOIN(" | ",TRUE,IF('PC 08'!A177="","Worker ID kosong",""),IF('PC 08'!B177="","Update Date kosong",IF(NOT(ISNUMBER('PC 08'!B177)),"Update Date harus tanggal","")),IF('PC 08'!D177="","Judul kosong",""),IF('PC 08'!F177="","Genre kosong",IF(ISERROR(MATCH(TRIM('PC 08'!F177),{"Pop","Rock","Dangdut","K-Pop","Electronic","Nasional","Daerah"},0)),"Genre di luar daftar","")),IF('PC 08'!G177="","Nama Channel kosong",""),IF('PC 08'!H177="","Link kosong",IF(ISERROR(FIND("youtu",LOWER('PC 08'!H177))),"Link bukan youtube","")),IF('PC 08'!I177="","Tgl Dibuat kosong",IF(NOT(ISNUMBER('PC 08'!I177)),"Tgl Dibuat harus tanggal","")),IF(AND('PC 08'!J177&lt;&gt;"",NOT(ISNUMBER('PC 08'!J177))),"Tgl Publish harus tanggal",""),IF(AND(ISNUMBER('PC 08'!I177),ISNUMBER('PC 08'!J177),'PC 08'!J177&lt;'PC 08'!I177),"Tgl Publish &lt; Tgl Dibuat",""),IF(AND('PC 08'!K177&lt;&gt;"",ISERROR(MATCH(TRIM('PC 08'!K177),{"Draft","Menunggu Review","Revisi","Terjadwal","Publish","Batal","Published"},0))),"Status di luar daftar","")))</f>
        <v>#ERROR!</v>
      </c>
      <c r="D177" s="5" t="str">
        <f>IF(C177="","OK","ADA MASALAH")</f>
        <v>#ERROR!</v>
      </c>
    </row>
    <row r="178">
      <c r="A178" s="4">
        <v>178.0</v>
      </c>
      <c r="B178" s="5" t="str">
        <f>'PC 08'!A178</f>
        <v/>
      </c>
      <c r="C178" s="5" t="str">
        <f>IF(COUNTA('PC 08'!A178:L178)=0,"",TEXTJOIN(" | ",TRUE,IF('PC 08'!A178="","Worker ID kosong",""),IF('PC 08'!B178="","Update Date kosong",IF(NOT(ISNUMBER('PC 08'!B178)),"Update Date harus tanggal","")),IF('PC 08'!D178="","Judul kosong",""),IF('PC 08'!F178="","Genre kosong",IF(ISERROR(MATCH(TRIM('PC 08'!F178),{"Pop","Rock","Dangdut","K-Pop","Electronic","Nasional","Daerah"},0)),"Genre di luar daftar","")),IF('PC 08'!G178="","Nama Channel kosong",""),IF('PC 08'!H178="","Link kosong",IF(ISERROR(FIND("youtu",LOWER('PC 08'!H178))),"Link bukan youtube","")),IF('PC 08'!I178="","Tgl Dibuat kosong",IF(NOT(ISNUMBER('PC 08'!I178)),"Tgl Dibuat harus tanggal","")),IF(AND('PC 08'!J178&lt;&gt;"",NOT(ISNUMBER('PC 08'!J178))),"Tgl Publish harus tanggal",""),IF(AND(ISNUMBER('PC 08'!I178),ISNUMBER('PC 08'!J178),'PC 08'!J178&lt;'PC 08'!I178),"Tgl Publish &lt; Tgl Dibuat",""),IF(AND('PC 08'!K178&lt;&gt;"",ISERROR(MATCH(TRIM('PC 08'!K178),{"Draft","Menunggu Review","Revisi","Terjadwal","Publish","Batal","Published"},0))),"Status di luar daftar","")))</f>
        <v>#ERROR!</v>
      </c>
      <c r="D178" s="5" t="str">
        <f>IF(C178="","OK","ADA MASALAH")</f>
        <v>#ERROR!</v>
      </c>
    </row>
    <row r="179">
      <c r="A179" s="4">
        <v>179.0</v>
      </c>
      <c r="B179" s="5" t="str">
        <f>'PC 08'!A179</f>
        <v/>
      </c>
      <c r="C179" s="5" t="str">
        <f>IF(COUNTA('PC 08'!A179:L179)=0,"",TEXTJOIN(" | ",TRUE,IF('PC 08'!A179="","Worker ID kosong",""),IF('PC 08'!B179="","Update Date kosong",IF(NOT(ISNUMBER('PC 08'!B179)),"Update Date harus tanggal","")),IF('PC 08'!D179="","Judul kosong",""),IF('PC 08'!F179="","Genre kosong",IF(ISERROR(MATCH(TRIM('PC 08'!F179),{"Pop","Rock","Dangdut","K-Pop","Electronic","Nasional","Daerah"},0)),"Genre di luar daftar","")),IF('PC 08'!G179="","Nama Channel kosong",""),IF('PC 08'!H179="","Link kosong",IF(ISERROR(FIND("youtu",LOWER('PC 08'!H179))),"Link bukan youtube","")),IF('PC 08'!I179="","Tgl Dibuat kosong",IF(NOT(ISNUMBER('PC 08'!I179)),"Tgl Dibuat harus tanggal","")),IF(AND('PC 08'!J179&lt;&gt;"",NOT(ISNUMBER('PC 08'!J179))),"Tgl Publish harus tanggal",""),IF(AND(ISNUMBER('PC 08'!I179),ISNUMBER('PC 08'!J179),'PC 08'!J179&lt;'PC 08'!I179),"Tgl Publish &lt; Tgl Dibuat",""),IF(AND('PC 08'!K179&lt;&gt;"",ISERROR(MATCH(TRIM('PC 08'!K179),{"Draft","Menunggu Review","Revisi","Terjadwal","Publish","Batal","Published"},0))),"Status di luar daftar","")))</f>
        <v>#ERROR!</v>
      </c>
      <c r="D179" s="5" t="str">
        <f>IF(C179="","OK","ADA MASALAH")</f>
        <v>#ERROR!</v>
      </c>
    </row>
    <row r="180">
      <c r="A180" s="4">
        <v>180.0</v>
      </c>
      <c r="B180" s="5" t="str">
        <f>'PC 08'!A180</f>
        <v/>
      </c>
      <c r="C180" s="5" t="str">
        <f>IF(COUNTA('PC 08'!A180:L180)=0,"",TEXTJOIN(" | ",TRUE,IF('PC 08'!A180="","Worker ID kosong",""),IF('PC 08'!B180="","Update Date kosong",IF(NOT(ISNUMBER('PC 08'!B180)),"Update Date harus tanggal","")),IF('PC 08'!D180="","Judul kosong",""),IF('PC 08'!F180="","Genre kosong",IF(ISERROR(MATCH(TRIM('PC 08'!F180),{"Pop","Rock","Dangdut","K-Pop","Electronic","Nasional","Daerah"},0)),"Genre di luar daftar","")),IF('PC 08'!G180="","Nama Channel kosong",""),IF('PC 08'!H180="","Link kosong",IF(ISERROR(FIND("youtu",LOWER('PC 08'!H180))),"Link bukan youtube","")),IF('PC 08'!I180="","Tgl Dibuat kosong",IF(NOT(ISNUMBER('PC 08'!I180)),"Tgl Dibuat harus tanggal","")),IF(AND('PC 08'!J180&lt;&gt;"",NOT(ISNUMBER('PC 08'!J180))),"Tgl Publish harus tanggal",""),IF(AND(ISNUMBER('PC 08'!I180),ISNUMBER('PC 08'!J180),'PC 08'!J180&lt;'PC 08'!I180),"Tgl Publish &lt; Tgl Dibuat",""),IF(AND('PC 08'!K180&lt;&gt;"",ISERROR(MATCH(TRIM('PC 08'!K180),{"Draft","Menunggu Review","Revisi","Terjadwal","Publish","Batal","Published"},0))),"Status di luar daftar","")))</f>
        <v>#ERROR!</v>
      </c>
      <c r="D180" s="5" t="str">
        <f>IF(C180="","OK","ADA MASALAH")</f>
        <v>#ERROR!</v>
      </c>
    </row>
    <row r="181">
      <c r="A181" s="4">
        <v>181.0</v>
      </c>
      <c r="B181" s="5" t="str">
        <f>'PC 08'!A181</f>
        <v/>
      </c>
      <c r="C181" s="5" t="str">
        <f>IF(COUNTA('PC 08'!A181:L181)=0,"",TEXTJOIN(" | ",TRUE,IF('PC 08'!A181="","Worker ID kosong",""),IF('PC 08'!B181="","Update Date kosong",IF(NOT(ISNUMBER('PC 08'!B181)),"Update Date harus tanggal","")),IF('PC 08'!D181="","Judul kosong",""),IF('PC 08'!F181="","Genre kosong",IF(ISERROR(MATCH(TRIM('PC 08'!F181),{"Pop","Rock","Dangdut","K-Pop","Electronic","Nasional","Daerah"},0)),"Genre di luar daftar","")),IF('PC 08'!G181="","Nama Channel kosong",""),IF('PC 08'!H181="","Link kosong",IF(ISERROR(FIND("youtu",LOWER('PC 08'!H181))),"Link bukan youtube","")),IF('PC 08'!I181="","Tgl Dibuat kosong",IF(NOT(ISNUMBER('PC 08'!I181)),"Tgl Dibuat harus tanggal","")),IF(AND('PC 08'!J181&lt;&gt;"",NOT(ISNUMBER('PC 08'!J181))),"Tgl Publish harus tanggal",""),IF(AND(ISNUMBER('PC 08'!I181),ISNUMBER('PC 08'!J181),'PC 08'!J181&lt;'PC 08'!I181),"Tgl Publish &lt; Tgl Dibuat",""),IF(AND('PC 08'!K181&lt;&gt;"",ISERROR(MATCH(TRIM('PC 08'!K181),{"Draft","Menunggu Review","Revisi","Terjadwal","Publish","Batal","Published"},0))),"Status di luar daftar","")))</f>
        <v>#ERROR!</v>
      </c>
      <c r="D181" s="5" t="str">
        <f>IF(C181="","OK","ADA MASALAH")</f>
        <v>#ERROR!</v>
      </c>
    </row>
    <row r="182">
      <c r="A182" s="4">
        <v>182.0</v>
      </c>
      <c r="B182" s="5" t="str">
        <f>'PC 08'!A182</f>
        <v/>
      </c>
      <c r="C182" s="5" t="str">
        <f>IF(COUNTA('PC 08'!A182:L182)=0,"",TEXTJOIN(" | ",TRUE,IF('PC 08'!A182="","Worker ID kosong",""),IF('PC 08'!B182="","Update Date kosong",IF(NOT(ISNUMBER('PC 08'!B182)),"Update Date harus tanggal","")),IF('PC 08'!D182="","Judul kosong",""),IF('PC 08'!F182="","Genre kosong",IF(ISERROR(MATCH(TRIM('PC 08'!F182),{"Pop","Rock","Dangdut","K-Pop","Electronic","Nasional","Daerah"},0)),"Genre di luar daftar","")),IF('PC 08'!G182="","Nama Channel kosong",""),IF('PC 08'!H182="","Link kosong",IF(ISERROR(FIND("youtu",LOWER('PC 08'!H182))),"Link bukan youtube","")),IF('PC 08'!I182="","Tgl Dibuat kosong",IF(NOT(ISNUMBER('PC 08'!I182)),"Tgl Dibuat harus tanggal","")),IF(AND('PC 08'!J182&lt;&gt;"",NOT(ISNUMBER('PC 08'!J182))),"Tgl Publish harus tanggal",""),IF(AND(ISNUMBER('PC 08'!I182),ISNUMBER('PC 08'!J182),'PC 08'!J182&lt;'PC 08'!I182),"Tgl Publish &lt; Tgl Dibuat",""),IF(AND('PC 08'!K182&lt;&gt;"",ISERROR(MATCH(TRIM('PC 08'!K182),{"Draft","Menunggu Review","Revisi","Terjadwal","Publish","Batal","Published"},0))),"Status di luar daftar","")))</f>
        <v>#ERROR!</v>
      </c>
      <c r="D182" s="5" t="str">
        <f>IF(C182="","OK","ADA MASALAH")</f>
        <v>#ERROR!</v>
      </c>
    </row>
    <row r="183">
      <c r="A183" s="4">
        <v>183.0</v>
      </c>
      <c r="B183" s="5" t="str">
        <f>'PC 08'!A183</f>
        <v/>
      </c>
      <c r="C183" s="5" t="str">
        <f>IF(COUNTA('PC 08'!A183:L183)=0,"",TEXTJOIN(" | ",TRUE,IF('PC 08'!A183="","Worker ID kosong",""),IF('PC 08'!B183="","Update Date kosong",IF(NOT(ISNUMBER('PC 08'!B183)),"Update Date harus tanggal","")),IF('PC 08'!D183="","Judul kosong",""),IF('PC 08'!F183="","Genre kosong",IF(ISERROR(MATCH(TRIM('PC 08'!F183),{"Pop","Rock","Dangdut","K-Pop","Electronic","Nasional","Daerah"},0)),"Genre di luar daftar","")),IF('PC 08'!G183="","Nama Channel kosong",""),IF('PC 08'!H183="","Link kosong",IF(ISERROR(FIND("youtu",LOWER('PC 08'!H183))),"Link bukan youtube","")),IF('PC 08'!I183="","Tgl Dibuat kosong",IF(NOT(ISNUMBER('PC 08'!I183)),"Tgl Dibuat harus tanggal","")),IF(AND('PC 08'!J183&lt;&gt;"",NOT(ISNUMBER('PC 08'!J183))),"Tgl Publish harus tanggal",""),IF(AND(ISNUMBER('PC 08'!I183),ISNUMBER('PC 08'!J183),'PC 08'!J183&lt;'PC 08'!I183),"Tgl Publish &lt; Tgl Dibuat",""),IF(AND('PC 08'!K183&lt;&gt;"",ISERROR(MATCH(TRIM('PC 08'!K183),{"Draft","Menunggu Review","Revisi","Terjadwal","Publish","Batal","Published"},0))),"Status di luar daftar","")))</f>
        <v>#ERROR!</v>
      </c>
      <c r="D183" s="5" t="str">
        <f>IF(C183="","OK","ADA MASALAH")</f>
        <v>#ERROR!</v>
      </c>
    </row>
    <row r="184">
      <c r="A184" s="4">
        <v>184.0</v>
      </c>
      <c r="B184" s="5" t="str">
        <f>'PC 08'!A184</f>
        <v/>
      </c>
      <c r="C184" s="5" t="str">
        <f>IF(COUNTA('PC 08'!A184:L184)=0,"",TEXTJOIN(" | ",TRUE,IF('PC 08'!A184="","Worker ID kosong",""),IF('PC 08'!B184="","Update Date kosong",IF(NOT(ISNUMBER('PC 08'!B184)),"Update Date harus tanggal","")),IF('PC 08'!D184="","Judul kosong",""),IF('PC 08'!F184="","Genre kosong",IF(ISERROR(MATCH(TRIM('PC 08'!F184),{"Pop","Rock","Dangdut","K-Pop","Electronic","Nasional","Daerah"},0)),"Genre di luar daftar","")),IF('PC 08'!G184="","Nama Channel kosong",""),IF('PC 08'!H184="","Link kosong",IF(ISERROR(FIND("youtu",LOWER('PC 08'!H184))),"Link bukan youtube","")),IF('PC 08'!I184="","Tgl Dibuat kosong",IF(NOT(ISNUMBER('PC 08'!I184)),"Tgl Dibuat harus tanggal","")),IF(AND('PC 08'!J184&lt;&gt;"",NOT(ISNUMBER('PC 08'!J184))),"Tgl Publish harus tanggal",""),IF(AND(ISNUMBER('PC 08'!I184),ISNUMBER('PC 08'!J184),'PC 08'!J184&lt;'PC 08'!I184),"Tgl Publish &lt; Tgl Dibuat",""),IF(AND('PC 08'!K184&lt;&gt;"",ISERROR(MATCH(TRIM('PC 08'!K184),{"Draft","Menunggu Review","Revisi","Terjadwal","Publish","Batal","Published"},0))),"Status di luar daftar","")))</f>
        <v>#ERROR!</v>
      </c>
      <c r="D184" s="5" t="str">
        <f>IF(C184="","OK","ADA MASALAH")</f>
        <v>#ERROR!</v>
      </c>
    </row>
    <row r="185">
      <c r="A185" s="4">
        <v>185.0</v>
      </c>
      <c r="B185" s="5" t="str">
        <f>'PC 08'!A185</f>
        <v/>
      </c>
      <c r="C185" s="5" t="str">
        <f>IF(COUNTA('PC 08'!A185:L185)=0,"",TEXTJOIN(" | ",TRUE,IF('PC 08'!A185="","Worker ID kosong",""),IF('PC 08'!B185="","Update Date kosong",IF(NOT(ISNUMBER('PC 08'!B185)),"Update Date harus tanggal","")),IF('PC 08'!D185="","Judul kosong",""),IF('PC 08'!F185="","Genre kosong",IF(ISERROR(MATCH(TRIM('PC 08'!F185),{"Pop","Rock","Dangdut","K-Pop","Electronic","Nasional","Daerah"},0)),"Genre di luar daftar","")),IF('PC 08'!G185="","Nama Channel kosong",""),IF('PC 08'!H185="","Link kosong",IF(ISERROR(FIND("youtu",LOWER('PC 08'!H185))),"Link bukan youtube","")),IF('PC 08'!I185="","Tgl Dibuat kosong",IF(NOT(ISNUMBER('PC 08'!I185)),"Tgl Dibuat harus tanggal","")),IF(AND('PC 08'!J185&lt;&gt;"",NOT(ISNUMBER('PC 08'!J185))),"Tgl Publish harus tanggal",""),IF(AND(ISNUMBER('PC 08'!I185),ISNUMBER('PC 08'!J185),'PC 08'!J185&lt;'PC 08'!I185),"Tgl Publish &lt; Tgl Dibuat",""),IF(AND('PC 08'!K185&lt;&gt;"",ISERROR(MATCH(TRIM('PC 08'!K185),{"Draft","Menunggu Review","Revisi","Terjadwal","Publish","Batal","Published"},0))),"Status di luar daftar","")))</f>
        <v>#ERROR!</v>
      </c>
      <c r="D185" s="5" t="str">
        <f>IF(C185="","OK","ADA MASALAH")</f>
        <v>#ERROR!</v>
      </c>
    </row>
    <row r="186">
      <c r="A186" s="4">
        <v>186.0</v>
      </c>
      <c r="B186" s="5" t="str">
        <f>'PC 08'!A186</f>
        <v/>
      </c>
      <c r="C186" s="5" t="str">
        <f>IF(COUNTA('PC 08'!A186:L186)=0,"",TEXTJOIN(" | ",TRUE,IF('PC 08'!A186="","Worker ID kosong",""),IF('PC 08'!B186="","Update Date kosong",IF(NOT(ISNUMBER('PC 08'!B186)),"Update Date harus tanggal","")),IF('PC 08'!D186="","Judul kosong",""),IF('PC 08'!F186="","Genre kosong",IF(ISERROR(MATCH(TRIM('PC 08'!F186),{"Pop","Rock","Dangdut","K-Pop","Electronic","Nasional","Daerah"},0)),"Genre di luar daftar","")),IF('PC 08'!G186="","Nama Channel kosong",""),IF('PC 08'!H186="","Link kosong",IF(ISERROR(FIND("youtu",LOWER('PC 08'!H186))),"Link bukan youtube","")),IF('PC 08'!I186="","Tgl Dibuat kosong",IF(NOT(ISNUMBER('PC 08'!I186)),"Tgl Dibuat harus tanggal","")),IF(AND('PC 08'!J186&lt;&gt;"",NOT(ISNUMBER('PC 08'!J186))),"Tgl Publish harus tanggal",""),IF(AND(ISNUMBER('PC 08'!I186),ISNUMBER('PC 08'!J186),'PC 08'!J186&lt;'PC 08'!I186),"Tgl Publish &lt; Tgl Dibuat",""),IF(AND('PC 08'!K186&lt;&gt;"",ISERROR(MATCH(TRIM('PC 08'!K186),{"Draft","Menunggu Review","Revisi","Terjadwal","Publish","Batal","Published"},0))),"Status di luar daftar","")))</f>
        <v>#ERROR!</v>
      </c>
      <c r="D186" s="5" t="str">
        <f>IF(C186="","OK","ADA MASALAH")</f>
        <v>#ERROR!</v>
      </c>
    </row>
    <row r="187">
      <c r="A187" s="4">
        <v>187.0</v>
      </c>
      <c r="B187" s="5" t="str">
        <f>'PC 08'!A187</f>
        <v/>
      </c>
      <c r="C187" s="5" t="str">
        <f>IF(COUNTA('PC 08'!A187:L187)=0,"",TEXTJOIN(" | ",TRUE,IF('PC 08'!A187="","Worker ID kosong",""),IF('PC 08'!B187="","Update Date kosong",IF(NOT(ISNUMBER('PC 08'!B187)),"Update Date harus tanggal","")),IF('PC 08'!D187="","Judul kosong",""),IF('PC 08'!F187="","Genre kosong",IF(ISERROR(MATCH(TRIM('PC 08'!F187),{"Pop","Rock","Dangdut","K-Pop","Electronic","Nasional","Daerah"},0)),"Genre di luar daftar","")),IF('PC 08'!G187="","Nama Channel kosong",""),IF('PC 08'!H187="","Link kosong",IF(ISERROR(FIND("youtu",LOWER('PC 08'!H187))),"Link bukan youtube","")),IF('PC 08'!I187="","Tgl Dibuat kosong",IF(NOT(ISNUMBER('PC 08'!I187)),"Tgl Dibuat harus tanggal","")),IF(AND('PC 08'!J187&lt;&gt;"",NOT(ISNUMBER('PC 08'!J187))),"Tgl Publish harus tanggal",""),IF(AND(ISNUMBER('PC 08'!I187),ISNUMBER('PC 08'!J187),'PC 08'!J187&lt;'PC 08'!I187),"Tgl Publish &lt; Tgl Dibuat",""),IF(AND('PC 08'!K187&lt;&gt;"",ISERROR(MATCH(TRIM('PC 08'!K187),{"Draft","Menunggu Review","Revisi","Terjadwal","Publish","Batal","Published"},0))),"Status di luar daftar","")))</f>
        <v>#ERROR!</v>
      </c>
      <c r="D187" s="5" t="str">
        <f>IF(C187="","OK","ADA MASALAH")</f>
        <v>#ERROR!</v>
      </c>
    </row>
    <row r="188">
      <c r="A188" s="4">
        <v>188.0</v>
      </c>
      <c r="B188" s="5" t="str">
        <f>'PC 08'!A188</f>
        <v/>
      </c>
      <c r="C188" s="5" t="str">
        <f>IF(COUNTA('PC 08'!A188:L188)=0,"",TEXTJOIN(" | ",TRUE,IF('PC 08'!A188="","Worker ID kosong",""),IF('PC 08'!B188="","Update Date kosong",IF(NOT(ISNUMBER('PC 08'!B188)),"Update Date harus tanggal","")),IF('PC 08'!D188="","Judul kosong",""),IF('PC 08'!F188="","Genre kosong",IF(ISERROR(MATCH(TRIM('PC 08'!F188),{"Pop","Rock","Dangdut","K-Pop","Electronic","Nasional","Daerah"},0)),"Genre di luar daftar","")),IF('PC 08'!G188="","Nama Channel kosong",""),IF('PC 08'!H188="","Link kosong",IF(ISERROR(FIND("youtu",LOWER('PC 08'!H188))),"Link bukan youtube","")),IF('PC 08'!I188="","Tgl Dibuat kosong",IF(NOT(ISNUMBER('PC 08'!I188)),"Tgl Dibuat harus tanggal","")),IF(AND('PC 08'!J188&lt;&gt;"",NOT(ISNUMBER('PC 08'!J188))),"Tgl Publish harus tanggal",""),IF(AND(ISNUMBER('PC 08'!I188),ISNUMBER('PC 08'!J188),'PC 08'!J188&lt;'PC 08'!I188),"Tgl Publish &lt; Tgl Dibuat",""),IF(AND('PC 08'!K188&lt;&gt;"",ISERROR(MATCH(TRIM('PC 08'!K188),{"Draft","Menunggu Review","Revisi","Terjadwal","Publish","Batal","Published"},0))),"Status di luar daftar","")))</f>
        <v>#ERROR!</v>
      </c>
      <c r="D188" s="5" t="str">
        <f>IF(C188="","OK","ADA MASALAH")</f>
        <v>#ERROR!</v>
      </c>
    </row>
    <row r="189">
      <c r="A189" s="4">
        <v>189.0</v>
      </c>
      <c r="B189" s="5" t="str">
        <f>'PC 08'!A189</f>
        <v/>
      </c>
      <c r="C189" s="5" t="str">
        <f>IF(COUNTA('PC 08'!A189:L189)=0,"",TEXTJOIN(" | ",TRUE,IF('PC 08'!A189="","Worker ID kosong",""),IF('PC 08'!B189="","Update Date kosong",IF(NOT(ISNUMBER('PC 08'!B189)),"Update Date harus tanggal","")),IF('PC 08'!D189="","Judul kosong",""),IF('PC 08'!F189="","Genre kosong",IF(ISERROR(MATCH(TRIM('PC 08'!F189),{"Pop","Rock","Dangdut","K-Pop","Electronic","Nasional","Daerah"},0)),"Genre di luar daftar","")),IF('PC 08'!G189="","Nama Channel kosong",""),IF('PC 08'!H189="","Link kosong",IF(ISERROR(FIND("youtu",LOWER('PC 08'!H189))),"Link bukan youtube","")),IF('PC 08'!I189="","Tgl Dibuat kosong",IF(NOT(ISNUMBER('PC 08'!I189)),"Tgl Dibuat harus tanggal","")),IF(AND('PC 08'!J189&lt;&gt;"",NOT(ISNUMBER('PC 08'!J189))),"Tgl Publish harus tanggal",""),IF(AND(ISNUMBER('PC 08'!I189),ISNUMBER('PC 08'!J189),'PC 08'!J189&lt;'PC 08'!I189),"Tgl Publish &lt; Tgl Dibuat",""),IF(AND('PC 08'!K189&lt;&gt;"",ISERROR(MATCH(TRIM('PC 08'!K189),{"Draft","Menunggu Review","Revisi","Terjadwal","Publish","Batal","Published"},0))),"Status di luar daftar","")))</f>
        <v>#ERROR!</v>
      </c>
      <c r="D189" s="5" t="str">
        <f>IF(C189="","OK","ADA MASALAH")</f>
        <v>#ERROR!</v>
      </c>
    </row>
    <row r="190">
      <c r="A190" s="4">
        <v>190.0</v>
      </c>
      <c r="B190" s="5" t="str">
        <f>'PC 08'!A190</f>
        <v/>
      </c>
      <c r="C190" s="5" t="str">
        <f>IF(COUNTA('PC 08'!A190:L190)=0,"",TEXTJOIN(" | ",TRUE,IF('PC 08'!A190="","Worker ID kosong",""),IF('PC 08'!B190="","Update Date kosong",IF(NOT(ISNUMBER('PC 08'!B190)),"Update Date harus tanggal","")),IF('PC 08'!D190="","Judul kosong",""),IF('PC 08'!F190="","Genre kosong",IF(ISERROR(MATCH(TRIM('PC 08'!F190),{"Pop","Rock","Dangdut","K-Pop","Electronic","Nasional","Daerah"},0)),"Genre di luar daftar","")),IF('PC 08'!G190="","Nama Channel kosong",""),IF('PC 08'!H190="","Link kosong",IF(ISERROR(FIND("youtu",LOWER('PC 08'!H190))),"Link bukan youtube","")),IF('PC 08'!I190="","Tgl Dibuat kosong",IF(NOT(ISNUMBER('PC 08'!I190)),"Tgl Dibuat harus tanggal","")),IF(AND('PC 08'!J190&lt;&gt;"",NOT(ISNUMBER('PC 08'!J190))),"Tgl Publish harus tanggal",""),IF(AND(ISNUMBER('PC 08'!I190),ISNUMBER('PC 08'!J190),'PC 08'!J190&lt;'PC 08'!I190),"Tgl Publish &lt; Tgl Dibuat",""),IF(AND('PC 08'!K190&lt;&gt;"",ISERROR(MATCH(TRIM('PC 08'!K190),{"Draft","Menunggu Review","Revisi","Terjadwal","Publish","Batal","Published"},0))),"Status di luar daftar","")))</f>
        <v>#ERROR!</v>
      </c>
      <c r="D190" s="5" t="str">
        <f>IF(C190="","OK","ADA MASALAH")</f>
        <v>#ERROR!</v>
      </c>
    </row>
    <row r="191">
      <c r="A191" s="4">
        <v>191.0</v>
      </c>
      <c r="B191" s="5" t="str">
        <f>'PC 08'!A191</f>
        <v/>
      </c>
      <c r="C191" s="5" t="str">
        <f>IF(COUNTA('PC 08'!A191:L191)=0,"",TEXTJOIN(" | ",TRUE,IF('PC 08'!A191="","Worker ID kosong",""),IF('PC 08'!B191="","Update Date kosong",IF(NOT(ISNUMBER('PC 08'!B191)),"Update Date harus tanggal","")),IF('PC 08'!D191="","Judul kosong",""),IF('PC 08'!F191="","Genre kosong",IF(ISERROR(MATCH(TRIM('PC 08'!F191),{"Pop","Rock","Dangdut","K-Pop","Electronic","Nasional","Daerah"},0)),"Genre di luar daftar","")),IF('PC 08'!G191="","Nama Channel kosong",""),IF('PC 08'!H191="","Link kosong",IF(ISERROR(FIND("youtu",LOWER('PC 08'!H191))),"Link bukan youtube","")),IF('PC 08'!I191="","Tgl Dibuat kosong",IF(NOT(ISNUMBER('PC 08'!I191)),"Tgl Dibuat harus tanggal","")),IF(AND('PC 08'!J191&lt;&gt;"",NOT(ISNUMBER('PC 08'!J191))),"Tgl Publish harus tanggal",""),IF(AND(ISNUMBER('PC 08'!I191),ISNUMBER('PC 08'!J191),'PC 08'!J191&lt;'PC 08'!I191),"Tgl Publish &lt; Tgl Dibuat",""),IF(AND('PC 08'!K191&lt;&gt;"",ISERROR(MATCH(TRIM('PC 08'!K191),{"Draft","Menunggu Review","Revisi","Terjadwal","Publish","Batal","Published"},0))),"Status di luar daftar","")))</f>
        <v>#ERROR!</v>
      </c>
      <c r="D191" s="5" t="str">
        <f>IF(C191="","OK","ADA MASALAH")</f>
        <v>#ERROR!</v>
      </c>
    </row>
    <row r="192">
      <c r="A192" s="4">
        <v>192.0</v>
      </c>
      <c r="B192" s="5" t="str">
        <f>'PC 08'!A192</f>
        <v/>
      </c>
      <c r="C192" s="5" t="str">
        <f>IF(COUNTA('PC 08'!A192:L192)=0,"",TEXTJOIN(" | ",TRUE,IF('PC 08'!A192="","Worker ID kosong",""),IF('PC 08'!B192="","Update Date kosong",IF(NOT(ISNUMBER('PC 08'!B192)),"Update Date harus tanggal","")),IF('PC 08'!D192="","Judul kosong",""),IF('PC 08'!F192="","Genre kosong",IF(ISERROR(MATCH(TRIM('PC 08'!F192),{"Pop","Rock","Dangdut","K-Pop","Electronic","Nasional","Daerah"},0)),"Genre di luar daftar","")),IF('PC 08'!G192="","Nama Channel kosong",""),IF('PC 08'!H192="","Link kosong",IF(ISERROR(FIND("youtu",LOWER('PC 08'!H192))),"Link bukan youtube","")),IF('PC 08'!I192="","Tgl Dibuat kosong",IF(NOT(ISNUMBER('PC 08'!I192)),"Tgl Dibuat harus tanggal","")),IF(AND('PC 08'!J192&lt;&gt;"",NOT(ISNUMBER('PC 08'!J192))),"Tgl Publish harus tanggal",""),IF(AND(ISNUMBER('PC 08'!I192),ISNUMBER('PC 08'!J192),'PC 08'!J192&lt;'PC 08'!I192),"Tgl Publish &lt; Tgl Dibuat",""),IF(AND('PC 08'!K192&lt;&gt;"",ISERROR(MATCH(TRIM('PC 08'!K192),{"Draft","Menunggu Review","Revisi","Terjadwal","Publish","Batal","Published"},0))),"Status di luar daftar","")))</f>
        <v>#ERROR!</v>
      </c>
      <c r="D192" s="5" t="str">
        <f>IF(C192="","OK","ADA MASALAH")</f>
        <v>#ERROR!</v>
      </c>
    </row>
    <row r="193">
      <c r="A193" s="4">
        <v>193.0</v>
      </c>
      <c r="B193" s="5" t="str">
        <f>'PC 08'!A193</f>
        <v/>
      </c>
      <c r="C193" s="5" t="str">
        <f>IF(COUNTA('PC 08'!A193:L193)=0,"",TEXTJOIN(" | ",TRUE,IF('PC 08'!A193="","Worker ID kosong",""),IF('PC 08'!B193="","Update Date kosong",IF(NOT(ISNUMBER('PC 08'!B193)),"Update Date harus tanggal","")),IF('PC 08'!D193="","Judul kosong",""),IF('PC 08'!F193="","Genre kosong",IF(ISERROR(MATCH(TRIM('PC 08'!F193),{"Pop","Rock","Dangdut","K-Pop","Electronic","Nasional","Daerah"},0)),"Genre di luar daftar","")),IF('PC 08'!G193="","Nama Channel kosong",""),IF('PC 08'!H193="","Link kosong",IF(ISERROR(FIND("youtu",LOWER('PC 08'!H193))),"Link bukan youtube","")),IF('PC 08'!I193="","Tgl Dibuat kosong",IF(NOT(ISNUMBER('PC 08'!I193)),"Tgl Dibuat harus tanggal","")),IF(AND('PC 08'!J193&lt;&gt;"",NOT(ISNUMBER('PC 08'!J193))),"Tgl Publish harus tanggal",""),IF(AND(ISNUMBER('PC 08'!I193),ISNUMBER('PC 08'!J193),'PC 08'!J193&lt;'PC 08'!I193),"Tgl Publish &lt; Tgl Dibuat",""),IF(AND('PC 08'!K193&lt;&gt;"",ISERROR(MATCH(TRIM('PC 08'!K193),{"Draft","Menunggu Review","Revisi","Terjadwal","Publish","Batal","Published"},0))),"Status di luar daftar","")))</f>
        <v>#ERROR!</v>
      </c>
      <c r="D193" s="5" t="str">
        <f>IF(C193="","OK","ADA MASALAH")</f>
        <v>#ERROR!</v>
      </c>
    </row>
    <row r="194">
      <c r="A194" s="4">
        <v>194.0</v>
      </c>
      <c r="B194" s="5" t="str">
        <f>'PC 08'!A194</f>
        <v/>
      </c>
      <c r="C194" s="5" t="str">
        <f>IF(COUNTA('PC 08'!A194:L194)=0,"",TEXTJOIN(" | ",TRUE,IF('PC 08'!A194="","Worker ID kosong",""),IF('PC 08'!B194="","Update Date kosong",IF(NOT(ISNUMBER('PC 08'!B194)),"Update Date harus tanggal","")),IF('PC 08'!D194="","Judul kosong",""),IF('PC 08'!F194="","Genre kosong",IF(ISERROR(MATCH(TRIM('PC 08'!F194),{"Pop","Rock","Dangdut","K-Pop","Electronic","Nasional","Daerah"},0)),"Genre di luar daftar","")),IF('PC 08'!G194="","Nama Channel kosong",""),IF('PC 08'!H194="","Link kosong",IF(ISERROR(FIND("youtu",LOWER('PC 08'!H194))),"Link bukan youtube","")),IF('PC 08'!I194="","Tgl Dibuat kosong",IF(NOT(ISNUMBER('PC 08'!I194)),"Tgl Dibuat harus tanggal","")),IF(AND('PC 08'!J194&lt;&gt;"",NOT(ISNUMBER('PC 08'!J194))),"Tgl Publish harus tanggal",""),IF(AND(ISNUMBER('PC 08'!I194),ISNUMBER('PC 08'!J194),'PC 08'!J194&lt;'PC 08'!I194),"Tgl Publish &lt; Tgl Dibuat",""),IF(AND('PC 08'!K194&lt;&gt;"",ISERROR(MATCH(TRIM('PC 08'!K194),{"Draft","Menunggu Review","Revisi","Terjadwal","Publish","Batal","Published"},0))),"Status di luar daftar","")))</f>
        <v>#ERROR!</v>
      </c>
      <c r="D194" s="5" t="str">
        <f>IF(C194="","OK","ADA MASALAH")</f>
        <v>#ERROR!</v>
      </c>
    </row>
    <row r="195">
      <c r="A195" s="4">
        <v>195.0</v>
      </c>
      <c r="B195" s="5" t="str">
        <f>'PC 08'!A195</f>
        <v/>
      </c>
      <c r="C195" s="5" t="str">
        <f>IF(COUNTA('PC 08'!A195:L195)=0,"",TEXTJOIN(" | ",TRUE,IF('PC 08'!A195="","Worker ID kosong",""),IF('PC 08'!B195="","Update Date kosong",IF(NOT(ISNUMBER('PC 08'!B195)),"Update Date harus tanggal","")),IF('PC 08'!D195="","Judul kosong",""),IF('PC 08'!F195="","Genre kosong",IF(ISERROR(MATCH(TRIM('PC 08'!F195),{"Pop","Rock","Dangdut","K-Pop","Electronic","Nasional","Daerah"},0)),"Genre di luar daftar","")),IF('PC 08'!G195="","Nama Channel kosong",""),IF('PC 08'!H195="","Link kosong",IF(ISERROR(FIND("youtu",LOWER('PC 08'!H195))),"Link bukan youtube","")),IF('PC 08'!I195="","Tgl Dibuat kosong",IF(NOT(ISNUMBER('PC 08'!I195)),"Tgl Dibuat harus tanggal","")),IF(AND('PC 08'!J195&lt;&gt;"",NOT(ISNUMBER('PC 08'!J195))),"Tgl Publish harus tanggal",""),IF(AND(ISNUMBER('PC 08'!I195),ISNUMBER('PC 08'!J195),'PC 08'!J195&lt;'PC 08'!I195),"Tgl Publish &lt; Tgl Dibuat",""),IF(AND('PC 08'!K195&lt;&gt;"",ISERROR(MATCH(TRIM('PC 08'!K195),{"Draft","Menunggu Review","Revisi","Terjadwal","Publish","Batal","Published"},0))),"Status di luar daftar","")))</f>
        <v>#ERROR!</v>
      </c>
      <c r="D195" s="5" t="str">
        <f>IF(C195="","OK","ADA MASALAH")</f>
        <v>#ERROR!</v>
      </c>
    </row>
    <row r="196">
      <c r="A196" s="4">
        <v>196.0</v>
      </c>
      <c r="B196" s="5" t="str">
        <f>'PC 08'!A196</f>
        <v/>
      </c>
      <c r="C196" s="5" t="str">
        <f>IF(COUNTA('PC 08'!A196:L196)=0,"",TEXTJOIN(" | ",TRUE,IF('PC 08'!A196="","Worker ID kosong",""),IF('PC 08'!B196="","Update Date kosong",IF(NOT(ISNUMBER('PC 08'!B196)),"Update Date harus tanggal","")),IF('PC 08'!D196="","Judul kosong",""),IF('PC 08'!F196="","Genre kosong",IF(ISERROR(MATCH(TRIM('PC 08'!F196),{"Pop","Rock","Dangdut","K-Pop","Electronic","Nasional","Daerah"},0)),"Genre di luar daftar","")),IF('PC 08'!G196="","Nama Channel kosong",""),IF('PC 08'!H196="","Link kosong",IF(ISERROR(FIND("youtu",LOWER('PC 08'!H196))),"Link bukan youtube","")),IF('PC 08'!I196="","Tgl Dibuat kosong",IF(NOT(ISNUMBER('PC 08'!I196)),"Tgl Dibuat harus tanggal","")),IF(AND('PC 08'!J196&lt;&gt;"",NOT(ISNUMBER('PC 08'!J196))),"Tgl Publish harus tanggal",""),IF(AND(ISNUMBER('PC 08'!I196),ISNUMBER('PC 08'!J196),'PC 08'!J196&lt;'PC 08'!I196),"Tgl Publish &lt; Tgl Dibuat",""),IF(AND('PC 08'!K196&lt;&gt;"",ISERROR(MATCH(TRIM('PC 08'!K196),{"Draft","Menunggu Review","Revisi","Terjadwal","Publish","Batal","Published"},0))),"Status di luar daftar","")))</f>
        <v>#ERROR!</v>
      </c>
      <c r="D196" s="5" t="str">
        <f>IF(C196="","OK","ADA MASALAH")</f>
        <v>#ERROR!</v>
      </c>
    </row>
    <row r="197">
      <c r="A197" s="4">
        <v>197.0</v>
      </c>
      <c r="B197" s="5" t="str">
        <f>'PC 08'!A197</f>
        <v/>
      </c>
      <c r="C197" s="5" t="str">
        <f>IF(COUNTA('PC 08'!A197:L197)=0,"",TEXTJOIN(" | ",TRUE,IF('PC 08'!A197="","Worker ID kosong",""),IF('PC 08'!B197="","Update Date kosong",IF(NOT(ISNUMBER('PC 08'!B197)),"Update Date harus tanggal","")),IF('PC 08'!D197="","Judul kosong",""),IF('PC 08'!F197="","Genre kosong",IF(ISERROR(MATCH(TRIM('PC 08'!F197),{"Pop","Rock","Dangdut","K-Pop","Electronic","Nasional","Daerah"},0)),"Genre di luar daftar","")),IF('PC 08'!G197="","Nama Channel kosong",""),IF('PC 08'!H197="","Link kosong",IF(ISERROR(FIND("youtu",LOWER('PC 08'!H197))),"Link bukan youtube","")),IF('PC 08'!I197="","Tgl Dibuat kosong",IF(NOT(ISNUMBER('PC 08'!I197)),"Tgl Dibuat harus tanggal","")),IF(AND('PC 08'!J197&lt;&gt;"",NOT(ISNUMBER('PC 08'!J197))),"Tgl Publish harus tanggal",""),IF(AND(ISNUMBER('PC 08'!I197),ISNUMBER('PC 08'!J197),'PC 08'!J197&lt;'PC 08'!I197),"Tgl Publish &lt; Tgl Dibuat",""),IF(AND('PC 08'!K197&lt;&gt;"",ISERROR(MATCH(TRIM('PC 08'!K197),{"Draft","Menunggu Review","Revisi","Terjadwal","Publish","Batal","Published"},0))),"Status di luar daftar","")))</f>
        <v>#ERROR!</v>
      </c>
      <c r="D197" s="5" t="str">
        <f>IF(C197="","OK","ADA MASALAH")</f>
        <v>#ERROR!</v>
      </c>
    </row>
    <row r="198">
      <c r="A198" s="4">
        <v>198.0</v>
      </c>
      <c r="B198" s="5" t="str">
        <f>'PC 08'!A198</f>
        <v/>
      </c>
      <c r="C198" s="5" t="str">
        <f>IF(COUNTA('PC 08'!A198:L198)=0,"",TEXTJOIN(" | ",TRUE,IF('PC 08'!A198="","Worker ID kosong",""),IF('PC 08'!B198="","Update Date kosong",IF(NOT(ISNUMBER('PC 08'!B198)),"Update Date harus tanggal","")),IF('PC 08'!D198="","Judul kosong",""),IF('PC 08'!F198="","Genre kosong",IF(ISERROR(MATCH(TRIM('PC 08'!F198),{"Pop","Rock","Dangdut","K-Pop","Electronic","Nasional","Daerah"},0)),"Genre di luar daftar","")),IF('PC 08'!G198="","Nama Channel kosong",""),IF('PC 08'!H198="","Link kosong",IF(ISERROR(FIND("youtu",LOWER('PC 08'!H198))),"Link bukan youtube","")),IF('PC 08'!I198="","Tgl Dibuat kosong",IF(NOT(ISNUMBER('PC 08'!I198)),"Tgl Dibuat harus tanggal","")),IF(AND('PC 08'!J198&lt;&gt;"",NOT(ISNUMBER('PC 08'!J198))),"Tgl Publish harus tanggal",""),IF(AND(ISNUMBER('PC 08'!I198),ISNUMBER('PC 08'!J198),'PC 08'!J198&lt;'PC 08'!I198),"Tgl Publish &lt; Tgl Dibuat",""),IF(AND('PC 08'!K198&lt;&gt;"",ISERROR(MATCH(TRIM('PC 08'!K198),{"Draft","Menunggu Review","Revisi","Terjadwal","Publish","Batal","Published"},0))),"Status di luar daftar","")))</f>
        <v>#ERROR!</v>
      </c>
      <c r="D198" s="5" t="str">
        <f>IF(C198="","OK","ADA MASALAH")</f>
        <v>#ERROR!</v>
      </c>
    </row>
    <row r="199">
      <c r="A199" s="4">
        <v>199.0</v>
      </c>
      <c r="B199" s="5" t="str">
        <f>'PC 08'!A199</f>
        <v/>
      </c>
      <c r="C199" s="5" t="str">
        <f>IF(COUNTA('PC 08'!A199:L199)=0,"",TEXTJOIN(" | ",TRUE,IF('PC 08'!A199="","Worker ID kosong",""),IF('PC 08'!B199="","Update Date kosong",IF(NOT(ISNUMBER('PC 08'!B199)),"Update Date harus tanggal","")),IF('PC 08'!D199="","Judul kosong",""),IF('PC 08'!F199="","Genre kosong",IF(ISERROR(MATCH(TRIM('PC 08'!F199),{"Pop","Rock","Dangdut","K-Pop","Electronic","Nasional","Daerah"},0)),"Genre di luar daftar","")),IF('PC 08'!G199="","Nama Channel kosong",""),IF('PC 08'!H199="","Link kosong",IF(ISERROR(FIND("youtu",LOWER('PC 08'!H199))),"Link bukan youtube","")),IF('PC 08'!I199="","Tgl Dibuat kosong",IF(NOT(ISNUMBER('PC 08'!I199)),"Tgl Dibuat harus tanggal","")),IF(AND('PC 08'!J199&lt;&gt;"",NOT(ISNUMBER('PC 08'!J199))),"Tgl Publish harus tanggal",""),IF(AND(ISNUMBER('PC 08'!I199),ISNUMBER('PC 08'!J199),'PC 08'!J199&lt;'PC 08'!I199),"Tgl Publish &lt; Tgl Dibuat",""),IF(AND('PC 08'!K199&lt;&gt;"",ISERROR(MATCH(TRIM('PC 08'!K199),{"Draft","Menunggu Review","Revisi","Terjadwal","Publish","Batal","Published"},0))),"Status di luar daftar","")))</f>
        <v>#ERROR!</v>
      </c>
      <c r="D199" s="5" t="str">
        <f>IF(C199="","OK","ADA MASALAH")</f>
        <v>#ERROR!</v>
      </c>
    </row>
    <row r="200">
      <c r="A200" s="4">
        <v>200.0</v>
      </c>
      <c r="B200" s="5" t="str">
        <f>'PC 08'!A200</f>
        <v/>
      </c>
      <c r="C200" s="5" t="str">
        <f>IF(COUNTA('PC 08'!A200:L200)=0,"",TEXTJOIN(" | ",TRUE,IF('PC 08'!A200="","Worker ID kosong",""),IF('PC 08'!B200="","Update Date kosong",IF(NOT(ISNUMBER('PC 08'!B200)),"Update Date harus tanggal","")),IF('PC 08'!D200="","Judul kosong",""),IF('PC 08'!F200="","Genre kosong",IF(ISERROR(MATCH(TRIM('PC 08'!F200),{"Pop","Rock","Dangdut","K-Pop","Electronic","Nasional","Daerah"},0)),"Genre di luar daftar","")),IF('PC 08'!G200="","Nama Channel kosong",""),IF('PC 08'!H200="","Link kosong",IF(ISERROR(FIND("youtu",LOWER('PC 08'!H200))),"Link bukan youtube","")),IF('PC 08'!I200="","Tgl Dibuat kosong",IF(NOT(ISNUMBER('PC 08'!I200)),"Tgl Dibuat harus tanggal","")),IF(AND('PC 08'!J200&lt;&gt;"",NOT(ISNUMBER('PC 08'!J200))),"Tgl Publish harus tanggal",""),IF(AND(ISNUMBER('PC 08'!I200),ISNUMBER('PC 08'!J200),'PC 08'!J200&lt;'PC 08'!I200),"Tgl Publish &lt; Tgl Dibuat",""),IF(AND('PC 08'!K200&lt;&gt;"",ISERROR(MATCH(TRIM('PC 08'!K200),{"Draft","Menunggu Review","Revisi","Terjadwal","Publish","Batal","Published"},0))),"Status di luar daftar","")))</f>
        <v>#ERROR!</v>
      </c>
      <c r="D200" s="5" t="str">
        <f>IF(C200="","OK","ADA MASALAH")</f>
        <v>#ERROR!</v>
      </c>
    </row>
    <row r="201">
      <c r="A201" s="4">
        <v>201.0</v>
      </c>
      <c r="B201" s="5" t="str">
        <f>'PC 08'!A201</f>
        <v/>
      </c>
      <c r="C201" s="5" t="str">
        <f>IF(COUNTA('PC 08'!A201:L201)=0,"",TEXTJOIN(" | ",TRUE,IF('PC 08'!A201="","Worker ID kosong",""),IF('PC 08'!B201="","Update Date kosong",IF(NOT(ISNUMBER('PC 08'!B201)),"Update Date harus tanggal","")),IF('PC 08'!D201="","Judul kosong",""),IF('PC 08'!F201="","Genre kosong",IF(ISERROR(MATCH(TRIM('PC 08'!F201),{"Pop","Rock","Dangdut","K-Pop","Electronic","Nasional","Daerah"},0)),"Genre di luar daftar","")),IF('PC 08'!G201="","Nama Channel kosong",""),IF('PC 08'!H201="","Link kosong",IF(ISERROR(FIND("youtu",LOWER('PC 08'!H201))),"Link bukan youtube","")),IF('PC 08'!I201="","Tgl Dibuat kosong",IF(NOT(ISNUMBER('PC 08'!I201)),"Tgl Dibuat harus tanggal","")),IF(AND('PC 08'!J201&lt;&gt;"",NOT(ISNUMBER('PC 08'!J201))),"Tgl Publish harus tanggal",""),IF(AND(ISNUMBER('PC 08'!I201),ISNUMBER('PC 08'!J201),'PC 08'!J201&lt;'PC 08'!I201),"Tgl Publish &lt; Tgl Dibuat",""),IF(AND('PC 08'!K201&lt;&gt;"",ISERROR(MATCH(TRIM('PC 08'!K201),{"Draft","Menunggu Review","Revisi","Terjadwal","Publish","Batal","Published"},0))),"Status di luar daftar","")))</f>
        <v>#ERROR!</v>
      </c>
      <c r="D201" s="5" t="str">
        <f>IF(C201="","OK","ADA MASALAH")</f>
        <v>#ERROR!</v>
      </c>
    </row>
    <row r="202">
      <c r="A202" s="4">
        <v>202.0</v>
      </c>
      <c r="B202" s="5" t="str">
        <f>'PC 08'!A202</f>
        <v/>
      </c>
      <c r="C202" s="5" t="str">
        <f>IF(COUNTA('PC 08'!A202:L202)=0,"",TEXTJOIN(" | ",TRUE,IF('PC 08'!A202="","Worker ID kosong",""),IF('PC 08'!B202="","Update Date kosong",IF(NOT(ISNUMBER('PC 08'!B202)),"Update Date harus tanggal","")),IF('PC 08'!D202="","Judul kosong",""),IF('PC 08'!F202="","Genre kosong",IF(ISERROR(MATCH(TRIM('PC 08'!F202),{"Pop","Rock","Dangdut","K-Pop","Electronic","Nasional","Daerah"},0)),"Genre di luar daftar","")),IF('PC 08'!G202="","Nama Channel kosong",""),IF('PC 08'!H202="","Link kosong",IF(ISERROR(FIND("youtu",LOWER('PC 08'!H202))),"Link bukan youtube","")),IF('PC 08'!I202="","Tgl Dibuat kosong",IF(NOT(ISNUMBER('PC 08'!I202)),"Tgl Dibuat harus tanggal","")),IF(AND('PC 08'!J202&lt;&gt;"",NOT(ISNUMBER('PC 08'!J202))),"Tgl Publish harus tanggal",""),IF(AND(ISNUMBER('PC 08'!I202),ISNUMBER('PC 08'!J202),'PC 08'!J202&lt;'PC 08'!I202),"Tgl Publish &lt; Tgl Dibuat",""),IF(AND('PC 08'!K202&lt;&gt;"",ISERROR(MATCH(TRIM('PC 08'!K202),{"Draft","Menunggu Review","Revisi","Terjadwal","Publish","Batal","Published"},0))),"Status di luar daftar","")))</f>
        <v>#ERROR!</v>
      </c>
      <c r="D202" s="5" t="str">
        <f>IF(C202="","OK","ADA MASALAH")</f>
        <v>#ERROR!</v>
      </c>
    </row>
    <row r="203">
      <c r="A203" s="4">
        <v>203.0</v>
      </c>
      <c r="B203" s="5" t="str">
        <f>'PC 08'!A203</f>
        <v/>
      </c>
      <c r="C203" s="5" t="str">
        <f>IF(COUNTA('PC 08'!A203:L203)=0,"",TEXTJOIN(" | ",TRUE,IF('PC 08'!A203="","Worker ID kosong",""),IF('PC 08'!B203="","Update Date kosong",IF(NOT(ISNUMBER('PC 08'!B203)),"Update Date harus tanggal","")),IF('PC 08'!D203="","Judul kosong",""),IF('PC 08'!F203="","Genre kosong",IF(ISERROR(MATCH(TRIM('PC 08'!F203),{"Pop","Rock","Dangdut","K-Pop","Electronic","Nasional","Daerah"},0)),"Genre di luar daftar","")),IF('PC 08'!G203="","Nama Channel kosong",""),IF('PC 08'!H203="","Link kosong",IF(ISERROR(FIND("youtu",LOWER('PC 08'!H203))),"Link bukan youtube","")),IF('PC 08'!I203="","Tgl Dibuat kosong",IF(NOT(ISNUMBER('PC 08'!I203)),"Tgl Dibuat harus tanggal","")),IF(AND('PC 08'!J203&lt;&gt;"",NOT(ISNUMBER('PC 08'!J203))),"Tgl Publish harus tanggal",""),IF(AND(ISNUMBER('PC 08'!I203),ISNUMBER('PC 08'!J203),'PC 08'!J203&lt;'PC 08'!I203),"Tgl Publish &lt; Tgl Dibuat",""),IF(AND('PC 08'!K203&lt;&gt;"",ISERROR(MATCH(TRIM('PC 08'!K203),{"Draft","Menunggu Review","Revisi","Terjadwal","Publish","Batal","Published"},0))),"Status di luar daftar","")))</f>
        <v>#ERROR!</v>
      </c>
      <c r="D203" s="5" t="str">
        <f>IF(C203="","OK","ADA MASALAH")</f>
        <v>#ERROR!</v>
      </c>
    </row>
    <row r="204">
      <c r="A204" s="4">
        <v>204.0</v>
      </c>
      <c r="B204" s="5" t="str">
        <f>'PC 08'!A204</f>
        <v/>
      </c>
      <c r="C204" s="5" t="str">
        <f>IF(COUNTA('PC 08'!A204:L204)=0,"",TEXTJOIN(" | ",TRUE,IF('PC 08'!A204="","Worker ID kosong",""),IF('PC 08'!B204="","Update Date kosong",IF(NOT(ISNUMBER('PC 08'!B204)),"Update Date harus tanggal","")),IF('PC 08'!D204="","Judul kosong",""),IF('PC 08'!F204="","Genre kosong",IF(ISERROR(MATCH(TRIM('PC 08'!F204),{"Pop","Rock","Dangdut","K-Pop","Electronic","Nasional","Daerah"},0)),"Genre di luar daftar","")),IF('PC 08'!G204="","Nama Channel kosong",""),IF('PC 08'!H204="","Link kosong",IF(ISERROR(FIND("youtu",LOWER('PC 08'!H204))),"Link bukan youtube","")),IF('PC 08'!I204="","Tgl Dibuat kosong",IF(NOT(ISNUMBER('PC 08'!I204)),"Tgl Dibuat harus tanggal","")),IF(AND('PC 08'!J204&lt;&gt;"",NOT(ISNUMBER('PC 08'!J204))),"Tgl Publish harus tanggal",""),IF(AND(ISNUMBER('PC 08'!I204),ISNUMBER('PC 08'!J204),'PC 08'!J204&lt;'PC 08'!I204),"Tgl Publish &lt; Tgl Dibuat",""),IF(AND('PC 08'!K204&lt;&gt;"",ISERROR(MATCH(TRIM('PC 08'!K204),{"Draft","Menunggu Review","Revisi","Terjadwal","Publish","Batal","Published"},0))),"Status di luar daftar","")))</f>
        <v>#ERROR!</v>
      </c>
      <c r="D204" s="5" t="str">
        <f>IF(C204="","OK","ADA MASALAH")</f>
        <v>#ERROR!</v>
      </c>
    </row>
    <row r="205">
      <c r="A205" s="4">
        <v>205.0</v>
      </c>
      <c r="B205" s="5" t="str">
        <f>'PC 08'!A205</f>
        <v/>
      </c>
      <c r="C205" s="5" t="str">
        <f>IF(COUNTA('PC 08'!A205:L205)=0,"",TEXTJOIN(" | ",TRUE,IF('PC 08'!A205="","Worker ID kosong",""),IF('PC 08'!B205="","Update Date kosong",IF(NOT(ISNUMBER('PC 08'!B205)),"Update Date harus tanggal","")),IF('PC 08'!D205="","Judul kosong",""),IF('PC 08'!F205="","Genre kosong",IF(ISERROR(MATCH(TRIM('PC 08'!F205),{"Pop","Rock","Dangdut","K-Pop","Electronic","Nasional","Daerah"},0)),"Genre di luar daftar","")),IF('PC 08'!G205="","Nama Channel kosong",""),IF('PC 08'!H205="","Link kosong",IF(ISERROR(FIND("youtu",LOWER('PC 08'!H205))),"Link bukan youtube","")),IF('PC 08'!I205="","Tgl Dibuat kosong",IF(NOT(ISNUMBER('PC 08'!I205)),"Tgl Dibuat harus tanggal","")),IF(AND('PC 08'!J205&lt;&gt;"",NOT(ISNUMBER('PC 08'!J205))),"Tgl Publish harus tanggal",""),IF(AND(ISNUMBER('PC 08'!I205),ISNUMBER('PC 08'!J205),'PC 08'!J205&lt;'PC 08'!I205),"Tgl Publish &lt; Tgl Dibuat",""),IF(AND('PC 08'!K205&lt;&gt;"",ISERROR(MATCH(TRIM('PC 08'!K205),{"Draft","Menunggu Review","Revisi","Terjadwal","Publish","Batal","Published"},0))),"Status di luar daftar","")))</f>
        <v>#ERROR!</v>
      </c>
      <c r="D205" s="5" t="str">
        <f>IF(C205="","OK","ADA MASALAH")</f>
        <v>#ERROR!</v>
      </c>
    </row>
    <row r="206">
      <c r="A206" s="4">
        <v>206.0</v>
      </c>
      <c r="B206" s="5" t="str">
        <f>'PC 08'!A206</f>
        <v/>
      </c>
      <c r="C206" s="5" t="str">
        <f>IF(COUNTA('PC 08'!A206:L206)=0,"",TEXTJOIN(" | ",TRUE,IF('PC 08'!A206="","Worker ID kosong",""),IF('PC 08'!B206="","Update Date kosong",IF(NOT(ISNUMBER('PC 08'!B206)),"Update Date harus tanggal","")),IF('PC 08'!D206="","Judul kosong",""),IF('PC 08'!F206="","Genre kosong",IF(ISERROR(MATCH(TRIM('PC 08'!F206),{"Pop","Rock","Dangdut","K-Pop","Electronic","Nasional","Daerah"},0)),"Genre di luar daftar","")),IF('PC 08'!G206="","Nama Channel kosong",""),IF('PC 08'!H206="","Link kosong",IF(ISERROR(FIND("youtu",LOWER('PC 08'!H206))),"Link bukan youtube","")),IF('PC 08'!I206="","Tgl Dibuat kosong",IF(NOT(ISNUMBER('PC 08'!I206)),"Tgl Dibuat harus tanggal","")),IF(AND('PC 08'!J206&lt;&gt;"",NOT(ISNUMBER('PC 08'!J206))),"Tgl Publish harus tanggal",""),IF(AND(ISNUMBER('PC 08'!I206),ISNUMBER('PC 08'!J206),'PC 08'!J206&lt;'PC 08'!I206),"Tgl Publish &lt; Tgl Dibuat",""),IF(AND('PC 08'!K206&lt;&gt;"",ISERROR(MATCH(TRIM('PC 08'!K206),{"Draft","Menunggu Review","Revisi","Terjadwal","Publish","Batal","Published"},0))),"Status di luar daftar","")))</f>
        <v>#ERROR!</v>
      </c>
      <c r="D206" s="5" t="str">
        <f>IF(C206="","OK","ADA MASALAH")</f>
        <v>#ERROR!</v>
      </c>
    </row>
    <row r="207">
      <c r="A207" s="4">
        <v>207.0</v>
      </c>
      <c r="B207" s="5" t="str">
        <f>'PC 08'!A207</f>
        <v/>
      </c>
      <c r="C207" s="5" t="str">
        <f>IF(COUNTA('PC 08'!A207:L207)=0,"",TEXTJOIN(" | ",TRUE,IF('PC 08'!A207="","Worker ID kosong",""),IF('PC 08'!B207="","Update Date kosong",IF(NOT(ISNUMBER('PC 08'!B207)),"Update Date harus tanggal","")),IF('PC 08'!D207="","Judul kosong",""),IF('PC 08'!F207="","Genre kosong",IF(ISERROR(MATCH(TRIM('PC 08'!F207),{"Pop","Rock","Dangdut","K-Pop","Electronic","Nasional","Daerah"},0)),"Genre di luar daftar","")),IF('PC 08'!G207="","Nama Channel kosong",""),IF('PC 08'!H207="","Link kosong",IF(ISERROR(FIND("youtu",LOWER('PC 08'!H207))),"Link bukan youtube","")),IF('PC 08'!I207="","Tgl Dibuat kosong",IF(NOT(ISNUMBER('PC 08'!I207)),"Tgl Dibuat harus tanggal","")),IF(AND('PC 08'!J207&lt;&gt;"",NOT(ISNUMBER('PC 08'!J207))),"Tgl Publish harus tanggal",""),IF(AND(ISNUMBER('PC 08'!I207),ISNUMBER('PC 08'!J207),'PC 08'!J207&lt;'PC 08'!I207),"Tgl Publish &lt; Tgl Dibuat",""),IF(AND('PC 08'!K207&lt;&gt;"",ISERROR(MATCH(TRIM('PC 08'!K207),{"Draft","Menunggu Review","Revisi","Terjadwal","Publish","Batal","Published"},0))),"Status di luar daftar","")))</f>
        <v>#ERROR!</v>
      </c>
      <c r="D207" s="5" t="str">
        <f>IF(C207="","OK","ADA MASALAH")</f>
        <v>#ERROR!</v>
      </c>
    </row>
    <row r="208">
      <c r="A208" s="4">
        <v>208.0</v>
      </c>
      <c r="B208" s="5" t="str">
        <f>'PC 08'!A208</f>
        <v/>
      </c>
      <c r="C208" s="5" t="str">
        <f>IF(COUNTA('PC 08'!A208:L208)=0,"",TEXTJOIN(" | ",TRUE,IF('PC 08'!A208="","Worker ID kosong",""),IF('PC 08'!B208="","Update Date kosong",IF(NOT(ISNUMBER('PC 08'!B208)),"Update Date harus tanggal","")),IF('PC 08'!D208="","Judul kosong",""),IF('PC 08'!F208="","Genre kosong",IF(ISERROR(MATCH(TRIM('PC 08'!F208),{"Pop","Rock","Dangdut","K-Pop","Electronic","Nasional","Daerah"},0)),"Genre di luar daftar","")),IF('PC 08'!G208="","Nama Channel kosong",""),IF('PC 08'!H208="","Link kosong",IF(ISERROR(FIND("youtu",LOWER('PC 08'!H208))),"Link bukan youtube","")),IF('PC 08'!I208="","Tgl Dibuat kosong",IF(NOT(ISNUMBER('PC 08'!I208)),"Tgl Dibuat harus tanggal","")),IF(AND('PC 08'!J208&lt;&gt;"",NOT(ISNUMBER('PC 08'!J208))),"Tgl Publish harus tanggal",""),IF(AND(ISNUMBER('PC 08'!I208),ISNUMBER('PC 08'!J208),'PC 08'!J208&lt;'PC 08'!I208),"Tgl Publish &lt; Tgl Dibuat",""),IF(AND('PC 08'!K208&lt;&gt;"",ISERROR(MATCH(TRIM('PC 08'!K208),{"Draft","Menunggu Review","Revisi","Terjadwal","Publish","Batal","Published"},0))),"Status di luar daftar","")))</f>
        <v>#ERROR!</v>
      </c>
      <c r="D208" s="5" t="str">
        <f>IF(C208="","OK","ADA MASALAH")</f>
        <v>#ERROR!</v>
      </c>
    </row>
    <row r="209">
      <c r="A209" s="4">
        <v>209.0</v>
      </c>
      <c r="B209" s="5" t="str">
        <f>'PC 08'!A209</f>
        <v/>
      </c>
      <c r="C209" s="5" t="str">
        <f>IF(COUNTA('PC 08'!A209:L209)=0,"",TEXTJOIN(" | ",TRUE,IF('PC 08'!A209="","Worker ID kosong",""),IF('PC 08'!B209="","Update Date kosong",IF(NOT(ISNUMBER('PC 08'!B209)),"Update Date harus tanggal","")),IF('PC 08'!D209="","Judul kosong",""),IF('PC 08'!F209="","Genre kosong",IF(ISERROR(MATCH(TRIM('PC 08'!F209),{"Pop","Rock","Dangdut","K-Pop","Electronic","Nasional","Daerah"},0)),"Genre di luar daftar","")),IF('PC 08'!G209="","Nama Channel kosong",""),IF('PC 08'!H209="","Link kosong",IF(ISERROR(FIND("youtu",LOWER('PC 08'!H209))),"Link bukan youtube","")),IF('PC 08'!I209="","Tgl Dibuat kosong",IF(NOT(ISNUMBER('PC 08'!I209)),"Tgl Dibuat harus tanggal","")),IF(AND('PC 08'!J209&lt;&gt;"",NOT(ISNUMBER('PC 08'!J209))),"Tgl Publish harus tanggal",""),IF(AND(ISNUMBER('PC 08'!I209),ISNUMBER('PC 08'!J209),'PC 08'!J209&lt;'PC 08'!I209),"Tgl Publish &lt; Tgl Dibuat",""),IF(AND('PC 08'!K209&lt;&gt;"",ISERROR(MATCH(TRIM('PC 08'!K209),{"Draft","Menunggu Review","Revisi","Terjadwal","Publish","Batal","Published"},0))),"Status di luar daftar","")))</f>
        <v>#ERROR!</v>
      </c>
      <c r="D209" s="5" t="str">
        <f>IF(C209="","OK","ADA MASALAH")</f>
        <v>#ERROR!</v>
      </c>
    </row>
    <row r="210">
      <c r="A210" s="4">
        <v>210.0</v>
      </c>
      <c r="B210" s="5" t="str">
        <f>'PC 08'!A210</f>
        <v/>
      </c>
      <c r="C210" s="5" t="str">
        <f>IF(COUNTA('PC 08'!A210:L210)=0,"",TEXTJOIN(" | ",TRUE,IF('PC 08'!A210="","Worker ID kosong",""),IF('PC 08'!B210="","Update Date kosong",IF(NOT(ISNUMBER('PC 08'!B210)),"Update Date harus tanggal","")),IF('PC 08'!D210="","Judul kosong",""),IF('PC 08'!F210="","Genre kosong",IF(ISERROR(MATCH(TRIM('PC 08'!F210),{"Pop","Rock","Dangdut","K-Pop","Electronic","Nasional","Daerah"},0)),"Genre di luar daftar","")),IF('PC 08'!G210="","Nama Channel kosong",""),IF('PC 08'!H210="","Link kosong",IF(ISERROR(FIND("youtu",LOWER('PC 08'!H210))),"Link bukan youtube","")),IF('PC 08'!I210="","Tgl Dibuat kosong",IF(NOT(ISNUMBER('PC 08'!I210)),"Tgl Dibuat harus tanggal","")),IF(AND('PC 08'!J210&lt;&gt;"",NOT(ISNUMBER('PC 08'!J210))),"Tgl Publish harus tanggal",""),IF(AND(ISNUMBER('PC 08'!I210),ISNUMBER('PC 08'!J210),'PC 08'!J210&lt;'PC 08'!I210),"Tgl Publish &lt; Tgl Dibuat",""),IF(AND('PC 08'!K210&lt;&gt;"",ISERROR(MATCH(TRIM('PC 08'!K210),{"Draft","Menunggu Review","Revisi","Terjadwal","Publish","Batal","Published"},0))),"Status di luar daftar","")))</f>
        <v>#ERROR!</v>
      </c>
      <c r="D210" s="5" t="str">
        <f>IF(C210="","OK","ADA MASALAH")</f>
        <v>#ERROR!</v>
      </c>
    </row>
    <row r="211">
      <c r="A211" s="4">
        <v>211.0</v>
      </c>
      <c r="B211" s="5" t="str">
        <f>'PC 08'!A211</f>
        <v/>
      </c>
      <c r="C211" s="5" t="str">
        <f>IF(COUNTA('PC 08'!A211:L211)=0,"",TEXTJOIN(" | ",TRUE,IF('PC 08'!A211="","Worker ID kosong",""),IF('PC 08'!B211="","Update Date kosong",IF(NOT(ISNUMBER('PC 08'!B211)),"Update Date harus tanggal","")),IF('PC 08'!D211="","Judul kosong",""),IF('PC 08'!F211="","Genre kosong",IF(ISERROR(MATCH(TRIM('PC 08'!F211),{"Pop","Rock","Dangdut","K-Pop","Electronic","Nasional","Daerah"},0)),"Genre di luar daftar","")),IF('PC 08'!G211="","Nama Channel kosong",""),IF('PC 08'!H211="","Link kosong",IF(ISERROR(FIND("youtu",LOWER('PC 08'!H211))),"Link bukan youtube","")),IF('PC 08'!I211="","Tgl Dibuat kosong",IF(NOT(ISNUMBER('PC 08'!I211)),"Tgl Dibuat harus tanggal","")),IF(AND('PC 08'!J211&lt;&gt;"",NOT(ISNUMBER('PC 08'!J211))),"Tgl Publish harus tanggal",""),IF(AND(ISNUMBER('PC 08'!I211),ISNUMBER('PC 08'!J211),'PC 08'!J211&lt;'PC 08'!I211),"Tgl Publish &lt; Tgl Dibuat",""),IF(AND('PC 08'!K211&lt;&gt;"",ISERROR(MATCH(TRIM('PC 08'!K211),{"Draft","Menunggu Review","Revisi","Terjadwal","Publish","Batal","Published"},0))),"Status di luar daftar","")))</f>
        <v>#ERROR!</v>
      </c>
      <c r="D211" s="5" t="str">
        <f>IF(C211="","OK","ADA MASALAH")</f>
        <v>#ERROR!</v>
      </c>
    </row>
    <row r="212">
      <c r="A212" s="4">
        <v>212.0</v>
      </c>
      <c r="B212" s="5" t="str">
        <f>'PC 08'!A212</f>
        <v/>
      </c>
      <c r="C212" s="5" t="str">
        <f>IF(COUNTA('PC 08'!A212:L212)=0,"",TEXTJOIN(" | ",TRUE,IF('PC 08'!A212="","Worker ID kosong",""),IF('PC 08'!B212="","Update Date kosong",IF(NOT(ISNUMBER('PC 08'!B212)),"Update Date harus tanggal","")),IF('PC 08'!D212="","Judul kosong",""),IF('PC 08'!F212="","Genre kosong",IF(ISERROR(MATCH(TRIM('PC 08'!F212),{"Pop","Rock","Dangdut","K-Pop","Electronic","Nasional","Daerah"},0)),"Genre di luar daftar","")),IF('PC 08'!G212="","Nama Channel kosong",""),IF('PC 08'!H212="","Link kosong",IF(ISERROR(FIND("youtu",LOWER('PC 08'!H212))),"Link bukan youtube","")),IF('PC 08'!I212="","Tgl Dibuat kosong",IF(NOT(ISNUMBER('PC 08'!I212)),"Tgl Dibuat harus tanggal","")),IF(AND('PC 08'!J212&lt;&gt;"",NOT(ISNUMBER('PC 08'!J212))),"Tgl Publish harus tanggal",""),IF(AND(ISNUMBER('PC 08'!I212),ISNUMBER('PC 08'!J212),'PC 08'!J212&lt;'PC 08'!I212),"Tgl Publish &lt; Tgl Dibuat",""),IF(AND('PC 08'!K212&lt;&gt;"",ISERROR(MATCH(TRIM('PC 08'!K212),{"Draft","Menunggu Review","Revisi","Terjadwal","Publish","Batal","Published"},0))),"Status di luar daftar","")))</f>
        <v>#ERROR!</v>
      </c>
      <c r="D212" s="5" t="str">
        <f>IF(C212="","OK","ADA MASALAH")</f>
        <v>#ERROR!</v>
      </c>
    </row>
    <row r="213">
      <c r="A213" s="4">
        <v>213.0</v>
      </c>
      <c r="B213" s="5" t="str">
        <f>'PC 08'!A213</f>
        <v/>
      </c>
      <c r="C213" s="5" t="str">
        <f>IF(COUNTA('PC 08'!A213:L213)=0,"",TEXTJOIN(" | ",TRUE,IF('PC 08'!A213="","Worker ID kosong",""),IF('PC 08'!B213="","Update Date kosong",IF(NOT(ISNUMBER('PC 08'!B213)),"Update Date harus tanggal","")),IF('PC 08'!D213="","Judul kosong",""),IF('PC 08'!F213="","Genre kosong",IF(ISERROR(MATCH(TRIM('PC 08'!F213),{"Pop","Rock","Dangdut","K-Pop","Electronic","Nasional","Daerah"},0)),"Genre di luar daftar","")),IF('PC 08'!G213="","Nama Channel kosong",""),IF('PC 08'!H213="","Link kosong",IF(ISERROR(FIND("youtu",LOWER('PC 08'!H213))),"Link bukan youtube","")),IF('PC 08'!I213="","Tgl Dibuat kosong",IF(NOT(ISNUMBER('PC 08'!I213)),"Tgl Dibuat harus tanggal","")),IF(AND('PC 08'!J213&lt;&gt;"",NOT(ISNUMBER('PC 08'!J213))),"Tgl Publish harus tanggal",""),IF(AND(ISNUMBER('PC 08'!I213),ISNUMBER('PC 08'!J213),'PC 08'!J213&lt;'PC 08'!I213),"Tgl Publish &lt; Tgl Dibuat",""),IF(AND('PC 08'!K213&lt;&gt;"",ISERROR(MATCH(TRIM('PC 08'!K213),{"Draft","Menunggu Review","Revisi","Terjadwal","Publish","Batal","Published"},0))),"Status di luar daftar","")))</f>
        <v>#ERROR!</v>
      </c>
      <c r="D213" s="5" t="str">
        <f>IF(C213="","OK","ADA MASALAH")</f>
        <v>#ERROR!</v>
      </c>
    </row>
    <row r="214">
      <c r="A214" s="4">
        <v>214.0</v>
      </c>
      <c r="B214" s="5" t="str">
        <f>'PC 08'!A214</f>
        <v/>
      </c>
      <c r="C214" s="5" t="str">
        <f>IF(COUNTA('PC 08'!A214:L214)=0,"",TEXTJOIN(" | ",TRUE,IF('PC 08'!A214="","Worker ID kosong",""),IF('PC 08'!B214="","Update Date kosong",IF(NOT(ISNUMBER('PC 08'!B214)),"Update Date harus tanggal","")),IF('PC 08'!D214="","Judul kosong",""),IF('PC 08'!F214="","Genre kosong",IF(ISERROR(MATCH(TRIM('PC 08'!F214),{"Pop","Rock","Dangdut","K-Pop","Electronic","Nasional","Daerah"},0)),"Genre di luar daftar","")),IF('PC 08'!G214="","Nama Channel kosong",""),IF('PC 08'!H214="","Link kosong",IF(ISERROR(FIND("youtu",LOWER('PC 08'!H214))),"Link bukan youtube","")),IF('PC 08'!I214="","Tgl Dibuat kosong",IF(NOT(ISNUMBER('PC 08'!I214)),"Tgl Dibuat harus tanggal","")),IF(AND('PC 08'!J214&lt;&gt;"",NOT(ISNUMBER('PC 08'!J214))),"Tgl Publish harus tanggal",""),IF(AND(ISNUMBER('PC 08'!I214),ISNUMBER('PC 08'!J214),'PC 08'!J214&lt;'PC 08'!I214),"Tgl Publish &lt; Tgl Dibuat",""),IF(AND('PC 08'!K214&lt;&gt;"",ISERROR(MATCH(TRIM('PC 08'!K214),{"Draft","Menunggu Review","Revisi","Terjadwal","Publish","Batal","Published"},0))),"Status di luar daftar","")))</f>
        <v>#ERROR!</v>
      </c>
      <c r="D214" s="5" t="str">
        <f>IF(C214="","OK","ADA MASALAH")</f>
        <v>#ERROR!</v>
      </c>
    </row>
    <row r="215">
      <c r="A215" s="4">
        <v>215.0</v>
      </c>
      <c r="B215" s="5" t="str">
        <f>'PC 08'!A215</f>
        <v/>
      </c>
      <c r="C215" s="5" t="str">
        <f>IF(COUNTA('PC 08'!A215:L215)=0,"",TEXTJOIN(" | ",TRUE,IF('PC 08'!A215="","Worker ID kosong",""),IF('PC 08'!B215="","Update Date kosong",IF(NOT(ISNUMBER('PC 08'!B215)),"Update Date harus tanggal","")),IF('PC 08'!D215="","Judul kosong",""),IF('PC 08'!F215="","Genre kosong",IF(ISERROR(MATCH(TRIM('PC 08'!F215),{"Pop","Rock","Dangdut","K-Pop","Electronic","Nasional","Daerah"},0)),"Genre di luar daftar","")),IF('PC 08'!G215="","Nama Channel kosong",""),IF('PC 08'!H215="","Link kosong",IF(ISERROR(FIND("youtu",LOWER('PC 08'!H215))),"Link bukan youtube","")),IF('PC 08'!I215="","Tgl Dibuat kosong",IF(NOT(ISNUMBER('PC 08'!I215)),"Tgl Dibuat harus tanggal","")),IF(AND('PC 08'!J215&lt;&gt;"",NOT(ISNUMBER('PC 08'!J215))),"Tgl Publish harus tanggal",""),IF(AND(ISNUMBER('PC 08'!I215),ISNUMBER('PC 08'!J215),'PC 08'!J215&lt;'PC 08'!I215),"Tgl Publish &lt; Tgl Dibuat",""),IF(AND('PC 08'!K215&lt;&gt;"",ISERROR(MATCH(TRIM('PC 08'!K215),{"Draft","Menunggu Review","Revisi","Terjadwal","Publish","Batal","Published"},0))),"Status di luar daftar","")))</f>
        <v>#ERROR!</v>
      </c>
      <c r="D215" s="5" t="str">
        <f>IF(C215="","OK","ADA MASALAH")</f>
        <v>#ERROR!</v>
      </c>
    </row>
    <row r="216">
      <c r="A216" s="4">
        <v>216.0</v>
      </c>
      <c r="B216" s="5" t="str">
        <f>'PC 08'!A216</f>
        <v/>
      </c>
      <c r="C216" s="5" t="str">
        <f>IF(COUNTA('PC 08'!A216:L216)=0,"",TEXTJOIN(" | ",TRUE,IF('PC 08'!A216="","Worker ID kosong",""),IF('PC 08'!B216="","Update Date kosong",IF(NOT(ISNUMBER('PC 08'!B216)),"Update Date harus tanggal","")),IF('PC 08'!D216="","Judul kosong",""),IF('PC 08'!F216="","Genre kosong",IF(ISERROR(MATCH(TRIM('PC 08'!F216),{"Pop","Rock","Dangdut","K-Pop","Electronic","Nasional","Daerah"},0)),"Genre di luar daftar","")),IF('PC 08'!G216="","Nama Channel kosong",""),IF('PC 08'!H216="","Link kosong",IF(ISERROR(FIND("youtu",LOWER('PC 08'!H216))),"Link bukan youtube","")),IF('PC 08'!I216="","Tgl Dibuat kosong",IF(NOT(ISNUMBER('PC 08'!I216)),"Tgl Dibuat harus tanggal","")),IF(AND('PC 08'!J216&lt;&gt;"",NOT(ISNUMBER('PC 08'!J216))),"Tgl Publish harus tanggal",""),IF(AND(ISNUMBER('PC 08'!I216),ISNUMBER('PC 08'!J216),'PC 08'!J216&lt;'PC 08'!I216),"Tgl Publish &lt; Tgl Dibuat",""),IF(AND('PC 08'!K216&lt;&gt;"",ISERROR(MATCH(TRIM('PC 08'!K216),{"Draft","Menunggu Review","Revisi","Terjadwal","Publish","Batal","Published"},0))),"Status di luar daftar","")))</f>
        <v>#ERROR!</v>
      </c>
      <c r="D216" s="5" t="str">
        <f>IF(C216="","OK","ADA MASALAH")</f>
        <v>#ERROR!</v>
      </c>
    </row>
    <row r="217">
      <c r="A217" s="4">
        <v>217.0</v>
      </c>
      <c r="B217" s="5" t="str">
        <f>'PC 08'!A217</f>
        <v/>
      </c>
      <c r="C217" s="5" t="str">
        <f>IF(COUNTA('PC 08'!A217:L217)=0,"",TEXTJOIN(" | ",TRUE,IF('PC 08'!A217="","Worker ID kosong",""),IF('PC 08'!B217="","Update Date kosong",IF(NOT(ISNUMBER('PC 08'!B217)),"Update Date harus tanggal","")),IF('PC 08'!D217="","Judul kosong",""),IF('PC 08'!F217="","Genre kosong",IF(ISERROR(MATCH(TRIM('PC 08'!F217),{"Pop","Rock","Dangdut","K-Pop","Electronic","Nasional","Daerah"},0)),"Genre di luar daftar","")),IF('PC 08'!G217="","Nama Channel kosong",""),IF('PC 08'!H217="","Link kosong",IF(ISERROR(FIND("youtu",LOWER('PC 08'!H217))),"Link bukan youtube","")),IF('PC 08'!I217="","Tgl Dibuat kosong",IF(NOT(ISNUMBER('PC 08'!I217)),"Tgl Dibuat harus tanggal","")),IF(AND('PC 08'!J217&lt;&gt;"",NOT(ISNUMBER('PC 08'!J217))),"Tgl Publish harus tanggal",""),IF(AND(ISNUMBER('PC 08'!I217),ISNUMBER('PC 08'!J217),'PC 08'!J217&lt;'PC 08'!I217),"Tgl Publish &lt; Tgl Dibuat",""),IF(AND('PC 08'!K217&lt;&gt;"",ISERROR(MATCH(TRIM('PC 08'!K217),{"Draft","Menunggu Review","Revisi","Terjadwal","Publish","Batal","Published"},0))),"Status di luar daftar","")))</f>
        <v>#ERROR!</v>
      </c>
      <c r="D217" s="5" t="str">
        <f>IF(C217="","OK","ADA MASALAH")</f>
        <v>#ERROR!</v>
      </c>
    </row>
    <row r="218">
      <c r="A218" s="4">
        <v>218.0</v>
      </c>
      <c r="B218" s="5" t="str">
        <f>'PC 08'!A218</f>
        <v/>
      </c>
      <c r="C218" s="5" t="str">
        <f>IF(COUNTA('PC 08'!A218:L218)=0,"",TEXTJOIN(" | ",TRUE,IF('PC 08'!A218="","Worker ID kosong",""),IF('PC 08'!B218="","Update Date kosong",IF(NOT(ISNUMBER('PC 08'!B218)),"Update Date harus tanggal","")),IF('PC 08'!D218="","Judul kosong",""),IF('PC 08'!F218="","Genre kosong",IF(ISERROR(MATCH(TRIM('PC 08'!F218),{"Pop","Rock","Dangdut","K-Pop","Electronic","Nasional","Daerah"},0)),"Genre di luar daftar","")),IF('PC 08'!G218="","Nama Channel kosong",""),IF('PC 08'!H218="","Link kosong",IF(ISERROR(FIND("youtu",LOWER('PC 08'!H218))),"Link bukan youtube","")),IF('PC 08'!I218="","Tgl Dibuat kosong",IF(NOT(ISNUMBER('PC 08'!I218)),"Tgl Dibuat harus tanggal","")),IF(AND('PC 08'!J218&lt;&gt;"",NOT(ISNUMBER('PC 08'!J218))),"Tgl Publish harus tanggal",""),IF(AND(ISNUMBER('PC 08'!I218),ISNUMBER('PC 08'!J218),'PC 08'!J218&lt;'PC 08'!I218),"Tgl Publish &lt; Tgl Dibuat",""),IF(AND('PC 08'!K218&lt;&gt;"",ISERROR(MATCH(TRIM('PC 08'!K218),{"Draft","Menunggu Review","Revisi","Terjadwal","Publish","Batal","Published"},0))),"Status di luar daftar","")))</f>
        <v>#ERROR!</v>
      </c>
      <c r="D218" s="5" t="str">
        <f>IF(C218="","OK","ADA MASALAH")</f>
        <v>#ERROR!</v>
      </c>
    </row>
    <row r="219">
      <c r="A219" s="4">
        <v>219.0</v>
      </c>
      <c r="B219" s="5" t="str">
        <f>'PC 08'!A219</f>
        <v/>
      </c>
      <c r="C219" s="5" t="str">
        <f>IF(COUNTA('PC 08'!A219:L219)=0,"",TEXTJOIN(" | ",TRUE,IF('PC 08'!A219="","Worker ID kosong",""),IF('PC 08'!B219="","Update Date kosong",IF(NOT(ISNUMBER('PC 08'!B219)),"Update Date harus tanggal","")),IF('PC 08'!D219="","Judul kosong",""),IF('PC 08'!F219="","Genre kosong",IF(ISERROR(MATCH(TRIM('PC 08'!F219),{"Pop","Rock","Dangdut","K-Pop","Electronic","Nasional","Daerah"},0)),"Genre di luar daftar","")),IF('PC 08'!G219="","Nama Channel kosong",""),IF('PC 08'!H219="","Link kosong",IF(ISERROR(FIND("youtu",LOWER('PC 08'!H219))),"Link bukan youtube","")),IF('PC 08'!I219="","Tgl Dibuat kosong",IF(NOT(ISNUMBER('PC 08'!I219)),"Tgl Dibuat harus tanggal","")),IF(AND('PC 08'!J219&lt;&gt;"",NOT(ISNUMBER('PC 08'!J219))),"Tgl Publish harus tanggal",""),IF(AND(ISNUMBER('PC 08'!I219),ISNUMBER('PC 08'!J219),'PC 08'!J219&lt;'PC 08'!I219),"Tgl Publish &lt; Tgl Dibuat",""),IF(AND('PC 08'!K219&lt;&gt;"",ISERROR(MATCH(TRIM('PC 08'!K219),{"Draft","Menunggu Review","Revisi","Terjadwal","Publish","Batal","Published"},0))),"Status di luar daftar","")))</f>
        <v>#ERROR!</v>
      </c>
      <c r="D219" s="5" t="str">
        <f>IF(C219="","OK","ADA MASALAH")</f>
        <v>#ERROR!</v>
      </c>
    </row>
    <row r="220">
      <c r="A220" s="4">
        <v>220.0</v>
      </c>
      <c r="B220" s="5" t="str">
        <f>'PC 08'!A220</f>
        <v/>
      </c>
      <c r="C220" s="5" t="str">
        <f>IF(COUNTA('PC 08'!A220:L220)=0,"",TEXTJOIN(" | ",TRUE,IF('PC 08'!A220="","Worker ID kosong",""),IF('PC 08'!B220="","Update Date kosong",IF(NOT(ISNUMBER('PC 08'!B220)),"Update Date harus tanggal","")),IF('PC 08'!D220="","Judul kosong",""),IF('PC 08'!F220="","Genre kosong",IF(ISERROR(MATCH(TRIM('PC 08'!F220),{"Pop","Rock","Dangdut","K-Pop","Electronic","Nasional","Daerah"},0)),"Genre di luar daftar","")),IF('PC 08'!G220="","Nama Channel kosong",""),IF('PC 08'!H220="","Link kosong",IF(ISERROR(FIND("youtu",LOWER('PC 08'!H220))),"Link bukan youtube","")),IF('PC 08'!I220="","Tgl Dibuat kosong",IF(NOT(ISNUMBER('PC 08'!I220)),"Tgl Dibuat harus tanggal","")),IF(AND('PC 08'!J220&lt;&gt;"",NOT(ISNUMBER('PC 08'!J220))),"Tgl Publish harus tanggal",""),IF(AND(ISNUMBER('PC 08'!I220),ISNUMBER('PC 08'!J220),'PC 08'!J220&lt;'PC 08'!I220),"Tgl Publish &lt; Tgl Dibuat",""),IF(AND('PC 08'!K220&lt;&gt;"",ISERROR(MATCH(TRIM('PC 08'!K220),{"Draft","Menunggu Review","Revisi","Terjadwal","Publish","Batal","Published"},0))),"Status di luar daftar","")))</f>
        <v>#ERROR!</v>
      </c>
      <c r="D220" s="5" t="str">
        <f>IF(C220="","OK","ADA MASALAH")</f>
        <v>#ERROR!</v>
      </c>
    </row>
    <row r="221">
      <c r="A221" s="4">
        <v>221.0</v>
      </c>
      <c r="B221" s="5" t="str">
        <f>'PC 08'!A221</f>
        <v/>
      </c>
      <c r="C221" s="5" t="str">
        <f>IF(COUNTA('PC 08'!A221:L221)=0,"",TEXTJOIN(" | ",TRUE,IF('PC 08'!A221="","Worker ID kosong",""),IF('PC 08'!B221="","Update Date kosong",IF(NOT(ISNUMBER('PC 08'!B221)),"Update Date harus tanggal","")),IF('PC 08'!D221="","Judul kosong",""),IF('PC 08'!F221="","Genre kosong",IF(ISERROR(MATCH(TRIM('PC 08'!F221),{"Pop","Rock","Dangdut","K-Pop","Electronic","Nasional","Daerah"},0)),"Genre di luar daftar","")),IF('PC 08'!G221="","Nama Channel kosong",""),IF('PC 08'!H221="","Link kosong",IF(ISERROR(FIND("youtu",LOWER('PC 08'!H221))),"Link bukan youtube","")),IF('PC 08'!I221="","Tgl Dibuat kosong",IF(NOT(ISNUMBER('PC 08'!I221)),"Tgl Dibuat harus tanggal","")),IF(AND('PC 08'!J221&lt;&gt;"",NOT(ISNUMBER('PC 08'!J221))),"Tgl Publish harus tanggal",""),IF(AND(ISNUMBER('PC 08'!I221),ISNUMBER('PC 08'!J221),'PC 08'!J221&lt;'PC 08'!I221),"Tgl Publish &lt; Tgl Dibuat",""),IF(AND('PC 08'!K221&lt;&gt;"",ISERROR(MATCH(TRIM('PC 08'!K221),{"Draft","Menunggu Review","Revisi","Terjadwal","Publish","Batal","Published"},0))),"Status di luar daftar","")))</f>
        <v>#ERROR!</v>
      </c>
      <c r="D221" s="5" t="str">
        <f>IF(C221="","OK","ADA MASALAH")</f>
        <v>#ERROR!</v>
      </c>
    </row>
    <row r="222">
      <c r="A222" s="4">
        <v>222.0</v>
      </c>
      <c r="B222" s="5" t="str">
        <f>'PC 08'!A222</f>
        <v/>
      </c>
      <c r="C222" s="5" t="str">
        <f>IF(COUNTA('PC 08'!A222:L222)=0,"",TEXTJOIN(" | ",TRUE,IF('PC 08'!A222="","Worker ID kosong",""),IF('PC 08'!B222="","Update Date kosong",IF(NOT(ISNUMBER('PC 08'!B222)),"Update Date harus tanggal","")),IF('PC 08'!D222="","Judul kosong",""),IF('PC 08'!F222="","Genre kosong",IF(ISERROR(MATCH(TRIM('PC 08'!F222),{"Pop","Rock","Dangdut","K-Pop","Electronic","Nasional","Daerah"},0)),"Genre di luar daftar","")),IF('PC 08'!G222="","Nama Channel kosong",""),IF('PC 08'!H222="","Link kosong",IF(ISERROR(FIND("youtu",LOWER('PC 08'!H222))),"Link bukan youtube","")),IF('PC 08'!I222="","Tgl Dibuat kosong",IF(NOT(ISNUMBER('PC 08'!I222)),"Tgl Dibuat harus tanggal","")),IF(AND('PC 08'!J222&lt;&gt;"",NOT(ISNUMBER('PC 08'!J222))),"Tgl Publish harus tanggal",""),IF(AND(ISNUMBER('PC 08'!I222),ISNUMBER('PC 08'!J222),'PC 08'!J222&lt;'PC 08'!I222),"Tgl Publish &lt; Tgl Dibuat",""),IF(AND('PC 08'!K222&lt;&gt;"",ISERROR(MATCH(TRIM('PC 08'!K222),{"Draft","Menunggu Review","Revisi","Terjadwal","Publish","Batal","Published"},0))),"Status di luar daftar","")))</f>
        <v>#ERROR!</v>
      </c>
      <c r="D222" s="5" t="str">
        <f>IF(C222="","OK","ADA MASALAH")</f>
        <v>#ERROR!</v>
      </c>
    </row>
    <row r="223">
      <c r="A223" s="4">
        <v>223.0</v>
      </c>
      <c r="B223" s="5" t="str">
        <f>'PC 08'!A223</f>
        <v/>
      </c>
      <c r="C223" s="5" t="str">
        <f>IF(COUNTA('PC 08'!A223:L223)=0,"",TEXTJOIN(" | ",TRUE,IF('PC 08'!A223="","Worker ID kosong",""),IF('PC 08'!B223="","Update Date kosong",IF(NOT(ISNUMBER('PC 08'!B223)),"Update Date harus tanggal","")),IF('PC 08'!D223="","Judul kosong",""),IF('PC 08'!F223="","Genre kosong",IF(ISERROR(MATCH(TRIM('PC 08'!F223),{"Pop","Rock","Dangdut","K-Pop","Electronic","Nasional","Daerah"},0)),"Genre di luar daftar","")),IF('PC 08'!G223="","Nama Channel kosong",""),IF('PC 08'!H223="","Link kosong",IF(ISERROR(FIND("youtu",LOWER('PC 08'!H223))),"Link bukan youtube","")),IF('PC 08'!I223="","Tgl Dibuat kosong",IF(NOT(ISNUMBER('PC 08'!I223)),"Tgl Dibuat harus tanggal","")),IF(AND('PC 08'!J223&lt;&gt;"",NOT(ISNUMBER('PC 08'!J223))),"Tgl Publish harus tanggal",""),IF(AND(ISNUMBER('PC 08'!I223),ISNUMBER('PC 08'!J223),'PC 08'!J223&lt;'PC 08'!I223),"Tgl Publish &lt; Tgl Dibuat",""),IF(AND('PC 08'!K223&lt;&gt;"",ISERROR(MATCH(TRIM('PC 08'!K223),{"Draft","Menunggu Review","Revisi","Terjadwal","Publish","Batal","Published"},0))),"Status di luar daftar","")))</f>
        <v>#ERROR!</v>
      </c>
      <c r="D223" s="5" t="str">
        <f>IF(C223="","OK","ADA MASALAH")</f>
        <v>#ERROR!</v>
      </c>
    </row>
    <row r="224">
      <c r="A224" s="4">
        <v>224.0</v>
      </c>
      <c r="B224" s="5" t="str">
        <f>'PC 08'!A224</f>
        <v/>
      </c>
      <c r="C224" s="5" t="str">
        <f>IF(COUNTA('PC 08'!A224:L224)=0,"",TEXTJOIN(" | ",TRUE,IF('PC 08'!A224="","Worker ID kosong",""),IF('PC 08'!B224="","Update Date kosong",IF(NOT(ISNUMBER('PC 08'!B224)),"Update Date harus tanggal","")),IF('PC 08'!D224="","Judul kosong",""),IF('PC 08'!F224="","Genre kosong",IF(ISERROR(MATCH(TRIM('PC 08'!F224),{"Pop","Rock","Dangdut","K-Pop","Electronic","Nasional","Daerah"},0)),"Genre di luar daftar","")),IF('PC 08'!G224="","Nama Channel kosong",""),IF('PC 08'!H224="","Link kosong",IF(ISERROR(FIND("youtu",LOWER('PC 08'!H224))),"Link bukan youtube","")),IF('PC 08'!I224="","Tgl Dibuat kosong",IF(NOT(ISNUMBER('PC 08'!I224)),"Tgl Dibuat harus tanggal","")),IF(AND('PC 08'!J224&lt;&gt;"",NOT(ISNUMBER('PC 08'!J224))),"Tgl Publish harus tanggal",""),IF(AND(ISNUMBER('PC 08'!I224),ISNUMBER('PC 08'!J224),'PC 08'!J224&lt;'PC 08'!I224),"Tgl Publish &lt; Tgl Dibuat",""),IF(AND('PC 08'!K224&lt;&gt;"",ISERROR(MATCH(TRIM('PC 08'!K224),{"Draft","Menunggu Review","Revisi","Terjadwal","Publish","Batal","Published"},0))),"Status di luar daftar","")))</f>
        <v>#ERROR!</v>
      </c>
      <c r="D224" s="5" t="str">
        <f>IF(C224="","OK","ADA MASALAH")</f>
        <v>#ERROR!</v>
      </c>
    </row>
    <row r="225">
      <c r="A225" s="4">
        <v>225.0</v>
      </c>
      <c r="B225" s="5" t="str">
        <f>'PC 08'!A225</f>
        <v/>
      </c>
      <c r="C225" s="5" t="str">
        <f>IF(COUNTA('PC 08'!A225:L225)=0,"",TEXTJOIN(" | ",TRUE,IF('PC 08'!A225="","Worker ID kosong",""),IF('PC 08'!B225="","Update Date kosong",IF(NOT(ISNUMBER('PC 08'!B225)),"Update Date harus tanggal","")),IF('PC 08'!D225="","Judul kosong",""),IF('PC 08'!F225="","Genre kosong",IF(ISERROR(MATCH(TRIM('PC 08'!F225),{"Pop","Rock","Dangdut","K-Pop","Electronic","Nasional","Daerah"},0)),"Genre di luar daftar","")),IF('PC 08'!G225="","Nama Channel kosong",""),IF('PC 08'!H225="","Link kosong",IF(ISERROR(FIND("youtu",LOWER('PC 08'!H225))),"Link bukan youtube","")),IF('PC 08'!I225="","Tgl Dibuat kosong",IF(NOT(ISNUMBER('PC 08'!I225)),"Tgl Dibuat harus tanggal","")),IF(AND('PC 08'!J225&lt;&gt;"",NOT(ISNUMBER('PC 08'!J225))),"Tgl Publish harus tanggal",""),IF(AND(ISNUMBER('PC 08'!I225),ISNUMBER('PC 08'!J225),'PC 08'!J225&lt;'PC 08'!I225),"Tgl Publish &lt; Tgl Dibuat",""),IF(AND('PC 08'!K225&lt;&gt;"",ISERROR(MATCH(TRIM('PC 08'!K225),{"Draft","Menunggu Review","Revisi","Terjadwal","Publish","Batal","Published"},0))),"Status di luar daftar","")))</f>
        <v>#ERROR!</v>
      </c>
      <c r="D225" s="5" t="str">
        <f>IF(C225="","OK","ADA MASALAH")</f>
        <v>#ERROR!</v>
      </c>
    </row>
    <row r="226">
      <c r="A226" s="4">
        <v>226.0</v>
      </c>
      <c r="B226" s="5" t="str">
        <f>'PC 08'!A226</f>
        <v/>
      </c>
      <c r="C226" s="5" t="str">
        <f>IF(COUNTA('PC 08'!A226:L226)=0,"",TEXTJOIN(" | ",TRUE,IF('PC 08'!A226="","Worker ID kosong",""),IF('PC 08'!B226="","Update Date kosong",IF(NOT(ISNUMBER('PC 08'!B226)),"Update Date harus tanggal","")),IF('PC 08'!D226="","Judul kosong",""),IF('PC 08'!F226="","Genre kosong",IF(ISERROR(MATCH(TRIM('PC 08'!F226),{"Pop","Rock","Dangdut","K-Pop","Electronic","Nasional","Daerah"},0)),"Genre di luar daftar","")),IF('PC 08'!G226="","Nama Channel kosong",""),IF('PC 08'!H226="","Link kosong",IF(ISERROR(FIND("youtu",LOWER('PC 08'!H226))),"Link bukan youtube","")),IF('PC 08'!I226="","Tgl Dibuat kosong",IF(NOT(ISNUMBER('PC 08'!I226)),"Tgl Dibuat harus tanggal","")),IF(AND('PC 08'!J226&lt;&gt;"",NOT(ISNUMBER('PC 08'!J226))),"Tgl Publish harus tanggal",""),IF(AND(ISNUMBER('PC 08'!I226),ISNUMBER('PC 08'!J226),'PC 08'!J226&lt;'PC 08'!I226),"Tgl Publish &lt; Tgl Dibuat",""),IF(AND('PC 08'!K226&lt;&gt;"",ISERROR(MATCH(TRIM('PC 08'!K226),{"Draft","Menunggu Review","Revisi","Terjadwal","Publish","Batal","Published"},0))),"Status di luar daftar","")))</f>
        <v>#ERROR!</v>
      </c>
      <c r="D226" s="5" t="str">
        <f>IF(C226="","OK","ADA MASALAH")</f>
        <v>#ERROR!</v>
      </c>
    </row>
    <row r="227">
      <c r="A227" s="4">
        <v>227.0</v>
      </c>
      <c r="B227" s="5" t="str">
        <f>'PC 08'!A227</f>
        <v/>
      </c>
      <c r="C227" s="5" t="str">
        <f>IF(COUNTA('PC 08'!A227:L227)=0,"",TEXTJOIN(" | ",TRUE,IF('PC 08'!A227="","Worker ID kosong",""),IF('PC 08'!B227="","Update Date kosong",IF(NOT(ISNUMBER('PC 08'!B227)),"Update Date harus tanggal","")),IF('PC 08'!D227="","Judul kosong",""),IF('PC 08'!F227="","Genre kosong",IF(ISERROR(MATCH(TRIM('PC 08'!F227),{"Pop","Rock","Dangdut","K-Pop","Electronic","Nasional","Daerah"},0)),"Genre di luar daftar","")),IF('PC 08'!G227="","Nama Channel kosong",""),IF('PC 08'!H227="","Link kosong",IF(ISERROR(FIND("youtu",LOWER('PC 08'!H227))),"Link bukan youtube","")),IF('PC 08'!I227="","Tgl Dibuat kosong",IF(NOT(ISNUMBER('PC 08'!I227)),"Tgl Dibuat harus tanggal","")),IF(AND('PC 08'!J227&lt;&gt;"",NOT(ISNUMBER('PC 08'!J227))),"Tgl Publish harus tanggal",""),IF(AND(ISNUMBER('PC 08'!I227),ISNUMBER('PC 08'!J227),'PC 08'!J227&lt;'PC 08'!I227),"Tgl Publish &lt; Tgl Dibuat",""),IF(AND('PC 08'!K227&lt;&gt;"",ISERROR(MATCH(TRIM('PC 08'!K227),{"Draft","Menunggu Review","Revisi","Terjadwal","Publish","Batal","Published"},0))),"Status di luar daftar","")))</f>
        <v>#ERROR!</v>
      </c>
      <c r="D227" s="5" t="str">
        <f>IF(C227="","OK","ADA MASALAH")</f>
        <v>#ERROR!</v>
      </c>
    </row>
    <row r="228">
      <c r="A228" s="4">
        <v>228.0</v>
      </c>
      <c r="B228" s="5" t="str">
        <f>'PC 08'!A228</f>
        <v/>
      </c>
      <c r="C228" s="5" t="str">
        <f>IF(COUNTA('PC 08'!A228:L228)=0,"",TEXTJOIN(" | ",TRUE,IF('PC 08'!A228="","Worker ID kosong",""),IF('PC 08'!B228="","Update Date kosong",IF(NOT(ISNUMBER('PC 08'!B228)),"Update Date harus tanggal","")),IF('PC 08'!D228="","Judul kosong",""),IF('PC 08'!F228="","Genre kosong",IF(ISERROR(MATCH(TRIM('PC 08'!F228),{"Pop","Rock","Dangdut","K-Pop","Electronic","Nasional","Daerah"},0)),"Genre di luar daftar","")),IF('PC 08'!G228="","Nama Channel kosong",""),IF('PC 08'!H228="","Link kosong",IF(ISERROR(FIND("youtu",LOWER('PC 08'!H228))),"Link bukan youtube","")),IF('PC 08'!I228="","Tgl Dibuat kosong",IF(NOT(ISNUMBER('PC 08'!I228)),"Tgl Dibuat harus tanggal","")),IF(AND('PC 08'!J228&lt;&gt;"",NOT(ISNUMBER('PC 08'!J228))),"Tgl Publish harus tanggal",""),IF(AND(ISNUMBER('PC 08'!I228),ISNUMBER('PC 08'!J228),'PC 08'!J228&lt;'PC 08'!I228),"Tgl Publish &lt; Tgl Dibuat",""),IF(AND('PC 08'!K228&lt;&gt;"",ISERROR(MATCH(TRIM('PC 08'!K228),{"Draft","Menunggu Review","Revisi","Terjadwal","Publish","Batal","Published"},0))),"Status di luar daftar","")))</f>
        <v>#ERROR!</v>
      </c>
      <c r="D228" s="5" t="str">
        <f>IF(C228="","OK","ADA MASALAH")</f>
        <v>#ERROR!</v>
      </c>
    </row>
    <row r="229">
      <c r="A229" s="4">
        <v>229.0</v>
      </c>
      <c r="B229" s="5" t="str">
        <f>'PC 08'!A229</f>
        <v/>
      </c>
      <c r="C229" s="5" t="str">
        <f>IF(COUNTA('PC 08'!A229:L229)=0,"",TEXTJOIN(" | ",TRUE,IF('PC 08'!A229="","Worker ID kosong",""),IF('PC 08'!B229="","Update Date kosong",IF(NOT(ISNUMBER('PC 08'!B229)),"Update Date harus tanggal","")),IF('PC 08'!D229="","Judul kosong",""),IF('PC 08'!F229="","Genre kosong",IF(ISERROR(MATCH(TRIM('PC 08'!F229),{"Pop","Rock","Dangdut","K-Pop","Electronic","Nasional","Daerah"},0)),"Genre di luar daftar","")),IF('PC 08'!G229="","Nama Channel kosong",""),IF('PC 08'!H229="","Link kosong",IF(ISERROR(FIND("youtu",LOWER('PC 08'!H229))),"Link bukan youtube","")),IF('PC 08'!I229="","Tgl Dibuat kosong",IF(NOT(ISNUMBER('PC 08'!I229)),"Tgl Dibuat harus tanggal","")),IF(AND('PC 08'!J229&lt;&gt;"",NOT(ISNUMBER('PC 08'!J229))),"Tgl Publish harus tanggal",""),IF(AND(ISNUMBER('PC 08'!I229),ISNUMBER('PC 08'!J229),'PC 08'!J229&lt;'PC 08'!I229),"Tgl Publish &lt; Tgl Dibuat",""),IF(AND('PC 08'!K229&lt;&gt;"",ISERROR(MATCH(TRIM('PC 08'!K229),{"Draft","Menunggu Review","Revisi","Terjadwal","Publish","Batal","Published"},0))),"Status di luar daftar","")))</f>
        <v>#ERROR!</v>
      </c>
      <c r="D229" s="5" t="str">
        <f>IF(C229="","OK","ADA MASALAH")</f>
        <v>#ERROR!</v>
      </c>
    </row>
    <row r="230">
      <c r="A230" s="4">
        <v>230.0</v>
      </c>
      <c r="B230" s="5" t="str">
        <f>'PC 08'!A230</f>
        <v/>
      </c>
      <c r="C230" s="5" t="str">
        <f>IF(COUNTA('PC 08'!A230:L230)=0,"",TEXTJOIN(" | ",TRUE,IF('PC 08'!A230="","Worker ID kosong",""),IF('PC 08'!B230="","Update Date kosong",IF(NOT(ISNUMBER('PC 08'!B230)),"Update Date harus tanggal","")),IF('PC 08'!D230="","Judul kosong",""),IF('PC 08'!F230="","Genre kosong",IF(ISERROR(MATCH(TRIM('PC 08'!F230),{"Pop","Rock","Dangdut","K-Pop","Electronic","Nasional","Daerah"},0)),"Genre di luar daftar","")),IF('PC 08'!G230="","Nama Channel kosong",""),IF('PC 08'!H230="","Link kosong",IF(ISERROR(FIND("youtu",LOWER('PC 08'!H230))),"Link bukan youtube","")),IF('PC 08'!I230="","Tgl Dibuat kosong",IF(NOT(ISNUMBER('PC 08'!I230)),"Tgl Dibuat harus tanggal","")),IF(AND('PC 08'!J230&lt;&gt;"",NOT(ISNUMBER('PC 08'!J230))),"Tgl Publish harus tanggal",""),IF(AND(ISNUMBER('PC 08'!I230),ISNUMBER('PC 08'!J230),'PC 08'!J230&lt;'PC 08'!I230),"Tgl Publish &lt; Tgl Dibuat",""),IF(AND('PC 08'!K230&lt;&gt;"",ISERROR(MATCH(TRIM('PC 08'!K230),{"Draft","Menunggu Review","Revisi","Terjadwal","Publish","Batal","Published"},0))),"Status di luar daftar","")))</f>
        <v>#ERROR!</v>
      </c>
      <c r="D230" s="5" t="str">
        <f>IF(C230="","OK","ADA MASALAH")</f>
        <v>#ERROR!</v>
      </c>
    </row>
    <row r="231">
      <c r="A231" s="4">
        <v>231.0</v>
      </c>
      <c r="B231" s="5" t="str">
        <f>'PC 08'!A231</f>
        <v/>
      </c>
      <c r="C231" s="5" t="str">
        <f>IF(COUNTA('PC 08'!A231:L231)=0,"",TEXTJOIN(" | ",TRUE,IF('PC 08'!A231="","Worker ID kosong",""),IF('PC 08'!B231="","Update Date kosong",IF(NOT(ISNUMBER('PC 08'!B231)),"Update Date harus tanggal","")),IF('PC 08'!D231="","Judul kosong",""),IF('PC 08'!F231="","Genre kosong",IF(ISERROR(MATCH(TRIM('PC 08'!F231),{"Pop","Rock","Dangdut","K-Pop","Electronic","Nasional","Daerah"},0)),"Genre di luar daftar","")),IF('PC 08'!G231="","Nama Channel kosong",""),IF('PC 08'!H231="","Link kosong",IF(ISERROR(FIND("youtu",LOWER('PC 08'!H231))),"Link bukan youtube","")),IF('PC 08'!I231="","Tgl Dibuat kosong",IF(NOT(ISNUMBER('PC 08'!I231)),"Tgl Dibuat harus tanggal","")),IF(AND('PC 08'!J231&lt;&gt;"",NOT(ISNUMBER('PC 08'!J231))),"Tgl Publish harus tanggal",""),IF(AND(ISNUMBER('PC 08'!I231),ISNUMBER('PC 08'!J231),'PC 08'!J231&lt;'PC 08'!I231),"Tgl Publish &lt; Tgl Dibuat",""),IF(AND('PC 08'!K231&lt;&gt;"",ISERROR(MATCH(TRIM('PC 08'!K231),{"Draft","Menunggu Review","Revisi","Terjadwal","Publish","Batal","Published"},0))),"Status di luar daftar","")))</f>
        <v>#ERROR!</v>
      </c>
      <c r="D231" s="5" t="str">
        <f>IF(C231="","OK","ADA MASALAH")</f>
        <v>#ERROR!</v>
      </c>
    </row>
    <row r="232">
      <c r="A232" s="4">
        <v>232.0</v>
      </c>
      <c r="B232" s="5" t="str">
        <f>'PC 08'!A232</f>
        <v/>
      </c>
      <c r="C232" s="5" t="str">
        <f>IF(COUNTA('PC 08'!A232:L232)=0,"",TEXTJOIN(" | ",TRUE,IF('PC 08'!A232="","Worker ID kosong",""),IF('PC 08'!B232="","Update Date kosong",IF(NOT(ISNUMBER('PC 08'!B232)),"Update Date harus tanggal","")),IF('PC 08'!D232="","Judul kosong",""),IF('PC 08'!F232="","Genre kosong",IF(ISERROR(MATCH(TRIM('PC 08'!F232),{"Pop","Rock","Dangdut","K-Pop","Electronic","Nasional","Daerah"},0)),"Genre di luar daftar","")),IF('PC 08'!G232="","Nama Channel kosong",""),IF('PC 08'!H232="","Link kosong",IF(ISERROR(FIND("youtu",LOWER('PC 08'!H232))),"Link bukan youtube","")),IF('PC 08'!I232="","Tgl Dibuat kosong",IF(NOT(ISNUMBER('PC 08'!I232)),"Tgl Dibuat harus tanggal","")),IF(AND('PC 08'!J232&lt;&gt;"",NOT(ISNUMBER('PC 08'!J232))),"Tgl Publish harus tanggal",""),IF(AND(ISNUMBER('PC 08'!I232),ISNUMBER('PC 08'!J232),'PC 08'!J232&lt;'PC 08'!I232),"Tgl Publish &lt; Tgl Dibuat",""),IF(AND('PC 08'!K232&lt;&gt;"",ISERROR(MATCH(TRIM('PC 08'!K232),{"Draft","Menunggu Review","Revisi","Terjadwal","Publish","Batal","Published"},0))),"Status di luar daftar","")))</f>
        <v>#ERROR!</v>
      </c>
      <c r="D232" s="5" t="str">
        <f>IF(C232="","OK","ADA MASALAH")</f>
        <v>#ERROR!</v>
      </c>
    </row>
    <row r="233">
      <c r="A233" s="4">
        <v>233.0</v>
      </c>
      <c r="B233" s="5" t="str">
        <f>'PC 08'!A233</f>
        <v/>
      </c>
      <c r="C233" s="5" t="str">
        <f>IF(COUNTA('PC 08'!A233:L233)=0,"",TEXTJOIN(" | ",TRUE,IF('PC 08'!A233="","Worker ID kosong",""),IF('PC 08'!B233="","Update Date kosong",IF(NOT(ISNUMBER('PC 08'!B233)),"Update Date harus tanggal","")),IF('PC 08'!D233="","Judul kosong",""),IF('PC 08'!F233="","Genre kosong",IF(ISERROR(MATCH(TRIM('PC 08'!F233),{"Pop","Rock","Dangdut","K-Pop","Electronic","Nasional","Daerah"},0)),"Genre di luar daftar","")),IF('PC 08'!G233="","Nama Channel kosong",""),IF('PC 08'!H233="","Link kosong",IF(ISERROR(FIND("youtu",LOWER('PC 08'!H233))),"Link bukan youtube","")),IF('PC 08'!I233="","Tgl Dibuat kosong",IF(NOT(ISNUMBER('PC 08'!I233)),"Tgl Dibuat harus tanggal","")),IF(AND('PC 08'!J233&lt;&gt;"",NOT(ISNUMBER('PC 08'!J233))),"Tgl Publish harus tanggal",""),IF(AND(ISNUMBER('PC 08'!I233),ISNUMBER('PC 08'!J233),'PC 08'!J233&lt;'PC 08'!I233),"Tgl Publish &lt; Tgl Dibuat",""),IF(AND('PC 08'!K233&lt;&gt;"",ISERROR(MATCH(TRIM('PC 08'!K233),{"Draft","Menunggu Review","Revisi","Terjadwal","Publish","Batal","Published"},0))),"Status di luar daftar","")))</f>
        <v>#ERROR!</v>
      </c>
      <c r="D233" s="5" t="str">
        <f>IF(C233="","OK","ADA MASALAH")</f>
        <v>#ERROR!</v>
      </c>
    </row>
    <row r="234">
      <c r="A234" s="4">
        <v>234.0</v>
      </c>
      <c r="B234" s="5" t="str">
        <f>'PC 08'!A234</f>
        <v/>
      </c>
      <c r="C234" s="5" t="str">
        <f>IF(COUNTA('PC 08'!A234:L234)=0,"",TEXTJOIN(" | ",TRUE,IF('PC 08'!A234="","Worker ID kosong",""),IF('PC 08'!B234="","Update Date kosong",IF(NOT(ISNUMBER('PC 08'!B234)),"Update Date harus tanggal","")),IF('PC 08'!D234="","Judul kosong",""),IF('PC 08'!F234="","Genre kosong",IF(ISERROR(MATCH(TRIM('PC 08'!F234),{"Pop","Rock","Dangdut","K-Pop","Electronic","Nasional","Daerah"},0)),"Genre di luar daftar","")),IF('PC 08'!G234="","Nama Channel kosong",""),IF('PC 08'!H234="","Link kosong",IF(ISERROR(FIND("youtu",LOWER('PC 08'!H234))),"Link bukan youtube","")),IF('PC 08'!I234="","Tgl Dibuat kosong",IF(NOT(ISNUMBER('PC 08'!I234)),"Tgl Dibuat harus tanggal","")),IF(AND('PC 08'!J234&lt;&gt;"",NOT(ISNUMBER('PC 08'!J234))),"Tgl Publish harus tanggal",""),IF(AND(ISNUMBER('PC 08'!I234),ISNUMBER('PC 08'!J234),'PC 08'!J234&lt;'PC 08'!I234),"Tgl Publish &lt; Tgl Dibuat",""),IF(AND('PC 08'!K234&lt;&gt;"",ISERROR(MATCH(TRIM('PC 08'!K234),{"Draft","Menunggu Review","Revisi","Terjadwal","Publish","Batal","Published"},0))),"Status di luar daftar","")))</f>
        <v>#ERROR!</v>
      </c>
      <c r="D234" s="5" t="str">
        <f>IF(C234="","OK","ADA MASALAH")</f>
        <v>#ERROR!</v>
      </c>
    </row>
    <row r="235">
      <c r="A235" s="4">
        <v>235.0</v>
      </c>
      <c r="B235" s="5" t="str">
        <f>'PC 08'!A235</f>
        <v/>
      </c>
      <c r="C235" s="5" t="str">
        <f>IF(COUNTA('PC 08'!A235:L235)=0,"",TEXTJOIN(" | ",TRUE,IF('PC 08'!A235="","Worker ID kosong",""),IF('PC 08'!B235="","Update Date kosong",IF(NOT(ISNUMBER('PC 08'!B235)),"Update Date harus tanggal","")),IF('PC 08'!D235="","Judul kosong",""),IF('PC 08'!F235="","Genre kosong",IF(ISERROR(MATCH(TRIM('PC 08'!F235),{"Pop","Rock","Dangdut","K-Pop","Electronic","Nasional","Daerah"},0)),"Genre di luar daftar","")),IF('PC 08'!G235="","Nama Channel kosong",""),IF('PC 08'!H235="","Link kosong",IF(ISERROR(FIND("youtu",LOWER('PC 08'!H235))),"Link bukan youtube","")),IF('PC 08'!I235="","Tgl Dibuat kosong",IF(NOT(ISNUMBER('PC 08'!I235)),"Tgl Dibuat harus tanggal","")),IF(AND('PC 08'!J235&lt;&gt;"",NOT(ISNUMBER('PC 08'!J235))),"Tgl Publish harus tanggal",""),IF(AND(ISNUMBER('PC 08'!I235),ISNUMBER('PC 08'!J235),'PC 08'!J235&lt;'PC 08'!I235),"Tgl Publish &lt; Tgl Dibuat",""),IF(AND('PC 08'!K235&lt;&gt;"",ISERROR(MATCH(TRIM('PC 08'!K235),{"Draft","Menunggu Review","Revisi","Terjadwal","Publish","Batal","Published"},0))),"Status di luar daftar","")))</f>
        <v>#ERROR!</v>
      </c>
      <c r="D235" s="5" t="str">
        <f>IF(C235="","OK","ADA MASALAH")</f>
        <v>#ERROR!</v>
      </c>
    </row>
    <row r="236">
      <c r="A236" s="4">
        <v>236.0</v>
      </c>
      <c r="B236" s="5" t="str">
        <f>'PC 08'!A236</f>
        <v/>
      </c>
      <c r="C236" s="5" t="str">
        <f>IF(COUNTA('PC 08'!A236:L236)=0,"",TEXTJOIN(" | ",TRUE,IF('PC 08'!A236="","Worker ID kosong",""),IF('PC 08'!B236="","Update Date kosong",IF(NOT(ISNUMBER('PC 08'!B236)),"Update Date harus tanggal","")),IF('PC 08'!D236="","Judul kosong",""),IF('PC 08'!F236="","Genre kosong",IF(ISERROR(MATCH(TRIM('PC 08'!F236),{"Pop","Rock","Dangdut","K-Pop","Electronic","Nasional","Daerah"},0)),"Genre di luar daftar","")),IF('PC 08'!G236="","Nama Channel kosong",""),IF('PC 08'!H236="","Link kosong",IF(ISERROR(FIND("youtu",LOWER('PC 08'!H236))),"Link bukan youtube","")),IF('PC 08'!I236="","Tgl Dibuat kosong",IF(NOT(ISNUMBER('PC 08'!I236)),"Tgl Dibuat harus tanggal","")),IF(AND('PC 08'!J236&lt;&gt;"",NOT(ISNUMBER('PC 08'!J236))),"Tgl Publish harus tanggal",""),IF(AND(ISNUMBER('PC 08'!I236),ISNUMBER('PC 08'!J236),'PC 08'!J236&lt;'PC 08'!I236),"Tgl Publish &lt; Tgl Dibuat",""),IF(AND('PC 08'!K236&lt;&gt;"",ISERROR(MATCH(TRIM('PC 08'!K236),{"Draft","Menunggu Review","Revisi","Terjadwal","Publish","Batal","Published"},0))),"Status di luar daftar","")))</f>
        <v>#ERROR!</v>
      </c>
      <c r="D236" s="5" t="str">
        <f>IF(C236="","OK","ADA MASALAH")</f>
        <v>#ERROR!</v>
      </c>
    </row>
    <row r="237">
      <c r="A237" s="4">
        <v>237.0</v>
      </c>
      <c r="B237" s="5" t="str">
        <f>'PC 08'!A237</f>
        <v/>
      </c>
      <c r="C237" s="5" t="str">
        <f>IF(COUNTA('PC 08'!A237:L237)=0,"",TEXTJOIN(" | ",TRUE,IF('PC 08'!A237="","Worker ID kosong",""),IF('PC 08'!B237="","Update Date kosong",IF(NOT(ISNUMBER('PC 08'!B237)),"Update Date harus tanggal","")),IF('PC 08'!D237="","Judul kosong",""),IF('PC 08'!F237="","Genre kosong",IF(ISERROR(MATCH(TRIM('PC 08'!F237),{"Pop","Rock","Dangdut","K-Pop","Electronic","Nasional","Daerah"},0)),"Genre di luar daftar","")),IF('PC 08'!G237="","Nama Channel kosong",""),IF('PC 08'!H237="","Link kosong",IF(ISERROR(FIND("youtu",LOWER('PC 08'!H237))),"Link bukan youtube","")),IF('PC 08'!I237="","Tgl Dibuat kosong",IF(NOT(ISNUMBER('PC 08'!I237)),"Tgl Dibuat harus tanggal","")),IF(AND('PC 08'!J237&lt;&gt;"",NOT(ISNUMBER('PC 08'!J237))),"Tgl Publish harus tanggal",""),IF(AND(ISNUMBER('PC 08'!I237),ISNUMBER('PC 08'!J237),'PC 08'!J237&lt;'PC 08'!I237),"Tgl Publish &lt; Tgl Dibuat",""),IF(AND('PC 08'!K237&lt;&gt;"",ISERROR(MATCH(TRIM('PC 08'!K237),{"Draft","Menunggu Review","Revisi","Terjadwal","Publish","Batal","Published"},0))),"Status di luar daftar","")))</f>
        <v>#ERROR!</v>
      </c>
      <c r="D237" s="5" t="str">
        <f>IF(C237="","OK","ADA MASALAH")</f>
        <v>#ERROR!</v>
      </c>
    </row>
    <row r="238">
      <c r="A238" s="4">
        <v>238.0</v>
      </c>
      <c r="B238" s="5" t="str">
        <f>'PC 08'!A238</f>
        <v/>
      </c>
      <c r="C238" s="5" t="str">
        <f>IF(COUNTA('PC 08'!A238:L238)=0,"",TEXTJOIN(" | ",TRUE,IF('PC 08'!A238="","Worker ID kosong",""),IF('PC 08'!B238="","Update Date kosong",IF(NOT(ISNUMBER('PC 08'!B238)),"Update Date harus tanggal","")),IF('PC 08'!D238="","Judul kosong",""),IF('PC 08'!F238="","Genre kosong",IF(ISERROR(MATCH(TRIM('PC 08'!F238),{"Pop","Rock","Dangdut","K-Pop","Electronic","Nasional","Daerah"},0)),"Genre di luar daftar","")),IF('PC 08'!G238="","Nama Channel kosong",""),IF('PC 08'!H238="","Link kosong",IF(ISERROR(FIND("youtu",LOWER('PC 08'!H238))),"Link bukan youtube","")),IF('PC 08'!I238="","Tgl Dibuat kosong",IF(NOT(ISNUMBER('PC 08'!I238)),"Tgl Dibuat harus tanggal","")),IF(AND('PC 08'!J238&lt;&gt;"",NOT(ISNUMBER('PC 08'!J238))),"Tgl Publish harus tanggal",""),IF(AND(ISNUMBER('PC 08'!I238),ISNUMBER('PC 08'!J238),'PC 08'!J238&lt;'PC 08'!I238),"Tgl Publish &lt; Tgl Dibuat",""),IF(AND('PC 08'!K238&lt;&gt;"",ISERROR(MATCH(TRIM('PC 08'!K238),{"Draft","Menunggu Review","Revisi","Terjadwal","Publish","Batal","Published"},0))),"Status di luar daftar","")))</f>
        <v>#ERROR!</v>
      </c>
      <c r="D238" s="5" t="str">
        <f>IF(C238="","OK","ADA MASALAH")</f>
        <v>#ERROR!</v>
      </c>
    </row>
    <row r="239">
      <c r="A239" s="4">
        <v>239.0</v>
      </c>
      <c r="B239" s="5" t="str">
        <f>'PC 08'!A239</f>
        <v/>
      </c>
      <c r="C239" s="5" t="str">
        <f>IF(COUNTA('PC 08'!A239:L239)=0,"",TEXTJOIN(" | ",TRUE,IF('PC 08'!A239="","Worker ID kosong",""),IF('PC 08'!B239="","Update Date kosong",IF(NOT(ISNUMBER('PC 08'!B239)),"Update Date harus tanggal","")),IF('PC 08'!D239="","Judul kosong",""),IF('PC 08'!F239="","Genre kosong",IF(ISERROR(MATCH(TRIM('PC 08'!F239),{"Pop","Rock","Dangdut","K-Pop","Electronic","Nasional","Daerah"},0)),"Genre di luar daftar","")),IF('PC 08'!G239="","Nama Channel kosong",""),IF('PC 08'!H239="","Link kosong",IF(ISERROR(FIND("youtu",LOWER('PC 08'!H239))),"Link bukan youtube","")),IF('PC 08'!I239="","Tgl Dibuat kosong",IF(NOT(ISNUMBER('PC 08'!I239)),"Tgl Dibuat harus tanggal","")),IF(AND('PC 08'!J239&lt;&gt;"",NOT(ISNUMBER('PC 08'!J239))),"Tgl Publish harus tanggal",""),IF(AND(ISNUMBER('PC 08'!I239),ISNUMBER('PC 08'!J239),'PC 08'!J239&lt;'PC 08'!I239),"Tgl Publish &lt; Tgl Dibuat",""),IF(AND('PC 08'!K239&lt;&gt;"",ISERROR(MATCH(TRIM('PC 08'!K239),{"Draft","Menunggu Review","Revisi","Terjadwal","Publish","Batal","Published"},0))),"Status di luar daftar","")))</f>
        <v>#ERROR!</v>
      </c>
      <c r="D239" s="5" t="str">
        <f>IF(C239="","OK","ADA MASALAH")</f>
        <v>#ERROR!</v>
      </c>
    </row>
    <row r="240">
      <c r="A240" s="4">
        <v>240.0</v>
      </c>
      <c r="B240" s="5" t="str">
        <f>'PC 08'!A240</f>
        <v/>
      </c>
      <c r="C240" s="5" t="str">
        <f>IF(COUNTA('PC 08'!A240:L240)=0,"",TEXTJOIN(" | ",TRUE,IF('PC 08'!A240="","Worker ID kosong",""),IF('PC 08'!B240="","Update Date kosong",IF(NOT(ISNUMBER('PC 08'!B240)),"Update Date harus tanggal","")),IF('PC 08'!D240="","Judul kosong",""),IF('PC 08'!F240="","Genre kosong",IF(ISERROR(MATCH(TRIM('PC 08'!F240),{"Pop","Rock","Dangdut","K-Pop","Electronic","Nasional","Daerah"},0)),"Genre di luar daftar","")),IF('PC 08'!G240="","Nama Channel kosong",""),IF('PC 08'!H240="","Link kosong",IF(ISERROR(FIND("youtu",LOWER('PC 08'!H240))),"Link bukan youtube","")),IF('PC 08'!I240="","Tgl Dibuat kosong",IF(NOT(ISNUMBER('PC 08'!I240)),"Tgl Dibuat harus tanggal","")),IF(AND('PC 08'!J240&lt;&gt;"",NOT(ISNUMBER('PC 08'!J240))),"Tgl Publish harus tanggal",""),IF(AND(ISNUMBER('PC 08'!I240),ISNUMBER('PC 08'!J240),'PC 08'!J240&lt;'PC 08'!I240),"Tgl Publish &lt; Tgl Dibuat",""),IF(AND('PC 08'!K240&lt;&gt;"",ISERROR(MATCH(TRIM('PC 08'!K240),{"Draft","Menunggu Review","Revisi","Terjadwal","Publish","Batal","Published"},0))),"Status di luar daftar","")))</f>
        <v>#ERROR!</v>
      </c>
      <c r="D240" s="5" t="str">
        <f>IF(C240="","OK","ADA MASALAH")</f>
        <v>#ERROR!</v>
      </c>
    </row>
    <row r="241">
      <c r="A241" s="4">
        <v>241.0</v>
      </c>
      <c r="B241" s="5" t="str">
        <f>'PC 08'!A241</f>
        <v/>
      </c>
      <c r="C241" s="5" t="str">
        <f>IF(COUNTA('PC 08'!A241:L241)=0,"",TEXTJOIN(" | ",TRUE,IF('PC 08'!A241="","Worker ID kosong",""),IF('PC 08'!B241="","Update Date kosong",IF(NOT(ISNUMBER('PC 08'!B241)),"Update Date harus tanggal","")),IF('PC 08'!D241="","Judul kosong",""),IF('PC 08'!F241="","Genre kosong",IF(ISERROR(MATCH(TRIM('PC 08'!F241),{"Pop","Rock","Dangdut","K-Pop","Electronic","Nasional","Daerah"},0)),"Genre di luar daftar","")),IF('PC 08'!G241="","Nama Channel kosong",""),IF('PC 08'!H241="","Link kosong",IF(ISERROR(FIND("youtu",LOWER('PC 08'!H241))),"Link bukan youtube","")),IF('PC 08'!I241="","Tgl Dibuat kosong",IF(NOT(ISNUMBER('PC 08'!I241)),"Tgl Dibuat harus tanggal","")),IF(AND('PC 08'!J241&lt;&gt;"",NOT(ISNUMBER('PC 08'!J241))),"Tgl Publish harus tanggal",""),IF(AND(ISNUMBER('PC 08'!I241),ISNUMBER('PC 08'!J241),'PC 08'!J241&lt;'PC 08'!I241),"Tgl Publish &lt; Tgl Dibuat",""),IF(AND('PC 08'!K241&lt;&gt;"",ISERROR(MATCH(TRIM('PC 08'!K241),{"Draft","Menunggu Review","Revisi","Terjadwal","Publish","Batal","Published"},0))),"Status di luar daftar","")))</f>
        <v>#ERROR!</v>
      </c>
      <c r="D241" s="5" t="str">
        <f>IF(C241="","OK","ADA MASALAH")</f>
        <v>#ERROR!</v>
      </c>
    </row>
    <row r="242">
      <c r="A242" s="4">
        <v>242.0</v>
      </c>
      <c r="B242" s="5" t="str">
        <f>'PC 08'!A242</f>
        <v/>
      </c>
      <c r="C242" s="5" t="str">
        <f>IF(COUNTA('PC 08'!A242:L242)=0,"",TEXTJOIN(" | ",TRUE,IF('PC 08'!A242="","Worker ID kosong",""),IF('PC 08'!B242="","Update Date kosong",IF(NOT(ISNUMBER('PC 08'!B242)),"Update Date harus tanggal","")),IF('PC 08'!D242="","Judul kosong",""),IF('PC 08'!F242="","Genre kosong",IF(ISERROR(MATCH(TRIM('PC 08'!F242),{"Pop","Rock","Dangdut","K-Pop","Electronic","Nasional","Daerah"},0)),"Genre di luar daftar","")),IF('PC 08'!G242="","Nama Channel kosong",""),IF('PC 08'!H242="","Link kosong",IF(ISERROR(FIND("youtu",LOWER('PC 08'!H242))),"Link bukan youtube","")),IF('PC 08'!I242="","Tgl Dibuat kosong",IF(NOT(ISNUMBER('PC 08'!I242)),"Tgl Dibuat harus tanggal","")),IF(AND('PC 08'!J242&lt;&gt;"",NOT(ISNUMBER('PC 08'!J242))),"Tgl Publish harus tanggal",""),IF(AND(ISNUMBER('PC 08'!I242),ISNUMBER('PC 08'!J242),'PC 08'!J242&lt;'PC 08'!I242),"Tgl Publish &lt; Tgl Dibuat",""),IF(AND('PC 08'!K242&lt;&gt;"",ISERROR(MATCH(TRIM('PC 08'!K242),{"Draft","Menunggu Review","Revisi","Terjadwal","Publish","Batal","Published"},0))),"Status di luar daftar","")))</f>
        <v>#ERROR!</v>
      </c>
      <c r="D242" s="5" t="str">
        <f>IF(C242="","OK","ADA MASALAH")</f>
        <v>#ERROR!</v>
      </c>
    </row>
    <row r="243">
      <c r="A243" s="4">
        <v>243.0</v>
      </c>
      <c r="B243" s="5" t="str">
        <f>'PC 08'!A243</f>
        <v/>
      </c>
      <c r="C243" s="5" t="str">
        <f>IF(COUNTA('PC 08'!A243:L243)=0,"",TEXTJOIN(" | ",TRUE,IF('PC 08'!A243="","Worker ID kosong",""),IF('PC 08'!B243="","Update Date kosong",IF(NOT(ISNUMBER('PC 08'!B243)),"Update Date harus tanggal","")),IF('PC 08'!D243="","Judul kosong",""),IF('PC 08'!F243="","Genre kosong",IF(ISERROR(MATCH(TRIM('PC 08'!F243),{"Pop","Rock","Dangdut","K-Pop","Electronic","Nasional","Daerah"},0)),"Genre di luar daftar","")),IF('PC 08'!G243="","Nama Channel kosong",""),IF('PC 08'!H243="","Link kosong",IF(ISERROR(FIND("youtu",LOWER('PC 08'!H243))),"Link bukan youtube","")),IF('PC 08'!I243="","Tgl Dibuat kosong",IF(NOT(ISNUMBER('PC 08'!I243)),"Tgl Dibuat harus tanggal","")),IF(AND('PC 08'!J243&lt;&gt;"",NOT(ISNUMBER('PC 08'!J243))),"Tgl Publish harus tanggal",""),IF(AND(ISNUMBER('PC 08'!I243),ISNUMBER('PC 08'!J243),'PC 08'!J243&lt;'PC 08'!I243),"Tgl Publish &lt; Tgl Dibuat",""),IF(AND('PC 08'!K243&lt;&gt;"",ISERROR(MATCH(TRIM('PC 08'!K243),{"Draft","Menunggu Review","Revisi","Terjadwal","Publish","Batal","Published"},0))),"Status di luar daftar","")))</f>
        <v>#ERROR!</v>
      </c>
      <c r="D243" s="5" t="str">
        <f>IF(C243="","OK","ADA MASALAH")</f>
        <v>#ERROR!</v>
      </c>
    </row>
    <row r="244">
      <c r="A244" s="4">
        <v>244.0</v>
      </c>
      <c r="B244" s="5" t="str">
        <f>'PC 08'!A244</f>
        <v/>
      </c>
      <c r="C244" s="5" t="str">
        <f>IF(COUNTA('PC 08'!A244:L244)=0,"",TEXTJOIN(" | ",TRUE,IF('PC 08'!A244="","Worker ID kosong",""),IF('PC 08'!B244="","Update Date kosong",IF(NOT(ISNUMBER('PC 08'!B244)),"Update Date harus tanggal","")),IF('PC 08'!D244="","Judul kosong",""),IF('PC 08'!F244="","Genre kosong",IF(ISERROR(MATCH(TRIM('PC 08'!F244),{"Pop","Rock","Dangdut","K-Pop","Electronic","Nasional","Daerah"},0)),"Genre di luar daftar","")),IF('PC 08'!G244="","Nama Channel kosong",""),IF('PC 08'!H244="","Link kosong",IF(ISERROR(FIND("youtu",LOWER('PC 08'!H244))),"Link bukan youtube","")),IF('PC 08'!I244="","Tgl Dibuat kosong",IF(NOT(ISNUMBER('PC 08'!I244)),"Tgl Dibuat harus tanggal","")),IF(AND('PC 08'!J244&lt;&gt;"",NOT(ISNUMBER('PC 08'!J244))),"Tgl Publish harus tanggal",""),IF(AND(ISNUMBER('PC 08'!I244),ISNUMBER('PC 08'!J244),'PC 08'!J244&lt;'PC 08'!I244),"Tgl Publish &lt; Tgl Dibuat",""),IF(AND('PC 08'!K244&lt;&gt;"",ISERROR(MATCH(TRIM('PC 08'!K244),{"Draft","Menunggu Review","Revisi","Terjadwal","Publish","Batal","Published"},0))),"Status di luar daftar","")))</f>
        <v>#ERROR!</v>
      </c>
      <c r="D244" s="5" t="str">
        <f>IF(C244="","OK","ADA MASALAH")</f>
        <v>#ERROR!</v>
      </c>
    </row>
    <row r="245">
      <c r="A245" s="4">
        <v>245.0</v>
      </c>
      <c r="B245" s="5" t="str">
        <f>'PC 08'!A245</f>
        <v/>
      </c>
      <c r="C245" s="5" t="str">
        <f>IF(COUNTA('PC 08'!A245:L245)=0,"",TEXTJOIN(" | ",TRUE,IF('PC 08'!A245="","Worker ID kosong",""),IF('PC 08'!B245="","Update Date kosong",IF(NOT(ISNUMBER('PC 08'!B245)),"Update Date harus tanggal","")),IF('PC 08'!D245="","Judul kosong",""),IF('PC 08'!F245="","Genre kosong",IF(ISERROR(MATCH(TRIM('PC 08'!F245),{"Pop","Rock","Dangdut","K-Pop","Electronic","Nasional","Daerah"},0)),"Genre di luar daftar","")),IF('PC 08'!G245="","Nama Channel kosong",""),IF('PC 08'!H245="","Link kosong",IF(ISERROR(FIND("youtu",LOWER('PC 08'!H245))),"Link bukan youtube","")),IF('PC 08'!I245="","Tgl Dibuat kosong",IF(NOT(ISNUMBER('PC 08'!I245)),"Tgl Dibuat harus tanggal","")),IF(AND('PC 08'!J245&lt;&gt;"",NOT(ISNUMBER('PC 08'!J245))),"Tgl Publish harus tanggal",""),IF(AND(ISNUMBER('PC 08'!I245),ISNUMBER('PC 08'!J245),'PC 08'!J245&lt;'PC 08'!I245),"Tgl Publish &lt; Tgl Dibuat",""),IF(AND('PC 08'!K245&lt;&gt;"",ISERROR(MATCH(TRIM('PC 08'!K245),{"Draft","Menunggu Review","Revisi","Terjadwal","Publish","Batal","Published"},0))),"Status di luar daftar","")))</f>
        <v>#ERROR!</v>
      </c>
      <c r="D245" s="5" t="str">
        <f>IF(C245="","OK","ADA MASALAH")</f>
        <v>#ERROR!</v>
      </c>
    </row>
    <row r="246">
      <c r="A246" s="4">
        <v>246.0</v>
      </c>
      <c r="B246" s="5" t="str">
        <f>'PC 08'!A246</f>
        <v/>
      </c>
      <c r="C246" s="5" t="str">
        <f>IF(COUNTA('PC 08'!A246:L246)=0,"",TEXTJOIN(" | ",TRUE,IF('PC 08'!A246="","Worker ID kosong",""),IF('PC 08'!B246="","Update Date kosong",IF(NOT(ISNUMBER('PC 08'!B246)),"Update Date harus tanggal","")),IF('PC 08'!D246="","Judul kosong",""),IF('PC 08'!F246="","Genre kosong",IF(ISERROR(MATCH(TRIM('PC 08'!F246),{"Pop","Rock","Dangdut","K-Pop","Electronic","Nasional","Daerah"},0)),"Genre di luar daftar","")),IF('PC 08'!G246="","Nama Channel kosong",""),IF('PC 08'!H246="","Link kosong",IF(ISERROR(FIND("youtu",LOWER('PC 08'!H246))),"Link bukan youtube","")),IF('PC 08'!I246="","Tgl Dibuat kosong",IF(NOT(ISNUMBER('PC 08'!I246)),"Tgl Dibuat harus tanggal","")),IF(AND('PC 08'!J246&lt;&gt;"",NOT(ISNUMBER('PC 08'!J246))),"Tgl Publish harus tanggal",""),IF(AND(ISNUMBER('PC 08'!I246),ISNUMBER('PC 08'!J246),'PC 08'!J246&lt;'PC 08'!I246),"Tgl Publish &lt; Tgl Dibuat",""),IF(AND('PC 08'!K246&lt;&gt;"",ISERROR(MATCH(TRIM('PC 08'!K246),{"Draft","Menunggu Review","Revisi","Terjadwal","Publish","Batal","Published"},0))),"Status di luar daftar","")))</f>
        <v>#ERROR!</v>
      </c>
      <c r="D246" s="5" t="str">
        <f>IF(C246="","OK","ADA MASALAH")</f>
        <v>#ERROR!</v>
      </c>
    </row>
    <row r="247">
      <c r="A247" s="4">
        <v>247.0</v>
      </c>
      <c r="B247" s="5" t="str">
        <f>'PC 08'!A247</f>
        <v/>
      </c>
      <c r="C247" s="5" t="str">
        <f>IF(COUNTA('PC 08'!A247:L247)=0,"",TEXTJOIN(" | ",TRUE,IF('PC 08'!A247="","Worker ID kosong",""),IF('PC 08'!B247="","Update Date kosong",IF(NOT(ISNUMBER('PC 08'!B247)),"Update Date harus tanggal","")),IF('PC 08'!D247="","Judul kosong",""),IF('PC 08'!F247="","Genre kosong",IF(ISERROR(MATCH(TRIM('PC 08'!F247),{"Pop","Rock","Dangdut","K-Pop","Electronic","Nasional","Daerah"},0)),"Genre di luar daftar","")),IF('PC 08'!G247="","Nama Channel kosong",""),IF('PC 08'!H247="","Link kosong",IF(ISERROR(FIND("youtu",LOWER('PC 08'!H247))),"Link bukan youtube","")),IF('PC 08'!I247="","Tgl Dibuat kosong",IF(NOT(ISNUMBER('PC 08'!I247)),"Tgl Dibuat harus tanggal","")),IF(AND('PC 08'!J247&lt;&gt;"",NOT(ISNUMBER('PC 08'!J247))),"Tgl Publish harus tanggal",""),IF(AND(ISNUMBER('PC 08'!I247),ISNUMBER('PC 08'!J247),'PC 08'!J247&lt;'PC 08'!I247),"Tgl Publish &lt; Tgl Dibuat",""),IF(AND('PC 08'!K247&lt;&gt;"",ISERROR(MATCH(TRIM('PC 08'!K247),{"Draft","Menunggu Review","Revisi","Terjadwal","Publish","Batal","Published"},0))),"Status di luar daftar","")))</f>
        <v>#ERROR!</v>
      </c>
      <c r="D247" s="5" t="str">
        <f>IF(C247="","OK","ADA MASALAH")</f>
        <v>#ERROR!</v>
      </c>
    </row>
    <row r="248">
      <c r="A248" s="4">
        <v>248.0</v>
      </c>
      <c r="B248" s="5" t="str">
        <f>'PC 08'!A248</f>
        <v/>
      </c>
      <c r="C248" s="5" t="str">
        <f>IF(COUNTA('PC 08'!A248:L248)=0,"",TEXTJOIN(" | ",TRUE,IF('PC 08'!A248="","Worker ID kosong",""),IF('PC 08'!B248="","Update Date kosong",IF(NOT(ISNUMBER('PC 08'!B248)),"Update Date harus tanggal","")),IF('PC 08'!D248="","Judul kosong",""),IF('PC 08'!F248="","Genre kosong",IF(ISERROR(MATCH(TRIM('PC 08'!F248),{"Pop","Rock","Dangdut","K-Pop","Electronic","Nasional","Daerah"},0)),"Genre di luar daftar","")),IF('PC 08'!G248="","Nama Channel kosong",""),IF('PC 08'!H248="","Link kosong",IF(ISERROR(FIND("youtu",LOWER('PC 08'!H248))),"Link bukan youtube","")),IF('PC 08'!I248="","Tgl Dibuat kosong",IF(NOT(ISNUMBER('PC 08'!I248)),"Tgl Dibuat harus tanggal","")),IF(AND('PC 08'!J248&lt;&gt;"",NOT(ISNUMBER('PC 08'!J248))),"Tgl Publish harus tanggal",""),IF(AND(ISNUMBER('PC 08'!I248),ISNUMBER('PC 08'!J248),'PC 08'!J248&lt;'PC 08'!I248),"Tgl Publish &lt; Tgl Dibuat",""),IF(AND('PC 08'!K248&lt;&gt;"",ISERROR(MATCH(TRIM('PC 08'!K248),{"Draft","Menunggu Review","Revisi","Terjadwal","Publish","Batal","Published"},0))),"Status di luar daftar","")))</f>
        <v>#ERROR!</v>
      </c>
      <c r="D248" s="5" t="str">
        <f>IF(C248="","OK","ADA MASALAH")</f>
        <v>#ERROR!</v>
      </c>
    </row>
    <row r="249">
      <c r="A249" s="4">
        <v>249.0</v>
      </c>
      <c r="B249" s="5" t="str">
        <f>'PC 08'!A249</f>
        <v/>
      </c>
      <c r="C249" s="5" t="str">
        <f>IF(COUNTA('PC 08'!A249:L249)=0,"",TEXTJOIN(" | ",TRUE,IF('PC 08'!A249="","Worker ID kosong",""),IF('PC 08'!B249="","Update Date kosong",IF(NOT(ISNUMBER('PC 08'!B249)),"Update Date harus tanggal","")),IF('PC 08'!D249="","Judul kosong",""),IF('PC 08'!F249="","Genre kosong",IF(ISERROR(MATCH(TRIM('PC 08'!F249),{"Pop","Rock","Dangdut","K-Pop","Electronic","Nasional","Daerah"},0)),"Genre di luar daftar","")),IF('PC 08'!G249="","Nama Channel kosong",""),IF('PC 08'!H249="","Link kosong",IF(ISERROR(FIND("youtu",LOWER('PC 08'!H249))),"Link bukan youtube","")),IF('PC 08'!I249="","Tgl Dibuat kosong",IF(NOT(ISNUMBER('PC 08'!I249)),"Tgl Dibuat harus tanggal","")),IF(AND('PC 08'!J249&lt;&gt;"",NOT(ISNUMBER('PC 08'!J249))),"Tgl Publish harus tanggal",""),IF(AND(ISNUMBER('PC 08'!I249),ISNUMBER('PC 08'!J249),'PC 08'!J249&lt;'PC 08'!I249),"Tgl Publish &lt; Tgl Dibuat",""),IF(AND('PC 08'!K249&lt;&gt;"",ISERROR(MATCH(TRIM('PC 08'!K249),{"Draft","Menunggu Review","Revisi","Terjadwal","Publish","Batal","Published"},0))),"Status di luar daftar","")))</f>
        <v>#ERROR!</v>
      </c>
      <c r="D249" s="5" t="str">
        <f>IF(C249="","OK","ADA MASALAH")</f>
        <v>#ERROR!</v>
      </c>
    </row>
    <row r="250">
      <c r="A250" s="4">
        <v>250.0</v>
      </c>
      <c r="B250" s="5" t="str">
        <f>'PC 08'!A250</f>
        <v/>
      </c>
      <c r="C250" s="5" t="str">
        <f>IF(COUNTA('PC 08'!A250:L250)=0,"",TEXTJOIN(" | ",TRUE,IF('PC 08'!A250="","Worker ID kosong",""),IF('PC 08'!B250="","Update Date kosong",IF(NOT(ISNUMBER('PC 08'!B250)),"Update Date harus tanggal","")),IF('PC 08'!D250="","Judul kosong",""),IF('PC 08'!F250="","Genre kosong",IF(ISERROR(MATCH(TRIM('PC 08'!F250),{"Pop","Rock","Dangdut","K-Pop","Electronic","Nasional","Daerah"},0)),"Genre di luar daftar","")),IF('PC 08'!G250="","Nama Channel kosong",""),IF('PC 08'!H250="","Link kosong",IF(ISERROR(FIND("youtu",LOWER('PC 08'!H250))),"Link bukan youtube","")),IF('PC 08'!I250="","Tgl Dibuat kosong",IF(NOT(ISNUMBER('PC 08'!I250)),"Tgl Dibuat harus tanggal","")),IF(AND('PC 08'!J250&lt;&gt;"",NOT(ISNUMBER('PC 08'!J250))),"Tgl Publish harus tanggal",""),IF(AND(ISNUMBER('PC 08'!I250),ISNUMBER('PC 08'!J250),'PC 08'!J250&lt;'PC 08'!I250),"Tgl Publish &lt; Tgl Dibuat",""),IF(AND('PC 08'!K250&lt;&gt;"",ISERROR(MATCH(TRIM('PC 08'!K250),{"Draft","Menunggu Review","Revisi","Terjadwal","Publish","Batal","Published"},0))),"Status di luar daftar","")))</f>
        <v>#ERROR!</v>
      </c>
      <c r="D250" s="5" t="str">
        <f>IF(C250="","OK","ADA MASALAH")</f>
        <v>#ERROR!</v>
      </c>
    </row>
    <row r="251">
      <c r="A251" s="4">
        <v>251.0</v>
      </c>
      <c r="B251" s="5" t="str">
        <f>'PC 08'!A251</f>
        <v/>
      </c>
      <c r="C251" s="5" t="str">
        <f>IF(COUNTA('PC 08'!A251:L251)=0,"",TEXTJOIN(" | ",TRUE,IF('PC 08'!A251="","Worker ID kosong",""),IF('PC 08'!B251="","Update Date kosong",IF(NOT(ISNUMBER('PC 08'!B251)),"Update Date harus tanggal","")),IF('PC 08'!D251="","Judul kosong",""),IF('PC 08'!F251="","Genre kosong",IF(ISERROR(MATCH(TRIM('PC 08'!F251),{"Pop","Rock","Dangdut","K-Pop","Electronic","Nasional","Daerah"},0)),"Genre di luar daftar","")),IF('PC 08'!G251="","Nama Channel kosong",""),IF('PC 08'!H251="","Link kosong",IF(ISERROR(FIND("youtu",LOWER('PC 08'!H251))),"Link bukan youtube","")),IF('PC 08'!I251="","Tgl Dibuat kosong",IF(NOT(ISNUMBER('PC 08'!I251)),"Tgl Dibuat harus tanggal","")),IF(AND('PC 08'!J251&lt;&gt;"",NOT(ISNUMBER('PC 08'!J251))),"Tgl Publish harus tanggal",""),IF(AND(ISNUMBER('PC 08'!I251),ISNUMBER('PC 08'!J251),'PC 08'!J251&lt;'PC 08'!I251),"Tgl Publish &lt; Tgl Dibuat",""),IF(AND('PC 08'!K251&lt;&gt;"",ISERROR(MATCH(TRIM('PC 08'!K251),{"Draft","Menunggu Review","Revisi","Terjadwal","Publish","Batal","Published"},0))),"Status di luar daftar","")))</f>
        <v>#ERROR!</v>
      </c>
      <c r="D251" s="5" t="str">
        <f>IF(C251="","OK","ADA MASALAH")</f>
        <v>#ERROR!</v>
      </c>
    </row>
    <row r="252">
      <c r="A252" s="4">
        <v>252.0</v>
      </c>
      <c r="B252" s="5" t="str">
        <f>'PC 08'!A252</f>
        <v/>
      </c>
      <c r="C252" s="5" t="str">
        <f>IF(COUNTA('PC 08'!A252:L252)=0,"",TEXTJOIN(" | ",TRUE,IF('PC 08'!A252="","Worker ID kosong",""),IF('PC 08'!B252="","Update Date kosong",IF(NOT(ISNUMBER('PC 08'!B252)),"Update Date harus tanggal","")),IF('PC 08'!D252="","Judul kosong",""),IF('PC 08'!F252="","Genre kosong",IF(ISERROR(MATCH(TRIM('PC 08'!F252),{"Pop","Rock","Dangdut","K-Pop","Electronic","Nasional","Daerah"},0)),"Genre di luar daftar","")),IF('PC 08'!G252="","Nama Channel kosong",""),IF('PC 08'!H252="","Link kosong",IF(ISERROR(FIND("youtu",LOWER('PC 08'!H252))),"Link bukan youtube","")),IF('PC 08'!I252="","Tgl Dibuat kosong",IF(NOT(ISNUMBER('PC 08'!I252)),"Tgl Dibuat harus tanggal","")),IF(AND('PC 08'!J252&lt;&gt;"",NOT(ISNUMBER('PC 08'!J252))),"Tgl Publish harus tanggal",""),IF(AND(ISNUMBER('PC 08'!I252),ISNUMBER('PC 08'!J252),'PC 08'!J252&lt;'PC 08'!I252),"Tgl Publish &lt; Tgl Dibuat",""),IF(AND('PC 08'!K252&lt;&gt;"",ISERROR(MATCH(TRIM('PC 08'!K252),{"Draft","Menunggu Review","Revisi","Terjadwal","Publish","Batal","Published"},0))),"Status di luar daftar","")))</f>
        <v>#ERROR!</v>
      </c>
      <c r="D252" s="5" t="str">
        <f>IF(C252="","OK","ADA MASALAH")</f>
        <v>#ERROR!</v>
      </c>
    </row>
    <row r="253">
      <c r="A253" s="4">
        <v>253.0</v>
      </c>
      <c r="B253" s="5" t="str">
        <f>'PC 08'!A253</f>
        <v/>
      </c>
      <c r="C253" s="5" t="str">
        <f>IF(COUNTA('PC 08'!A253:L253)=0,"",TEXTJOIN(" | ",TRUE,IF('PC 08'!A253="","Worker ID kosong",""),IF('PC 08'!B253="","Update Date kosong",IF(NOT(ISNUMBER('PC 08'!B253)),"Update Date harus tanggal","")),IF('PC 08'!D253="","Judul kosong",""),IF('PC 08'!F253="","Genre kosong",IF(ISERROR(MATCH(TRIM('PC 08'!F253),{"Pop","Rock","Dangdut","K-Pop","Electronic","Nasional","Daerah"},0)),"Genre di luar daftar","")),IF('PC 08'!G253="","Nama Channel kosong",""),IF('PC 08'!H253="","Link kosong",IF(ISERROR(FIND("youtu",LOWER('PC 08'!H253))),"Link bukan youtube","")),IF('PC 08'!I253="","Tgl Dibuat kosong",IF(NOT(ISNUMBER('PC 08'!I253)),"Tgl Dibuat harus tanggal","")),IF(AND('PC 08'!J253&lt;&gt;"",NOT(ISNUMBER('PC 08'!J253))),"Tgl Publish harus tanggal",""),IF(AND(ISNUMBER('PC 08'!I253),ISNUMBER('PC 08'!J253),'PC 08'!J253&lt;'PC 08'!I253),"Tgl Publish &lt; Tgl Dibuat",""),IF(AND('PC 08'!K253&lt;&gt;"",ISERROR(MATCH(TRIM('PC 08'!K253),{"Draft","Menunggu Review","Revisi","Terjadwal","Publish","Batal","Published"},0))),"Status di luar daftar","")))</f>
        <v>#ERROR!</v>
      </c>
      <c r="D253" s="5" t="str">
        <f>IF(C253="","OK","ADA MASALAH")</f>
        <v>#ERROR!</v>
      </c>
    </row>
    <row r="254">
      <c r="A254" s="4">
        <v>254.0</v>
      </c>
      <c r="B254" s="5" t="str">
        <f>'PC 08'!A254</f>
        <v/>
      </c>
      <c r="C254" s="5" t="str">
        <f>IF(COUNTA('PC 08'!A254:L254)=0,"",TEXTJOIN(" | ",TRUE,IF('PC 08'!A254="","Worker ID kosong",""),IF('PC 08'!B254="","Update Date kosong",IF(NOT(ISNUMBER('PC 08'!B254)),"Update Date harus tanggal","")),IF('PC 08'!D254="","Judul kosong",""),IF('PC 08'!F254="","Genre kosong",IF(ISERROR(MATCH(TRIM('PC 08'!F254),{"Pop","Rock","Dangdut","K-Pop","Electronic","Nasional","Daerah"},0)),"Genre di luar daftar","")),IF('PC 08'!G254="","Nama Channel kosong",""),IF('PC 08'!H254="","Link kosong",IF(ISERROR(FIND("youtu",LOWER('PC 08'!H254))),"Link bukan youtube","")),IF('PC 08'!I254="","Tgl Dibuat kosong",IF(NOT(ISNUMBER('PC 08'!I254)),"Tgl Dibuat harus tanggal","")),IF(AND('PC 08'!J254&lt;&gt;"",NOT(ISNUMBER('PC 08'!J254))),"Tgl Publish harus tanggal",""),IF(AND(ISNUMBER('PC 08'!I254),ISNUMBER('PC 08'!J254),'PC 08'!J254&lt;'PC 08'!I254),"Tgl Publish &lt; Tgl Dibuat",""),IF(AND('PC 08'!K254&lt;&gt;"",ISERROR(MATCH(TRIM('PC 08'!K254),{"Draft","Menunggu Review","Revisi","Terjadwal","Publish","Batal","Published"},0))),"Status di luar daftar","")))</f>
        <v>#ERROR!</v>
      </c>
      <c r="D254" s="5" t="str">
        <f>IF(C254="","OK","ADA MASALAH")</f>
        <v>#ERROR!</v>
      </c>
    </row>
    <row r="255">
      <c r="A255" s="4">
        <v>255.0</v>
      </c>
      <c r="B255" s="5" t="str">
        <f>'PC 08'!A255</f>
        <v/>
      </c>
      <c r="C255" s="5" t="str">
        <f>IF(COUNTA('PC 08'!A255:L255)=0,"",TEXTJOIN(" | ",TRUE,IF('PC 08'!A255="","Worker ID kosong",""),IF('PC 08'!B255="","Update Date kosong",IF(NOT(ISNUMBER('PC 08'!B255)),"Update Date harus tanggal","")),IF('PC 08'!D255="","Judul kosong",""),IF('PC 08'!F255="","Genre kosong",IF(ISERROR(MATCH(TRIM('PC 08'!F255),{"Pop","Rock","Dangdut","K-Pop","Electronic","Nasional","Daerah"},0)),"Genre di luar daftar","")),IF('PC 08'!G255="","Nama Channel kosong",""),IF('PC 08'!H255="","Link kosong",IF(ISERROR(FIND("youtu",LOWER('PC 08'!H255))),"Link bukan youtube","")),IF('PC 08'!I255="","Tgl Dibuat kosong",IF(NOT(ISNUMBER('PC 08'!I255)),"Tgl Dibuat harus tanggal","")),IF(AND('PC 08'!J255&lt;&gt;"",NOT(ISNUMBER('PC 08'!J255))),"Tgl Publish harus tanggal",""),IF(AND(ISNUMBER('PC 08'!I255),ISNUMBER('PC 08'!J255),'PC 08'!J255&lt;'PC 08'!I255),"Tgl Publish &lt; Tgl Dibuat",""),IF(AND('PC 08'!K255&lt;&gt;"",ISERROR(MATCH(TRIM('PC 08'!K255),{"Draft","Menunggu Review","Revisi","Terjadwal","Publish","Batal","Published"},0))),"Status di luar daftar","")))</f>
        <v>#ERROR!</v>
      </c>
      <c r="D255" s="5" t="str">
        <f>IF(C255="","OK","ADA MASALAH")</f>
        <v>#ERROR!</v>
      </c>
    </row>
    <row r="256">
      <c r="A256" s="4">
        <v>256.0</v>
      </c>
      <c r="B256" s="5" t="str">
        <f>'PC 08'!A256</f>
        <v/>
      </c>
      <c r="C256" s="5" t="str">
        <f>IF(COUNTA('PC 08'!A256:L256)=0,"",TEXTJOIN(" | ",TRUE,IF('PC 08'!A256="","Worker ID kosong",""),IF('PC 08'!B256="","Update Date kosong",IF(NOT(ISNUMBER('PC 08'!B256)),"Update Date harus tanggal","")),IF('PC 08'!D256="","Judul kosong",""),IF('PC 08'!F256="","Genre kosong",IF(ISERROR(MATCH(TRIM('PC 08'!F256),{"Pop","Rock","Dangdut","K-Pop","Electronic","Nasional","Daerah"},0)),"Genre di luar daftar","")),IF('PC 08'!G256="","Nama Channel kosong",""),IF('PC 08'!H256="","Link kosong",IF(ISERROR(FIND("youtu",LOWER('PC 08'!H256))),"Link bukan youtube","")),IF('PC 08'!I256="","Tgl Dibuat kosong",IF(NOT(ISNUMBER('PC 08'!I256)),"Tgl Dibuat harus tanggal","")),IF(AND('PC 08'!J256&lt;&gt;"",NOT(ISNUMBER('PC 08'!J256))),"Tgl Publish harus tanggal",""),IF(AND(ISNUMBER('PC 08'!I256),ISNUMBER('PC 08'!J256),'PC 08'!J256&lt;'PC 08'!I256),"Tgl Publish &lt; Tgl Dibuat",""),IF(AND('PC 08'!K256&lt;&gt;"",ISERROR(MATCH(TRIM('PC 08'!K256),{"Draft","Menunggu Review","Revisi","Terjadwal","Publish","Batal","Published"},0))),"Status di luar daftar","")))</f>
        <v>#ERROR!</v>
      </c>
      <c r="D256" s="5" t="str">
        <f>IF(C256="","OK","ADA MASALAH")</f>
        <v>#ERROR!</v>
      </c>
    </row>
    <row r="257">
      <c r="A257" s="4">
        <v>257.0</v>
      </c>
      <c r="B257" s="5" t="str">
        <f>'PC 08'!A257</f>
        <v/>
      </c>
      <c r="C257" s="5" t="str">
        <f>IF(COUNTA('PC 08'!A257:L257)=0,"",TEXTJOIN(" | ",TRUE,IF('PC 08'!A257="","Worker ID kosong",""),IF('PC 08'!B257="","Update Date kosong",IF(NOT(ISNUMBER('PC 08'!B257)),"Update Date harus tanggal","")),IF('PC 08'!D257="","Judul kosong",""),IF('PC 08'!F257="","Genre kosong",IF(ISERROR(MATCH(TRIM('PC 08'!F257),{"Pop","Rock","Dangdut","K-Pop","Electronic","Nasional","Daerah"},0)),"Genre di luar daftar","")),IF('PC 08'!G257="","Nama Channel kosong",""),IF('PC 08'!H257="","Link kosong",IF(ISERROR(FIND("youtu",LOWER('PC 08'!H257))),"Link bukan youtube","")),IF('PC 08'!I257="","Tgl Dibuat kosong",IF(NOT(ISNUMBER('PC 08'!I257)),"Tgl Dibuat harus tanggal","")),IF(AND('PC 08'!J257&lt;&gt;"",NOT(ISNUMBER('PC 08'!J257))),"Tgl Publish harus tanggal",""),IF(AND(ISNUMBER('PC 08'!I257),ISNUMBER('PC 08'!J257),'PC 08'!J257&lt;'PC 08'!I257),"Tgl Publish &lt; Tgl Dibuat",""),IF(AND('PC 08'!K257&lt;&gt;"",ISERROR(MATCH(TRIM('PC 08'!K257),{"Draft","Menunggu Review","Revisi","Terjadwal","Publish","Batal","Published"},0))),"Status di luar daftar","")))</f>
        <v>#ERROR!</v>
      </c>
      <c r="D257" s="5" t="str">
        <f>IF(C257="","OK","ADA MASALAH")</f>
        <v>#ERROR!</v>
      </c>
    </row>
    <row r="258">
      <c r="A258" s="4">
        <v>258.0</v>
      </c>
      <c r="B258" s="5" t="str">
        <f>'PC 08'!A258</f>
        <v/>
      </c>
      <c r="C258" s="5" t="str">
        <f>IF(COUNTA('PC 08'!A258:L258)=0,"",TEXTJOIN(" | ",TRUE,IF('PC 08'!A258="","Worker ID kosong",""),IF('PC 08'!B258="","Update Date kosong",IF(NOT(ISNUMBER('PC 08'!B258)),"Update Date harus tanggal","")),IF('PC 08'!D258="","Judul kosong",""),IF('PC 08'!F258="","Genre kosong",IF(ISERROR(MATCH(TRIM('PC 08'!F258),{"Pop","Rock","Dangdut","K-Pop","Electronic","Nasional","Daerah"},0)),"Genre di luar daftar","")),IF('PC 08'!G258="","Nama Channel kosong",""),IF('PC 08'!H258="","Link kosong",IF(ISERROR(FIND("youtu",LOWER('PC 08'!H258))),"Link bukan youtube","")),IF('PC 08'!I258="","Tgl Dibuat kosong",IF(NOT(ISNUMBER('PC 08'!I258)),"Tgl Dibuat harus tanggal","")),IF(AND('PC 08'!J258&lt;&gt;"",NOT(ISNUMBER('PC 08'!J258))),"Tgl Publish harus tanggal",""),IF(AND(ISNUMBER('PC 08'!I258),ISNUMBER('PC 08'!J258),'PC 08'!J258&lt;'PC 08'!I258),"Tgl Publish &lt; Tgl Dibuat",""),IF(AND('PC 08'!K258&lt;&gt;"",ISERROR(MATCH(TRIM('PC 08'!K258),{"Draft","Menunggu Review","Revisi","Terjadwal","Publish","Batal","Published"},0))),"Status di luar daftar","")))</f>
        <v>#ERROR!</v>
      </c>
      <c r="D258" s="5" t="str">
        <f>IF(C258="","OK","ADA MASALAH")</f>
        <v>#ERROR!</v>
      </c>
    </row>
    <row r="259">
      <c r="A259" s="4">
        <v>259.0</v>
      </c>
      <c r="B259" s="5" t="str">
        <f>'PC 08'!A259</f>
        <v/>
      </c>
      <c r="C259" s="5" t="str">
        <f>IF(COUNTA('PC 08'!A259:L259)=0,"",TEXTJOIN(" | ",TRUE,IF('PC 08'!A259="","Worker ID kosong",""),IF('PC 08'!B259="","Update Date kosong",IF(NOT(ISNUMBER('PC 08'!B259)),"Update Date harus tanggal","")),IF('PC 08'!D259="","Judul kosong",""),IF('PC 08'!F259="","Genre kosong",IF(ISERROR(MATCH(TRIM('PC 08'!F259),{"Pop","Rock","Dangdut","K-Pop","Electronic","Nasional","Daerah"},0)),"Genre di luar daftar","")),IF('PC 08'!G259="","Nama Channel kosong",""),IF('PC 08'!H259="","Link kosong",IF(ISERROR(FIND("youtu",LOWER('PC 08'!H259))),"Link bukan youtube","")),IF('PC 08'!I259="","Tgl Dibuat kosong",IF(NOT(ISNUMBER('PC 08'!I259)),"Tgl Dibuat harus tanggal","")),IF(AND('PC 08'!J259&lt;&gt;"",NOT(ISNUMBER('PC 08'!J259))),"Tgl Publish harus tanggal",""),IF(AND(ISNUMBER('PC 08'!I259),ISNUMBER('PC 08'!J259),'PC 08'!J259&lt;'PC 08'!I259),"Tgl Publish &lt; Tgl Dibuat",""),IF(AND('PC 08'!K259&lt;&gt;"",ISERROR(MATCH(TRIM('PC 08'!K259),{"Draft","Menunggu Review","Revisi","Terjadwal","Publish","Batal","Published"},0))),"Status di luar daftar","")))</f>
        <v>#ERROR!</v>
      </c>
      <c r="D259" s="5" t="str">
        <f>IF(C259="","OK","ADA MASALAH")</f>
        <v>#ERROR!</v>
      </c>
    </row>
    <row r="260">
      <c r="A260" s="4">
        <v>260.0</v>
      </c>
      <c r="B260" s="5" t="str">
        <f>'PC 08'!A260</f>
        <v/>
      </c>
      <c r="C260" s="5" t="str">
        <f>IF(COUNTA('PC 08'!A260:L260)=0,"",TEXTJOIN(" | ",TRUE,IF('PC 08'!A260="","Worker ID kosong",""),IF('PC 08'!B260="","Update Date kosong",IF(NOT(ISNUMBER('PC 08'!B260)),"Update Date harus tanggal","")),IF('PC 08'!D260="","Judul kosong",""),IF('PC 08'!F260="","Genre kosong",IF(ISERROR(MATCH(TRIM('PC 08'!F260),{"Pop","Rock","Dangdut","K-Pop","Electronic","Nasional","Daerah"},0)),"Genre di luar daftar","")),IF('PC 08'!G260="","Nama Channel kosong",""),IF('PC 08'!H260="","Link kosong",IF(ISERROR(FIND("youtu",LOWER('PC 08'!H260))),"Link bukan youtube","")),IF('PC 08'!I260="","Tgl Dibuat kosong",IF(NOT(ISNUMBER('PC 08'!I260)),"Tgl Dibuat harus tanggal","")),IF(AND('PC 08'!J260&lt;&gt;"",NOT(ISNUMBER('PC 08'!J260))),"Tgl Publish harus tanggal",""),IF(AND(ISNUMBER('PC 08'!I260),ISNUMBER('PC 08'!J260),'PC 08'!J260&lt;'PC 08'!I260),"Tgl Publish &lt; Tgl Dibuat",""),IF(AND('PC 08'!K260&lt;&gt;"",ISERROR(MATCH(TRIM('PC 08'!K260),{"Draft","Menunggu Review","Revisi","Terjadwal","Publish","Batal","Published"},0))),"Status di luar daftar","")))</f>
        <v>#ERROR!</v>
      </c>
      <c r="D260" s="5" t="str">
        <f>IF(C260="","OK","ADA MASALAH")</f>
        <v>#ERROR!</v>
      </c>
    </row>
    <row r="261">
      <c r="A261" s="4">
        <v>261.0</v>
      </c>
      <c r="B261" s="5" t="str">
        <f>'PC 08'!A261</f>
        <v/>
      </c>
      <c r="C261" s="5" t="str">
        <f>IF(COUNTA('PC 08'!A261:L261)=0,"",TEXTJOIN(" | ",TRUE,IF('PC 08'!A261="","Worker ID kosong",""),IF('PC 08'!B261="","Update Date kosong",IF(NOT(ISNUMBER('PC 08'!B261)),"Update Date harus tanggal","")),IF('PC 08'!D261="","Judul kosong",""),IF('PC 08'!F261="","Genre kosong",IF(ISERROR(MATCH(TRIM('PC 08'!F261),{"Pop","Rock","Dangdut","K-Pop","Electronic","Nasional","Daerah"},0)),"Genre di luar daftar","")),IF('PC 08'!G261="","Nama Channel kosong",""),IF('PC 08'!H261="","Link kosong",IF(ISERROR(FIND("youtu",LOWER('PC 08'!H261))),"Link bukan youtube","")),IF('PC 08'!I261="","Tgl Dibuat kosong",IF(NOT(ISNUMBER('PC 08'!I261)),"Tgl Dibuat harus tanggal","")),IF(AND('PC 08'!J261&lt;&gt;"",NOT(ISNUMBER('PC 08'!J261))),"Tgl Publish harus tanggal",""),IF(AND(ISNUMBER('PC 08'!I261),ISNUMBER('PC 08'!J261),'PC 08'!J261&lt;'PC 08'!I261),"Tgl Publish &lt; Tgl Dibuat",""),IF(AND('PC 08'!K261&lt;&gt;"",ISERROR(MATCH(TRIM('PC 08'!K261),{"Draft","Menunggu Review","Revisi","Terjadwal","Publish","Batal","Published"},0))),"Status di luar daftar","")))</f>
        <v>#ERROR!</v>
      </c>
      <c r="D261" s="5" t="str">
        <f>IF(C261="","OK","ADA MASALAH")</f>
        <v>#ERROR!</v>
      </c>
    </row>
    <row r="262">
      <c r="A262" s="4">
        <v>262.0</v>
      </c>
      <c r="B262" s="5" t="str">
        <f>'PC 08'!A262</f>
        <v/>
      </c>
      <c r="C262" s="5" t="str">
        <f>IF(COUNTA('PC 08'!A262:L262)=0,"",TEXTJOIN(" | ",TRUE,IF('PC 08'!A262="","Worker ID kosong",""),IF('PC 08'!B262="","Update Date kosong",IF(NOT(ISNUMBER('PC 08'!B262)),"Update Date harus tanggal","")),IF('PC 08'!D262="","Judul kosong",""),IF('PC 08'!F262="","Genre kosong",IF(ISERROR(MATCH(TRIM('PC 08'!F262),{"Pop","Rock","Dangdut","K-Pop","Electronic","Nasional","Daerah"},0)),"Genre di luar daftar","")),IF('PC 08'!G262="","Nama Channel kosong",""),IF('PC 08'!H262="","Link kosong",IF(ISERROR(FIND("youtu",LOWER('PC 08'!H262))),"Link bukan youtube","")),IF('PC 08'!I262="","Tgl Dibuat kosong",IF(NOT(ISNUMBER('PC 08'!I262)),"Tgl Dibuat harus tanggal","")),IF(AND('PC 08'!J262&lt;&gt;"",NOT(ISNUMBER('PC 08'!J262))),"Tgl Publish harus tanggal",""),IF(AND(ISNUMBER('PC 08'!I262),ISNUMBER('PC 08'!J262),'PC 08'!J262&lt;'PC 08'!I262),"Tgl Publish &lt; Tgl Dibuat",""),IF(AND('PC 08'!K262&lt;&gt;"",ISERROR(MATCH(TRIM('PC 08'!K262),{"Draft","Menunggu Review","Revisi","Terjadwal","Publish","Batal","Published"},0))),"Status di luar daftar","")))</f>
        <v>#ERROR!</v>
      </c>
      <c r="D262" s="5" t="str">
        <f>IF(C262="","OK","ADA MASALAH")</f>
        <v>#ERROR!</v>
      </c>
    </row>
    <row r="263">
      <c r="A263" s="4">
        <v>263.0</v>
      </c>
      <c r="B263" s="5" t="str">
        <f>'PC 08'!A263</f>
        <v/>
      </c>
      <c r="C263" s="5" t="str">
        <f>IF(COUNTA('PC 08'!A263:L263)=0,"",TEXTJOIN(" | ",TRUE,IF('PC 08'!A263="","Worker ID kosong",""),IF('PC 08'!B263="","Update Date kosong",IF(NOT(ISNUMBER('PC 08'!B263)),"Update Date harus tanggal","")),IF('PC 08'!D263="","Judul kosong",""),IF('PC 08'!F263="","Genre kosong",IF(ISERROR(MATCH(TRIM('PC 08'!F263),{"Pop","Rock","Dangdut","K-Pop","Electronic","Nasional","Daerah"},0)),"Genre di luar daftar","")),IF('PC 08'!G263="","Nama Channel kosong",""),IF('PC 08'!H263="","Link kosong",IF(ISERROR(FIND("youtu",LOWER('PC 08'!H263))),"Link bukan youtube","")),IF('PC 08'!I263="","Tgl Dibuat kosong",IF(NOT(ISNUMBER('PC 08'!I263)),"Tgl Dibuat harus tanggal","")),IF(AND('PC 08'!J263&lt;&gt;"",NOT(ISNUMBER('PC 08'!J263))),"Tgl Publish harus tanggal",""),IF(AND(ISNUMBER('PC 08'!I263),ISNUMBER('PC 08'!J263),'PC 08'!J263&lt;'PC 08'!I263),"Tgl Publish &lt; Tgl Dibuat",""),IF(AND('PC 08'!K263&lt;&gt;"",ISERROR(MATCH(TRIM('PC 08'!K263),{"Draft","Menunggu Review","Revisi","Terjadwal","Publish","Batal","Published"},0))),"Status di luar daftar","")))</f>
        <v>#ERROR!</v>
      </c>
      <c r="D263" s="5" t="str">
        <f>IF(C263="","OK","ADA MASALAH")</f>
        <v>#ERROR!</v>
      </c>
    </row>
    <row r="264">
      <c r="A264" s="4">
        <v>264.0</v>
      </c>
      <c r="B264" s="5" t="str">
        <f>'PC 08'!A264</f>
        <v/>
      </c>
      <c r="C264" s="5" t="str">
        <f>IF(COUNTA('PC 08'!A264:L264)=0,"",TEXTJOIN(" | ",TRUE,IF('PC 08'!A264="","Worker ID kosong",""),IF('PC 08'!B264="","Update Date kosong",IF(NOT(ISNUMBER('PC 08'!B264)),"Update Date harus tanggal","")),IF('PC 08'!D264="","Judul kosong",""),IF('PC 08'!F264="","Genre kosong",IF(ISERROR(MATCH(TRIM('PC 08'!F264),{"Pop","Rock","Dangdut","K-Pop","Electronic","Nasional","Daerah"},0)),"Genre di luar daftar","")),IF('PC 08'!G264="","Nama Channel kosong",""),IF('PC 08'!H264="","Link kosong",IF(ISERROR(FIND("youtu",LOWER('PC 08'!H264))),"Link bukan youtube","")),IF('PC 08'!I264="","Tgl Dibuat kosong",IF(NOT(ISNUMBER('PC 08'!I264)),"Tgl Dibuat harus tanggal","")),IF(AND('PC 08'!J264&lt;&gt;"",NOT(ISNUMBER('PC 08'!J264))),"Tgl Publish harus tanggal",""),IF(AND(ISNUMBER('PC 08'!I264),ISNUMBER('PC 08'!J264),'PC 08'!J264&lt;'PC 08'!I264),"Tgl Publish &lt; Tgl Dibuat",""),IF(AND('PC 08'!K264&lt;&gt;"",ISERROR(MATCH(TRIM('PC 08'!K264),{"Draft","Menunggu Review","Revisi","Terjadwal","Publish","Batal","Published"},0))),"Status di luar daftar","")))</f>
        <v>#ERROR!</v>
      </c>
      <c r="D264" s="5" t="str">
        <f>IF(C264="","OK","ADA MASALAH")</f>
        <v>#ERROR!</v>
      </c>
    </row>
    <row r="265">
      <c r="A265" s="4">
        <v>265.0</v>
      </c>
      <c r="B265" s="5" t="str">
        <f>'PC 08'!A265</f>
        <v/>
      </c>
      <c r="C265" s="5" t="str">
        <f>IF(COUNTA('PC 08'!A265:L265)=0,"",TEXTJOIN(" | ",TRUE,IF('PC 08'!A265="","Worker ID kosong",""),IF('PC 08'!B265="","Update Date kosong",IF(NOT(ISNUMBER('PC 08'!B265)),"Update Date harus tanggal","")),IF('PC 08'!D265="","Judul kosong",""),IF('PC 08'!F265="","Genre kosong",IF(ISERROR(MATCH(TRIM('PC 08'!F265),{"Pop","Rock","Dangdut","K-Pop","Electronic","Nasional","Daerah"},0)),"Genre di luar daftar","")),IF('PC 08'!G265="","Nama Channel kosong",""),IF('PC 08'!H265="","Link kosong",IF(ISERROR(FIND("youtu",LOWER('PC 08'!H265))),"Link bukan youtube","")),IF('PC 08'!I265="","Tgl Dibuat kosong",IF(NOT(ISNUMBER('PC 08'!I265)),"Tgl Dibuat harus tanggal","")),IF(AND('PC 08'!J265&lt;&gt;"",NOT(ISNUMBER('PC 08'!J265))),"Tgl Publish harus tanggal",""),IF(AND(ISNUMBER('PC 08'!I265),ISNUMBER('PC 08'!J265),'PC 08'!J265&lt;'PC 08'!I265),"Tgl Publish &lt; Tgl Dibuat",""),IF(AND('PC 08'!K265&lt;&gt;"",ISERROR(MATCH(TRIM('PC 08'!K265),{"Draft","Menunggu Review","Revisi","Terjadwal","Publish","Batal","Published"},0))),"Status di luar daftar","")))</f>
        <v>#ERROR!</v>
      </c>
      <c r="D265" s="5" t="str">
        <f>IF(C265="","OK","ADA MASALAH")</f>
        <v>#ERROR!</v>
      </c>
    </row>
    <row r="266">
      <c r="A266" s="4">
        <v>266.0</v>
      </c>
      <c r="B266" s="5" t="str">
        <f>'PC 08'!A266</f>
        <v/>
      </c>
      <c r="C266" s="5" t="str">
        <f>IF(COUNTA('PC 08'!A266:L266)=0,"",TEXTJOIN(" | ",TRUE,IF('PC 08'!A266="","Worker ID kosong",""),IF('PC 08'!B266="","Update Date kosong",IF(NOT(ISNUMBER('PC 08'!B266)),"Update Date harus tanggal","")),IF('PC 08'!D266="","Judul kosong",""),IF('PC 08'!F266="","Genre kosong",IF(ISERROR(MATCH(TRIM('PC 08'!F266),{"Pop","Rock","Dangdut","K-Pop","Electronic","Nasional","Daerah"},0)),"Genre di luar daftar","")),IF('PC 08'!G266="","Nama Channel kosong",""),IF('PC 08'!H266="","Link kosong",IF(ISERROR(FIND("youtu",LOWER('PC 08'!H266))),"Link bukan youtube","")),IF('PC 08'!I266="","Tgl Dibuat kosong",IF(NOT(ISNUMBER('PC 08'!I266)),"Tgl Dibuat harus tanggal","")),IF(AND('PC 08'!J266&lt;&gt;"",NOT(ISNUMBER('PC 08'!J266))),"Tgl Publish harus tanggal",""),IF(AND(ISNUMBER('PC 08'!I266),ISNUMBER('PC 08'!J266),'PC 08'!J266&lt;'PC 08'!I266),"Tgl Publish &lt; Tgl Dibuat",""),IF(AND('PC 08'!K266&lt;&gt;"",ISERROR(MATCH(TRIM('PC 08'!K266),{"Draft","Menunggu Review","Revisi","Terjadwal","Publish","Batal","Published"},0))),"Status di luar daftar","")))</f>
        <v>#ERROR!</v>
      </c>
      <c r="D266" s="5" t="str">
        <f>IF(C266="","OK","ADA MASALAH")</f>
        <v>#ERROR!</v>
      </c>
    </row>
    <row r="267">
      <c r="A267" s="4">
        <v>267.0</v>
      </c>
      <c r="B267" s="5" t="str">
        <f>'PC 08'!A267</f>
        <v/>
      </c>
      <c r="C267" s="5" t="str">
        <f>IF(COUNTA('PC 08'!A267:L267)=0,"",TEXTJOIN(" | ",TRUE,IF('PC 08'!A267="","Worker ID kosong",""),IF('PC 08'!B267="","Update Date kosong",IF(NOT(ISNUMBER('PC 08'!B267)),"Update Date harus tanggal","")),IF('PC 08'!D267="","Judul kosong",""),IF('PC 08'!F267="","Genre kosong",IF(ISERROR(MATCH(TRIM('PC 08'!F267),{"Pop","Rock","Dangdut","K-Pop","Electronic","Nasional","Daerah"},0)),"Genre di luar daftar","")),IF('PC 08'!G267="","Nama Channel kosong",""),IF('PC 08'!H267="","Link kosong",IF(ISERROR(FIND("youtu",LOWER('PC 08'!H267))),"Link bukan youtube","")),IF('PC 08'!I267="","Tgl Dibuat kosong",IF(NOT(ISNUMBER('PC 08'!I267)),"Tgl Dibuat harus tanggal","")),IF(AND('PC 08'!J267&lt;&gt;"",NOT(ISNUMBER('PC 08'!J267))),"Tgl Publish harus tanggal",""),IF(AND(ISNUMBER('PC 08'!I267),ISNUMBER('PC 08'!J267),'PC 08'!J267&lt;'PC 08'!I267),"Tgl Publish &lt; Tgl Dibuat",""),IF(AND('PC 08'!K267&lt;&gt;"",ISERROR(MATCH(TRIM('PC 08'!K267),{"Draft","Menunggu Review","Revisi","Terjadwal","Publish","Batal","Published"},0))),"Status di luar daftar","")))</f>
        <v>#ERROR!</v>
      </c>
      <c r="D267" s="5" t="str">
        <f>IF(C267="","OK","ADA MASALAH")</f>
        <v>#ERROR!</v>
      </c>
    </row>
    <row r="268">
      <c r="A268" s="4">
        <v>268.0</v>
      </c>
      <c r="B268" s="5" t="str">
        <f>'PC 08'!A268</f>
        <v/>
      </c>
      <c r="C268" s="5" t="str">
        <f>IF(COUNTA('PC 08'!A268:L268)=0,"",TEXTJOIN(" | ",TRUE,IF('PC 08'!A268="","Worker ID kosong",""),IF('PC 08'!B268="","Update Date kosong",IF(NOT(ISNUMBER('PC 08'!B268)),"Update Date harus tanggal","")),IF('PC 08'!D268="","Judul kosong",""),IF('PC 08'!F268="","Genre kosong",IF(ISERROR(MATCH(TRIM('PC 08'!F268),{"Pop","Rock","Dangdut","K-Pop","Electronic","Nasional","Daerah"},0)),"Genre di luar daftar","")),IF('PC 08'!G268="","Nama Channel kosong",""),IF('PC 08'!H268="","Link kosong",IF(ISERROR(FIND("youtu",LOWER('PC 08'!H268))),"Link bukan youtube","")),IF('PC 08'!I268="","Tgl Dibuat kosong",IF(NOT(ISNUMBER('PC 08'!I268)),"Tgl Dibuat harus tanggal","")),IF(AND('PC 08'!J268&lt;&gt;"",NOT(ISNUMBER('PC 08'!J268))),"Tgl Publish harus tanggal",""),IF(AND(ISNUMBER('PC 08'!I268),ISNUMBER('PC 08'!J268),'PC 08'!J268&lt;'PC 08'!I268),"Tgl Publish &lt; Tgl Dibuat",""),IF(AND('PC 08'!K268&lt;&gt;"",ISERROR(MATCH(TRIM('PC 08'!K268),{"Draft","Menunggu Review","Revisi","Terjadwal","Publish","Batal","Published"},0))),"Status di luar daftar","")))</f>
        <v>#ERROR!</v>
      </c>
      <c r="D268" s="5" t="str">
        <f>IF(C268="","OK","ADA MASALAH")</f>
        <v>#ERROR!</v>
      </c>
    </row>
    <row r="269">
      <c r="A269" s="4">
        <v>269.0</v>
      </c>
      <c r="B269" s="5" t="str">
        <f>'PC 08'!A269</f>
        <v/>
      </c>
      <c r="C269" s="5" t="str">
        <f>IF(COUNTA('PC 08'!A269:L269)=0,"",TEXTJOIN(" | ",TRUE,IF('PC 08'!A269="","Worker ID kosong",""),IF('PC 08'!B269="","Update Date kosong",IF(NOT(ISNUMBER('PC 08'!B269)),"Update Date harus tanggal","")),IF('PC 08'!D269="","Judul kosong",""),IF('PC 08'!F269="","Genre kosong",IF(ISERROR(MATCH(TRIM('PC 08'!F269),{"Pop","Rock","Dangdut","K-Pop","Electronic","Nasional","Daerah"},0)),"Genre di luar daftar","")),IF('PC 08'!G269="","Nama Channel kosong",""),IF('PC 08'!H269="","Link kosong",IF(ISERROR(FIND("youtu",LOWER('PC 08'!H269))),"Link bukan youtube","")),IF('PC 08'!I269="","Tgl Dibuat kosong",IF(NOT(ISNUMBER('PC 08'!I269)),"Tgl Dibuat harus tanggal","")),IF(AND('PC 08'!J269&lt;&gt;"",NOT(ISNUMBER('PC 08'!J269))),"Tgl Publish harus tanggal",""),IF(AND(ISNUMBER('PC 08'!I269),ISNUMBER('PC 08'!J269),'PC 08'!J269&lt;'PC 08'!I269),"Tgl Publish &lt; Tgl Dibuat",""),IF(AND('PC 08'!K269&lt;&gt;"",ISERROR(MATCH(TRIM('PC 08'!K269),{"Draft","Menunggu Review","Revisi","Terjadwal","Publish","Batal","Published"},0))),"Status di luar daftar","")))</f>
        <v>#ERROR!</v>
      </c>
      <c r="D269" s="5" t="str">
        <f>IF(C269="","OK","ADA MASALAH")</f>
        <v>#ERROR!</v>
      </c>
    </row>
    <row r="270">
      <c r="A270" s="4">
        <v>270.0</v>
      </c>
      <c r="B270" s="5" t="str">
        <f>'PC 08'!A270</f>
        <v/>
      </c>
      <c r="C270" s="5" t="str">
        <f>IF(COUNTA('PC 08'!A270:L270)=0,"",TEXTJOIN(" | ",TRUE,IF('PC 08'!A270="","Worker ID kosong",""),IF('PC 08'!B270="","Update Date kosong",IF(NOT(ISNUMBER('PC 08'!B270)),"Update Date harus tanggal","")),IF('PC 08'!D270="","Judul kosong",""),IF('PC 08'!F270="","Genre kosong",IF(ISERROR(MATCH(TRIM('PC 08'!F270),{"Pop","Rock","Dangdut","K-Pop","Electronic","Nasional","Daerah"},0)),"Genre di luar daftar","")),IF('PC 08'!G270="","Nama Channel kosong",""),IF('PC 08'!H270="","Link kosong",IF(ISERROR(FIND("youtu",LOWER('PC 08'!H270))),"Link bukan youtube","")),IF('PC 08'!I270="","Tgl Dibuat kosong",IF(NOT(ISNUMBER('PC 08'!I270)),"Tgl Dibuat harus tanggal","")),IF(AND('PC 08'!J270&lt;&gt;"",NOT(ISNUMBER('PC 08'!J270))),"Tgl Publish harus tanggal",""),IF(AND(ISNUMBER('PC 08'!I270),ISNUMBER('PC 08'!J270),'PC 08'!J270&lt;'PC 08'!I270),"Tgl Publish &lt; Tgl Dibuat",""),IF(AND('PC 08'!K270&lt;&gt;"",ISERROR(MATCH(TRIM('PC 08'!K270),{"Draft","Menunggu Review","Revisi","Terjadwal","Publish","Batal","Published"},0))),"Status di luar daftar","")))</f>
        <v>#ERROR!</v>
      </c>
      <c r="D270" s="5" t="str">
        <f>IF(C270="","OK","ADA MASALAH")</f>
        <v>#ERROR!</v>
      </c>
    </row>
    <row r="271">
      <c r="A271" s="4">
        <v>271.0</v>
      </c>
      <c r="B271" s="5" t="str">
        <f>'PC 08'!A271</f>
        <v/>
      </c>
      <c r="C271" s="5" t="str">
        <f>IF(COUNTA('PC 08'!A271:L271)=0,"",TEXTJOIN(" | ",TRUE,IF('PC 08'!A271="","Worker ID kosong",""),IF('PC 08'!B271="","Update Date kosong",IF(NOT(ISNUMBER('PC 08'!B271)),"Update Date harus tanggal","")),IF('PC 08'!D271="","Judul kosong",""),IF('PC 08'!F271="","Genre kosong",IF(ISERROR(MATCH(TRIM('PC 08'!F271),{"Pop","Rock","Dangdut","K-Pop","Electronic","Nasional","Daerah"},0)),"Genre di luar daftar","")),IF('PC 08'!G271="","Nama Channel kosong",""),IF('PC 08'!H271="","Link kosong",IF(ISERROR(FIND("youtu",LOWER('PC 08'!H271))),"Link bukan youtube","")),IF('PC 08'!I271="","Tgl Dibuat kosong",IF(NOT(ISNUMBER('PC 08'!I271)),"Tgl Dibuat harus tanggal","")),IF(AND('PC 08'!J271&lt;&gt;"",NOT(ISNUMBER('PC 08'!J271))),"Tgl Publish harus tanggal",""),IF(AND(ISNUMBER('PC 08'!I271),ISNUMBER('PC 08'!J271),'PC 08'!J271&lt;'PC 08'!I271),"Tgl Publish &lt; Tgl Dibuat",""),IF(AND('PC 08'!K271&lt;&gt;"",ISERROR(MATCH(TRIM('PC 08'!K271),{"Draft","Menunggu Review","Revisi","Terjadwal","Publish","Batal","Published"},0))),"Status di luar daftar","")))</f>
        <v>#ERROR!</v>
      </c>
      <c r="D271" s="5" t="str">
        <f>IF(C271="","OK","ADA MASALAH")</f>
        <v>#ERROR!</v>
      </c>
    </row>
    <row r="272">
      <c r="A272" s="4">
        <v>272.0</v>
      </c>
      <c r="B272" s="5" t="str">
        <f>'PC 08'!A272</f>
        <v/>
      </c>
      <c r="C272" s="5" t="str">
        <f>IF(COUNTA('PC 08'!A272:L272)=0,"",TEXTJOIN(" | ",TRUE,IF('PC 08'!A272="","Worker ID kosong",""),IF('PC 08'!B272="","Update Date kosong",IF(NOT(ISNUMBER('PC 08'!B272)),"Update Date harus tanggal","")),IF('PC 08'!D272="","Judul kosong",""),IF('PC 08'!F272="","Genre kosong",IF(ISERROR(MATCH(TRIM('PC 08'!F272),{"Pop","Rock","Dangdut","K-Pop","Electronic","Nasional","Daerah"},0)),"Genre di luar daftar","")),IF('PC 08'!G272="","Nama Channel kosong",""),IF('PC 08'!H272="","Link kosong",IF(ISERROR(FIND("youtu",LOWER('PC 08'!H272))),"Link bukan youtube","")),IF('PC 08'!I272="","Tgl Dibuat kosong",IF(NOT(ISNUMBER('PC 08'!I272)),"Tgl Dibuat harus tanggal","")),IF(AND('PC 08'!J272&lt;&gt;"",NOT(ISNUMBER('PC 08'!J272))),"Tgl Publish harus tanggal",""),IF(AND(ISNUMBER('PC 08'!I272),ISNUMBER('PC 08'!J272),'PC 08'!J272&lt;'PC 08'!I272),"Tgl Publish &lt; Tgl Dibuat",""),IF(AND('PC 08'!K272&lt;&gt;"",ISERROR(MATCH(TRIM('PC 08'!K272),{"Draft","Menunggu Review","Revisi","Terjadwal","Publish","Batal","Published"},0))),"Status di luar daftar","")))</f>
        <v>#ERROR!</v>
      </c>
      <c r="D272" s="5" t="str">
        <f>IF(C272="","OK","ADA MASALAH")</f>
        <v>#ERROR!</v>
      </c>
    </row>
    <row r="273">
      <c r="A273" s="4">
        <v>273.0</v>
      </c>
      <c r="B273" s="5" t="str">
        <f>'PC 08'!A273</f>
        <v/>
      </c>
      <c r="C273" s="5" t="str">
        <f>IF(COUNTA('PC 08'!A273:L273)=0,"",TEXTJOIN(" | ",TRUE,IF('PC 08'!A273="","Worker ID kosong",""),IF('PC 08'!B273="","Update Date kosong",IF(NOT(ISNUMBER('PC 08'!B273)),"Update Date harus tanggal","")),IF('PC 08'!D273="","Judul kosong",""),IF('PC 08'!F273="","Genre kosong",IF(ISERROR(MATCH(TRIM('PC 08'!F273),{"Pop","Rock","Dangdut","K-Pop","Electronic","Nasional","Daerah"},0)),"Genre di luar daftar","")),IF('PC 08'!G273="","Nama Channel kosong",""),IF('PC 08'!H273="","Link kosong",IF(ISERROR(FIND("youtu",LOWER('PC 08'!H273))),"Link bukan youtube","")),IF('PC 08'!I273="","Tgl Dibuat kosong",IF(NOT(ISNUMBER('PC 08'!I273)),"Tgl Dibuat harus tanggal","")),IF(AND('PC 08'!J273&lt;&gt;"",NOT(ISNUMBER('PC 08'!J273))),"Tgl Publish harus tanggal",""),IF(AND(ISNUMBER('PC 08'!I273),ISNUMBER('PC 08'!J273),'PC 08'!J273&lt;'PC 08'!I273),"Tgl Publish &lt; Tgl Dibuat",""),IF(AND('PC 08'!K273&lt;&gt;"",ISERROR(MATCH(TRIM('PC 08'!K273),{"Draft","Menunggu Review","Revisi","Terjadwal","Publish","Batal","Published"},0))),"Status di luar daftar","")))</f>
        <v>#ERROR!</v>
      </c>
      <c r="D273" s="5" t="str">
        <f>IF(C273="","OK","ADA MASALAH")</f>
        <v>#ERROR!</v>
      </c>
    </row>
    <row r="274">
      <c r="A274" s="4">
        <v>274.0</v>
      </c>
      <c r="B274" s="5" t="str">
        <f>'PC 08'!A274</f>
        <v/>
      </c>
      <c r="C274" s="5" t="str">
        <f>IF(COUNTA('PC 08'!A274:L274)=0,"",TEXTJOIN(" | ",TRUE,IF('PC 08'!A274="","Worker ID kosong",""),IF('PC 08'!B274="","Update Date kosong",IF(NOT(ISNUMBER('PC 08'!B274)),"Update Date harus tanggal","")),IF('PC 08'!D274="","Judul kosong",""),IF('PC 08'!F274="","Genre kosong",IF(ISERROR(MATCH(TRIM('PC 08'!F274),{"Pop","Rock","Dangdut","K-Pop","Electronic","Nasional","Daerah"},0)),"Genre di luar daftar","")),IF('PC 08'!G274="","Nama Channel kosong",""),IF('PC 08'!H274="","Link kosong",IF(ISERROR(FIND("youtu",LOWER('PC 08'!H274))),"Link bukan youtube","")),IF('PC 08'!I274="","Tgl Dibuat kosong",IF(NOT(ISNUMBER('PC 08'!I274)),"Tgl Dibuat harus tanggal","")),IF(AND('PC 08'!J274&lt;&gt;"",NOT(ISNUMBER('PC 08'!J274))),"Tgl Publish harus tanggal",""),IF(AND(ISNUMBER('PC 08'!I274),ISNUMBER('PC 08'!J274),'PC 08'!J274&lt;'PC 08'!I274),"Tgl Publish &lt; Tgl Dibuat",""),IF(AND('PC 08'!K274&lt;&gt;"",ISERROR(MATCH(TRIM('PC 08'!K274),{"Draft","Menunggu Review","Revisi","Terjadwal","Publish","Batal","Published"},0))),"Status di luar daftar","")))</f>
        <v>#ERROR!</v>
      </c>
      <c r="D274" s="5" t="str">
        <f>IF(C274="","OK","ADA MASALAH")</f>
        <v>#ERROR!</v>
      </c>
    </row>
    <row r="275">
      <c r="A275" s="4">
        <v>275.0</v>
      </c>
      <c r="B275" s="5" t="str">
        <f>'PC 08'!A275</f>
        <v/>
      </c>
      <c r="C275" s="5" t="str">
        <f>IF(COUNTA('PC 08'!A275:L275)=0,"",TEXTJOIN(" | ",TRUE,IF('PC 08'!A275="","Worker ID kosong",""),IF('PC 08'!B275="","Update Date kosong",IF(NOT(ISNUMBER('PC 08'!B275)),"Update Date harus tanggal","")),IF('PC 08'!D275="","Judul kosong",""),IF('PC 08'!F275="","Genre kosong",IF(ISERROR(MATCH(TRIM('PC 08'!F275),{"Pop","Rock","Dangdut","K-Pop","Electronic","Nasional","Daerah"},0)),"Genre di luar daftar","")),IF('PC 08'!G275="","Nama Channel kosong",""),IF('PC 08'!H275="","Link kosong",IF(ISERROR(FIND("youtu",LOWER('PC 08'!H275))),"Link bukan youtube","")),IF('PC 08'!I275="","Tgl Dibuat kosong",IF(NOT(ISNUMBER('PC 08'!I275)),"Tgl Dibuat harus tanggal","")),IF(AND('PC 08'!J275&lt;&gt;"",NOT(ISNUMBER('PC 08'!J275))),"Tgl Publish harus tanggal",""),IF(AND(ISNUMBER('PC 08'!I275),ISNUMBER('PC 08'!J275),'PC 08'!J275&lt;'PC 08'!I275),"Tgl Publish &lt; Tgl Dibuat",""),IF(AND('PC 08'!K275&lt;&gt;"",ISERROR(MATCH(TRIM('PC 08'!K275),{"Draft","Menunggu Review","Revisi","Terjadwal","Publish","Batal","Published"},0))),"Status di luar daftar","")))</f>
        <v>#ERROR!</v>
      </c>
      <c r="D275" s="5" t="str">
        <f>IF(C275="","OK","ADA MASALAH")</f>
        <v>#ERROR!</v>
      </c>
    </row>
    <row r="276">
      <c r="A276" s="4">
        <v>276.0</v>
      </c>
      <c r="B276" s="5" t="str">
        <f>'PC 08'!A276</f>
        <v/>
      </c>
      <c r="C276" s="5" t="str">
        <f>IF(COUNTA('PC 08'!A276:L276)=0,"",TEXTJOIN(" | ",TRUE,IF('PC 08'!A276="","Worker ID kosong",""),IF('PC 08'!B276="","Update Date kosong",IF(NOT(ISNUMBER('PC 08'!B276)),"Update Date harus tanggal","")),IF('PC 08'!D276="","Judul kosong",""),IF('PC 08'!F276="","Genre kosong",IF(ISERROR(MATCH(TRIM('PC 08'!F276),{"Pop","Rock","Dangdut","K-Pop","Electronic","Nasional","Daerah"},0)),"Genre di luar daftar","")),IF('PC 08'!G276="","Nama Channel kosong",""),IF('PC 08'!H276="","Link kosong",IF(ISERROR(FIND("youtu",LOWER('PC 08'!H276))),"Link bukan youtube","")),IF('PC 08'!I276="","Tgl Dibuat kosong",IF(NOT(ISNUMBER('PC 08'!I276)),"Tgl Dibuat harus tanggal","")),IF(AND('PC 08'!J276&lt;&gt;"",NOT(ISNUMBER('PC 08'!J276))),"Tgl Publish harus tanggal",""),IF(AND(ISNUMBER('PC 08'!I276),ISNUMBER('PC 08'!J276),'PC 08'!J276&lt;'PC 08'!I276),"Tgl Publish &lt; Tgl Dibuat",""),IF(AND('PC 08'!K276&lt;&gt;"",ISERROR(MATCH(TRIM('PC 08'!K276),{"Draft","Menunggu Review","Revisi","Terjadwal","Publish","Batal","Published"},0))),"Status di luar daftar","")))</f>
        <v>#ERROR!</v>
      </c>
      <c r="D276" s="5" t="str">
        <f>IF(C276="","OK","ADA MASALAH")</f>
        <v>#ERROR!</v>
      </c>
    </row>
    <row r="277">
      <c r="A277" s="4">
        <v>277.0</v>
      </c>
      <c r="B277" s="5" t="str">
        <f>'PC 08'!A277</f>
        <v/>
      </c>
      <c r="C277" s="5" t="str">
        <f>IF(COUNTA('PC 08'!A277:L277)=0,"",TEXTJOIN(" | ",TRUE,IF('PC 08'!A277="","Worker ID kosong",""),IF('PC 08'!B277="","Update Date kosong",IF(NOT(ISNUMBER('PC 08'!B277)),"Update Date harus tanggal","")),IF('PC 08'!D277="","Judul kosong",""),IF('PC 08'!F277="","Genre kosong",IF(ISERROR(MATCH(TRIM('PC 08'!F277),{"Pop","Rock","Dangdut","K-Pop","Electronic","Nasional","Daerah"},0)),"Genre di luar daftar","")),IF('PC 08'!G277="","Nama Channel kosong",""),IF('PC 08'!H277="","Link kosong",IF(ISERROR(FIND("youtu",LOWER('PC 08'!H277))),"Link bukan youtube","")),IF('PC 08'!I277="","Tgl Dibuat kosong",IF(NOT(ISNUMBER('PC 08'!I277)),"Tgl Dibuat harus tanggal","")),IF(AND('PC 08'!J277&lt;&gt;"",NOT(ISNUMBER('PC 08'!J277))),"Tgl Publish harus tanggal",""),IF(AND(ISNUMBER('PC 08'!I277),ISNUMBER('PC 08'!J277),'PC 08'!J277&lt;'PC 08'!I277),"Tgl Publish &lt; Tgl Dibuat",""),IF(AND('PC 08'!K277&lt;&gt;"",ISERROR(MATCH(TRIM('PC 08'!K277),{"Draft","Menunggu Review","Revisi","Terjadwal","Publish","Batal","Published"},0))),"Status di luar daftar","")))</f>
        <v>#ERROR!</v>
      </c>
      <c r="D277" s="5" t="str">
        <f>IF(C277="","OK","ADA MASALAH")</f>
        <v>#ERROR!</v>
      </c>
    </row>
    <row r="278">
      <c r="A278" s="4">
        <v>278.0</v>
      </c>
      <c r="B278" s="5" t="str">
        <f>'PC 08'!A278</f>
        <v/>
      </c>
      <c r="C278" s="5" t="str">
        <f>IF(COUNTA('PC 08'!A278:L278)=0,"",TEXTJOIN(" | ",TRUE,IF('PC 08'!A278="","Worker ID kosong",""),IF('PC 08'!B278="","Update Date kosong",IF(NOT(ISNUMBER('PC 08'!B278)),"Update Date harus tanggal","")),IF('PC 08'!D278="","Judul kosong",""),IF('PC 08'!F278="","Genre kosong",IF(ISERROR(MATCH(TRIM('PC 08'!F278),{"Pop","Rock","Dangdut","K-Pop","Electronic","Nasional","Daerah"},0)),"Genre di luar daftar","")),IF('PC 08'!G278="","Nama Channel kosong",""),IF('PC 08'!H278="","Link kosong",IF(ISERROR(FIND("youtu",LOWER('PC 08'!H278))),"Link bukan youtube","")),IF('PC 08'!I278="","Tgl Dibuat kosong",IF(NOT(ISNUMBER('PC 08'!I278)),"Tgl Dibuat harus tanggal","")),IF(AND('PC 08'!J278&lt;&gt;"",NOT(ISNUMBER('PC 08'!J278))),"Tgl Publish harus tanggal",""),IF(AND(ISNUMBER('PC 08'!I278),ISNUMBER('PC 08'!J278),'PC 08'!J278&lt;'PC 08'!I278),"Tgl Publish &lt; Tgl Dibuat",""),IF(AND('PC 08'!K278&lt;&gt;"",ISERROR(MATCH(TRIM('PC 08'!K278),{"Draft","Menunggu Review","Revisi","Terjadwal","Publish","Batal","Published"},0))),"Status di luar daftar","")))</f>
        <v>#ERROR!</v>
      </c>
      <c r="D278" s="5" t="str">
        <f>IF(C278="","OK","ADA MASALAH")</f>
        <v>#ERROR!</v>
      </c>
    </row>
    <row r="279">
      <c r="A279" s="4">
        <v>279.0</v>
      </c>
      <c r="B279" s="5" t="str">
        <f>'PC 08'!A279</f>
        <v/>
      </c>
      <c r="C279" s="5" t="str">
        <f>IF(COUNTA('PC 08'!A279:L279)=0,"",TEXTJOIN(" | ",TRUE,IF('PC 08'!A279="","Worker ID kosong",""),IF('PC 08'!B279="","Update Date kosong",IF(NOT(ISNUMBER('PC 08'!B279)),"Update Date harus tanggal","")),IF('PC 08'!D279="","Judul kosong",""),IF('PC 08'!F279="","Genre kosong",IF(ISERROR(MATCH(TRIM('PC 08'!F279),{"Pop","Rock","Dangdut","K-Pop","Electronic","Nasional","Daerah"},0)),"Genre di luar daftar","")),IF('PC 08'!G279="","Nama Channel kosong",""),IF('PC 08'!H279="","Link kosong",IF(ISERROR(FIND("youtu",LOWER('PC 08'!H279))),"Link bukan youtube","")),IF('PC 08'!I279="","Tgl Dibuat kosong",IF(NOT(ISNUMBER('PC 08'!I279)),"Tgl Dibuat harus tanggal","")),IF(AND('PC 08'!J279&lt;&gt;"",NOT(ISNUMBER('PC 08'!J279))),"Tgl Publish harus tanggal",""),IF(AND(ISNUMBER('PC 08'!I279),ISNUMBER('PC 08'!J279),'PC 08'!J279&lt;'PC 08'!I279),"Tgl Publish &lt; Tgl Dibuat",""),IF(AND('PC 08'!K279&lt;&gt;"",ISERROR(MATCH(TRIM('PC 08'!K279),{"Draft","Menunggu Review","Revisi","Terjadwal","Publish","Batal","Published"},0))),"Status di luar daftar","")))</f>
        <v>#ERROR!</v>
      </c>
      <c r="D279" s="5" t="str">
        <f>IF(C279="","OK","ADA MASALAH")</f>
        <v>#ERROR!</v>
      </c>
    </row>
    <row r="280">
      <c r="A280" s="4">
        <v>280.0</v>
      </c>
      <c r="B280" s="5" t="str">
        <f>'PC 08'!A280</f>
        <v/>
      </c>
      <c r="C280" s="5" t="str">
        <f>IF(COUNTA('PC 08'!A280:L280)=0,"",TEXTJOIN(" | ",TRUE,IF('PC 08'!A280="","Worker ID kosong",""),IF('PC 08'!B280="","Update Date kosong",IF(NOT(ISNUMBER('PC 08'!B280)),"Update Date harus tanggal","")),IF('PC 08'!D280="","Judul kosong",""),IF('PC 08'!F280="","Genre kosong",IF(ISERROR(MATCH(TRIM('PC 08'!F280),{"Pop","Rock","Dangdut","K-Pop","Electronic","Nasional","Daerah"},0)),"Genre di luar daftar","")),IF('PC 08'!G280="","Nama Channel kosong",""),IF('PC 08'!H280="","Link kosong",IF(ISERROR(FIND("youtu",LOWER('PC 08'!H280))),"Link bukan youtube","")),IF('PC 08'!I280="","Tgl Dibuat kosong",IF(NOT(ISNUMBER('PC 08'!I280)),"Tgl Dibuat harus tanggal","")),IF(AND('PC 08'!J280&lt;&gt;"",NOT(ISNUMBER('PC 08'!J280))),"Tgl Publish harus tanggal",""),IF(AND(ISNUMBER('PC 08'!I280),ISNUMBER('PC 08'!J280),'PC 08'!J280&lt;'PC 08'!I280),"Tgl Publish &lt; Tgl Dibuat",""),IF(AND('PC 08'!K280&lt;&gt;"",ISERROR(MATCH(TRIM('PC 08'!K280),{"Draft","Menunggu Review","Revisi","Terjadwal","Publish","Batal","Published"},0))),"Status di luar daftar","")))</f>
        <v>#ERROR!</v>
      </c>
      <c r="D280" s="5" t="str">
        <f>IF(C280="","OK","ADA MASALAH")</f>
        <v>#ERROR!</v>
      </c>
    </row>
    <row r="281">
      <c r="A281" s="4">
        <v>281.0</v>
      </c>
      <c r="B281" s="5" t="str">
        <f>'PC 08'!A281</f>
        <v/>
      </c>
      <c r="C281" s="5" t="str">
        <f>IF(COUNTA('PC 08'!A281:L281)=0,"",TEXTJOIN(" | ",TRUE,IF('PC 08'!A281="","Worker ID kosong",""),IF('PC 08'!B281="","Update Date kosong",IF(NOT(ISNUMBER('PC 08'!B281)),"Update Date harus tanggal","")),IF('PC 08'!D281="","Judul kosong",""),IF('PC 08'!F281="","Genre kosong",IF(ISERROR(MATCH(TRIM('PC 08'!F281),{"Pop","Rock","Dangdut","K-Pop","Electronic","Nasional","Daerah"},0)),"Genre di luar daftar","")),IF('PC 08'!G281="","Nama Channel kosong",""),IF('PC 08'!H281="","Link kosong",IF(ISERROR(FIND("youtu",LOWER('PC 08'!H281))),"Link bukan youtube","")),IF('PC 08'!I281="","Tgl Dibuat kosong",IF(NOT(ISNUMBER('PC 08'!I281)),"Tgl Dibuat harus tanggal","")),IF(AND('PC 08'!J281&lt;&gt;"",NOT(ISNUMBER('PC 08'!J281))),"Tgl Publish harus tanggal",""),IF(AND(ISNUMBER('PC 08'!I281),ISNUMBER('PC 08'!J281),'PC 08'!J281&lt;'PC 08'!I281),"Tgl Publish &lt; Tgl Dibuat",""),IF(AND('PC 08'!K281&lt;&gt;"",ISERROR(MATCH(TRIM('PC 08'!K281),{"Draft","Menunggu Review","Revisi","Terjadwal","Publish","Batal","Published"},0))),"Status di luar daftar","")))</f>
        <v>#ERROR!</v>
      </c>
      <c r="D281" s="5" t="str">
        <f>IF(C281="","OK","ADA MASALAH")</f>
        <v>#ERROR!</v>
      </c>
    </row>
    <row r="282">
      <c r="A282" s="4">
        <v>282.0</v>
      </c>
      <c r="B282" s="5" t="str">
        <f>'PC 08'!A282</f>
        <v/>
      </c>
      <c r="C282" s="5" t="str">
        <f>IF(COUNTA('PC 08'!A282:L282)=0,"",TEXTJOIN(" | ",TRUE,IF('PC 08'!A282="","Worker ID kosong",""),IF('PC 08'!B282="","Update Date kosong",IF(NOT(ISNUMBER('PC 08'!B282)),"Update Date harus tanggal","")),IF('PC 08'!D282="","Judul kosong",""),IF('PC 08'!F282="","Genre kosong",IF(ISERROR(MATCH(TRIM('PC 08'!F282),{"Pop","Rock","Dangdut","K-Pop","Electronic","Nasional","Daerah"},0)),"Genre di luar daftar","")),IF('PC 08'!G282="","Nama Channel kosong",""),IF('PC 08'!H282="","Link kosong",IF(ISERROR(FIND("youtu",LOWER('PC 08'!H282))),"Link bukan youtube","")),IF('PC 08'!I282="","Tgl Dibuat kosong",IF(NOT(ISNUMBER('PC 08'!I282)),"Tgl Dibuat harus tanggal","")),IF(AND('PC 08'!J282&lt;&gt;"",NOT(ISNUMBER('PC 08'!J282))),"Tgl Publish harus tanggal",""),IF(AND(ISNUMBER('PC 08'!I282),ISNUMBER('PC 08'!J282),'PC 08'!J282&lt;'PC 08'!I282),"Tgl Publish &lt; Tgl Dibuat",""),IF(AND('PC 08'!K282&lt;&gt;"",ISERROR(MATCH(TRIM('PC 08'!K282),{"Draft","Menunggu Review","Revisi","Terjadwal","Publish","Batal","Published"},0))),"Status di luar daftar","")))</f>
        <v>#ERROR!</v>
      </c>
      <c r="D282" s="5" t="str">
        <f>IF(C282="","OK","ADA MASALAH")</f>
        <v>#ERROR!</v>
      </c>
    </row>
    <row r="283">
      <c r="A283" s="4">
        <v>283.0</v>
      </c>
      <c r="B283" s="5" t="str">
        <f>'PC 08'!A283</f>
        <v/>
      </c>
      <c r="C283" s="5" t="str">
        <f>IF(COUNTA('PC 08'!A283:L283)=0,"",TEXTJOIN(" | ",TRUE,IF('PC 08'!A283="","Worker ID kosong",""),IF('PC 08'!B283="","Update Date kosong",IF(NOT(ISNUMBER('PC 08'!B283)),"Update Date harus tanggal","")),IF('PC 08'!D283="","Judul kosong",""),IF('PC 08'!F283="","Genre kosong",IF(ISERROR(MATCH(TRIM('PC 08'!F283),{"Pop","Rock","Dangdut","K-Pop","Electronic","Nasional","Daerah"},0)),"Genre di luar daftar","")),IF('PC 08'!G283="","Nama Channel kosong",""),IF('PC 08'!H283="","Link kosong",IF(ISERROR(FIND("youtu",LOWER('PC 08'!H283))),"Link bukan youtube","")),IF('PC 08'!I283="","Tgl Dibuat kosong",IF(NOT(ISNUMBER('PC 08'!I283)),"Tgl Dibuat harus tanggal","")),IF(AND('PC 08'!J283&lt;&gt;"",NOT(ISNUMBER('PC 08'!J283))),"Tgl Publish harus tanggal",""),IF(AND(ISNUMBER('PC 08'!I283),ISNUMBER('PC 08'!J283),'PC 08'!J283&lt;'PC 08'!I283),"Tgl Publish &lt; Tgl Dibuat",""),IF(AND('PC 08'!K283&lt;&gt;"",ISERROR(MATCH(TRIM('PC 08'!K283),{"Draft","Menunggu Review","Revisi","Terjadwal","Publish","Batal","Published"},0))),"Status di luar daftar","")))</f>
        <v>#ERROR!</v>
      </c>
      <c r="D283" s="5" t="str">
        <f>IF(C283="","OK","ADA MASALAH")</f>
        <v>#ERROR!</v>
      </c>
    </row>
    <row r="284">
      <c r="A284" s="4">
        <v>284.0</v>
      </c>
      <c r="B284" s="5" t="str">
        <f>'PC 08'!A284</f>
        <v/>
      </c>
      <c r="C284" s="5" t="str">
        <f>IF(COUNTA('PC 08'!A284:L284)=0,"",TEXTJOIN(" | ",TRUE,IF('PC 08'!A284="","Worker ID kosong",""),IF('PC 08'!B284="","Update Date kosong",IF(NOT(ISNUMBER('PC 08'!B284)),"Update Date harus tanggal","")),IF('PC 08'!D284="","Judul kosong",""),IF('PC 08'!F284="","Genre kosong",IF(ISERROR(MATCH(TRIM('PC 08'!F284),{"Pop","Rock","Dangdut","K-Pop","Electronic","Nasional","Daerah"},0)),"Genre di luar daftar","")),IF('PC 08'!G284="","Nama Channel kosong",""),IF('PC 08'!H284="","Link kosong",IF(ISERROR(FIND("youtu",LOWER('PC 08'!H284))),"Link bukan youtube","")),IF('PC 08'!I284="","Tgl Dibuat kosong",IF(NOT(ISNUMBER('PC 08'!I284)),"Tgl Dibuat harus tanggal","")),IF(AND('PC 08'!J284&lt;&gt;"",NOT(ISNUMBER('PC 08'!J284))),"Tgl Publish harus tanggal",""),IF(AND(ISNUMBER('PC 08'!I284),ISNUMBER('PC 08'!J284),'PC 08'!J284&lt;'PC 08'!I284),"Tgl Publish &lt; Tgl Dibuat",""),IF(AND('PC 08'!K284&lt;&gt;"",ISERROR(MATCH(TRIM('PC 08'!K284),{"Draft","Menunggu Review","Revisi","Terjadwal","Publish","Batal","Published"},0))),"Status di luar daftar","")))</f>
        <v>#ERROR!</v>
      </c>
      <c r="D284" s="5" t="str">
        <f>IF(C284="","OK","ADA MASALAH")</f>
        <v>#ERROR!</v>
      </c>
    </row>
    <row r="285">
      <c r="A285" s="4">
        <v>285.0</v>
      </c>
      <c r="B285" s="5" t="str">
        <f>'PC 08'!A285</f>
        <v/>
      </c>
      <c r="C285" s="5" t="str">
        <f>IF(COUNTA('PC 08'!A285:L285)=0,"",TEXTJOIN(" | ",TRUE,IF('PC 08'!A285="","Worker ID kosong",""),IF('PC 08'!B285="","Update Date kosong",IF(NOT(ISNUMBER('PC 08'!B285)),"Update Date harus tanggal","")),IF('PC 08'!D285="","Judul kosong",""),IF('PC 08'!F285="","Genre kosong",IF(ISERROR(MATCH(TRIM('PC 08'!F285),{"Pop","Rock","Dangdut","K-Pop","Electronic","Nasional","Daerah"},0)),"Genre di luar daftar","")),IF('PC 08'!G285="","Nama Channel kosong",""),IF('PC 08'!H285="","Link kosong",IF(ISERROR(FIND("youtu",LOWER('PC 08'!H285))),"Link bukan youtube","")),IF('PC 08'!I285="","Tgl Dibuat kosong",IF(NOT(ISNUMBER('PC 08'!I285)),"Tgl Dibuat harus tanggal","")),IF(AND('PC 08'!J285&lt;&gt;"",NOT(ISNUMBER('PC 08'!J285))),"Tgl Publish harus tanggal",""),IF(AND(ISNUMBER('PC 08'!I285),ISNUMBER('PC 08'!J285),'PC 08'!J285&lt;'PC 08'!I285),"Tgl Publish &lt; Tgl Dibuat",""),IF(AND('PC 08'!K285&lt;&gt;"",ISERROR(MATCH(TRIM('PC 08'!K285),{"Draft","Menunggu Review","Revisi","Terjadwal","Publish","Batal","Published"},0))),"Status di luar daftar","")))</f>
        <v>#ERROR!</v>
      </c>
      <c r="D285" s="5" t="str">
        <f>IF(C285="","OK","ADA MASALAH")</f>
        <v>#ERROR!</v>
      </c>
    </row>
    <row r="286">
      <c r="A286" s="4">
        <v>286.0</v>
      </c>
      <c r="B286" s="5" t="str">
        <f>'PC 08'!A286</f>
        <v/>
      </c>
      <c r="C286" s="5" t="str">
        <f>IF(COUNTA('PC 08'!A286:L286)=0,"",TEXTJOIN(" | ",TRUE,IF('PC 08'!A286="","Worker ID kosong",""),IF('PC 08'!B286="","Update Date kosong",IF(NOT(ISNUMBER('PC 08'!B286)),"Update Date harus tanggal","")),IF('PC 08'!D286="","Judul kosong",""),IF('PC 08'!F286="","Genre kosong",IF(ISERROR(MATCH(TRIM('PC 08'!F286),{"Pop","Rock","Dangdut","K-Pop","Electronic","Nasional","Daerah"},0)),"Genre di luar daftar","")),IF('PC 08'!G286="","Nama Channel kosong",""),IF('PC 08'!H286="","Link kosong",IF(ISERROR(FIND("youtu",LOWER('PC 08'!H286))),"Link bukan youtube","")),IF('PC 08'!I286="","Tgl Dibuat kosong",IF(NOT(ISNUMBER('PC 08'!I286)),"Tgl Dibuat harus tanggal","")),IF(AND('PC 08'!J286&lt;&gt;"",NOT(ISNUMBER('PC 08'!J286))),"Tgl Publish harus tanggal",""),IF(AND(ISNUMBER('PC 08'!I286),ISNUMBER('PC 08'!J286),'PC 08'!J286&lt;'PC 08'!I286),"Tgl Publish &lt; Tgl Dibuat",""),IF(AND('PC 08'!K286&lt;&gt;"",ISERROR(MATCH(TRIM('PC 08'!K286),{"Draft","Menunggu Review","Revisi","Terjadwal","Publish","Batal","Published"},0))),"Status di luar daftar","")))</f>
        <v>#ERROR!</v>
      </c>
      <c r="D286" s="5" t="str">
        <f>IF(C286="","OK","ADA MASALAH")</f>
        <v>#ERROR!</v>
      </c>
    </row>
    <row r="287">
      <c r="A287" s="4">
        <v>287.0</v>
      </c>
      <c r="B287" s="5" t="str">
        <f>'PC 08'!A287</f>
        <v/>
      </c>
      <c r="C287" s="5" t="str">
        <f>IF(COUNTA('PC 08'!A287:L287)=0,"",TEXTJOIN(" | ",TRUE,IF('PC 08'!A287="","Worker ID kosong",""),IF('PC 08'!B287="","Update Date kosong",IF(NOT(ISNUMBER('PC 08'!B287)),"Update Date harus tanggal","")),IF('PC 08'!D287="","Judul kosong",""),IF('PC 08'!F287="","Genre kosong",IF(ISERROR(MATCH(TRIM('PC 08'!F287),{"Pop","Rock","Dangdut","K-Pop","Electronic","Nasional","Daerah"},0)),"Genre di luar daftar","")),IF('PC 08'!G287="","Nama Channel kosong",""),IF('PC 08'!H287="","Link kosong",IF(ISERROR(FIND("youtu",LOWER('PC 08'!H287))),"Link bukan youtube","")),IF('PC 08'!I287="","Tgl Dibuat kosong",IF(NOT(ISNUMBER('PC 08'!I287)),"Tgl Dibuat harus tanggal","")),IF(AND('PC 08'!J287&lt;&gt;"",NOT(ISNUMBER('PC 08'!J287))),"Tgl Publish harus tanggal",""),IF(AND(ISNUMBER('PC 08'!I287),ISNUMBER('PC 08'!J287),'PC 08'!J287&lt;'PC 08'!I287),"Tgl Publish &lt; Tgl Dibuat",""),IF(AND('PC 08'!K287&lt;&gt;"",ISERROR(MATCH(TRIM('PC 08'!K287),{"Draft","Menunggu Review","Revisi","Terjadwal","Publish","Batal","Published"},0))),"Status di luar daftar","")))</f>
        <v>#ERROR!</v>
      </c>
      <c r="D287" s="5" t="str">
        <f>IF(C287="","OK","ADA MASALAH")</f>
        <v>#ERROR!</v>
      </c>
    </row>
    <row r="288">
      <c r="A288" s="4">
        <v>288.0</v>
      </c>
      <c r="B288" s="5" t="str">
        <f>'PC 08'!A288</f>
        <v/>
      </c>
      <c r="C288" s="5" t="str">
        <f>IF(COUNTA('PC 08'!A288:L288)=0,"",TEXTJOIN(" | ",TRUE,IF('PC 08'!A288="","Worker ID kosong",""),IF('PC 08'!B288="","Update Date kosong",IF(NOT(ISNUMBER('PC 08'!B288)),"Update Date harus tanggal","")),IF('PC 08'!D288="","Judul kosong",""),IF('PC 08'!F288="","Genre kosong",IF(ISERROR(MATCH(TRIM('PC 08'!F288),{"Pop","Rock","Dangdut","K-Pop","Electronic","Nasional","Daerah"},0)),"Genre di luar daftar","")),IF('PC 08'!G288="","Nama Channel kosong",""),IF('PC 08'!H288="","Link kosong",IF(ISERROR(FIND("youtu",LOWER('PC 08'!H288))),"Link bukan youtube","")),IF('PC 08'!I288="","Tgl Dibuat kosong",IF(NOT(ISNUMBER('PC 08'!I288)),"Tgl Dibuat harus tanggal","")),IF(AND('PC 08'!J288&lt;&gt;"",NOT(ISNUMBER('PC 08'!J288))),"Tgl Publish harus tanggal",""),IF(AND(ISNUMBER('PC 08'!I288),ISNUMBER('PC 08'!J288),'PC 08'!J288&lt;'PC 08'!I288),"Tgl Publish &lt; Tgl Dibuat",""),IF(AND('PC 08'!K288&lt;&gt;"",ISERROR(MATCH(TRIM('PC 08'!K288),{"Draft","Menunggu Review","Revisi","Terjadwal","Publish","Batal","Published"},0))),"Status di luar daftar","")))</f>
        <v>#ERROR!</v>
      </c>
      <c r="D288" s="5" t="str">
        <f>IF(C288="","OK","ADA MASALAH")</f>
        <v>#ERROR!</v>
      </c>
    </row>
    <row r="289">
      <c r="A289" s="4">
        <v>289.0</v>
      </c>
      <c r="B289" s="5" t="str">
        <f>'PC 08'!A289</f>
        <v/>
      </c>
      <c r="C289" s="5" t="str">
        <f>IF(COUNTA('PC 08'!A289:L289)=0,"",TEXTJOIN(" | ",TRUE,IF('PC 08'!A289="","Worker ID kosong",""),IF('PC 08'!B289="","Update Date kosong",IF(NOT(ISNUMBER('PC 08'!B289)),"Update Date harus tanggal","")),IF('PC 08'!D289="","Judul kosong",""),IF('PC 08'!F289="","Genre kosong",IF(ISERROR(MATCH(TRIM('PC 08'!F289),{"Pop","Rock","Dangdut","K-Pop","Electronic","Nasional","Daerah"},0)),"Genre di luar daftar","")),IF('PC 08'!G289="","Nama Channel kosong",""),IF('PC 08'!H289="","Link kosong",IF(ISERROR(FIND("youtu",LOWER('PC 08'!H289))),"Link bukan youtube","")),IF('PC 08'!I289="","Tgl Dibuat kosong",IF(NOT(ISNUMBER('PC 08'!I289)),"Tgl Dibuat harus tanggal","")),IF(AND('PC 08'!J289&lt;&gt;"",NOT(ISNUMBER('PC 08'!J289))),"Tgl Publish harus tanggal",""),IF(AND(ISNUMBER('PC 08'!I289),ISNUMBER('PC 08'!J289),'PC 08'!J289&lt;'PC 08'!I289),"Tgl Publish &lt; Tgl Dibuat",""),IF(AND('PC 08'!K289&lt;&gt;"",ISERROR(MATCH(TRIM('PC 08'!K289),{"Draft","Menunggu Review","Revisi","Terjadwal","Publish","Batal","Published"},0))),"Status di luar daftar","")))</f>
        <v>#ERROR!</v>
      </c>
      <c r="D289" s="5" t="str">
        <f>IF(C289="","OK","ADA MASALAH")</f>
        <v>#ERROR!</v>
      </c>
    </row>
    <row r="290">
      <c r="A290" s="4">
        <v>290.0</v>
      </c>
      <c r="B290" s="5" t="str">
        <f>'PC 08'!A290</f>
        <v/>
      </c>
      <c r="C290" s="5" t="str">
        <f>IF(COUNTA('PC 08'!A290:L290)=0,"",TEXTJOIN(" | ",TRUE,IF('PC 08'!A290="","Worker ID kosong",""),IF('PC 08'!B290="","Update Date kosong",IF(NOT(ISNUMBER('PC 08'!B290)),"Update Date harus tanggal","")),IF('PC 08'!D290="","Judul kosong",""),IF('PC 08'!F290="","Genre kosong",IF(ISERROR(MATCH(TRIM('PC 08'!F290),{"Pop","Rock","Dangdut","K-Pop","Electronic","Nasional","Daerah"},0)),"Genre di luar daftar","")),IF('PC 08'!G290="","Nama Channel kosong",""),IF('PC 08'!H290="","Link kosong",IF(ISERROR(FIND("youtu",LOWER('PC 08'!H290))),"Link bukan youtube","")),IF('PC 08'!I290="","Tgl Dibuat kosong",IF(NOT(ISNUMBER('PC 08'!I290)),"Tgl Dibuat harus tanggal","")),IF(AND('PC 08'!J290&lt;&gt;"",NOT(ISNUMBER('PC 08'!J290))),"Tgl Publish harus tanggal",""),IF(AND(ISNUMBER('PC 08'!I290),ISNUMBER('PC 08'!J290),'PC 08'!J290&lt;'PC 08'!I290),"Tgl Publish &lt; Tgl Dibuat",""),IF(AND('PC 08'!K290&lt;&gt;"",ISERROR(MATCH(TRIM('PC 08'!K290),{"Draft","Menunggu Review","Revisi","Terjadwal","Publish","Batal","Published"},0))),"Status di luar daftar","")))</f>
        <v>#ERROR!</v>
      </c>
      <c r="D290" s="5" t="str">
        <f>IF(C290="","OK","ADA MASALAH")</f>
        <v>#ERROR!</v>
      </c>
    </row>
    <row r="291">
      <c r="A291" s="4">
        <v>291.0</v>
      </c>
      <c r="B291" s="5" t="str">
        <f>'PC 08'!A291</f>
        <v/>
      </c>
      <c r="C291" s="5" t="str">
        <f>IF(COUNTA('PC 08'!A291:L291)=0,"",TEXTJOIN(" | ",TRUE,IF('PC 08'!A291="","Worker ID kosong",""),IF('PC 08'!B291="","Update Date kosong",IF(NOT(ISNUMBER('PC 08'!B291)),"Update Date harus tanggal","")),IF('PC 08'!D291="","Judul kosong",""),IF('PC 08'!F291="","Genre kosong",IF(ISERROR(MATCH(TRIM('PC 08'!F291),{"Pop","Rock","Dangdut","K-Pop","Electronic","Nasional","Daerah"},0)),"Genre di luar daftar","")),IF('PC 08'!G291="","Nama Channel kosong",""),IF('PC 08'!H291="","Link kosong",IF(ISERROR(FIND("youtu",LOWER('PC 08'!H291))),"Link bukan youtube","")),IF('PC 08'!I291="","Tgl Dibuat kosong",IF(NOT(ISNUMBER('PC 08'!I291)),"Tgl Dibuat harus tanggal","")),IF(AND('PC 08'!J291&lt;&gt;"",NOT(ISNUMBER('PC 08'!J291))),"Tgl Publish harus tanggal",""),IF(AND(ISNUMBER('PC 08'!I291),ISNUMBER('PC 08'!J291),'PC 08'!J291&lt;'PC 08'!I291),"Tgl Publish &lt; Tgl Dibuat",""),IF(AND('PC 08'!K291&lt;&gt;"",ISERROR(MATCH(TRIM('PC 08'!K291),{"Draft","Menunggu Review","Revisi","Terjadwal","Publish","Batal","Published"},0))),"Status di luar daftar","")))</f>
        <v>#ERROR!</v>
      </c>
      <c r="D291" s="5" t="str">
        <f>IF(C291="","OK","ADA MASALAH")</f>
        <v>#ERROR!</v>
      </c>
    </row>
    <row r="292">
      <c r="A292" s="4">
        <v>292.0</v>
      </c>
      <c r="B292" s="5" t="str">
        <f>'PC 08'!A292</f>
        <v/>
      </c>
      <c r="C292" s="5" t="str">
        <f>IF(COUNTA('PC 08'!A292:L292)=0,"",TEXTJOIN(" | ",TRUE,IF('PC 08'!A292="","Worker ID kosong",""),IF('PC 08'!B292="","Update Date kosong",IF(NOT(ISNUMBER('PC 08'!B292)),"Update Date harus tanggal","")),IF('PC 08'!D292="","Judul kosong",""),IF('PC 08'!F292="","Genre kosong",IF(ISERROR(MATCH(TRIM('PC 08'!F292),{"Pop","Rock","Dangdut","K-Pop","Electronic","Nasional","Daerah"},0)),"Genre di luar daftar","")),IF('PC 08'!G292="","Nama Channel kosong",""),IF('PC 08'!H292="","Link kosong",IF(ISERROR(FIND("youtu",LOWER('PC 08'!H292))),"Link bukan youtube","")),IF('PC 08'!I292="","Tgl Dibuat kosong",IF(NOT(ISNUMBER('PC 08'!I292)),"Tgl Dibuat harus tanggal","")),IF(AND('PC 08'!J292&lt;&gt;"",NOT(ISNUMBER('PC 08'!J292))),"Tgl Publish harus tanggal",""),IF(AND(ISNUMBER('PC 08'!I292),ISNUMBER('PC 08'!J292),'PC 08'!J292&lt;'PC 08'!I292),"Tgl Publish &lt; Tgl Dibuat",""),IF(AND('PC 08'!K292&lt;&gt;"",ISERROR(MATCH(TRIM('PC 08'!K292),{"Draft","Menunggu Review","Revisi","Terjadwal","Publish","Batal","Published"},0))),"Status di luar daftar","")))</f>
        <v>#ERROR!</v>
      </c>
      <c r="D292" s="5" t="str">
        <f>IF(C292="","OK","ADA MASALAH")</f>
        <v>#ERROR!</v>
      </c>
    </row>
    <row r="293">
      <c r="A293" s="4">
        <v>293.0</v>
      </c>
      <c r="B293" s="5" t="str">
        <f>'PC 08'!A293</f>
        <v/>
      </c>
      <c r="C293" s="5" t="str">
        <f>IF(COUNTA('PC 08'!A293:L293)=0,"",TEXTJOIN(" | ",TRUE,IF('PC 08'!A293="","Worker ID kosong",""),IF('PC 08'!B293="","Update Date kosong",IF(NOT(ISNUMBER('PC 08'!B293)),"Update Date harus tanggal","")),IF('PC 08'!D293="","Judul kosong",""),IF('PC 08'!F293="","Genre kosong",IF(ISERROR(MATCH(TRIM('PC 08'!F293),{"Pop","Rock","Dangdut","K-Pop","Electronic","Nasional","Daerah"},0)),"Genre di luar daftar","")),IF('PC 08'!G293="","Nama Channel kosong",""),IF('PC 08'!H293="","Link kosong",IF(ISERROR(FIND("youtu",LOWER('PC 08'!H293))),"Link bukan youtube","")),IF('PC 08'!I293="","Tgl Dibuat kosong",IF(NOT(ISNUMBER('PC 08'!I293)),"Tgl Dibuat harus tanggal","")),IF(AND('PC 08'!J293&lt;&gt;"",NOT(ISNUMBER('PC 08'!J293))),"Tgl Publish harus tanggal",""),IF(AND(ISNUMBER('PC 08'!I293),ISNUMBER('PC 08'!J293),'PC 08'!J293&lt;'PC 08'!I293),"Tgl Publish &lt; Tgl Dibuat",""),IF(AND('PC 08'!K293&lt;&gt;"",ISERROR(MATCH(TRIM('PC 08'!K293),{"Draft","Menunggu Review","Revisi","Terjadwal","Publish","Batal","Published"},0))),"Status di luar daftar","")))</f>
        <v>#ERROR!</v>
      </c>
      <c r="D293" s="5" t="str">
        <f>IF(C293="","OK","ADA MASALAH")</f>
        <v>#ERROR!</v>
      </c>
    </row>
    <row r="294">
      <c r="A294" s="4">
        <v>294.0</v>
      </c>
      <c r="B294" s="5" t="str">
        <f>'PC 08'!A294</f>
        <v/>
      </c>
      <c r="C294" s="5" t="str">
        <f>IF(COUNTA('PC 08'!A294:L294)=0,"",TEXTJOIN(" | ",TRUE,IF('PC 08'!A294="","Worker ID kosong",""),IF('PC 08'!B294="","Update Date kosong",IF(NOT(ISNUMBER('PC 08'!B294)),"Update Date harus tanggal","")),IF('PC 08'!D294="","Judul kosong",""),IF('PC 08'!F294="","Genre kosong",IF(ISERROR(MATCH(TRIM('PC 08'!F294),{"Pop","Rock","Dangdut","K-Pop","Electronic","Nasional","Daerah"},0)),"Genre di luar daftar","")),IF('PC 08'!G294="","Nama Channel kosong",""),IF('PC 08'!H294="","Link kosong",IF(ISERROR(FIND("youtu",LOWER('PC 08'!H294))),"Link bukan youtube","")),IF('PC 08'!I294="","Tgl Dibuat kosong",IF(NOT(ISNUMBER('PC 08'!I294)),"Tgl Dibuat harus tanggal","")),IF(AND('PC 08'!J294&lt;&gt;"",NOT(ISNUMBER('PC 08'!J294))),"Tgl Publish harus tanggal",""),IF(AND(ISNUMBER('PC 08'!I294),ISNUMBER('PC 08'!J294),'PC 08'!J294&lt;'PC 08'!I294),"Tgl Publish &lt; Tgl Dibuat",""),IF(AND('PC 08'!K294&lt;&gt;"",ISERROR(MATCH(TRIM('PC 08'!K294),{"Draft","Menunggu Review","Revisi","Terjadwal","Publish","Batal","Published"},0))),"Status di luar daftar","")))</f>
        <v>#ERROR!</v>
      </c>
      <c r="D294" s="5" t="str">
        <f>IF(C294="","OK","ADA MASALAH")</f>
        <v>#ERROR!</v>
      </c>
    </row>
    <row r="295">
      <c r="A295" s="4">
        <v>295.0</v>
      </c>
      <c r="B295" s="5" t="str">
        <f>'PC 08'!A295</f>
        <v/>
      </c>
      <c r="C295" s="5" t="str">
        <f>IF(COUNTA('PC 08'!A295:L295)=0,"",TEXTJOIN(" | ",TRUE,IF('PC 08'!A295="","Worker ID kosong",""),IF('PC 08'!B295="","Update Date kosong",IF(NOT(ISNUMBER('PC 08'!B295)),"Update Date harus tanggal","")),IF('PC 08'!D295="","Judul kosong",""),IF('PC 08'!F295="","Genre kosong",IF(ISERROR(MATCH(TRIM('PC 08'!F295),{"Pop","Rock","Dangdut","K-Pop","Electronic","Nasional","Daerah"},0)),"Genre di luar daftar","")),IF('PC 08'!G295="","Nama Channel kosong",""),IF('PC 08'!H295="","Link kosong",IF(ISERROR(FIND("youtu",LOWER('PC 08'!H295))),"Link bukan youtube","")),IF('PC 08'!I295="","Tgl Dibuat kosong",IF(NOT(ISNUMBER('PC 08'!I295)),"Tgl Dibuat harus tanggal","")),IF(AND('PC 08'!J295&lt;&gt;"",NOT(ISNUMBER('PC 08'!J295))),"Tgl Publish harus tanggal",""),IF(AND(ISNUMBER('PC 08'!I295),ISNUMBER('PC 08'!J295),'PC 08'!J295&lt;'PC 08'!I295),"Tgl Publish &lt; Tgl Dibuat",""),IF(AND('PC 08'!K295&lt;&gt;"",ISERROR(MATCH(TRIM('PC 08'!K295),{"Draft","Menunggu Review","Revisi","Terjadwal","Publish","Batal","Published"},0))),"Status di luar daftar","")))</f>
        <v>#ERROR!</v>
      </c>
      <c r="D295" s="5" t="str">
        <f>IF(C295="","OK","ADA MASALAH")</f>
        <v>#ERROR!</v>
      </c>
    </row>
    <row r="296">
      <c r="A296" s="4">
        <v>296.0</v>
      </c>
      <c r="B296" s="5" t="str">
        <f>'PC 08'!A296</f>
        <v/>
      </c>
      <c r="C296" s="5" t="str">
        <f>IF(COUNTA('PC 08'!A296:L296)=0,"",TEXTJOIN(" | ",TRUE,IF('PC 08'!A296="","Worker ID kosong",""),IF('PC 08'!B296="","Update Date kosong",IF(NOT(ISNUMBER('PC 08'!B296)),"Update Date harus tanggal","")),IF('PC 08'!D296="","Judul kosong",""),IF('PC 08'!F296="","Genre kosong",IF(ISERROR(MATCH(TRIM('PC 08'!F296),{"Pop","Rock","Dangdut","K-Pop","Electronic","Nasional","Daerah"},0)),"Genre di luar daftar","")),IF('PC 08'!G296="","Nama Channel kosong",""),IF('PC 08'!H296="","Link kosong",IF(ISERROR(FIND("youtu",LOWER('PC 08'!H296))),"Link bukan youtube","")),IF('PC 08'!I296="","Tgl Dibuat kosong",IF(NOT(ISNUMBER('PC 08'!I296)),"Tgl Dibuat harus tanggal","")),IF(AND('PC 08'!J296&lt;&gt;"",NOT(ISNUMBER('PC 08'!J296))),"Tgl Publish harus tanggal",""),IF(AND(ISNUMBER('PC 08'!I296),ISNUMBER('PC 08'!J296),'PC 08'!J296&lt;'PC 08'!I296),"Tgl Publish &lt; Tgl Dibuat",""),IF(AND('PC 08'!K296&lt;&gt;"",ISERROR(MATCH(TRIM('PC 08'!K296),{"Draft","Menunggu Review","Revisi","Terjadwal","Publish","Batal","Published"},0))),"Status di luar daftar","")))</f>
        <v>#ERROR!</v>
      </c>
      <c r="D296" s="5" t="str">
        <f>IF(C296="","OK","ADA MASALAH")</f>
        <v>#ERROR!</v>
      </c>
    </row>
    <row r="297">
      <c r="A297" s="4">
        <v>297.0</v>
      </c>
      <c r="B297" s="5" t="str">
        <f>'PC 08'!A297</f>
        <v/>
      </c>
      <c r="C297" s="5" t="str">
        <f>IF(COUNTA('PC 08'!A297:L297)=0,"",TEXTJOIN(" | ",TRUE,IF('PC 08'!A297="","Worker ID kosong",""),IF('PC 08'!B297="","Update Date kosong",IF(NOT(ISNUMBER('PC 08'!B297)),"Update Date harus tanggal","")),IF('PC 08'!D297="","Judul kosong",""),IF('PC 08'!F297="","Genre kosong",IF(ISERROR(MATCH(TRIM('PC 08'!F297),{"Pop","Rock","Dangdut","K-Pop","Electronic","Nasional","Daerah"},0)),"Genre di luar daftar","")),IF('PC 08'!G297="","Nama Channel kosong",""),IF('PC 08'!H297="","Link kosong",IF(ISERROR(FIND("youtu",LOWER('PC 08'!H297))),"Link bukan youtube","")),IF('PC 08'!I297="","Tgl Dibuat kosong",IF(NOT(ISNUMBER('PC 08'!I297)),"Tgl Dibuat harus tanggal","")),IF(AND('PC 08'!J297&lt;&gt;"",NOT(ISNUMBER('PC 08'!J297))),"Tgl Publish harus tanggal",""),IF(AND(ISNUMBER('PC 08'!I297),ISNUMBER('PC 08'!J297),'PC 08'!J297&lt;'PC 08'!I297),"Tgl Publish &lt; Tgl Dibuat",""),IF(AND('PC 08'!K297&lt;&gt;"",ISERROR(MATCH(TRIM('PC 08'!K297),{"Draft","Menunggu Review","Revisi","Terjadwal","Publish","Batal","Published"},0))),"Status di luar daftar","")))</f>
        <v>#ERROR!</v>
      </c>
      <c r="D297" s="5" t="str">
        <f>IF(C297="","OK","ADA MASALAH")</f>
        <v>#ERROR!</v>
      </c>
    </row>
    <row r="298">
      <c r="A298" s="4">
        <v>298.0</v>
      </c>
      <c r="B298" s="5" t="str">
        <f>'PC 08'!A298</f>
        <v/>
      </c>
      <c r="C298" s="5" t="str">
        <f>IF(COUNTA('PC 08'!A298:L298)=0,"",TEXTJOIN(" | ",TRUE,IF('PC 08'!A298="","Worker ID kosong",""),IF('PC 08'!B298="","Update Date kosong",IF(NOT(ISNUMBER('PC 08'!B298)),"Update Date harus tanggal","")),IF('PC 08'!D298="","Judul kosong",""),IF('PC 08'!F298="","Genre kosong",IF(ISERROR(MATCH(TRIM('PC 08'!F298),{"Pop","Rock","Dangdut","K-Pop","Electronic","Nasional","Daerah"},0)),"Genre di luar daftar","")),IF('PC 08'!G298="","Nama Channel kosong",""),IF('PC 08'!H298="","Link kosong",IF(ISERROR(FIND("youtu",LOWER('PC 08'!H298))),"Link bukan youtube","")),IF('PC 08'!I298="","Tgl Dibuat kosong",IF(NOT(ISNUMBER('PC 08'!I298)),"Tgl Dibuat harus tanggal","")),IF(AND('PC 08'!J298&lt;&gt;"",NOT(ISNUMBER('PC 08'!J298))),"Tgl Publish harus tanggal",""),IF(AND(ISNUMBER('PC 08'!I298),ISNUMBER('PC 08'!J298),'PC 08'!J298&lt;'PC 08'!I298),"Tgl Publish &lt; Tgl Dibuat",""),IF(AND('PC 08'!K298&lt;&gt;"",ISERROR(MATCH(TRIM('PC 08'!K298),{"Draft","Menunggu Review","Revisi","Terjadwal","Publish","Batal","Published"},0))),"Status di luar daftar","")))</f>
        <v>#ERROR!</v>
      </c>
      <c r="D298" s="5" t="str">
        <f>IF(C298="","OK","ADA MASALAH")</f>
        <v>#ERROR!</v>
      </c>
    </row>
    <row r="299">
      <c r="A299" s="4">
        <v>299.0</v>
      </c>
      <c r="B299" s="5" t="str">
        <f>'PC 08'!A299</f>
        <v/>
      </c>
      <c r="C299" s="5" t="str">
        <f>IF(COUNTA('PC 08'!A299:L299)=0,"",TEXTJOIN(" | ",TRUE,IF('PC 08'!A299="","Worker ID kosong",""),IF('PC 08'!B299="","Update Date kosong",IF(NOT(ISNUMBER('PC 08'!B299)),"Update Date harus tanggal","")),IF('PC 08'!D299="","Judul kosong",""),IF('PC 08'!F299="","Genre kosong",IF(ISERROR(MATCH(TRIM('PC 08'!F299),{"Pop","Rock","Dangdut","K-Pop","Electronic","Nasional","Daerah"},0)),"Genre di luar daftar","")),IF('PC 08'!G299="","Nama Channel kosong",""),IF('PC 08'!H299="","Link kosong",IF(ISERROR(FIND("youtu",LOWER('PC 08'!H299))),"Link bukan youtube","")),IF('PC 08'!I299="","Tgl Dibuat kosong",IF(NOT(ISNUMBER('PC 08'!I299)),"Tgl Dibuat harus tanggal","")),IF(AND('PC 08'!J299&lt;&gt;"",NOT(ISNUMBER('PC 08'!J299))),"Tgl Publish harus tanggal",""),IF(AND(ISNUMBER('PC 08'!I299),ISNUMBER('PC 08'!J299),'PC 08'!J299&lt;'PC 08'!I299),"Tgl Publish &lt; Tgl Dibuat",""),IF(AND('PC 08'!K299&lt;&gt;"",ISERROR(MATCH(TRIM('PC 08'!K299),{"Draft","Menunggu Review","Revisi","Terjadwal","Publish","Batal","Published"},0))),"Status di luar daftar","")))</f>
        <v>#ERROR!</v>
      </c>
      <c r="D299" s="5" t="str">
        <f>IF(C299="","OK","ADA MASALAH")</f>
        <v>#ERROR!</v>
      </c>
    </row>
    <row r="300">
      <c r="A300" s="4">
        <v>300.0</v>
      </c>
      <c r="B300" s="5" t="str">
        <f>'PC 08'!A300</f>
        <v/>
      </c>
      <c r="C300" s="5" t="str">
        <f>IF(COUNTA('PC 08'!A300:L300)=0,"",TEXTJOIN(" | ",TRUE,IF('PC 08'!A300="","Worker ID kosong",""),IF('PC 08'!B300="","Update Date kosong",IF(NOT(ISNUMBER('PC 08'!B300)),"Update Date harus tanggal","")),IF('PC 08'!D300="","Judul kosong",""),IF('PC 08'!F300="","Genre kosong",IF(ISERROR(MATCH(TRIM('PC 08'!F300),{"Pop","Rock","Dangdut","K-Pop","Electronic","Nasional","Daerah"},0)),"Genre di luar daftar","")),IF('PC 08'!G300="","Nama Channel kosong",""),IF('PC 08'!H300="","Link kosong",IF(ISERROR(FIND("youtu",LOWER('PC 08'!H300))),"Link bukan youtube","")),IF('PC 08'!I300="","Tgl Dibuat kosong",IF(NOT(ISNUMBER('PC 08'!I300)),"Tgl Dibuat harus tanggal","")),IF(AND('PC 08'!J300&lt;&gt;"",NOT(ISNUMBER('PC 08'!J300))),"Tgl Publish harus tanggal",""),IF(AND(ISNUMBER('PC 08'!I300),ISNUMBER('PC 08'!J300),'PC 08'!J300&lt;'PC 08'!I300),"Tgl Publish &lt; Tgl Dibuat",""),IF(AND('PC 08'!K300&lt;&gt;"",ISERROR(MATCH(TRIM('PC 08'!K300),{"Draft","Menunggu Review","Revisi","Terjadwal","Publish","Batal","Published"},0))),"Status di luar daftar","")))</f>
        <v>#ERROR!</v>
      </c>
      <c r="D300" s="5" t="str">
        <f>IF(C300="","OK","ADA MASALAH")</f>
        <v>#ERROR!</v>
      </c>
    </row>
    <row r="301">
      <c r="A301" s="4">
        <v>301.0</v>
      </c>
      <c r="B301" s="5" t="str">
        <f>'PC 08'!A301</f>
        <v/>
      </c>
      <c r="C301" s="5" t="str">
        <f>IF(COUNTA('PC 08'!A301:L301)=0,"",TEXTJOIN(" | ",TRUE,IF('PC 08'!A301="","Worker ID kosong",""),IF('PC 08'!B301="","Update Date kosong",IF(NOT(ISNUMBER('PC 08'!B301)),"Update Date harus tanggal","")),IF('PC 08'!D301="","Judul kosong",""),IF('PC 08'!F301="","Genre kosong",IF(ISERROR(MATCH(TRIM('PC 08'!F301),{"Pop","Rock","Dangdut","K-Pop","Electronic","Nasional","Daerah"},0)),"Genre di luar daftar","")),IF('PC 08'!G301="","Nama Channel kosong",""),IF('PC 08'!H301="","Link kosong",IF(ISERROR(FIND("youtu",LOWER('PC 08'!H301))),"Link bukan youtube","")),IF('PC 08'!I301="","Tgl Dibuat kosong",IF(NOT(ISNUMBER('PC 08'!I301)),"Tgl Dibuat harus tanggal","")),IF(AND('PC 08'!J301&lt;&gt;"",NOT(ISNUMBER('PC 08'!J301))),"Tgl Publish harus tanggal",""),IF(AND(ISNUMBER('PC 08'!I301),ISNUMBER('PC 08'!J301),'PC 08'!J301&lt;'PC 08'!I301),"Tgl Publish &lt; Tgl Dibuat",""),IF(AND('PC 08'!K301&lt;&gt;"",ISERROR(MATCH(TRIM('PC 08'!K301),{"Draft","Menunggu Review","Revisi","Terjadwal","Publish","Batal","Published"},0))),"Status di luar daftar","")))</f>
        <v>#ERROR!</v>
      </c>
      <c r="D301" s="5" t="str">
        <f>IF(C301="","OK","ADA MASALAH")</f>
        <v>#ERROR!</v>
      </c>
    </row>
    <row r="302">
      <c r="A302" s="4">
        <v>302.0</v>
      </c>
      <c r="B302" s="5" t="str">
        <f>'PC 08'!A302</f>
        <v/>
      </c>
      <c r="C302" s="5" t="str">
        <f>IF(COUNTA('PC 08'!A302:L302)=0,"",TEXTJOIN(" | ",TRUE,IF('PC 08'!A302="","Worker ID kosong",""),IF('PC 08'!B302="","Update Date kosong",IF(NOT(ISNUMBER('PC 08'!B302)),"Update Date harus tanggal","")),IF('PC 08'!D302="","Judul kosong",""),IF('PC 08'!F302="","Genre kosong",IF(ISERROR(MATCH(TRIM('PC 08'!F302),{"Pop","Rock","Dangdut","K-Pop","Electronic","Nasional","Daerah"},0)),"Genre di luar daftar","")),IF('PC 08'!G302="","Nama Channel kosong",""),IF('PC 08'!H302="","Link kosong",IF(ISERROR(FIND("youtu",LOWER('PC 08'!H302))),"Link bukan youtube","")),IF('PC 08'!I302="","Tgl Dibuat kosong",IF(NOT(ISNUMBER('PC 08'!I302)),"Tgl Dibuat harus tanggal","")),IF(AND('PC 08'!J302&lt;&gt;"",NOT(ISNUMBER('PC 08'!J302))),"Tgl Publish harus tanggal",""),IF(AND(ISNUMBER('PC 08'!I302),ISNUMBER('PC 08'!J302),'PC 08'!J302&lt;'PC 08'!I302),"Tgl Publish &lt; Tgl Dibuat",""),IF(AND('PC 08'!K302&lt;&gt;"",ISERROR(MATCH(TRIM('PC 08'!K302),{"Draft","Menunggu Review","Revisi","Terjadwal","Publish","Batal","Published"},0))),"Status di luar daftar","")))</f>
        <v>#ERROR!</v>
      </c>
      <c r="D302" s="5" t="str">
        <f>IF(C302="","OK","ADA MASALAH")</f>
        <v>#ERROR!</v>
      </c>
    </row>
    <row r="303">
      <c r="A303" s="4">
        <v>303.0</v>
      </c>
      <c r="B303" s="5" t="str">
        <f>'PC 08'!A303</f>
        <v/>
      </c>
      <c r="C303" s="5" t="str">
        <f>IF(COUNTA('PC 08'!A303:L303)=0,"",TEXTJOIN(" | ",TRUE,IF('PC 08'!A303="","Worker ID kosong",""),IF('PC 08'!B303="","Update Date kosong",IF(NOT(ISNUMBER('PC 08'!B303)),"Update Date harus tanggal","")),IF('PC 08'!D303="","Judul kosong",""),IF('PC 08'!F303="","Genre kosong",IF(ISERROR(MATCH(TRIM('PC 08'!F303),{"Pop","Rock","Dangdut","K-Pop","Electronic","Nasional","Daerah"},0)),"Genre di luar daftar","")),IF('PC 08'!G303="","Nama Channel kosong",""),IF('PC 08'!H303="","Link kosong",IF(ISERROR(FIND("youtu",LOWER('PC 08'!H303))),"Link bukan youtube","")),IF('PC 08'!I303="","Tgl Dibuat kosong",IF(NOT(ISNUMBER('PC 08'!I303)),"Tgl Dibuat harus tanggal","")),IF(AND('PC 08'!J303&lt;&gt;"",NOT(ISNUMBER('PC 08'!J303))),"Tgl Publish harus tanggal",""),IF(AND(ISNUMBER('PC 08'!I303),ISNUMBER('PC 08'!J303),'PC 08'!J303&lt;'PC 08'!I303),"Tgl Publish &lt; Tgl Dibuat",""),IF(AND('PC 08'!K303&lt;&gt;"",ISERROR(MATCH(TRIM('PC 08'!K303),{"Draft","Menunggu Review","Revisi","Terjadwal","Publish","Batal","Published"},0))),"Status di luar daftar","")))</f>
        <v>#ERROR!</v>
      </c>
      <c r="D303" s="5" t="str">
        <f>IF(C303="","OK","ADA MASALAH")</f>
        <v>#ERROR!</v>
      </c>
    </row>
    <row r="304">
      <c r="A304" s="4">
        <v>304.0</v>
      </c>
      <c r="B304" s="5" t="str">
        <f>'PC 08'!A304</f>
        <v/>
      </c>
      <c r="C304" s="5" t="str">
        <f>IF(COUNTA('PC 08'!A304:L304)=0,"",TEXTJOIN(" | ",TRUE,IF('PC 08'!A304="","Worker ID kosong",""),IF('PC 08'!B304="","Update Date kosong",IF(NOT(ISNUMBER('PC 08'!B304)),"Update Date harus tanggal","")),IF('PC 08'!D304="","Judul kosong",""),IF('PC 08'!F304="","Genre kosong",IF(ISERROR(MATCH(TRIM('PC 08'!F304),{"Pop","Rock","Dangdut","K-Pop","Electronic","Nasional","Daerah"},0)),"Genre di luar daftar","")),IF('PC 08'!G304="","Nama Channel kosong",""),IF('PC 08'!H304="","Link kosong",IF(ISERROR(FIND("youtu",LOWER('PC 08'!H304))),"Link bukan youtube","")),IF('PC 08'!I304="","Tgl Dibuat kosong",IF(NOT(ISNUMBER('PC 08'!I304)),"Tgl Dibuat harus tanggal","")),IF(AND('PC 08'!J304&lt;&gt;"",NOT(ISNUMBER('PC 08'!J304))),"Tgl Publish harus tanggal",""),IF(AND(ISNUMBER('PC 08'!I304),ISNUMBER('PC 08'!J304),'PC 08'!J304&lt;'PC 08'!I304),"Tgl Publish &lt; Tgl Dibuat",""),IF(AND('PC 08'!K304&lt;&gt;"",ISERROR(MATCH(TRIM('PC 08'!K304),{"Draft","Menunggu Review","Revisi","Terjadwal","Publish","Batal","Published"},0))),"Status di luar daftar","")))</f>
        <v>#ERROR!</v>
      </c>
      <c r="D304" s="5" t="str">
        <f>IF(C304="","OK","ADA MASALAH")</f>
        <v>#ERROR!</v>
      </c>
    </row>
    <row r="305">
      <c r="A305" s="4">
        <v>305.0</v>
      </c>
      <c r="B305" s="5" t="str">
        <f>'PC 08'!A305</f>
        <v/>
      </c>
      <c r="C305" s="5" t="str">
        <f>IF(COUNTA('PC 08'!A305:L305)=0,"",TEXTJOIN(" | ",TRUE,IF('PC 08'!A305="","Worker ID kosong",""),IF('PC 08'!B305="","Update Date kosong",IF(NOT(ISNUMBER('PC 08'!B305)),"Update Date harus tanggal","")),IF('PC 08'!D305="","Judul kosong",""),IF('PC 08'!F305="","Genre kosong",IF(ISERROR(MATCH(TRIM('PC 08'!F305),{"Pop","Rock","Dangdut","K-Pop","Electronic","Nasional","Daerah"},0)),"Genre di luar daftar","")),IF('PC 08'!G305="","Nama Channel kosong",""),IF('PC 08'!H305="","Link kosong",IF(ISERROR(FIND("youtu",LOWER('PC 08'!H305))),"Link bukan youtube","")),IF('PC 08'!I305="","Tgl Dibuat kosong",IF(NOT(ISNUMBER('PC 08'!I305)),"Tgl Dibuat harus tanggal","")),IF(AND('PC 08'!J305&lt;&gt;"",NOT(ISNUMBER('PC 08'!J305))),"Tgl Publish harus tanggal",""),IF(AND(ISNUMBER('PC 08'!I305),ISNUMBER('PC 08'!J305),'PC 08'!J305&lt;'PC 08'!I305),"Tgl Publish &lt; Tgl Dibuat",""),IF(AND('PC 08'!K305&lt;&gt;"",ISERROR(MATCH(TRIM('PC 08'!K305),{"Draft","Menunggu Review","Revisi","Terjadwal","Publish","Batal","Published"},0))),"Status di luar daftar","")))</f>
        <v>#ERROR!</v>
      </c>
      <c r="D305" s="5" t="str">
        <f>IF(C305="","OK","ADA MASALAH")</f>
        <v>#ERROR!</v>
      </c>
    </row>
    <row r="306">
      <c r="A306" s="4">
        <v>306.0</v>
      </c>
      <c r="B306" s="5" t="str">
        <f>'PC 08'!A306</f>
        <v/>
      </c>
      <c r="C306" s="5" t="str">
        <f>IF(COUNTA('PC 08'!A306:L306)=0,"",TEXTJOIN(" | ",TRUE,IF('PC 08'!A306="","Worker ID kosong",""),IF('PC 08'!B306="","Update Date kosong",IF(NOT(ISNUMBER('PC 08'!B306)),"Update Date harus tanggal","")),IF('PC 08'!D306="","Judul kosong",""),IF('PC 08'!F306="","Genre kosong",IF(ISERROR(MATCH(TRIM('PC 08'!F306),{"Pop","Rock","Dangdut","K-Pop","Electronic","Nasional","Daerah"},0)),"Genre di luar daftar","")),IF('PC 08'!G306="","Nama Channel kosong",""),IF('PC 08'!H306="","Link kosong",IF(ISERROR(FIND("youtu",LOWER('PC 08'!H306))),"Link bukan youtube","")),IF('PC 08'!I306="","Tgl Dibuat kosong",IF(NOT(ISNUMBER('PC 08'!I306)),"Tgl Dibuat harus tanggal","")),IF(AND('PC 08'!J306&lt;&gt;"",NOT(ISNUMBER('PC 08'!J306))),"Tgl Publish harus tanggal",""),IF(AND(ISNUMBER('PC 08'!I306),ISNUMBER('PC 08'!J306),'PC 08'!J306&lt;'PC 08'!I306),"Tgl Publish &lt; Tgl Dibuat",""),IF(AND('PC 08'!K306&lt;&gt;"",ISERROR(MATCH(TRIM('PC 08'!K306),{"Draft","Menunggu Review","Revisi","Terjadwal","Publish","Batal","Published"},0))),"Status di luar daftar","")))</f>
        <v>#ERROR!</v>
      </c>
      <c r="D306" s="5" t="str">
        <f>IF(C306="","OK","ADA MASALAH")</f>
        <v>#ERROR!</v>
      </c>
    </row>
    <row r="307">
      <c r="A307" s="4">
        <v>307.0</v>
      </c>
      <c r="B307" s="5" t="str">
        <f>'PC 08'!A307</f>
        <v/>
      </c>
      <c r="C307" s="5" t="str">
        <f>IF(COUNTA('PC 08'!A307:L307)=0,"",TEXTJOIN(" | ",TRUE,IF('PC 08'!A307="","Worker ID kosong",""),IF('PC 08'!B307="","Update Date kosong",IF(NOT(ISNUMBER('PC 08'!B307)),"Update Date harus tanggal","")),IF('PC 08'!D307="","Judul kosong",""),IF('PC 08'!F307="","Genre kosong",IF(ISERROR(MATCH(TRIM('PC 08'!F307),{"Pop","Rock","Dangdut","K-Pop","Electronic","Nasional","Daerah"},0)),"Genre di luar daftar","")),IF('PC 08'!G307="","Nama Channel kosong",""),IF('PC 08'!H307="","Link kosong",IF(ISERROR(FIND("youtu",LOWER('PC 08'!H307))),"Link bukan youtube","")),IF('PC 08'!I307="","Tgl Dibuat kosong",IF(NOT(ISNUMBER('PC 08'!I307)),"Tgl Dibuat harus tanggal","")),IF(AND('PC 08'!J307&lt;&gt;"",NOT(ISNUMBER('PC 08'!J307))),"Tgl Publish harus tanggal",""),IF(AND(ISNUMBER('PC 08'!I307),ISNUMBER('PC 08'!J307),'PC 08'!J307&lt;'PC 08'!I307),"Tgl Publish &lt; Tgl Dibuat",""),IF(AND('PC 08'!K307&lt;&gt;"",ISERROR(MATCH(TRIM('PC 08'!K307),{"Draft","Menunggu Review","Revisi","Terjadwal","Publish","Batal","Published"},0))),"Status di luar daftar","")))</f>
        <v>#ERROR!</v>
      </c>
      <c r="D307" s="5" t="str">
        <f>IF(C307="","OK","ADA MASALAH")</f>
        <v>#ERROR!</v>
      </c>
    </row>
    <row r="308">
      <c r="A308" s="4">
        <v>308.0</v>
      </c>
      <c r="B308" s="5" t="str">
        <f>'PC 08'!A308</f>
        <v/>
      </c>
      <c r="C308" s="5" t="str">
        <f>IF(COUNTA('PC 08'!A308:L308)=0,"",TEXTJOIN(" | ",TRUE,IF('PC 08'!A308="","Worker ID kosong",""),IF('PC 08'!B308="","Update Date kosong",IF(NOT(ISNUMBER('PC 08'!B308)),"Update Date harus tanggal","")),IF('PC 08'!D308="","Judul kosong",""),IF('PC 08'!F308="","Genre kosong",IF(ISERROR(MATCH(TRIM('PC 08'!F308),{"Pop","Rock","Dangdut","K-Pop","Electronic","Nasional","Daerah"},0)),"Genre di luar daftar","")),IF('PC 08'!G308="","Nama Channel kosong",""),IF('PC 08'!H308="","Link kosong",IF(ISERROR(FIND("youtu",LOWER('PC 08'!H308))),"Link bukan youtube","")),IF('PC 08'!I308="","Tgl Dibuat kosong",IF(NOT(ISNUMBER('PC 08'!I308)),"Tgl Dibuat harus tanggal","")),IF(AND('PC 08'!J308&lt;&gt;"",NOT(ISNUMBER('PC 08'!J308))),"Tgl Publish harus tanggal",""),IF(AND(ISNUMBER('PC 08'!I308),ISNUMBER('PC 08'!J308),'PC 08'!J308&lt;'PC 08'!I308),"Tgl Publish &lt; Tgl Dibuat",""),IF(AND('PC 08'!K308&lt;&gt;"",ISERROR(MATCH(TRIM('PC 08'!K308),{"Draft","Menunggu Review","Revisi","Terjadwal","Publish","Batal","Published"},0))),"Status di luar daftar","")))</f>
        <v>#ERROR!</v>
      </c>
      <c r="D308" s="5" t="str">
        <f>IF(C308="","OK","ADA MASALAH")</f>
        <v>#ERROR!</v>
      </c>
    </row>
    <row r="309">
      <c r="A309" s="4">
        <v>309.0</v>
      </c>
      <c r="B309" s="5" t="str">
        <f>'PC 08'!A309</f>
        <v/>
      </c>
      <c r="C309" s="5" t="str">
        <f>IF(COUNTA('PC 08'!A309:L309)=0,"",TEXTJOIN(" | ",TRUE,IF('PC 08'!A309="","Worker ID kosong",""),IF('PC 08'!B309="","Update Date kosong",IF(NOT(ISNUMBER('PC 08'!B309)),"Update Date harus tanggal","")),IF('PC 08'!D309="","Judul kosong",""),IF('PC 08'!F309="","Genre kosong",IF(ISERROR(MATCH(TRIM('PC 08'!F309),{"Pop","Rock","Dangdut","K-Pop","Electronic","Nasional","Daerah"},0)),"Genre di luar daftar","")),IF('PC 08'!G309="","Nama Channel kosong",""),IF('PC 08'!H309="","Link kosong",IF(ISERROR(FIND("youtu",LOWER('PC 08'!H309))),"Link bukan youtube","")),IF('PC 08'!I309="","Tgl Dibuat kosong",IF(NOT(ISNUMBER('PC 08'!I309)),"Tgl Dibuat harus tanggal","")),IF(AND('PC 08'!J309&lt;&gt;"",NOT(ISNUMBER('PC 08'!J309))),"Tgl Publish harus tanggal",""),IF(AND(ISNUMBER('PC 08'!I309),ISNUMBER('PC 08'!J309),'PC 08'!J309&lt;'PC 08'!I309),"Tgl Publish &lt; Tgl Dibuat",""),IF(AND('PC 08'!K309&lt;&gt;"",ISERROR(MATCH(TRIM('PC 08'!K309),{"Draft","Menunggu Review","Revisi","Terjadwal","Publish","Batal","Published"},0))),"Status di luar daftar","")))</f>
        <v>#ERROR!</v>
      </c>
      <c r="D309" s="5" t="str">
        <f>IF(C309="","OK","ADA MASALAH")</f>
        <v>#ERROR!</v>
      </c>
    </row>
    <row r="310">
      <c r="A310" s="4">
        <v>310.0</v>
      </c>
      <c r="B310" s="5" t="str">
        <f>'PC 08'!A310</f>
        <v/>
      </c>
      <c r="C310" s="5" t="str">
        <f>IF(COUNTA('PC 08'!A310:L310)=0,"",TEXTJOIN(" | ",TRUE,IF('PC 08'!A310="","Worker ID kosong",""),IF('PC 08'!B310="","Update Date kosong",IF(NOT(ISNUMBER('PC 08'!B310)),"Update Date harus tanggal","")),IF('PC 08'!D310="","Judul kosong",""),IF('PC 08'!F310="","Genre kosong",IF(ISERROR(MATCH(TRIM('PC 08'!F310),{"Pop","Rock","Dangdut","K-Pop","Electronic","Nasional","Daerah"},0)),"Genre di luar daftar","")),IF('PC 08'!G310="","Nama Channel kosong",""),IF('PC 08'!H310="","Link kosong",IF(ISERROR(FIND("youtu",LOWER('PC 08'!H310))),"Link bukan youtube","")),IF('PC 08'!I310="","Tgl Dibuat kosong",IF(NOT(ISNUMBER('PC 08'!I310)),"Tgl Dibuat harus tanggal","")),IF(AND('PC 08'!J310&lt;&gt;"",NOT(ISNUMBER('PC 08'!J310))),"Tgl Publish harus tanggal",""),IF(AND(ISNUMBER('PC 08'!I310),ISNUMBER('PC 08'!J310),'PC 08'!J310&lt;'PC 08'!I310),"Tgl Publish &lt; Tgl Dibuat",""),IF(AND('PC 08'!K310&lt;&gt;"",ISERROR(MATCH(TRIM('PC 08'!K310),{"Draft","Menunggu Review","Revisi","Terjadwal","Publish","Batal","Published"},0))),"Status di luar daftar","")))</f>
        <v>#ERROR!</v>
      </c>
      <c r="D310" s="5" t="str">
        <f>IF(C310="","OK","ADA MASALAH")</f>
        <v>#ERROR!</v>
      </c>
    </row>
    <row r="311">
      <c r="A311" s="4">
        <v>311.0</v>
      </c>
      <c r="B311" s="5" t="str">
        <f>'PC 08'!A311</f>
        <v/>
      </c>
      <c r="C311" s="5" t="str">
        <f>IF(COUNTA('PC 08'!A311:L311)=0,"",TEXTJOIN(" | ",TRUE,IF('PC 08'!A311="","Worker ID kosong",""),IF('PC 08'!B311="","Update Date kosong",IF(NOT(ISNUMBER('PC 08'!B311)),"Update Date harus tanggal","")),IF('PC 08'!D311="","Judul kosong",""),IF('PC 08'!F311="","Genre kosong",IF(ISERROR(MATCH(TRIM('PC 08'!F311),{"Pop","Rock","Dangdut","K-Pop","Electronic","Nasional","Daerah"},0)),"Genre di luar daftar","")),IF('PC 08'!G311="","Nama Channel kosong",""),IF('PC 08'!H311="","Link kosong",IF(ISERROR(FIND("youtu",LOWER('PC 08'!H311))),"Link bukan youtube","")),IF('PC 08'!I311="","Tgl Dibuat kosong",IF(NOT(ISNUMBER('PC 08'!I311)),"Tgl Dibuat harus tanggal","")),IF(AND('PC 08'!J311&lt;&gt;"",NOT(ISNUMBER('PC 08'!J311))),"Tgl Publish harus tanggal",""),IF(AND(ISNUMBER('PC 08'!I311),ISNUMBER('PC 08'!J311),'PC 08'!J311&lt;'PC 08'!I311),"Tgl Publish &lt; Tgl Dibuat",""),IF(AND('PC 08'!K311&lt;&gt;"",ISERROR(MATCH(TRIM('PC 08'!K311),{"Draft","Menunggu Review","Revisi","Terjadwal","Publish","Batal","Published"},0))),"Status di luar daftar","")))</f>
        <v>#ERROR!</v>
      </c>
      <c r="D311" s="5" t="str">
        <f>IF(C311="","OK","ADA MASALAH")</f>
        <v>#ERROR!</v>
      </c>
    </row>
    <row r="312">
      <c r="A312" s="4">
        <v>312.0</v>
      </c>
      <c r="B312" s="5" t="str">
        <f>'PC 08'!A312</f>
        <v/>
      </c>
      <c r="C312" s="5" t="str">
        <f>IF(COUNTA('PC 08'!A312:L312)=0,"",TEXTJOIN(" | ",TRUE,IF('PC 08'!A312="","Worker ID kosong",""),IF('PC 08'!B312="","Update Date kosong",IF(NOT(ISNUMBER('PC 08'!B312)),"Update Date harus tanggal","")),IF('PC 08'!D312="","Judul kosong",""),IF('PC 08'!F312="","Genre kosong",IF(ISERROR(MATCH(TRIM('PC 08'!F312),{"Pop","Rock","Dangdut","K-Pop","Electronic","Nasional","Daerah"},0)),"Genre di luar daftar","")),IF('PC 08'!G312="","Nama Channel kosong",""),IF('PC 08'!H312="","Link kosong",IF(ISERROR(FIND("youtu",LOWER('PC 08'!H312))),"Link bukan youtube","")),IF('PC 08'!I312="","Tgl Dibuat kosong",IF(NOT(ISNUMBER('PC 08'!I312)),"Tgl Dibuat harus tanggal","")),IF(AND('PC 08'!J312&lt;&gt;"",NOT(ISNUMBER('PC 08'!J312))),"Tgl Publish harus tanggal",""),IF(AND(ISNUMBER('PC 08'!I312),ISNUMBER('PC 08'!J312),'PC 08'!J312&lt;'PC 08'!I312),"Tgl Publish &lt; Tgl Dibuat",""),IF(AND('PC 08'!K312&lt;&gt;"",ISERROR(MATCH(TRIM('PC 08'!K312),{"Draft","Menunggu Review","Revisi","Terjadwal","Publish","Batal","Published"},0))),"Status di luar daftar","")))</f>
        <v>#ERROR!</v>
      </c>
      <c r="D312" s="5" t="str">
        <f>IF(C312="","OK","ADA MASALAH")</f>
        <v>#ERROR!</v>
      </c>
    </row>
    <row r="313">
      <c r="A313" s="4">
        <v>313.0</v>
      </c>
      <c r="B313" s="5" t="str">
        <f>'PC 08'!A313</f>
        <v/>
      </c>
      <c r="C313" s="5" t="str">
        <f>IF(COUNTA('PC 08'!A313:L313)=0,"",TEXTJOIN(" | ",TRUE,IF('PC 08'!A313="","Worker ID kosong",""),IF('PC 08'!B313="","Update Date kosong",IF(NOT(ISNUMBER('PC 08'!B313)),"Update Date harus tanggal","")),IF('PC 08'!D313="","Judul kosong",""),IF('PC 08'!F313="","Genre kosong",IF(ISERROR(MATCH(TRIM('PC 08'!F313),{"Pop","Rock","Dangdut","K-Pop","Electronic","Nasional","Daerah"},0)),"Genre di luar daftar","")),IF('PC 08'!G313="","Nama Channel kosong",""),IF('PC 08'!H313="","Link kosong",IF(ISERROR(FIND("youtu",LOWER('PC 08'!H313))),"Link bukan youtube","")),IF('PC 08'!I313="","Tgl Dibuat kosong",IF(NOT(ISNUMBER('PC 08'!I313)),"Tgl Dibuat harus tanggal","")),IF(AND('PC 08'!J313&lt;&gt;"",NOT(ISNUMBER('PC 08'!J313))),"Tgl Publish harus tanggal",""),IF(AND(ISNUMBER('PC 08'!I313),ISNUMBER('PC 08'!J313),'PC 08'!J313&lt;'PC 08'!I313),"Tgl Publish &lt; Tgl Dibuat",""),IF(AND('PC 08'!K313&lt;&gt;"",ISERROR(MATCH(TRIM('PC 08'!K313),{"Draft","Menunggu Review","Revisi","Terjadwal","Publish","Batal","Published"},0))),"Status di luar daftar","")))</f>
        <v>#ERROR!</v>
      </c>
      <c r="D313" s="5" t="str">
        <f>IF(C313="","OK","ADA MASALAH")</f>
        <v>#ERROR!</v>
      </c>
    </row>
    <row r="314">
      <c r="A314" s="4">
        <v>314.0</v>
      </c>
      <c r="B314" s="5" t="str">
        <f>'PC 08'!A314</f>
        <v/>
      </c>
      <c r="C314" s="5" t="str">
        <f>IF(COUNTA('PC 08'!A314:L314)=0,"",TEXTJOIN(" | ",TRUE,IF('PC 08'!A314="","Worker ID kosong",""),IF('PC 08'!B314="","Update Date kosong",IF(NOT(ISNUMBER('PC 08'!B314)),"Update Date harus tanggal","")),IF('PC 08'!D314="","Judul kosong",""),IF('PC 08'!F314="","Genre kosong",IF(ISERROR(MATCH(TRIM('PC 08'!F314),{"Pop","Rock","Dangdut","K-Pop","Electronic","Nasional","Daerah"},0)),"Genre di luar daftar","")),IF('PC 08'!G314="","Nama Channel kosong",""),IF('PC 08'!H314="","Link kosong",IF(ISERROR(FIND("youtu",LOWER('PC 08'!H314))),"Link bukan youtube","")),IF('PC 08'!I314="","Tgl Dibuat kosong",IF(NOT(ISNUMBER('PC 08'!I314)),"Tgl Dibuat harus tanggal","")),IF(AND('PC 08'!J314&lt;&gt;"",NOT(ISNUMBER('PC 08'!J314))),"Tgl Publish harus tanggal",""),IF(AND(ISNUMBER('PC 08'!I314),ISNUMBER('PC 08'!J314),'PC 08'!J314&lt;'PC 08'!I314),"Tgl Publish &lt; Tgl Dibuat",""),IF(AND('PC 08'!K314&lt;&gt;"",ISERROR(MATCH(TRIM('PC 08'!K314),{"Draft","Menunggu Review","Revisi","Terjadwal","Publish","Batal","Published"},0))),"Status di luar daftar","")))</f>
        <v>#ERROR!</v>
      </c>
      <c r="D314" s="5" t="str">
        <f>IF(C314="","OK","ADA MASALAH")</f>
        <v>#ERROR!</v>
      </c>
    </row>
    <row r="315">
      <c r="A315" s="4">
        <v>315.0</v>
      </c>
      <c r="B315" s="5" t="str">
        <f>'PC 08'!A315</f>
        <v/>
      </c>
      <c r="C315" s="5" t="str">
        <f>IF(COUNTA('PC 08'!A315:L315)=0,"",TEXTJOIN(" | ",TRUE,IF('PC 08'!A315="","Worker ID kosong",""),IF('PC 08'!B315="","Update Date kosong",IF(NOT(ISNUMBER('PC 08'!B315)),"Update Date harus tanggal","")),IF('PC 08'!D315="","Judul kosong",""),IF('PC 08'!F315="","Genre kosong",IF(ISERROR(MATCH(TRIM('PC 08'!F315),{"Pop","Rock","Dangdut","K-Pop","Electronic","Nasional","Daerah"},0)),"Genre di luar daftar","")),IF('PC 08'!G315="","Nama Channel kosong",""),IF('PC 08'!H315="","Link kosong",IF(ISERROR(FIND("youtu",LOWER('PC 08'!H315))),"Link bukan youtube","")),IF('PC 08'!I315="","Tgl Dibuat kosong",IF(NOT(ISNUMBER('PC 08'!I315)),"Tgl Dibuat harus tanggal","")),IF(AND('PC 08'!J315&lt;&gt;"",NOT(ISNUMBER('PC 08'!J315))),"Tgl Publish harus tanggal",""),IF(AND(ISNUMBER('PC 08'!I315),ISNUMBER('PC 08'!J315),'PC 08'!J315&lt;'PC 08'!I315),"Tgl Publish &lt; Tgl Dibuat",""),IF(AND('PC 08'!K315&lt;&gt;"",ISERROR(MATCH(TRIM('PC 08'!K315),{"Draft","Menunggu Review","Revisi","Terjadwal","Publish","Batal","Published"},0))),"Status di luar daftar","")))</f>
        <v>#ERROR!</v>
      </c>
      <c r="D315" s="5" t="str">
        <f>IF(C315="","OK","ADA MASALAH")</f>
        <v>#ERROR!</v>
      </c>
    </row>
    <row r="316">
      <c r="A316" s="4">
        <v>316.0</v>
      </c>
      <c r="B316" s="5" t="str">
        <f>'PC 08'!A316</f>
        <v/>
      </c>
      <c r="C316" s="5" t="str">
        <f>IF(COUNTA('PC 08'!A316:L316)=0,"",TEXTJOIN(" | ",TRUE,IF('PC 08'!A316="","Worker ID kosong",""),IF('PC 08'!B316="","Update Date kosong",IF(NOT(ISNUMBER('PC 08'!B316)),"Update Date harus tanggal","")),IF('PC 08'!D316="","Judul kosong",""),IF('PC 08'!F316="","Genre kosong",IF(ISERROR(MATCH(TRIM('PC 08'!F316),{"Pop","Rock","Dangdut","K-Pop","Electronic","Nasional","Daerah"},0)),"Genre di luar daftar","")),IF('PC 08'!G316="","Nama Channel kosong",""),IF('PC 08'!H316="","Link kosong",IF(ISERROR(FIND("youtu",LOWER('PC 08'!H316))),"Link bukan youtube","")),IF('PC 08'!I316="","Tgl Dibuat kosong",IF(NOT(ISNUMBER('PC 08'!I316)),"Tgl Dibuat harus tanggal","")),IF(AND('PC 08'!J316&lt;&gt;"",NOT(ISNUMBER('PC 08'!J316))),"Tgl Publish harus tanggal",""),IF(AND(ISNUMBER('PC 08'!I316),ISNUMBER('PC 08'!J316),'PC 08'!J316&lt;'PC 08'!I316),"Tgl Publish &lt; Tgl Dibuat",""),IF(AND('PC 08'!K316&lt;&gt;"",ISERROR(MATCH(TRIM('PC 08'!K316),{"Draft","Menunggu Review","Revisi","Terjadwal","Publish","Batal","Published"},0))),"Status di luar daftar","")))</f>
        <v>#ERROR!</v>
      </c>
      <c r="D316" s="5" t="str">
        <f>IF(C316="","OK","ADA MASALAH")</f>
        <v>#ERROR!</v>
      </c>
    </row>
    <row r="317">
      <c r="A317" s="4">
        <v>317.0</v>
      </c>
      <c r="B317" s="5" t="str">
        <f>'PC 08'!A317</f>
        <v/>
      </c>
      <c r="C317" s="5" t="str">
        <f>IF(COUNTA('PC 08'!A317:L317)=0,"",TEXTJOIN(" | ",TRUE,IF('PC 08'!A317="","Worker ID kosong",""),IF('PC 08'!B317="","Update Date kosong",IF(NOT(ISNUMBER('PC 08'!B317)),"Update Date harus tanggal","")),IF('PC 08'!D317="","Judul kosong",""),IF('PC 08'!F317="","Genre kosong",IF(ISERROR(MATCH(TRIM('PC 08'!F317),{"Pop","Rock","Dangdut","K-Pop","Electronic","Nasional","Daerah"},0)),"Genre di luar daftar","")),IF('PC 08'!G317="","Nama Channel kosong",""),IF('PC 08'!H317="","Link kosong",IF(ISERROR(FIND("youtu",LOWER('PC 08'!H317))),"Link bukan youtube","")),IF('PC 08'!I317="","Tgl Dibuat kosong",IF(NOT(ISNUMBER('PC 08'!I317)),"Tgl Dibuat harus tanggal","")),IF(AND('PC 08'!J317&lt;&gt;"",NOT(ISNUMBER('PC 08'!J317))),"Tgl Publish harus tanggal",""),IF(AND(ISNUMBER('PC 08'!I317),ISNUMBER('PC 08'!J317),'PC 08'!J317&lt;'PC 08'!I317),"Tgl Publish &lt; Tgl Dibuat",""),IF(AND('PC 08'!K317&lt;&gt;"",ISERROR(MATCH(TRIM('PC 08'!K317),{"Draft","Menunggu Review","Revisi","Terjadwal","Publish","Batal","Published"},0))),"Status di luar daftar","")))</f>
        <v>#ERROR!</v>
      </c>
      <c r="D317" s="5" t="str">
        <f>IF(C317="","OK","ADA MASALAH")</f>
        <v>#ERROR!</v>
      </c>
    </row>
    <row r="318">
      <c r="A318" s="4">
        <v>318.0</v>
      </c>
      <c r="B318" s="5" t="str">
        <f>'PC 08'!A318</f>
        <v/>
      </c>
      <c r="C318" s="5" t="str">
        <f>IF(COUNTA('PC 08'!A318:L318)=0,"",TEXTJOIN(" | ",TRUE,IF('PC 08'!A318="","Worker ID kosong",""),IF('PC 08'!B318="","Update Date kosong",IF(NOT(ISNUMBER('PC 08'!B318)),"Update Date harus tanggal","")),IF('PC 08'!D318="","Judul kosong",""),IF('PC 08'!F318="","Genre kosong",IF(ISERROR(MATCH(TRIM('PC 08'!F318),{"Pop","Rock","Dangdut","K-Pop","Electronic","Nasional","Daerah"},0)),"Genre di luar daftar","")),IF('PC 08'!G318="","Nama Channel kosong",""),IF('PC 08'!H318="","Link kosong",IF(ISERROR(FIND("youtu",LOWER('PC 08'!H318))),"Link bukan youtube","")),IF('PC 08'!I318="","Tgl Dibuat kosong",IF(NOT(ISNUMBER('PC 08'!I318)),"Tgl Dibuat harus tanggal","")),IF(AND('PC 08'!J318&lt;&gt;"",NOT(ISNUMBER('PC 08'!J318))),"Tgl Publish harus tanggal",""),IF(AND(ISNUMBER('PC 08'!I318),ISNUMBER('PC 08'!J318),'PC 08'!J318&lt;'PC 08'!I318),"Tgl Publish &lt; Tgl Dibuat",""),IF(AND('PC 08'!K318&lt;&gt;"",ISERROR(MATCH(TRIM('PC 08'!K318),{"Draft","Menunggu Review","Revisi","Terjadwal","Publish","Batal","Published"},0))),"Status di luar daftar","")))</f>
        <v>#ERROR!</v>
      </c>
      <c r="D318" s="5" t="str">
        <f>IF(C318="","OK","ADA MASALAH")</f>
        <v>#ERROR!</v>
      </c>
    </row>
    <row r="319">
      <c r="A319" s="4">
        <v>319.0</v>
      </c>
      <c r="B319" s="5" t="str">
        <f>'PC 08'!A319</f>
        <v/>
      </c>
      <c r="C319" s="5" t="str">
        <f>IF(COUNTA('PC 08'!A319:L319)=0,"",TEXTJOIN(" | ",TRUE,IF('PC 08'!A319="","Worker ID kosong",""),IF('PC 08'!B319="","Update Date kosong",IF(NOT(ISNUMBER('PC 08'!B319)),"Update Date harus tanggal","")),IF('PC 08'!D319="","Judul kosong",""),IF('PC 08'!F319="","Genre kosong",IF(ISERROR(MATCH(TRIM('PC 08'!F319),{"Pop","Rock","Dangdut","K-Pop","Electronic","Nasional","Daerah"},0)),"Genre di luar daftar","")),IF('PC 08'!G319="","Nama Channel kosong",""),IF('PC 08'!H319="","Link kosong",IF(ISERROR(FIND("youtu",LOWER('PC 08'!H319))),"Link bukan youtube","")),IF('PC 08'!I319="","Tgl Dibuat kosong",IF(NOT(ISNUMBER('PC 08'!I319)),"Tgl Dibuat harus tanggal","")),IF(AND('PC 08'!J319&lt;&gt;"",NOT(ISNUMBER('PC 08'!J319))),"Tgl Publish harus tanggal",""),IF(AND(ISNUMBER('PC 08'!I319),ISNUMBER('PC 08'!J319),'PC 08'!J319&lt;'PC 08'!I319),"Tgl Publish &lt; Tgl Dibuat",""),IF(AND('PC 08'!K319&lt;&gt;"",ISERROR(MATCH(TRIM('PC 08'!K319),{"Draft","Menunggu Review","Revisi","Terjadwal","Publish","Batal","Published"},0))),"Status di luar daftar","")))</f>
        <v>#ERROR!</v>
      </c>
      <c r="D319" s="5" t="str">
        <f>IF(C319="","OK","ADA MASALAH")</f>
        <v>#ERROR!</v>
      </c>
    </row>
    <row r="320">
      <c r="A320" s="4">
        <v>320.0</v>
      </c>
      <c r="B320" s="5" t="str">
        <f>'PC 08'!A320</f>
        <v/>
      </c>
      <c r="C320" s="5" t="str">
        <f>IF(COUNTA('PC 08'!A320:L320)=0,"",TEXTJOIN(" | ",TRUE,IF('PC 08'!A320="","Worker ID kosong",""),IF('PC 08'!B320="","Update Date kosong",IF(NOT(ISNUMBER('PC 08'!B320)),"Update Date harus tanggal","")),IF('PC 08'!D320="","Judul kosong",""),IF('PC 08'!F320="","Genre kosong",IF(ISERROR(MATCH(TRIM('PC 08'!F320),{"Pop","Rock","Dangdut","K-Pop","Electronic","Nasional","Daerah"},0)),"Genre di luar daftar","")),IF('PC 08'!G320="","Nama Channel kosong",""),IF('PC 08'!H320="","Link kosong",IF(ISERROR(FIND("youtu",LOWER('PC 08'!H320))),"Link bukan youtube","")),IF('PC 08'!I320="","Tgl Dibuat kosong",IF(NOT(ISNUMBER('PC 08'!I320)),"Tgl Dibuat harus tanggal","")),IF(AND('PC 08'!J320&lt;&gt;"",NOT(ISNUMBER('PC 08'!J320))),"Tgl Publish harus tanggal",""),IF(AND(ISNUMBER('PC 08'!I320),ISNUMBER('PC 08'!J320),'PC 08'!J320&lt;'PC 08'!I320),"Tgl Publish &lt; Tgl Dibuat",""),IF(AND('PC 08'!K320&lt;&gt;"",ISERROR(MATCH(TRIM('PC 08'!K320),{"Draft","Menunggu Review","Revisi","Terjadwal","Publish","Batal","Published"},0))),"Status di luar daftar","")))</f>
        <v>#ERROR!</v>
      </c>
      <c r="D320" s="5" t="str">
        <f>IF(C320="","OK","ADA MASALAH")</f>
        <v>#ERROR!</v>
      </c>
    </row>
    <row r="321">
      <c r="A321" s="4">
        <v>321.0</v>
      </c>
      <c r="B321" s="5" t="str">
        <f>'PC 08'!A321</f>
        <v/>
      </c>
      <c r="C321" s="5" t="str">
        <f>IF(COUNTA('PC 08'!A321:L321)=0,"",TEXTJOIN(" | ",TRUE,IF('PC 08'!A321="","Worker ID kosong",""),IF('PC 08'!B321="","Update Date kosong",IF(NOT(ISNUMBER('PC 08'!B321)),"Update Date harus tanggal","")),IF('PC 08'!D321="","Judul kosong",""),IF('PC 08'!F321="","Genre kosong",IF(ISERROR(MATCH(TRIM('PC 08'!F321),{"Pop","Rock","Dangdut","K-Pop","Electronic","Nasional","Daerah"},0)),"Genre di luar daftar","")),IF('PC 08'!G321="","Nama Channel kosong",""),IF('PC 08'!H321="","Link kosong",IF(ISERROR(FIND("youtu",LOWER('PC 08'!H321))),"Link bukan youtube","")),IF('PC 08'!I321="","Tgl Dibuat kosong",IF(NOT(ISNUMBER('PC 08'!I321)),"Tgl Dibuat harus tanggal","")),IF(AND('PC 08'!J321&lt;&gt;"",NOT(ISNUMBER('PC 08'!J321))),"Tgl Publish harus tanggal",""),IF(AND(ISNUMBER('PC 08'!I321),ISNUMBER('PC 08'!J321),'PC 08'!J321&lt;'PC 08'!I321),"Tgl Publish &lt; Tgl Dibuat",""),IF(AND('PC 08'!K321&lt;&gt;"",ISERROR(MATCH(TRIM('PC 08'!K321),{"Draft","Menunggu Review","Revisi","Terjadwal","Publish","Batal","Published"},0))),"Status di luar daftar","")))</f>
        <v>#ERROR!</v>
      </c>
      <c r="D321" s="5" t="str">
        <f>IF(C321="","OK","ADA MASALAH")</f>
        <v>#ERROR!</v>
      </c>
    </row>
    <row r="322">
      <c r="A322" s="4">
        <v>322.0</v>
      </c>
      <c r="B322" s="5" t="str">
        <f>'PC 08'!A322</f>
        <v/>
      </c>
      <c r="C322" s="5" t="str">
        <f>IF(COUNTA('PC 08'!A322:L322)=0,"",TEXTJOIN(" | ",TRUE,IF('PC 08'!A322="","Worker ID kosong",""),IF('PC 08'!B322="","Update Date kosong",IF(NOT(ISNUMBER('PC 08'!B322)),"Update Date harus tanggal","")),IF('PC 08'!D322="","Judul kosong",""),IF('PC 08'!F322="","Genre kosong",IF(ISERROR(MATCH(TRIM('PC 08'!F322),{"Pop","Rock","Dangdut","K-Pop","Electronic","Nasional","Daerah"},0)),"Genre di luar daftar","")),IF('PC 08'!G322="","Nama Channel kosong",""),IF('PC 08'!H322="","Link kosong",IF(ISERROR(FIND("youtu",LOWER('PC 08'!H322))),"Link bukan youtube","")),IF('PC 08'!I322="","Tgl Dibuat kosong",IF(NOT(ISNUMBER('PC 08'!I322)),"Tgl Dibuat harus tanggal","")),IF(AND('PC 08'!J322&lt;&gt;"",NOT(ISNUMBER('PC 08'!J322))),"Tgl Publish harus tanggal",""),IF(AND(ISNUMBER('PC 08'!I322),ISNUMBER('PC 08'!J322),'PC 08'!J322&lt;'PC 08'!I322),"Tgl Publish &lt; Tgl Dibuat",""),IF(AND('PC 08'!K322&lt;&gt;"",ISERROR(MATCH(TRIM('PC 08'!K322),{"Draft","Menunggu Review","Revisi","Terjadwal","Publish","Batal","Published"},0))),"Status di luar daftar","")))</f>
        <v>#ERROR!</v>
      </c>
      <c r="D322" s="5" t="str">
        <f>IF(C322="","OK","ADA MASALAH")</f>
        <v>#ERROR!</v>
      </c>
    </row>
    <row r="323">
      <c r="A323" s="4">
        <v>323.0</v>
      </c>
      <c r="B323" s="5" t="str">
        <f>'PC 08'!A323</f>
        <v/>
      </c>
      <c r="C323" s="5" t="str">
        <f>IF(COUNTA('PC 08'!A323:L323)=0,"",TEXTJOIN(" | ",TRUE,IF('PC 08'!A323="","Worker ID kosong",""),IF('PC 08'!B323="","Update Date kosong",IF(NOT(ISNUMBER('PC 08'!B323)),"Update Date harus tanggal","")),IF('PC 08'!D323="","Judul kosong",""),IF('PC 08'!F323="","Genre kosong",IF(ISERROR(MATCH(TRIM('PC 08'!F323),{"Pop","Rock","Dangdut","K-Pop","Electronic","Nasional","Daerah"},0)),"Genre di luar daftar","")),IF('PC 08'!G323="","Nama Channel kosong",""),IF('PC 08'!H323="","Link kosong",IF(ISERROR(FIND("youtu",LOWER('PC 08'!H323))),"Link bukan youtube","")),IF('PC 08'!I323="","Tgl Dibuat kosong",IF(NOT(ISNUMBER('PC 08'!I323)),"Tgl Dibuat harus tanggal","")),IF(AND('PC 08'!J323&lt;&gt;"",NOT(ISNUMBER('PC 08'!J323))),"Tgl Publish harus tanggal",""),IF(AND(ISNUMBER('PC 08'!I323),ISNUMBER('PC 08'!J323),'PC 08'!J323&lt;'PC 08'!I323),"Tgl Publish &lt; Tgl Dibuat",""),IF(AND('PC 08'!K323&lt;&gt;"",ISERROR(MATCH(TRIM('PC 08'!K323),{"Draft","Menunggu Review","Revisi","Terjadwal","Publish","Batal","Published"},0))),"Status di luar daftar","")))</f>
        <v>#ERROR!</v>
      </c>
      <c r="D323" s="5" t="str">
        <f>IF(C323="","OK","ADA MASALAH")</f>
        <v>#ERROR!</v>
      </c>
    </row>
    <row r="324">
      <c r="A324" s="4">
        <v>324.0</v>
      </c>
      <c r="B324" s="5" t="str">
        <f>'PC 08'!A324</f>
        <v/>
      </c>
      <c r="C324" s="5" t="str">
        <f>IF(COUNTA('PC 08'!A324:L324)=0,"",TEXTJOIN(" | ",TRUE,IF('PC 08'!A324="","Worker ID kosong",""),IF('PC 08'!B324="","Update Date kosong",IF(NOT(ISNUMBER('PC 08'!B324)),"Update Date harus tanggal","")),IF('PC 08'!D324="","Judul kosong",""),IF('PC 08'!F324="","Genre kosong",IF(ISERROR(MATCH(TRIM('PC 08'!F324),{"Pop","Rock","Dangdut","K-Pop","Electronic","Nasional","Daerah"},0)),"Genre di luar daftar","")),IF('PC 08'!G324="","Nama Channel kosong",""),IF('PC 08'!H324="","Link kosong",IF(ISERROR(FIND("youtu",LOWER('PC 08'!H324))),"Link bukan youtube","")),IF('PC 08'!I324="","Tgl Dibuat kosong",IF(NOT(ISNUMBER('PC 08'!I324)),"Tgl Dibuat harus tanggal","")),IF(AND('PC 08'!J324&lt;&gt;"",NOT(ISNUMBER('PC 08'!J324))),"Tgl Publish harus tanggal",""),IF(AND(ISNUMBER('PC 08'!I324),ISNUMBER('PC 08'!J324),'PC 08'!J324&lt;'PC 08'!I324),"Tgl Publish &lt; Tgl Dibuat",""),IF(AND('PC 08'!K324&lt;&gt;"",ISERROR(MATCH(TRIM('PC 08'!K324),{"Draft","Menunggu Review","Revisi","Terjadwal","Publish","Batal","Published"},0))),"Status di luar daftar","")))</f>
        <v>#ERROR!</v>
      </c>
      <c r="D324" s="5" t="str">
        <f>IF(C324="","OK","ADA MASALAH")</f>
        <v>#ERROR!</v>
      </c>
    </row>
    <row r="325">
      <c r="A325" s="4">
        <v>325.0</v>
      </c>
      <c r="B325" s="5" t="str">
        <f>'PC 08'!A325</f>
        <v/>
      </c>
      <c r="C325" s="5" t="str">
        <f>IF(COUNTA('PC 08'!A325:L325)=0,"",TEXTJOIN(" | ",TRUE,IF('PC 08'!A325="","Worker ID kosong",""),IF('PC 08'!B325="","Update Date kosong",IF(NOT(ISNUMBER('PC 08'!B325)),"Update Date harus tanggal","")),IF('PC 08'!D325="","Judul kosong",""),IF('PC 08'!F325="","Genre kosong",IF(ISERROR(MATCH(TRIM('PC 08'!F325),{"Pop","Rock","Dangdut","K-Pop","Electronic","Nasional","Daerah"},0)),"Genre di luar daftar","")),IF('PC 08'!G325="","Nama Channel kosong",""),IF('PC 08'!H325="","Link kosong",IF(ISERROR(FIND("youtu",LOWER('PC 08'!H325))),"Link bukan youtube","")),IF('PC 08'!I325="","Tgl Dibuat kosong",IF(NOT(ISNUMBER('PC 08'!I325)),"Tgl Dibuat harus tanggal","")),IF(AND('PC 08'!J325&lt;&gt;"",NOT(ISNUMBER('PC 08'!J325))),"Tgl Publish harus tanggal",""),IF(AND(ISNUMBER('PC 08'!I325),ISNUMBER('PC 08'!J325),'PC 08'!J325&lt;'PC 08'!I325),"Tgl Publish &lt; Tgl Dibuat",""),IF(AND('PC 08'!K325&lt;&gt;"",ISERROR(MATCH(TRIM('PC 08'!K325),{"Draft","Menunggu Review","Revisi","Terjadwal","Publish","Batal","Published"},0))),"Status di luar daftar","")))</f>
        <v>#ERROR!</v>
      </c>
      <c r="D325" s="5" t="str">
        <f>IF(C325="","OK","ADA MASALAH")</f>
        <v>#ERROR!</v>
      </c>
    </row>
    <row r="326">
      <c r="A326" s="4">
        <v>326.0</v>
      </c>
      <c r="B326" s="5" t="str">
        <f>'PC 08'!A326</f>
        <v/>
      </c>
      <c r="C326" s="5" t="str">
        <f>IF(COUNTA('PC 08'!A326:L326)=0,"",TEXTJOIN(" | ",TRUE,IF('PC 08'!A326="","Worker ID kosong",""),IF('PC 08'!B326="","Update Date kosong",IF(NOT(ISNUMBER('PC 08'!B326)),"Update Date harus tanggal","")),IF('PC 08'!D326="","Judul kosong",""),IF('PC 08'!F326="","Genre kosong",IF(ISERROR(MATCH(TRIM('PC 08'!F326),{"Pop","Rock","Dangdut","K-Pop","Electronic","Nasional","Daerah"},0)),"Genre di luar daftar","")),IF('PC 08'!G326="","Nama Channel kosong",""),IF('PC 08'!H326="","Link kosong",IF(ISERROR(FIND("youtu",LOWER('PC 08'!H326))),"Link bukan youtube","")),IF('PC 08'!I326="","Tgl Dibuat kosong",IF(NOT(ISNUMBER('PC 08'!I326)),"Tgl Dibuat harus tanggal","")),IF(AND('PC 08'!J326&lt;&gt;"",NOT(ISNUMBER('PC 08'!J326))),"Tgl Publish harus tanggal",""),IF(AND(ISNUMBER('PC 08'!I326),ISNUMBER('PC 08'!J326),'PC 08'!J326&lt;'PC 08'!I326),"Tgl Publish &lt; Tgl Dibuat",""),IF(AND('PC 08'!K326&lt;&gt;"",ISERROR(MATCH(TRIM('PC 08'!K326),{"Draft","Menunggu Review","Revisi","Terjadwal","Publish","Batal","Published"},0))),"Status di luar daftar","")))</f>
        <v>#ERROR!</v>
      </c>
      <c r="D326" s="5" t="str">
        <f>IF(C326="","OK","ADA MASALAH")</f>
        <v>#ERROR!</v>
      </c>
    </row>
    <row r="327">
      <c r="A327" s="4">
        <v>327.0</v>
      </c>
      <c r="B327" s="5" t="str">
        <f>'PC 08'!A327</f>
        <v/>
      </c>
      <c r="C327" s="5" t="str">
        <f>IF(COUNTA('PC 08'!A327:L327)=0,"",TEXTJOIN(" | ",TRUE,IF('PC 08'!A327="","Worker ID kosong",""),IF('PC 08'!B327="","Update Date kosong",IF(NOT(ISNUMBER('PC 08'!B327)),"Update Date harus tanggal","")),IF('PC 08'!D327="","Judul kosong",""),IF('PC 08'!F327="","Genre kosong",IF(ISERROR(MATCH(TRIM('PC 08'!F327),{"Pop","Rock","Dangdut","K-Pop","Electronic","Nasional","Daerah"},0)),"Genre di luar daftar","")),IF('PC 08'!G327="","Nama Channel kosong",""),IF('PC 08'!H327="","Link kosong",IF(ISERROR(FIND("youtu",LOWER('PC 08'!H327))),"Link bukan youtube","")),IF('PC 08'!I327="","Tgl Dibuat kosong",IF(NOT(ISNUMBER('PC 08'!I327)),"Tgl Dibuat harus tanggal","")),IF(AND('PC 08'!J327&lt;&gt;"",NOT(ISNUMBER('PC 08'!J327))),"Tgl Publish harus tanggal",""),IF(AND(ISNUMBER('PC 08'!I327),ISNUMBER('PC 08'!J327),'PC 08'!J327&lt;'PC 08'!I327),"Tgl Publish &lt; Tgl Dibuat",""),IF(AND('PC 08'!K327&lt;&gt;"",ISERROR(MATCH(TRIM('PC 08'!K327),{"Draft","Menunggu Review","Revisi","Terjadwal","Publish","Batal","Published"},0))),"Status di luar daftar","")))</f>
        <v>#ERROR!</v>
      </c>
      <c r="D327" s="5" t="str">
        <f>IF(C327="","OK","ADA MASALAH")</f>
        <v>#ERROR!</v>
      </c>
    </row>
    <row r="328">
      <c r="A328" s="4">
        <v>328.0</v>
      </c>
      <c r="B328" s="5" t="str">
        <f>'PC 08'!A328</f>
        <v/>
      </c>
      <c r="C328" s="5" t="str">
        <f>IF(COUNTA('PC 08'!A328:L328)=0,"",TEXTJOIN(" | ",TRUE,IF('PC 08'!A328="","Worker ID kosong",""),IF('PC 08'!B328="","Update Date kosong",IF(NOT(ISNUMBER('PC 08'!B328)),"Update Date harus tanggal","")),IF('PC 08'!D328="","Judul kosong",""),IF('PC 08'!F328="","Genre kosong",IF(ISERROR(MATCH(TRIM('PC 08'!F328),{"Pop","Rock","Dangdut","K-Pop","Electronic","Nasional","Daerah"},0)),"Genre di luar daftar","")),IF('PC 08'!G328="","Nama Channel kosong",""),IF('PC 08'!H328="","Link kosong",IF(ISERROR(FIND("youtu",LOWER('PC 08'!H328))),"Link bukan youtube","")),IF('PC 08'!I328="","Tgl Dibuat kosong",IF(NOT(ISNUMBER('PC 08'!I328)),"Tgl Dibuat harus tanggal","")),IF(AND('PC 08'!J328&lt;&gt;"",NOT(ISNUMBER('PC 08'!J328))),"Tgl Publish harus tanggal",""),IF(AND(ISNUMBER('PC 08'!I328),ISNUMBER('PC 08'!J328),'PC 08'!J328&lt;'PC 08'!I328),"Tgl Publish &lt; Tgl Dibuat",""),IF(AND('PC 08'!K328&lt;&gt;"",ISERROR(MATCH(TRIM('PC 08'!K328),{"Draft","Menunggu Review","Revisi","Terjadwal","Publish","Batal","Published"},0))),"Status di luar daftar","")))</f>
        <v>#ERROR!</v>
      </c>
      <c r="D328" s="5" t="str">
        <f>IF(C328="","OK","ADA MASALAH")</f>
        <v>#ERROR!</v>
      </c>
    </row>
    <row r="329">
      <c r="A329" s="4">
        <v>329.0</v>
      </c>
      <c r="B329" s="5" t="str">
        <f>'PC 08'!A329</f>
        <v/>
      </c>
      <c r="C329" s="5" t="str">
        <f>IF(COUNTA('PC 08'!A329:L329)=0,"",TEXTJOIN(" | ",TRUE,IF('PC 08'!A329="","Worker ID kosong",""),IF('PC 08'!B329="","Update Date kosong",IF(NOT(ISNUMBER('PC 08'!B329)),"Update Date harus tanggal","")),IF('PC 08'!D329="","Judul kosong",""),IF('PC 08'!F329="","Genre kosong",IF(ISERROR(MATCH(TRIM('PC 08'!F329),{"Pop","Rock","Dangdut","K-Pop","Electronic","Nasional","Daerah"},0)),"Genre di luar daftar","")),IF('PC 08'!G329="","Nama Channel kosong",""),IF('PC 08'!H329="","Link kosong",IF(ISERROR(FIND("youtu",LOWER('PC 08'!H329))),"Link bukan youtube","")),IF('PC 08'!I329="","Tgl Dibuat kosong",IF(NOT(ISNUMBER('PC 08'!I329)),"Tgl Dibuat harus tanggal","")),IF(AND('PC 08'!J329&lt;&gt;"",NOT(ISNUMBER('PC 08'!J329))),"Tgl Publish harus tanggal",""),IF(AND(ISNUMBER('PC 08'!I329),ISNUMBER('PC 08'!J329),'PC 08'!J329&lt;'PC 08'!I329),"Tgl Publish &lt; Tgl Dibuat",""),IF(AND('PC 08'!K329&lt;&gt;"",ISERROR(MATCH(TRIM('PC 08'!K329),{"Draft","Menunggu Review","Revisi","Terjadwal","Publish","Batal","Published"},0))),"Status di luar daftar","")))</f>
        <v>#ERROR!</v>
      </c>
      <c r="D329" s="5" t="str">
        <f>IF(C329="","OK","ADA MASALAH")</f>
        <v>#ERROR!</v>
      </c>
    </row>
    <row r="330">
      <c r="A330" s="4">
        <v>330.0</v>
      </c>
      <c r="B330" s="5" t="str">
        <f>'PC 08'!A330</f>
        <v/>
      </c>
      <c r="C330" s="5" t="str">
        <f>IF(COUNTA('PC 08'!A330:L330)=0,"",TEXTJOIN(" | ",TRUE,IF('PC 08'!A330="","Worker ID kosong",""),IF('PC 08'!B330="","Update Date kosong",IF(NOT(ISNUMBER('PC 08'!B330)),"Update Date harus tanggal","")),IF('PC 08'!D330="","Judul kosong",""),IF('PC 08'!F330="","Genre kosong",IF(ISERROR(MATCH(TRIM('PC 08'!F330),{"Pop","Rock","Dangdut","K-Pop","Electronic","Nasional","Daerah"},0)),"Genre di luar daftar","")),IF('PC 08'!G330="","Nama Channel kosong",""),IF('PC 08'!H330="","Link kosong",IF(ISERROR(FIND("youtu",LOWER('PC 08'!H330))),"Link bukan youtube","")),IF('PC 08'!I330="","Tgl Dibuat kosong",IF(NOT(ISNUMBER('PC 08'!I330)),"Tgl Dibuat harus tanggal","")),IF(AND('PC 08'!J330&lt;&gt;"",NOT(ISNUMBER('PC 08'!J330))),"Tgl Publish harus tanggal",""),IF(AND(ISNUMBER('PC 08'!I330),ISNUMBER('PC 08'!J330),'PC 08'!J330&lt;'PC 08'!I330),"Tgl Publish &lt; Tgl Dibuat",""),IF(AND('PC 08'!K330&lt;&gt;"",ISERROR(MATCH(TRIM('PC 08'!K330),{"Draft","Menunggu Review","Revisi","Terjadwal","Publish","Batal","Published"},0))),"Status di luar daftar","")))</f>
        <v>#ERROR!</v>
      </c>
      <c r="D330" s="5" t="str">
        <f>IF(C330="","OK","ADA MASALAH")</f>
        <v>#ERROR!</v>
      </c>
    </row>
    <row r="331">
      <c r="A331" s="4">
        <v>331.0</v>
      </c>
      <c r="B331" s="5" t="str">
        <f>'PC 08'!A331</f>
        <v/>
      </c>
      <c r="C331" s="5" t="str">
        <f>IF(COUNTA('PC 08'!A331:L331)=0,"",TEXTJOIN(" | ",TRUE,IF('PC 08'!A331="","Worker ID kosong",""),IF('PC 08'!B331="","Update Date kosong",IF(NOT(ISNUMBER('PC 08'!B331)),"Update Date harus tanggal","")),IF('PC 08'!D331="","Judul kosong",""),IF('PC 08'!F331="","Genre kosong",IF(ISERROR(MATCH(TRIM('PC 08'!F331),{"Pop","Rock","Dangdut","K-Pop","Electronic","Nasional","Daerah"},0)),"Genre di luar daftar","")),IF('PC 08'!G331="","Nama Channel kosong",""),IF('PC 08'!H331="","Link kosong",IF(ISERROR(FIND("youtu",LOWER('PC 08'!H331))),"Link bukan youtube","")),IF('PC 08'!I331="","Tgl Dibuat kosong",IF(NOT(ISNUMBER('PC 08'!I331)),"Tgl Dibuat harus tanggal","")),IF(AND('PC 08'!J331&lt;&gt;"",NOT(ISNUMBER('PC 08'!J331))),"Tgl Publish harus tanggal",""),IF(AND(ISNUMBER('PC 08'!I331),ISNUMBER('PC 08'!J331),'PC 08'!J331&lt;'PC 08'!I331),"Tgl Publish &lt; Tgl Dibuat",""),IF(AND('PC 08'!K331&lt;&gt;"",ISERROR(MATCH(TRIM('PC 08'!K331),{"Draft","Menunggu Review","Revisi","Terjadwal","Publish","Batal","Published"},0))),"Status di luar daftar","")))</f>
        <v>#ERROR!</v>
      </c>
      <c r="D331" s="5" t="str">
        <f>IF(C331="","OK","ADA MASALAH")</f>
        <v>#ERROR!</v>
      </c>
    </row>
    <row r="332">
      <c r="A332" s="4">
        <v>332.0</v>
      </c>
      <c r="B332" s="5" t="str">
        <f>'PC 08'!A332</f>
        <v/>
      </c>
      <c r="C332" s="5" t="str">
        <f>IF(COUNTA('PC 08'!A332:L332)=0,"",TEXTJOIN(" | ",TRUE,IF('PC 08'!A332="","Worker ID kosong",""),IF('PC 08'!B332="","Update Date kosong",IF(NOT(ISNUMBER('PC 08'!B332)),"Update Date harus tanggal","")),IF('PC 08'!D332="","Judul kosong",""),IF('PC 08'!F332="","Genre kosong",IF(ISERROR(MATCH(TRIM('PC 08'!F332),{"Pop","Rock","Dangdut","K-Pop","Electronic","Nasional","Daerah"},0)),"Genre di luar daftar","")),IF('PC 08'!G332="","Nama Channel kosong",""),IF('PC 08'!H332="","Link kosong",IF(ISERROR(FIND("youtu",LOWER('PC 08'!H332))),"Link bukan youtube","")),IF('PC 08'!I332="","Tgl Dibuat kosong",IF(NOT(ISNUMBER('PC 08'!I332)),"Tgl Dibuat harus tanggal","")),IF(AND('PC 08'!J332&lt;&gt;"",NOT(ISNUMBER('PC 08'!J332))),"Tgl Publish harus tanggal",""),IF(AND(ISNUMBER('PC 08'!I332),ISNUMBER('PC 08'!J332),'PC 08'!J332&lt;'PC 08'!I332),"Tgl Publish &lt; Tgl Dibuat",""),IF(AND('PC 08'!K332&lt;&gt;"",ISERROR(MATCH(TRIM('PC 08'!K332),{"Draft","Menunggu Review","Revisi","Terjadwal","Publish","Batal","Published"},0))),"Status di luar daftar","")))</f>
        <v>#ERROR!</v>
      </c>
      <c r="D332" s="5" t="str">
        <f>IF(C332="","OK","ADA MASALAH")</f>
        <v>#ERROR!</v>
      </c>
    </row>
    <row r="333">
      <c r="A333" s="4">
        <v>333.0</v>
      </c>
      <c r="B333" s="5" t="str">
        <f>'PC 08'!A333</f>
        <v/>
      </c>
      <c r="C333" s="5" t="str">
        <f>IF(COUNTA('PC 08'!A333:L333)=0,"",TEXTJOIN(" | ",TRUE,IF('PC 08'!A333="","Worker ID kosong",""),IF('PC 08'!B333="","Update Date kosong",IF(NOT(ISNUMBER('PC 08'!B333)),"Update Date harus tanggal","")),IF('PC 08'!D333="","Judul kosong",""),IF('PC 08'!F333="","Genre kosong",IF(ISERROR(MATCH(TRIM('PC 08'!F333),{"Pop","Rock","Dangdut","K-Pop","Electronic","Nasional","Daerah"},0)),"Genre di luar daftar","")),IF('PC 08'!G333="","Nama Channel kosong",""),IF('PC 08'!H333="","Link kosong",IF(ISERROR(FIND("youtu",LOWER('PC 08'!H333))),"Link bukan youtube","")),IF('PC 08'!I333="","Tgl Dibuat kosong",IF(NOT(ISNUMBER('PC 08'!I333)),"Tgl Dibuat harus tanggal","")),IF(AND('PC 08'!J333&lt;&gt;"",NOT(ISNUMBER('PC 08'!J333))),"Tgl Publish harus tanggal",""),IF(AND(ISNUMBER('PC 08'!I333),ISNUMBER('PC 08'!J333),'PC 08'!J333&lt;'PC 08'!I333),"Tgl Publish &lt; Tgl Dibuat",""),IF(AND('PC 08'!K333&lt;&gt;"",ISERROR(MATCH(TRIM('PC 08'!K333),{"Draft","Menunggu Review","Revisi","Terjadwal","Publish","Batal","Published"},0))),"Status di luar daftar","")))</f>
        <v>#ERROR!</v>
      </c>
      <c r="D333" s="5" t="str">
        <f>IF(C333="","OK","ADA MASALAH")</f>
        <v>#ERROR!</v>
      </c>
    </row>
    <row r="334">
      <c r="A334" s="4">
        <v>334.0</v>
      </c>
      <c r="B334" s="5" t="str">
        <f>'PC 08'!A334</f>
        <v/>
      </c>
      <c r="C334" s="5" t="str">
        <f>IF(COUNTA('PC 08'!A334:L334)=0,"",TEXTJOIN(" | ",TRUE,IF('PC 08'!A334="","Worker ID kosong",""),IF('PC 08'!B334="","Update Date kosong",IF(NOT(ISNUMBER('PC 08'!B334)),"Update Date harus tanggal","")),IF('PC 08'!D334="","Judul kosong",""),IF('PC 08'!F334="","Genre kosong",IF(ISERROR(MATCH(TRIM('PC 08'!F334),{"Pop","Rock","Dangdut","K-Pop","Electronic","Nasional","Daerah"},0)),"Genre di luar daftar","")),IF('PC 08'!G334="","Nama Channel kosong",""),IF('PC 08'!H334="","Link kosong",IF(ISERROR(FIND("youtu",LOWER('PC 08'!H334))),"Link bukan youtube","")),IF('PC 08'!I334="","Tgl Dibuat kosong",IF(NOT(ISNUMBER('PC 08'!I334)),"Tgl Dibuat harus tanggal","")),IF(AND('PC 08'!J334&lt;&gt;"",NOT(ISNUMBER('PC 08'!J334))),"Tgl Publish harus tanggal",""),IF(AND(ISNUMBER('PC 08'!I334),ISNUMBER('PC 08'!J334),'PC 08'!J334&lt;'PC 08'!I334),"Tgl Publish &lt; Tgl Dibuat",""),IF(AND('PC 08'!K334&lt;&gt;"",ISERROR(MATCH(TRIM('PC 08'!K334),{"Draft","Menunggu Review","Revisi","Terjadwal","Publish","Batal","Published"},0))),"Status di luar daftar","")))</f>
        <v>#ERROR!</v>
      </c>
      <c r="D334" s="5" t="str">
        <f>IF(C334="","OK","ADA MASALAH")</f>
        <v>#ERROR!</v>
      </c>
    </row>
    <row r="335">
      <c r="A335" s="4">
        <v>335.0</v>
      </c>
      <c r="B335" s="5" t="str">
        <f>'PC 08'!A335</f>
        <v/>
      </c>
      <c r="C335" s="5" t="str">
        <f>IF(COUNTA('PC 08'!A335:L335)=0,"",TEXTJOIN(" | ",TRUE,IF('PC 08'!A335="","Worker ID kosong",""),IF('PC 08'!B335="","Update Date kosong",IF(NOT(ISNUMBER('PC 08'!B335)),"Update Date harus tanggal","")),IF('PC 08'!D335="","Judul kosong",""),IF('PC 08'!F335="","Genre kosong",IF(ISERROR(MATCH(TRIM('PC 08'!F335),{"Pop","Rock","Dangdut","K-Pop","Electronic","Nasional","Daerah"},0)),"Genre di luar daftar","")),IF('PC 08'!G335="","Nama Channel kosong",""),IF('PC 08'!H335="","Link kosong",IF(ISERROR(FIND("youtu",LOWER('PC 08'!H335))),"Link bukan youtube","")),IF('PC 08'!I335="","Tgl Dibuat kosong",IF(NOT(ISNUMBER('PC 08'!I335)),"Tgl Dibuat harus tanggal","")),IF(AND('PC 08'!J335&lt;&gt;"",NOT(ISNUMBER('PC 08'!J335))),"Tgl Publish harus tanggal",""),IF(AND(ISNUMBER('PC 08'!I335),ISNUMBER('PC 08'!J335),'PC 08'!J335&lt;'PC 08'!I335),"Tgl Publish &lt; Tgl Dibuat",""),IF(AND('PC 08'!K335&lt;&gt;"",ISERROR(MATCH(TRIM('PC 08'!K335),{"Draft","Menunggu Review","Revisi","Terjadwal","Publish","Batal","Published"},0))),"Status di luar daftar","")))</f>
        <v>#ERROR!</v>
      </c>
      <c r="D335" s="5" t="str">
        <f>IF(C335="","OK","ADA MASALAH")</f>
        <v>#ERROR!</v>
      </c>
    </row>
    <row r="336">
      <c r="A336" s="4">
        <v>336.0</v>
      </c>
      <c r="B336" s="5" t="str">
        <f>'PC 08'!A336</f>
        <v/>
      </c>
      <c r="C336" s="5" t="str">
        <f>IF(COUNTA('PC 08'!A336:L336)=0,"",TEXTJOIN(" | ",TRUE,IF('PC 08'!A336="","Worker ID kosong",""),IF('PC 08'!B336="","Update Date kosong",IF(NOT(ISNUMBER('PC 08'!B336)),"Update Date harus tanggal","")),IF('PC 08'!D336="","Judul kosong",""),IF('PC 08'!F336="","Genre kosong",IF(ISERROR(MATCH(TRIM('PC 08'!F336),{"Pop","Rock","Dangdut","K-Pop","Electronic","Nasional","Daerah"},0)),"Genre di luar daftar","")),IF('PC 08'!G336="","Nama Channel kosong",""),IF('PC 08'!H336="","Link kosong",IF(ISERROR(FIND("youtu",LOWER('PC 08'!H336))),"Link bukan youtube","")),IF('PC 08'!I336="","Tgl Dibuat kosong",IF(NOT(ISNUMBER('PC 08'!I336)),"Tgl Dibuat harus tanggal","")),IF(AND('PC 08'!J336&lt;&gt;"",NOT(ISNUMBER('PC 08'!J336))),"Tgl Publish harus tanggal",""),IF(AND(ISNUMBER('PC 08'!I336),ISNUMBER('PC 08'!J336),'PC 08'!J336&lt;'PC 08'!I336),"Tgl Publish &lt; Tgl Dibuat",""),IF(AND('PC 08'!K336&lt;&gt;"",ISERROR(MATCH(TRIM('PC 08'!K336),{"Draft","Menunggu Review","Revisi","Terjadwal","Publish","Batal","Published"},0))),"Status di luar daftar","")))</f>
        <v>#ERROR!</v>
      </c>
      <c r="D336" s="5" t="str">
        <f>IF(C336="","OK","ADA MASALAH")</f>
        <v>#ERROR!</v>
      </c>
    </row>
    <row r="337">
      <c r="A337" s="4">
        <v>337.0</v>
      </c>
      <c r="B337" s="5" t="str">
        <f>'PC 08'!A337</f>
        <v/>
      </c>
      <c r="C337" s="5" t="str">
        <f>IF(COUNTA('PC 08'!A337:L337)=0,"",TEXTJOIN(" | ",TRUE,IF('PC 08'!A337="","Worker ID kosong",""),IF('PC 08'!B337="","Update Date kosong",IF(NOT(ISNUMBER('PC 08'!B337)),"Update Date harus tanggal","")),IF('PC 08'!D337="","Judul kosong",""),IF('PC 08'!F337="","Genre kosong",IF(ISERROR(MATCH(TRIM('PC 08'!F337),{"Pop","Rock","Dangdut","K-Pop","Electronic","Nasional","Daerah"},0)),"Genre di luar daftar","")),IF('PC 08'!G337="","Nama Channel kosong",""),IF('PC 08'!H337="","Link kosong",IF(ISERROR(FIND("youtu",LOWER('PC 08'!H337))),"Link bukan youtube","")),IF('PC 08'!I337="","Tgl Dibuat kosong",IF(NOT(ISNUMBER('PC 08'!I337)),"Tgl Dibuat harus tanggal","")),IF(AND('PC 08'!J337&lt;&gt;"",NOT(ISNUMBER('PC 08'!J337))),"Tgl Publish harus tanggal",""),IF(AND(ISNUMBER('PC 08'!I337),ISNUMBER('PC 08'!J337),'PC 08'!J337&lt;'PC 08'!I337),"Tgl Publish &lt; Tgl Dibuat",""),IF(AND('PC 08'!K337&lt;&gt;"",ISERROR(MATCH(TRIM('PC 08'!K337),{"Draft","Menunggu Review","Revisi","Terjadwal","Publish","Batal","Published"},0))),"Status di luar daftar","")))</f>
        <v>#ERROR!</v>
      </c>
      <c r="D337" s="5" t="str">
        <f>IF(C337="","OK","ADA MASALAH")</f>
        <v>#ERROR!</v>
      </c>
    </row>
    <row r="338">
      <c r="A338" s="4">
        <v>338.0</v>
      </c>
      <c r="B338" s="5" t="str">
        <f>'PC 08'!A338</f>
        <v/>
      </c>
      <c r="C338" s="5" t="str">
        <f>IF(COUNTA('PC 08'!A338:L338)=0,"",TEXTJOIN(" | ",TRUE,IF('PC 08'!A338="","Worker ID kosong",""),IF('PC 08'!B338="","Update Date kosong",IF(NOT(ISNUMBER('PC 08'!B338)),"Update Date harus tanggal","")),IF('PC 08'!D338="","Judul kosong",""),IF('PC 08'!F338="","Genre kosong",IF(ISERROR(MATCH(TRIM('PC 08'!F338),{"Pop","Rock","Dangdut","K-Pop","Electronic","Nasional","Daerah"},0)),"Genre di luar daftar","")),IF('PC 08'!G338="","Nama Channel kosong",""),IF('PC 08'!H338="","Link kosong",IF(ISERROR(FIND("youtu",LOWER('PC 08'!H338))),"Link bukan youtube","")),IF('PC 08'!I338="","Tgl Dibuat kosong",IF(NOT(ISNUMBER('PC 08'!I338)),"Tgl Dibuat harus tanggal","")),IF(AND('PC 08'!J338&lt;&gt;"",NOT(ISNUMBER('PC 08'!J338))),"Tgl Publish harus tanggal",""),IF(AND(ISNUMBER('PC 08'!I338),ISNUMBER('PC 08'!J338),'PC 08'!J338&lt;'PC 08'!I338),"Tgl Publish &lt; Tgl Dibuat",""),IF(AND('PC 08'!K338&lt;&gt;"",ISERROR(MATCH(TRIM('PC 08'!K338),{"Draft","Menunggu Review","Revisi","Terjadwal","Publish","Batal","Published"},0))),"Status di luar daftar","")))</f>
        <v>#ERROR!</v>
      </c>
      <c r="D338" s="5" t="str">
        <f>IF(C338="","OK","ADA MASALAH")</f>
        <v>#ERROR!</v>
      </c>
    </row>
    <row r="339">
      <c r="A339" s="4">
        <v>339.0</v>
      </c>
      <c r="B339" s="5" t="str">
        <f>'PC 08'!A339</f>
        <v/>
      </c>
      <c r="C339" s="5" t="str">
        <f>IF(COUNTA('PC 08'!A339:L339)=0,"",TEXTJOIN(" | ",TRUE,IF('PC 08'!A339="","Worker ID kosong",""),IF('PC 08'!B339="","Update Date kosong",IF(NOT(ISNUMBER('PC 08'!B339)),"Update Date harus tanggal","")),IF('PC 08'!D339="","Judul kosong",""),IF('PC 08'!F339="","Genre kosong",IF(ISERROR(MATCH(TRIM('PC 08'!F339),{"Pop","Rock","Dangdut","K-Pop","Electronic","Nasional","Daerah"},0)),"Genre di luar daftar","")),IF('PC 08'!G339="","Nama Channel kosong",""),IF('PC 08'!H339="","Link kosong",IF(ISERROR(FIND("youtu",LOWER('PC 08'!H339))),"Link bukan youtube","")),IF('PC 08'!I339="","Tgl Dibuat kosong",IF(NOT(ISNUMBER('PC 08'!I339)),"Tgl Dibuat harus tanggal","")),IF(AND('PC 08'!J339&lt;&gt;"",NOT(ISNUMBER('PC 08'!J339))),"Tgl Publish harus tanggal",""),IF(AND(ISNUMBER('PC 08'!I339),ISNUMBER('PC 08'!J339),'PC 08'!J339&lt;'PC 08'!I339),"Tgl Publish &lt; Tgl Dibuat",""),IF(AND('PC 08'!K339&lt;&gt;"",ISERROR(MATCH(TRIM('PC 08'!K339),{"Draft","Menunggu Review","Revisi","Terjadwal","Publish","Batal","Published"},0))),"Status di luar daftar","")))</f>
        <v>#ERROR!</v>
      </c>
      <c r="D339" s="5" t="str">
        <f>IF(C339="","OK","ADA MASALAH")</f>
        <v>#ERROR!</v>
      </c>
    </row>
    <row r="340">
      <c r="A340" s="4">
        <v>340.0</v>
      </c>
      <c r="B340" s="5" t="str">
        <f>'PC 08'!A340</f>
        <v/>
      </c>
      <c r="C340" s="5" t="str">
        <f>IF(COUNTA('PC 08'!A340:L340)=0,"",TEXTJOIN(" | ",TRUE,IF('PC 08'!A340="","Worker ID kosong",""),IF('PC 08'!B340="","Update Date kosong",IF(NOT(ISNUMBER('PC 08'!B340)),"Update Date harus tanggal","")),IF('PC 08'!D340="","Judul kosong",""),IF('PC 08'!F340="","Genre kosong",IF(ISERROR(MATCH(TRIM('PC 08'!F340),{"Pop","Rock","Dangdut","K-Pop","Electronic","Nasional","Daerah"},0)),"Genre di luar daftar","")),IF('PC 08'!G340="","Nama Channel kosong",""),IF('PC 08'!H340="","Link kosong",IF(ISERROR(FIND("youtu",LOWER('PC 08'!H340))),"Link bukan youtube","")),IF('PC 08'!I340="","Tgl Dibuat kosong",IF(NOT(ISNUMBER('PC 08'!I340)),"Tgl Dibuat harus tanggal","")),IF(AND('PC 08'!J340&lt;&gt;"",NOT(ISNUMBER('PC 08'!J340))),"Tgl Publish harus tanggal",""),IF(AND(ISNUMBER('PC 08'!I340),ISNUMBER('PC 08'!J340),'PC 08'!J340&lt;'PC 08'!I340),"Tgl Publish &lt; Tgl Dibuat",""),IF(AND('PC 08'!K340&lt;&gt;"",ISERROR(MATCH(TRIM('PC 08'!K340),{"Draft","Menunggu Review","Revisi","Terjadwal","Publish","Batal","Published"},0))),"Status di luar daftar","")))</f>
        <v>#ERROR!</v>
      </c>
      <c r="D340" s="5" t="str">
        <f>IF(C340="","OK","ADA MASALAH")</f>
        <v>#ERROR!</v>
      </c>
    </row>
    <row r="341">
      <c r="A341" s="4">
        <v>341.0</v>
      </c>
      <c r="B341" s="5" t="str">
        <f>'PC 08'!A341</f>
        <v/>
      </c>
      <c r="C341" s="5" t="str">
        <f>IF(COUNTA('PC 08'!A341:L341)=0,"",TEXTJOIN(" | ",TRUE,IF('PC 08'!A341="","Worker ID kosong",""),IF('PC 08'!B341="","Update Date kosong",IF(NOT(ISNUMBER('PC 08'!B341)),"Update Date harus tanggal","")),IF('PC 08'!D341="","Judul kosong",""),IF('PC 08'!F341="","Genre kosong",IF(ISERROR(MATCH(TRIM('PC 08'!F341),{"Pop","Rock","Dangdut","K-Pop","Electronic","Nasional","Daerah"},0)),"Genre di luar daftar","")),IF('PC 08'!G341="","Nama Channel kosong",""),IF('PC 08'!H341="","Link kosong",IF(ISERROR(FIND("youtu",LOWER('PC 08'!H341))),"Link bukan youtube","")),IF('PC 08'!I341="","Tgl Dibuat kosong",IF(NOT(ISNUMBER('PC 08'!I341)),"Tgl Dibuat harus tanggal","")),IF(AND('PC 08'!J341&lt;&gt;"",NOT(ISNUMBER('PC 08'!J341))),"Tgl Publish harus tanggal",""),IF(AND(ISNUMBER('PC 08'!I341),ISNUMBER('PC 08'!J341),'PC 08'!J341&lt;'PC 08'!I341),"Tgl Publish &lt; Tgl Dibuat",""),IF(AND('PC 08'!K341&lt;&gt;"",ISERROR(MATCH(TRIM('PC 08'!K341),{"Draft","Menunggu Review","Revisi","Terjadwal","Publish","Batal","Published"},0))),"Status di luar daftar","")))</f>
        <v>#ERROR!</v>
      </c>
      <c r="D341" s="5" t="str">
        <f>IF(C341="","OK","ADA MASALAH")</f>
        <v>#ERROR!</v>
      </c>
    </row>
    <row r="342">
      <c r="A342" s="4">
        <v>342.0</v>
      </c>
      <c r="B342" s="5" t="str">
        <f>'PC 08'!A342</f>
        <v/>
      </c>
      <c r="C342" s="5" t="str">
        <f>IF(COUNTA('PC 08'!A342:L342)=0,"",TEXTJOIN(" | ",TRUE,IF('PC 08'!A342="","Worker ID kosong",""),IF('PC 08'!B342="","Update Date kosong",IF(NOT(ISNUMBER('PC 08'!B342)),"Update Date harus tanggal","")),IF('PC 08'!D342="","Judul kosong",""),IF('PC 08'!F342="","Genre kosong",IF(ISERROR(MATCH(TRIM('PC 08'!F342),{"Pop","Rock","Dangdut","K-Pop","Electronic","Nasional","Daerah"},0)),"Genre di luar daftar","")),IF('PC 08'!G342="","Nama Channel kosong",""),IF('PC 08'!H342="","Link kosong",IF(ISERROR(FIND("youtu",LOWER('PC 08'!H342))),"Link bukan youtube","")),IF('PC 08'!I342="","Tgl Dibuat kosong",IF(NOT(ISNUMBER('PC 08'!I342)),"Tgl Dibuat harus tanggal","")),IF(AND('PC 08'!J342&lt;&gt;"",NOT(ISNUMBER('PC 08'!J342))),"Tgl Publish harus tanggal",""),IF(AND(ISNUMBER('PC 08'!I342),ISNUMBER('PC 08'!J342),'PC 08'!J342&lt;'PC 08'!I342),"Tgl Publish &lt; Tgl Dibuat",""),IF(AND('PC 08'!K342&lt;&gt;"",ISERROR(MATCH(TRIM('PC 08'!K342),{"Draft","Menunggu Review","Revisi","Terjadwal","Publish","Batal","Published"},0))),"Status di luar daftar","")))</f>
        <v>#ERROR!</v>
      </c>
      <c r="D342" s="5" t="str">
        <f>IF(C342="","OK","ADA MASALAH")</f>
        <v>#ERROR!</v>
      </c>
    </row>
    <row r="343">
      <c r="A343" s="4">
        <v>343.0</v>
      </c>
      <c r="B343" s="5" t="str">
        <f>'PC 08'!A343</f>
        <v/>
      </c>
      <c r="C343" s="5" t="str">
        <f>IF(COUNTA('PC 08'!A343:L343)=0,"",TEXTJOIN(" | ",TRUE,IF('PC 08'!A343="","Worker ID kosong",""),IF('PC 08'!B343="","Update Date kosong",IF(NOT(ISNUMBER('PC 08'!B343)),"Update Date harus tanggal","")),IF('PC 08'!D343="","Judul kosong",""),IF('PC 08'!F343="","Genre kosong",IF(ISERROR(MATCH(TRIM('PC 08'!F343),{"Pop","Rock","Dangdut","K-Pop","Electronic","Nasional","Daerah"},0)),"Genre di luar daftar","")),IF('PC 08'!G343="","Nama Channel kosong",""),IF('PC 08'!H343="","Link kosong",IF(ISERROR(FIND("youtu",LOWER('PC 08'!H343))),"Link bukan youtube","")),IF('PC 08'!I343="","Tgl Dibuat kosong",IF(NOT(ISNUMBER('PC 08'!I343)),"Tgl Dibuat harus tanggal","")),IF(AND('PC 08'!J343&lt;&gt;"",NOT(ISNUMBER('PC 08'!J343))),"Tgl Publish harus tanggal",""),IF(AND(ISNUMBER('PC 08'!I343),ISNUMBER('PC 08'!J343),'PC 08'!J343&lt;'PC 08'!I343),"Tgl Publish &lt; Tgl Dibuat",""),IF(AND('PC 08'!K343&lt;&gt;"",ISERROR(MATCH(TRIM('PC 08'!K343),{"Draft","Menunggu Review","Revisi","Terjadwal","Publish","Batal","Published"},0))),"Status di luar daftar","")))</f>
        <v>#ERROR!</v>
      </c>
      <c r="D343" s="5" t="str">
        <f>IF(C343="","OK","ADA MASALAH")</f>
        <v>#ERROR!</v>
      </c>
    </row>
    <row r="344">
      <c r="A344" s="4">
        <v>344.0</v>
      </c>
      <c r="B344" s="5" t="str">
        <f>'PC 08'!A344</f>
        <v/>
      </c>
      <c r="C344" s="5" t="str">
        <f>IF(COUNTA('PC 08'!A344:L344)=0,"",TEXTJOIN(" | ",TRUE,IF('PC 08'!A344="","Worker ID kosong",""),IF('PC 08'!B344="","Update Date kosong",IF(NOT(ISNUMBER('PC 08'!B344)),"Update Date harus tanggal","")),IF('PC 08'!D344="","Judul kosong",""),IF('PC 08'!F344="","Genre kosong",IF(ISERROR(MATCH(TRIM('PC 08'!F344),{"Pop","Rock","Dangdut","K-Pop","Electronic","Nasional","Daerah"},0)),"Genre di luar daftar","")),IF('PC 08'!G344="","Nama Channel kosong",""),IF('PC 08'!H344="","Link kosong",IF(ISERROR(FIND("youtu",LOWER('PC 08'!H344))),"Link bukan youtube","")),IF('PC 08'!I344="","Tgl Dibuat kosong",IF(NOT(ISNUMBER('PC 08'!I344)),"Tgl Dibuat harus tanggal","")),IF(AND('PC 08'!J344&lt;&gt;"",NOT(ISNUMBER('PC 08'!J344))),"Tgl Publish harus tanggal",""),IF(AND(ISNUMBER('PC 08'!I344),ISNUMBER('PC 08'!J344),'PC 08'!J344&lt;'PC 08'!I344),"Tgl Publish &lt; Tgl Dibuat",""),IF(AND('PC 08'!K344&lt;&gt;"",ISERROR(MATCH(TRIM('PC 08'!K344),{"Draft","Menunggu Review","Revisi","Terjadwal","Publish","Batal","Published"},0))),"Status di luar daftar","")))</f>
        <v>#ERROR!</v>
      </c>
      <c r="D344" s="5" t="str">
        <f>IF(C344="","OK","ADA MASALAH")</f>
        <v>#ERROR!</v>
      </c>
    </row>
    <row r="345">
      <c r="A345" s="4">
        <v>345.0</v>
      </c>
      <c r="B345" s="5" t="str">
        <f>'PC 08'!A345</f>
        <v/>
      </c>
      <c r="C345" s="5" t="str">
        <f>IF(COUNTA('PC 08'!A345:L345)=0,"",TEXTJOIN(" | ",TRUE,IF('PC 08'!A345="","Worker ID kosong",""),IF('PC 08'!B345="","Update Date kosong",IF(NOT(ISNUMBER('PC 08'!B345)),"Update Date harus tanggal","")),IF('PC 08'!D345="","Judul kosong",""),IF('PC 08'!F345="","Genre kosong",IF(ISERROR(MATCH(TRIM('PC 08'!F345),{"Pop","Rock","Dangdut","K-Pop","Electronic","Nasional","Daerah"},0)),"Genre di luar daftar","")),IF('PC 08'!G345="","Nama Channel kosong",""),IF('PC 08'!H345="","Link kosong",IF(ISERROR(FIND("youtu",LOWER('PC 08'!H345))),"Link bukan youtube","")),IF('PC 08'!I345="","Tgl Dibuat kosong",IF(NOT(ISNUMBER('PC 08'!I345)),"Tgl Dibuat harus tanggal","")),IF(AND('PC 08'!J345&lt;&gt;"",NOT(ISNUMBER('PC 08'!J345))),"Tgl Publish harus tanggal",""),IF(AND(ISNUMBER('PC 08'!I345),ISNUMBER('PC 08'!J345),'PC 08'!J345&lt;'PC 08'!I345),"Tgl Publish &lt; Tgl Dibuat",""),IF(AND('PC 08'!K345&lt;&gt;"",ISERROR(MATCH(TRIM('PC 08'!K345),{"Draft","Menunggu Review","Revisi","Terjadwal","Publish","Batal","Published"},0))),"Status di luar daftar","")))</f>
        <v>#ERROR!</v>
      </c>
      <c r="D345" s="5" t="str">
        <f>IF(C345="","OK","ADA MASALAH")</f>
        <v>#ERROR!</v>
      </c>
    </row>
    <row r="346">
      <c r="A346" s="4">
        <v>346.0</v>
      </c>
      <c r="B346" s="5" t="str">
        <f>'PC 08'!A346</f>
        <v/>
      </c>
      <c r="C346" s="5" t="str">
        <f>IF(COUNTA('PC 08'!A346:L346)=0,"",TEXTJOIN(" | ",TRUE,IF('PC 08'!A346="","Worker ID kosong",""),IF('PC 08'!B346="","Update Date kosong",IF(NOT(ISNUMBER('PC 08'!B346)),"Update Date harus tanggal","")),IF('PC 08'!D346="","Judul kosong",""),IF('PC 08'!F346="","Genre kosong",IF(ISERROR(MATCH(TRIM('PC 08'!F346),{"Pop","Rock","Dangdut","K-Pop","Electronic","Nasional","Daerah"},0)),"Genre di luar daftar","")),IF('PC 08'!G346="","Nama Channel kosong",""),IF('PC 08'!H346="","Link kosong",IF(ISERROR(FIND("youtu",LOWER('PC 08'!H346))),"Link bukan youtube","")),IF('PC 08'!I346="","Tgl Dibuat kosong",IF(NOT(ISNUMBER('PC 08'!I346)),"Tgl Dibuat harus tanggal","")),IF(AND('PC 08'!J346&lt;&gt;"",NOT(ISNUMBER('PC 08'!J346))),"Tgl Publish harus tanggal",""),IF(AND(ISNUMBER('PC 08'!I346),ISNUMBER('PC 08'!J346),'PC 08'!J346&lt;'PC 08'!I346),"Tgl Publish &lt; Tgl Dibuat",""),IF(AND('PC 08'!K346&lt;&gt;"",ISERROR(MATCH(TRIM('PC 08'!K346),{"Draft","Menunggu Review","Revisi","Terjadwal","Publish","Batal","Published"},0))),"Status di luar daftar","")))</f>
        <v>#ERROR!</v>
      </c>
      <c r="D346" s="5" t="str">
        <f>IF(C346="","OK","ADA MASALAH")</f>
        <v>#ERROR!</v>
      </c>
    </row>
    <row r="347">
      <c r="A347" s="4">
        <v>347.0</v>
      </c>
      <c r="B347" s="5" t="str">
        <f>'PC 08'!A347</f>
        <v/>
      </c>
      <c r="C347" s="5" t="str">
        <f>IF(COUNTA('PC 08'!A347:L347)=0,"",TEXTJOIN(" | ",TRUE,IF('PC 08'!A347="","Worker ID kosong",""),IF('PC 08'!B347="","Update Date kosong",IF(NOT(ISNUMBER('PC 08'!B347)),"Update Date harus tanggal","")),IF('PC 08'!D347="","Judul kosong",""),IF('PC 08'!F347="","Genre kosong",IF(ISERROR(MATCH(TRIM('PC 08'!F347),{"Pop","Rock","Dangdut","K-Pop","Electronic","Nasional","Daerah"},0)),"Genre di luar daftar","")),IF('PC 08'!G347="","Nama Channel kosong",""),IF('PC 08'!H347="","Link kosong",IF(ISERROR(FIND("youtu",LOWER('PC 08'!H347))),"Link bukan youtube","")),IF('PC 08'!I347="","Tgl Dibuat kosong",IF(NOT(ISNUMBER('PC 08'!I347)),"Tgl Dibuat harus tanggal","")),IF(AND('PC 08'!J347&lt;&gt;"",NOT(ISNUMBER('PC 08'!J347))),"Tgl Publish harus tanggal",""),IF(AND(ISNUMBER('PC 08'!I347),ISNUMBER('PC 08'!J347),'PC 08'!J347&lt;'PC 08'!I347),"Tgl Publish &lt; Tgl Dibuat",""),IF(AND('PC 08'!K347&lt;&gt;"",ISERROR(MATCH(TRIM('PC 08'!K347),{"Draft","Menunggu Review","Revisi","Terjadwal","Publish","Batal","Published"},0))),"Status di luar daftar","")))</f>
        <v>#ERROR!</v>
      </c>
      <c r="D347" s="5" t="str">
        <f>IF(C347="","OK","ADA MASALAH")</f>
        <v>#ERROR!</v>
      </c>
    </row>
    <row r="348">
      <c r="A348" s="4">
        <v>348.0</v>
      </c>
      <c r="B348" s="5" t="str">
        <f>'PC 08'!A348</f>
        <v/>
      </c>
      <c r="C348" s="5" t="str">
        <f>IF(COUNTA('PC 08'!A348:L348)=0,"",TEXTJOIN(" | ",TRUE,IF('PC 08'!A348="","Worker ID kosong",""),IF('PC 08'!B348="","Update Date kosong",IF(NOT(ISNUMBER('PC 08'!B348)),"Update Date harus tanggal","")),IF('PC 08'!D348="","Judul kosong",""),IF('PC 08'!F348="","Genre kosong",IF(ISERROR(MATCH(TRIM('PC 08'!F348),{"Pop","Rock","Dangdut","K-Pop","Electronic","Nasional","Daerah"},0)),"Genre di luar daftar","")),IF('PC 08'!G348="","Nama Channel kosong",""),IF('PC 08'!H348="","Link kosong",IF(ISERROR(FIND("youtu",LOWER('PC 08'!H348))),"Link bukan youtube","")),IF('PC 08'!I348="","Tgl Dibuat kosong",IF(NOT(ISNUMBER('PC 08'!I348)),"Tgl Dibuat harus tanggal","")),IF(AND('PC 08'!J348&lt;&gt;"",NOT(ISNUMBER('PC 08'!J348))),"Tgl Publish harus tanggal",""),IF(AND(ISNUMBER('PC 08'!I348),ISNUMBER('PC 08'!J348),'PC 08'!J348&lt;'PC 08'!I348),"Tgl Publish &lt; Tgl Dibuat",""),IF(AND('PC 08'!K348&lt;&gt;"",ISERROR(MATCH(TRIM('PC 08'!K348),{"Draft","Menunggu Review","Revisi","Terjadwal","Publish","Batal","Published"},0))),"Status di luar daftar","")))</f>
        <v>#ERROR!</v>
      </c>
      <c r="D348" s="5" t="str">
        <f>IF(C348="","OK","ADA MASALAH")</f>
        <v>#ERROR!</v>
      </c>
    </row>
    <row r="349">
      <c r="A349" s="4">
        <v>349.0</v>
      </c>
      <c r="B349" s="5" t="str">
        <f>'PC 08'!A349</f>
        <v/>
      </c>
      <c r="C349" s="5" t="str">
        <f>IF(COUNTA('PC 08'!A349:L349)=0,"",TEXTJOIN(" | ",TRUE,IF('PC 08'!A349="","Worker ID kosong",""),IF('PC 08'!B349="","Update Date kosong",IF(NOT(ISNUMBER('PC 08'!B349)),"Update Date harus tanggal","")),IF('PC 08'!D349="","Judul kosong",""),IF('PC 08'!F349="","Genre kosong",IF(ISERROR(MATCH(TRIM('PC 08'!F349),{"Pop","Rock","Dangdut","K-Pop","Electronic","Nasional","Daerah"},0)),"Genre di luar daftar","")),IF('PC 08'!G349="","Nama Channel kosong",""),IF('PC 08'!H349="","Link kosong",IF(ISERROR(FIND("youtu",LOWER('PC 08'!H349))),"Link bukan youtube","")),IF('PC 08'!I349="","Tgl Dibuat kosong",IF(NOT(ISNUMBER('PC 08'!I349)),"Tgl Dibuat harus tanggal","")),IF(AND('PC 08'!J349&lt;&gt;"",NOT(ISNUMBER('PC 08'!J349))),"Tgl Publish harus tanggal",""),IF(AND(ISNUMBER('PC 08'!I349),ISNUMBER('PC 08'!J349),'PC 08'!J349&lt;'PC 08'!I349),"Tgl Publish &lt; Tgl Dibuat",""),IF(AND('PC 08'!K349&lt;&gt;"",ISERROR(MATCH(TRIM('PC 08'!K349),{"Draft","Menunggu Review","Revisi","Terjadwal","Publish","Batal","Published"},0))),"Status di luar daftar","")))</f>
        <v>#ERROR!</v>
      </c>
      <c r="D349" s="5" t="str">
        <f>IF(C349="","OK","ADA MASALAH")</f>
        <v>#ERROR!</v>
      </c>
    </row>
    <row r="350">
      <c r="A350" s="4">
        <v>350.0</v>
      </c>
      <c r="B350" s="5" t="str">
        <f>'PC 08'!A350</f>
        <v/>
      </c>
      <c r="C350" s="5" t="str">
        <f>IF(COUNTA('PC 08'!A350:L350)=0,"",TEXTJOIN(" | ",TRUE,IF('PC 08'!A350="","Worker ID kosong",""),IF('PC 08'!B350="","Update Date kosong",IF(NOT(ISNUMBER('PC 08'!B350)),"Update Date harus tanggal","")),IF('PC 08'!D350="","Judul kosong",""),IF('PC 08'!F350="","Genre kosong",IF(ISERROR(MATCH(TRIM('PC 08'!F350),{"Pop","Rock","Dangdut","K-Pop","Electronic","Nasional","Daerah"},0)),"Genre di luar daftar","")),IF('PC 08'!G350="","Nama Channel kosong",""),IF('PC 08'!H350="","Link kosong",IF(ISERROR(FIND("youtu",LOWER('PC 08'!H350))),"Link bukan youtube","")),IF('PC 08'!I350="","Tgl Dibuat kosong",IF(NOT(ISNUMBER('PC 08'!I350)),"Tgl Dibuat harus tanggal","")),IF(AND('PC 08'!J350&lt;&gt;"",NOT(ISNUMBER('PC 08'!J350))),"Tgl Publish harus tanggal",""),IF(AND(ISNUMBER('PC 08'!I350),ISNUMBER('PC 08'!J350),'PC 08'!J350&lt;'PC 08'!I350),"Tgl Publish &lt; Tgl Dibuat",""),IF(AND('PC 08'!K350&lt;&gt;"",ISERROR(MATCH(TRIM('PC 08'!K350),{"Draft","Menunggu Review","Revisi","Terjadwal","Publish","Batal","Published"},0))),"Status di luar daftar","")))</f>
        <v>#ERROR!</v>
      </c>
      <c r="D350" s="5" t="str">
        <f>IF(C350="","OK","ADA MASALAH")</f>
        <v>#ERROR!</v>
      </c>
    </row>
    <row r="351">
      <c r="A351" s="4">
        <v>351.0</v>
      </c>
      <c r="B351" s="5" t="str">
        <f>'PC 08'!A351</f>
        <v/>
      </c>
      <c r="C351" s="5" t="str">
        <f>IF(COUNTA('PC 08'!A351:L351)=0,"",TEXTJOIN(" | ",TRUE,IF('PC 08'!A351="","Worker ID kosong",""),IF('PC 08'!B351="","Update Date kosong",IF(NOT(ISNUMBER('PC 08'!B351)),"Update Date harus tanggal","")),IF('PC 08'!D351="","Judul kosong",""),IF('PC 08'!F351="","Genre kosong",IF(ISERROR(MATCH(TRIM('PC 08'!F351),{"Pop","Rock","Dangdut","K-Pop","Electronic","Nasional","Daerah"},0)),"Genre di luar daftar","")),IF('PC 08'!G351="","Nama Channel kosong",""),IF('PC 08'!H351="","Link kosong",IF(ISERROR(FIND("youtu",LOWER('PC 08'!H351))),"Link bukan youtube","")),IF('PC 08'!I351="","Tgl Dibuat kosong",IF(NOT(ISNUMBER('PC 08'!I351)),"Tgl Dibuat harus tanggal","")),IF(AND('PC 08'!J351&lt;&gt;"",NOT(ISNUMBER('PC 08'!J351))),"Tgl Publish harus tanggal",""),IF(AND(ISNUMBER('PC 08'!I351),ISNUMBER('PC 08'!J351),'PC 08'!J351&lt;'PC 08'!I351),"Tgl Publish &lt; Tgl Dibuat",""),IF(AND('PC 08'!K351&lt;&gt;"",ISERROR(MATCH(TRIM('PC 08'!K351),{"Draft","Menunggu Review","Revisi","Terjadwal","Publish","Batal","Published"},0))),"Status di luar daftar","")))</f>
        <v>#ERROR!</v>
      </c>
      <c r="D351" s="5" t="str">
        <f>IF(C351="","OK","ADA MASALAH")</f>
        <v>#ERROR!</v>
      </c>
    </row>
    <row r="352">
      <c r="A352" s="4">
        <v>352.0</v>
      </c>
      <c r="B352" s="5" t="str">
        <f>'PC 08'!A352</f>
        <v/>
      </c>
      <c r="C352" s="5" t="str">
        <f>IF(COUNTA('PC 08'!A352:L352)=0,"",TEXTJOIN(" | ",TRUE,IF('PC 08'!A352="","Worker ID kosong",""),IF('PC 08'!B352="","Update Date kosong",IF(NOT(ISNUMBER('PC 08'!B352)),"Update Date harus tanggal","")),IF('PC 08'!D352="","Judul kosong",""),IF('PC 08'!F352="","Genre kosong",IF(ISERROR(MATCH(TRIM('PC 08'!F352),{"Pop","Rock","Dangdut","K-Pop","Electronic","Nasional","Daerah"},0)),"Genre di luar daftar","")),IF('PC 08'!G352="","Nama Channel kosong",""),IF('PC 08'!H352="","Link kosong",IF(ISERROR(FIND("youtu",LOWER('PC 08'!H352))),"Link bukan youtube","")),IF('PC 08'!I352="","Tgl Dibuat kosong",IF(NOT(ISNUMBER('PC 08'!I352)),"Tgl Dibuat harus tanggal","")),IF(AND('PC 08'!J352&lt;&gt;"",NOT(ISNUMBER('PC 08'!J352))),"Tgl Publish harus tanggal",""),IF(AND(ISNUMBER('PC 08'!I352),ISNUMBER('PC 08'!J352),'PC 08'!J352&lt;'PC 08'!I352),"Tgl Publish &lt; Tgl Dibuat",""),IF(AND('PC 08'!K352&lt;&gt;"",ISERROR(MATCH(TRIM('PC 08'!K352),{"Draft","Menunggu Review","Revisi","Terjadwal","Publish","Batal","Published"},0))),"Status di luar daftar","")))</f>
        <v>#ERROR!</v>
      </c>
      <c r="D352" s="5" t="str">
        <f>IF(C352="","OK","ADA MASALAH")</f>
        <v>#ERROR!</v>
      </c>
    </row>
    <row r="353">
      <c r="A353" s="4">
        <v>353.0</v>
      </c>
      <c r="B353" s="5" t="str">
        <f>'PC 08'!A353</f>
        <v/>
      </c>
      <c r="C353" s="5" t="str">
        <f>IF(COUNTA('PC 08'!A353:L353)=0,"",TEXTJOIN(" | ",TRUE,IF('PC 08'!A353="","Worker ID kosong",""),IF('PC 08'!B353="","Update Date kosong",IF(NOT(ISNUMBER('PC 08'!B353)),"Update Date harus tanggal","")),IF('PC 08'!D353="","Judul kosong",""),IF('PC 08'!F353="","Genre kosong",IF(ISERROR(MATCH(TRIM('PC 08'!F353),{"Pop","Rock","Dangdut","K-Pop","Electronic","Nasional","Daerah"},0)),"Genre di luar daftar","")),IF('PC 08'!G353="","Nama Channel kosong",""),IF('PC 08'!H353="","Link kosong",IF(ISERROR(FIND("youtu",LOWER('PC 08'!H353))),"Link bukan youtube","")),IF('PC 08'!I353="","Tgl Dibuat kosong",IF(NOT(ISNUMBER('PC 08'!I353)),"Tgl Dibuat harus tanggal","")),IF(AND('PC 08'!J353&lt;&gt;"",NOT(ISNUMBER('PC 08'!J353))),"Tgl Publish harus tanggal",""),IF(AND(ISNUMBER('PC 08'!I353),ISNUMBER('PC 08'!J353),'PC 08'!J353&lt;'PC 08'!I353),"Tgl Publish &lt; Tgl Dibuat",""),IF(AND('PC 08'!K353&lt;&gt;"",ISERROR(MATCH(TRIM('PC 08'!K353),{"Draft","Menunggu Review","Revisi","Terjadwal","Publish","Batal","Published"},0))),"Status di luar daftar","")))</f>
        <v>#ERROR!</v>
      </c>
      <c r="D353" s="5" t="str">
        <f>IF(C353="","OK","ADA MASALAH")</f>
        <v>#ERROR!</v>
      </c>
    </row>
    <row r="354">
      <c r="A354" s="4">
        <v>354.0</v>
      </c>
      <c r="B354" s="5" t="str">
        <f>'PC 08'!A354</f>
        <v/>
      </c>
      <c r="C354" s="5" t="str">
        <f>IF(COUNTA('PC 08'!A354:L354)=0,"",TEXTJOIN(" | ",TRUE,IF('PC 08'!A354="","Worker ID kosong",""),IF('PC 08'!B354="","Update Date kosong",IF(NOT(ISNUMBER('PC 08'!B354)),"Update Date harus tanggal","")),IF('PC 08'!D354="","Judul kosong",""),IF('PC 08'!F354="","Genre kosong",IF(ISERROR(MATCH(TRIM('PC 08'!F354),{"Pop","Rock","Dangdut","K-Pop","Electronic","Nasional","Daerah"},0)),"Genre di luar daftar","")),IF('PC 08'!G354="","Nama Channel kosong",""),IF('PC 08'!H354="","Link kosong",IF(ISERROR(FIND("youtu",LOWER('PC 08'!H354))),"Link bukan youtube","")),IF('PC 08'!I354="","Tgl Dibuat kosong",IF(NOT(ISNUMBER('PC 08'!I354)),"Tgl Dibuat harus tanggal","")),IF(AND('PC 08'!J354&lt;&gt;"",NOT(ISNUMBER('PC 08'!J354))),"Tgl Publish harus tanggal",""),IF(AND(ISNUMBER('PC 08'!I354),ISNUMBER('PC 08'!J354),'PC 08'!J354&lt;'PC 08'!I354),"Tgl Publish &lt; Tgl Dibuat",""),IF(AND('PC 08'!K354&lt;&gt;"",ISERROR(MATCH(TRIM('PC 08'!K354),{"Draft","Menunggu Review","Revisi","Terjadwal","Publish","Batal","Published"},0))),"Status di luar daftar","")))</f>
        <v>#ERROR!</v>
      </c>
      <c r="D354" s="5" t="str">
        <f>IF(C354="","OK","ADA MASALAH")</f>
        <v>#ERROR!</v>
      </c>
    </row>
    <row r="355">
      <c r="A355" s="4">
        <v>355.0</v>
      </c>
      <c r="B355" s="5" t="str">
        <f>'PC 08'!A355</f>
        <v/>
      </c>
      <c r="C355" s="5" t="str">
        <f>IF(COUNTA('PC 08'!A355:L355)=0,"",TEXTJOIN(" | ",TRUE,IF('PC 08'!A355="","Worker ID kosong",""),IF('PC 08'!B355="","Update Date kosong",IF(NOT(ISNUMBER('PC 08'!B355)),"Update Date harus tanggal","")),IF('PC 08'!D355="","Judul kosong",""),IF('PC 08'!F355="","Genre kosong",IF(ISERROR(MATCH(TRIM('PC 08'!F355),{"Pop","Rock","Dangdut","K-Pop","Electronic","Nasional","Daerah"},0)),"Genre di luar daftar","")),IF('PC 08'!G355="","Nama Channel kosong",""),IF('PC 08'!H355="","Link kosong",IF(ISERROR(FIND("youtu",LOWER('PC 08'!H355))),"Link bukan youtube","")),IF('PC 08'!I355="","Tgl Dibuat kosong",IF(NOT(ISNUMBER('PC 08'!I355)),"Tgl Dibuat harus tanggal","")),IF(AND('PC 08'!J355&lt;&gt;"",NOT(ISNUMBER('PC 08'!J355))),"Tgl Publish harus tanggal",""),IF(AND(ISNUMBER('PC 08'!I355),ISNUMBER('PC 08'!J355),'PC 08'!J355&lt;'PC 08'!I355),"Tgl Publish &lt; Tgl Dibuat",""),IF(AND('PC 08'!K355&lt;&gt;"",ISERROR(MATCH(TRIM('PC 08'!K355),{"Draft","Menunggu Review","Revisi","Terjadwal","Publish","Batal","Published"},0))),"Status di luar daftar","")))</f>
        <v>#ERROR!</v>
      </c>
      <c r="D355" s="5" t="str">
        <f>IF(C355="","OK","ADA MASALAH")</f>
        <v>#ERROR!</v>
      </c>
    </row>
    <row r="356">
      <c r="A356" s="4">
        <v>356.0</v>
      </c>
      <c r="B356" s="5" t="str">
        <f>'PC 08'!A356</f>
        <v/>
      </c>
      <c r="C356" s="5" t="str">
        <f>IF(COUNTA('PC 08'!A356:L356)=0,"",TEXTJOIN(" | ",TRUE,IF('PC 08'!A356="","Worker ID kosong",""),IF('PC 08'!B356="","Update Date kosong",IF(NOT(ISNUMBER('PC 08'!B356)),"Update Date harus tanggal","")),IF('PC 08'!D356="","Judul kosong",""),IF('PC 08'!F356="","Genre kosong",IF(ISERROR(MATCH(TRIM('PC 08'!F356),{"Pop","Rock","Dangdut","K-Pop","Electronic","Nasional","Daerah"},0)),"Genre di luar daftar","")),IF('PC 08'!G356="","Nama Channel kosong",""),IF('PC 08'!H356="","Link kosong",IF(ISERROR(FIND("youtu",LOWER('PC 08'!H356))),"Link bukan youtube","")),IF('PC 08'!I356="","Tgl Dibuat kosong",IF(NOT(ISNUMBER('PC 08'!I356)),"Tgl Dibuat harus tanggal","")),IF(AND('PC 08'!J356&lt;&gt;"",NOT(ISNUMBER('PC 08'!J356))),"Tgl Publish harus tanggal",""),IF(AND(ISNUMBER('PC 08'!I356),ISNUMBER('PC 08'!J356),'PC 08'!J356&lt;'PC 08'!I356),"Tgl Publish &lt; Tgl Dibuat",""),IF(AND('PC 08'!K356&lt;&gt;"",ISERROR(MATCH(TRIM('PC 08'!K356),{"Draft","Menunggu Review","Revisi","Terjadwal","Publish","Batal","Published"},0))),"Status di luar daftar","")))</f>
        <v>#ERROR!</v>
      </c>
      <c r="D356" s="5" t="str">
        <f>IF(C356="","OK","ADA MASALAH")</f>
        <v>#ERROR!</v>
      </c>
    </row>
    <row r="357">
      <c r="A357" s="4">
        <v>357.0</v>
      </c>
      <c r="B357" s="5" t="str">
        <f>'PC 08'!A357</f>
        <v/>
      </c>
      <c r="C357" s="5" t="str">
        <f>IF(COUNTA('PC 08'!A357:L357)=0,"",TEXTJOIN(" | ",TRUE,IF('PC 08'!A357="","Worker ID kosong",""),IF('PC 08'!B357="","Update Date kosong",IF(NOT(ISNUMBER('PC 08'!B357)),"Update Date harus tanggal","")),IF('PC 08'!D357="","Judul kosong",""),IF('PC 08'!F357="","Genre kosong",IF(ISERROR(MATCH(TRIM('PC 08'!F357),{"Pop","Rock","Dangdut","K-Pop","Electronic","Nasional","Daerah"},0)),"Genre di luar daftar","")),IF('PC 08'!G357="","Nama Channel kosong",""),IF('PC 08'!H357="","Link kosong",IF(ISERROR(FIND("youtu",LOWER('PC 08'!H357))),"Link bukan youtube","")),IF('PC 08'!I357="","Tgl Dibuat kosong",IF(NOT(ISNUMBER('PC 08'!I357)),"Tgl Dibuat harus tanggal","")),IF(AND('PC 08'!J357&lt;&gt;"",NOT(ISNUMBER('PC 08'!J357))),"Tgl Publish harus tanggal",""),IF(AND(ISNUMBER('PC 08'!I357),ISNUMBER('PC 08'!J357),'PC 08'!J357&lt;'PC 08'!I357),"Tgl Publish &lt; Tgl Dibuat",""),IF(AND('PC 08'!K357&lt;&gt;"",ISERROR(MATCH(TRIM('PC 08'!K357),{"Draft","Menunggu Review","Revisi","Terjadwal","Publish","Batal","Published"},0))),"Status di luar daftar","")))</f>
        <v>#ERROR!</v>
      </c>
      <c r="D357" s="5" t="str">
        <f>IF(C357="","OK","ADA MASALAH")</f>
        <v>#ERROR!</v>
      </c>
    </row>
    <row r="358">
      <c r="A358" s="4">
        <v>358.0</v>
      </c>
      <c r="B358" s="5" t="str">
        <f>'PC 08'!A358</f>
        <v/>
      </c>
      <c r="C358" s="5" t="str">
        <f>IF(COUNTA('PC 08'!A358:L358)=0,"",TEXTJOIN(" | ",TRUE,IF('PC 08'!A358="","Worker ID kosong",""),IF('PC 08'!B358="","Update Date kosong",IF(NOT(ISNUMBER('PC 08'!B358)),"Update Date harus tanggal","")),IF('PC 08'!D358="","Judul kosong",""),IF('PC 08'!F358="","Genre kosong",IF(ISERROR(MATCH(TRIM('PC 08'!F358),{"Pop","Rock","Dangdut","K-Pop","Electronic","Nasional","Daerah"},0)),"Genre di luar daftar","")),IF('PC 08'!G358="","Nama Channel kosong",""),IF('PC 08'!H358="","Link kosong",IF(ISERROR(FIND("youtu",LOWER('PC 08'!H358))),"Link bukan youtube","")),IF('PC 08'!I358="","Tgl Dibuat kosong",IF(NOT(ISNUMBER('PC 08'!I358)),"Tgl Dibuat harus tanggal","")),IF(AND('PC 08'!J358&lt;&gt;"",NOT(ISNUMBER('PC 08'!J358))),"Tgl Publish harus tanggal",""),IF(AND(ISNUMBER('PC 08'!I358),ISNUMBER('PC 08'!J358),'PC 08'!J358&lt;'PC 08'!I358),"Tgl Publish &lt; Tgl Dibuat",""),IF(AND('PC 08'!K358&lt;&gt;"",ISERROR(MATCH(TRIM('PC 08'!K358),{"Draft","Menunggu Review","Revisi","Terjadwal","Publish","Batal","Published"},0))),"Status di luar daftar","")))</f>
        <v>#ERROR!</v>
      </c>
      <c r="D358" s="5" t="str">
        <f>IF(C358="","OK","ADA MASALAH")</f>
        <v>#ERROR!</v>
      </c>
    </row>
    <row r="359">
      <c r="A359" s="4">
        <v>359.0</v>
      </c>
      <c r="B359" s="5" t="str">
        <f>'PC 08'!A359</f>
        <v/>
      </c>
      <c r="C359" s="5" t="str">
        <f>IF(COUNTA('PC 08'!A359:L359)=0,"",TEXTJOIN(" | ",TRUE,IF('PC 08'!A359="","Worker ID kosong",""),IF('PC 08'!B359="","Update Date kosong",IF(NOT(ISNUMBER('PC 08'!B359)),"Update Date harus tanggal","")),IF('PC 08'!D359="","Judul kosong",""),IF('PC 08'!F359="","Genre kosong",IF(ISERROR(MATCH(TRIM('PC 08'!F359),{"Pop","Rock","Dangdut","K-Pop","Electronic","Nasional","Daerah"},0)),"Genre di luar daftar","")),IF('PC 08'!G359="","Nama Channel kosong",""),IF('PC 08'!H359="","Link kosong",IF(ISERROR(FIND("youtu",LOWER('PC 08'!H359))),"Link bukan youtube","")),IF('PC 08'!I359="","Tgl Dibuat kosong",IF(NOT(ISNUMBER('PC 08'!I359)),"Tgl Dibuat harus tanggal","")),IF(AND('PC 08'!J359&lt;&gt;"",NOT(ISNUMBER('PC 08'!J359))),"Tgl Publish harus tanggal",""),IF(AND(ISNUMBER('PC 08'!I359),ISNUMBER('PC 08'!J359),'PC 08'!J359&lt;'PC 08'!I359),"Tgl Publish &lt; Tgl Dibuat",""),IF(AND('PC 08'!K359&lt;&gt;"",ISERROR(MATCH(TRIM('PC 08'!K359),{"Draft","Menunggu Review","Revisi","Terjadwal","Publish","Batal","Published"},0))),"Status di luar daftar","")))</f>
        <v>#ERROR!</v>
      </c>
      <c r="D359" s="5" t="str">
        <f>IF(C359="","OK","ADA MASALAH")</f>
        <v>#ERROR!</v>
      </c>
    </row>
    <row r="360">
      <c r="A360" s="4">
        <v>360.0</v>
      </c>
      <c r="B360" s="5" t="str">
        <f>'PC 08'!A360</f>
        <v/>
      </c>
      <c r="C360" s="5" t="str">
        <f>IF(COUNTA('PC 08'!A360:L360)=0,"",TEXTJOIN(" | ",TRUE,IF('PC 08'!A360="","Worker ID kosong",""),IF('PC 08'!B360="","Update Date kosong",IF(NOT(ISNUMBER('PC 08'!B360)),"Update Date harus tanggal","")),IF('PC 08'!D360="","Judul kosong",""),IF('PC 08'!F360="","Genre kosong",IF(ISERROR(MATCH(TRIM('PC 08'!F360),{"Pop","Rock","Dangdut","K-Pop","Electronic","Nasional","Daerah"},0)),"Genre di luar daftar","")),IF('PC 08'!G360="","Nama Channel kosong",""),IF('PC 08'!H360="","Link kosong",IF(ISERROR(FIND("youtu",LOWER('PC 08'!H360))),"Link bukan youtube","")),IF('PC 08'!I360="","Tgl Dibuat kosong",IF(NOT(ISNUMBER('PC 08'!I360)),"Tgl Dibuat harus tanggal","")),IF(AND('PC 08'!J360&lt;&gt;"",NOT(ISNUMBER('PC 08'!J360))),"Tgl Publish harus tanggal",""),IF(AND(ISNUMBER('PC 08'!I360),ISNUMBER('PC 08'!J360),'PC 08'!J360&lt;'PC 08'!I360),"Tgl Publish &lt; Tgl Dibuat",""),IF(AND('PC 08'!K360&lt;&gt;"",ISERROR(MATCH(TRIM('PC 08'!K360),{"Draft","Menunggu Review","Revisi","Terjadwal","Publish","Batal","Published"},0))),"Status di luar daftar","")))</f>
        <v>#ERROR!</v>
      </c>
      <c r="D360" s="5" t="str">
        <f>IF(C360="","OK","ADA MASALAH")</f>
        <v>#ERROR!</v>
      </c>
    </row>
    <row r="361">
      <c r="A361" s="4">
        <v>361.0</v>
      </c>
      <c r="B361" s="5" t="str">
        <f>'PC 08'!A361</f>
        <v/>
      </c>
      <c r="C361" s="5" t="str">
        <f>IF(COUNTA('PC 08'!A361:L361)=0,"",TEXTJOIN(" | ",TRUE,IF('PC 08'!A361="","Worker ID kosong",""),IF('PC 08'!B361="","Update Date kosong",IF(NOT(ISNUMBER('PC 08'!B361)),"Update Date harus tanggal","")),IF('PC 08'!D361="","Judul kosong",""),IF('PC 08'!F361="","Genre kosong",IF(ISERROR(MATCH(TRIM('PC 08'!F361),{"Pop","Rock","Dangdut","K-Pop","Electronic","Nasional","Daerah"},0)),"Genre di luar daftar","")),IF('PC 08'!G361="","Nama Channel kosong",""),IF('PC 08'!H361="","Link kosong",IF(ISERROR(FIND("youtu",LOWER('PC 08'!H361))),"Link bukan youtube","")),IF('PC 08'!I361="","Tgl Dibuat kosong",IF(NOT(ISNUMBER('PC 08'!I361)),"Tgl Dibuat harus tanggal","")),IF(AND('PC 08'!J361&lt;&gt;"",NOT(ISNUMBER('PC 08'!J361))),"Tgl Publish harus tanggal",""),IF(AND(ISNUMBER('PC 08'!I361),ISNUMBER('PC 08'!J361),'PC 08'!J361&lt;'PC 08'!I361),"Tgl Publish &lt; Tgl Dibuat",""),IF(AND('PC 08'!K361&lt;&gt;"",ISERROR(MATCH(TRIM('PC 08'!K361),{"Draft","Menunggu Review","Revisi","Terjadwal","Publish","Batal","Published"},0))),"Status di luar daftar","")))</f>
        <v>#ERROR!</v>
      </c>
      <c r="D361" s="5" t="str">
        <f>IF(C361="","OK","ADA MASALAH")</f>
        <v>#ERROR!</v>
      </c>
    </row>
    <row r="362">
      <c r="A362" s="4">
        <v>362.0</v>
      </c>
      <c r="B362" s="5" t="str">
        <f>'PC 08'!A362</f>
        <v/>
      </c>
      <c r="C362" s="5" t="str">
        <f>IF(COUNTA('PC 08'!A362:L362)=0,"",TEXTJOIN(" | ",TRUE,IF('PC 08'!A362="","Worker ID kosong",""),IF('PC 08'!B362="","Update Date kosong",IF(NOT(ISNUMBER('PC 08'!B362)),"Update Date harus tanggal","")),IF('PC 08'!D362="","Judul kosong",""),IF('PC 08'!F362="","Genre kosong",IF(ISERROR(MATCH(TRIM('PC 08'!F362),{"Pop","Rock","Dangdut","K-Pop","Electronic","Nasional","Daerah"},0)),"Genre di luar daftar","")),IF('PC 08'!G362="","Nama Channel kosong",""),IF('PC 08'!H362="","Link kosong",IF(ISERROR(FIND("youtu",LOWER('PC 08'!H362))),"Link bukan youtube","")),IF('PC 08'!I362="","Tgl Dibuat kosong",IF(NOT(ISNUMBER('PC 08'!I362)),"Tgl Dibuat harus tanggal","")),IF(AND('PC 08'!J362&lt;&gt;"",NOT(ISNUMBER('PC 08'!J362))),"Tgl Publish harus tanggal",""),IF(AND(ISNUMBER('PC 08'!I362),ISNUMBER('PC 08'!J362),'PC 08'!J362&lt;'PC 08'!I362),"Tgl Publish &lt; Tgl Dibuat",""),IF(AND('PC 08'!K362&lt;&gt;"",ISERROR(MATCH(TRIM('PC 08'!K362),{"Draft","Menunggu Review","Revisi","Terjadwal","Publish","Batal","Published"},0))),"Status di luar daftar","")))</f>
        <v>#ERROR!</v>
      </c>
      <c r="D362" s="5" t="str">
        <f>IF(C362="","OK","ADA MASALAH")</f>
        <v>#ERROR!</v>
      </c>
    </row>
    <row r="363">
      <c r="A363" s="4">
        <v>363.0</v>
      </c>
      <c r="B363" s="5" t="str">
        <f>'PC 08'!A363</f>
        <v/>
      </c>
      <c r="C363" s="5" t="str">
        <f>IF(COUNTA('PC 08'!A363:L363)=0,"",TEXTJOIN(" | ",TRUE,IF('PC 08'!A363="","Worker ID kosong",""),IF('PC 08'!B363="","Update Date kosong",IF(NOT(ISNUMBER('PC 08'!B363)),"Update Date harus tanggal","")),IF('PC 08'!D363="","Judul kosong",""),IF('PC 08'!F363="","Genre kosong",IF(ISERROR(MATCH(TRIM('PC 08'!F363),{"Pop","Rock","Dangdut","K-Pop","Electronic","Nasional","Daerah"},0)),"Genre di luar daftar","")),IF('PC 08'!G363="","Nama Channel kosong",""),IF('PC 08'!H363="","Link kosong",IF(ISERROR(FIND("youtu",LOWER('PC 08'!H363))),"Link bukan youtube","")),IF('PC 08'!I363="","Tgl Dibuat kosong",IF(NOT(ISNUMBER('PC 08'!I363)),"Tgl Dibuat harus tanggal","")),IF(AND('PC 08'!J363&lt;&gt;"",NOT(ISNUMBER('PC 08'!J363))),"Tgl Publish harus tanggal",""),IF(AND(ISNUMBER('PC 08'!I363),ISNUMBER('PC 08'!J363),'PC 08'!J363&lt;'PC 08'!I363),"Tgl Publish &lt; Tgl Dibuat",""),IF(AND('PC 08'!K363&lt;&gt;"",ISERROR(MATCH(TRIM('PC 08'!K363),{"Draft","Menunggu Review","Revisi","Terjadwal","Publish","Batal","Published"},0))),"Status di luar daftar","")))</f>
        <v>#ERROR!</v>
      </c>
      <c r="D363" s="5" t="str">
        <f>IF(C363="","OK","ADA MASALAH")</f>
        <v>#ERROR!</v>
      </c>
    </row>
    <row r="364">
      <c r="A364" s="4">
        <v>364.0</v>
      </c>
      <c r="B364" s="5" t="str">
        <f>'PC 08'!A364</f>
        <v/>
      </c>
      <c r="C364" s="5" t="str">
        <f>IF(COUNTA('PC 08'!A364:L364)=0,"",TEXTJOIN(" | ",TRUE,IF('PC 08'!A364="","Worker ID kosong",""),IF('PC 08'!B364="","Update Date kosong",IF(NOT(ISNUMBER('PC 08'!B364)),"Update Date harus tanggal","")),IF('PC 08'!D364="","Judul kosong",""),IF('PC 08'!F364="","Genre kosong",IF(ISERROR(MATCH(TRIM('PC 08'!F364),{"Pop","Rock","Dangdut","K-Pop","Electronic","Nasional","Daerah"},0)),"Genre di luar daftar","")),IF('PC 08'!G364="","Nama Channel kosong",""),IF('PC 08'!H364="","Link kosong",IF(ISERROR(FIND("youtu",LOWER('PC 08'!H364))),"Link bukan youtube","")),IF('PC 08'!I364="","Tgl Dibuat kosong",IF(NOT(ISNUMBER('PC 08'!I364)),"Tgl Dibuat harus tanggal","")),IF(AND('PC 08'!J364&lt;&gt;"",NOT(ISNUMBER('PC 08'!J364))),"Tgl Publish harus tanggal",""),IF(AND(ISNUMBER('PC 08'!I364),ISNUMBER('PC 08'!J364),'PC 08'!J364&lt;'PC 08'!I364),"Tgl Publish &lt; Tgl Dibuat",""),IF(AND('PC 08'!K364&lt;&gt;"",ISERROR(MATCH(TRIM('PC 08'!K364),{"Draft","Menunggu Review","Revisi","Terjadwal","Publish","Batal","Published"},0))),"Status di luar daftar","")))</f>
        <v>#ERROR!</v>
      </c>
      <c r="D364" s="5" t="str">
        <f>IF(C364="","OK","ADA MASALAH")</f>
        <v>#ERROR!</v>
      </c>
    </row>
    <row r="365">
      <c r="A365" s="4">
        <v>365.0</v>
      </c>
      <c r="B365" s="5" t="str">
        <f>'PC 08'!A365</f>
        <v/>
      </c>
      <c r="C365" s="5" t="str">
        <f>IF(COUNTA('PC 08'!A365:L365)=0,"",TEXTJOIN(" | ",TRUE,IF('PC 08'!A365="","Worker ID kosong",""),IF('PC 08'!B365="","Update Date kosong",IF(NOT(ISNUMBER('PC 08'!B365)),"Update Date harus tanggal","")),IF('PC 08'!D365="","Judul kosong",""),IF('PC 08'!F365="","Genre kosong",IF(ISERROR(MATCH(TRIM('PC 08'!F365),{"Pop","Rock","Dangdut","K-Pop","Electronic","Nasional","Daerah"},0)),"Genre di luar daftar","")),IF('PC 08'!G365="","Nama Channel kosong",""),IF('PC 08'!H365="","Link kosong",IF(ISERROR(FIND("youtu",LOWER('PC 08'!H365))),"Link bukan youtube","")),IF('PC 08'!I365="","Tgl Dibuat kosong",IF(NOT(ISNUMBER('PC 08'!I365)),"Tgl Dibuat harus tanggal","")),IF(AND('PC 08'!J365&lt;&gt;"",NOT(ISNUMBER('PC 08'!J365))),"Tgl Publish harus tanggal",""),IF(AND(ISNUMBER('PC 08'!I365),ISNUMBER('PC 08'!J365),'PC 08'!J365&lt;'PC 08'!I365),"Tgl Publish &lt; Tgl Dibuat",""),IF(AND('PC 08'!K365&lt;&gt;"",ISERROR(MATCH(TRIM('PC 08'!K365),{"Draft","Menunggu Review","Revisi","Terjadwal","Publish","Batal","Published"},0))),"Status di luar daftar","")))</f>
        <v>#ERROR!</v>
      </c>
      <c r="D365" s="5" t="str">
        <f>IF(C365="","OK","ADA MASALAH")</f>
        <v>#ERROR!</v>
      </c>
    </row>
    <row r="366">
      <c r="A366" s="4">
        <v>366.0</v>
      </c>
      <c r="B366" s="5" t="str">
        <f>'PC 08'!A366</f>
        <v/>
      </c>
      <c r="C366" s="5" t="str">
        <f>IF(COUNTA('PC 08'!A366:L366)=0,"",TEXTJOIN(" | ",TRUE,IF('PC 08'!A366="","Worker ID kosong",""),IF('PC 08'!B366="","Update Date kosong",IF(NOT(ISNUMBER('PC 08'!B366)),"Update Date harus tanggal","")),IF('PC 08'!D366="","Judul kosong",""),IF('PC 08'!F366="","Genre kosong",IF(ISERROR(MATCH(TRIM('PC 08'!F366),{"Pop","Rock","Dangdut","K-Pop","Electronic","Nasional","Daerah"},0)),"Genre di luar daftar","")),IF('PC 08'!G366="","Nama Channel kosong",""),IF('PC 08'!H366="","Link kosong",IF(ISERROR(FIND("youtu",LOWER('PC 08'!H366))),"Link bukan youtube","")),IF('PC 08'!I366="","Tgl Dibuat kosong",IF(NOT(ISNUMBER('PC 08'!I366)),"Tgl Dibuat harus tanggal","")),IF(AND('PC 08'!J366&lt;&gt;"",NOT(ISNUMBER('PC 08'!J366))),"Tgl Publish harus tanggal",""),IF(AND(ISNUMBER('PC 08'!I366),ISNUMBER('PC 08'!J366),'PC 08'!J366&lt;'PC 08'!I366),"Tgl Publish &lt; Tgl Dibuat",""),IF(AND('PC 08'!K366&lt;&gt;"",ISERROR(MATCH(TRIM('PC 08'!K366),{"Draft","Menunggu Review","Revisi","Terjadwal","Publish","Batal","Published"},0))),"Status di luar daftar","")))</f>
        <v>#ERROR!</v>
      </c>
      <c r="D366" s="5" t="str">
        <f>IF(C366="","OK","ADA MASALAH")</f>
        <v>#ERROR!</v>
      </c>
    </row>
    <row r="367">
      <c r="A367" s="4">
        <v>367.0</v>
      </c>
      <c r="B367" s="5" t="str">
        <f>'PC 08'!A367</f>
        <v/>
      </c>
      <c r="C367" s="5" t="str">
        <f>IF(COUNTA('PC 08'!A367:L367)=0,"",TEXTJOIN(" | ",TRUE,IF('PC 08'!A367="","Worker ID kosong",""),IF('PC 08'!B367="","Update Date kosong",IF(NOT(ISNUMBER('PC 08'!B367)),"Update Date harus tanggal","")),IF('PC 08'!D367="","Judul kosong",""),IF('PC 08'!F367="","Genre kosong",IF(ISERROR(MATCH(TRIM('PC 08'!F367),{"Pop","Rock","Dangdut","K-Pop","Electronic","Nasional","Daerah"},0)),"Genre di luar daftar","")),IF('PC 08'!G367="","Nama Channel kosong",""),IF('PC 08'!H367="","Link kosong",IF(ISERROR(FIND("youtu",LOWER('PC 08'!H367))),"Link bukan youtube","")),IF('PC 08'!I367="","Tgl Dibuat kosong",IF(NOT(ISNUMBER('PC 08'!I367)),"Tgl Dibuat harus tanggal","")),IF(AND('PC 08'!J367&lt;&gt;"",NOT(ISNUMBER('PC 08'!J367))),"Tgl Publish harus tanggal",""),IF(AND(ISNUMBER('PC 08'!I367),ISNUMBER('PC 08'!J367),'PC 08'!J367&lt;'PC 08'!I367),"Tgl Publish &lt; Tgl Dibuat",""),IF(AND('PC 08'!K367&lt;&gt;"",ISERROR(MATCH(TRIM('PC 08'!K367),{"Draft","Menunggu Review","Revisi","Terjadwal","Publish","Batal","Published"},0))),"Status di luar daftar","")))</f>
        <v>#ERROR!</v>
      </c>
      <c r="D367" s="5" t="str">
        <f>IF(C367="","OK","ADA MASALAH")</f>
        <v>#ERROR!</v>
      </c>
    </row>
    <row r="368">
      <c r="A368" s="4">
        <v>368.0</v>
      </c>
      <c r="B368" s="5" t="str">
        <f>'PC 08'!A368</f>
        <v/>
      </c>
      <c r="C368" s="5" t="str">
        <f>IF(COUNTA('PC 08'!A368:L368)=0,"",TEXTJOIN(" | ",TRUE,IF('PC 08'!A368="","Worker ID kosong",""),IF('PC 08'!B368="","Update Date kosong",IF(NOT(ISNUMBER('PC 08'!B368)),"Update Date harus tanggal","")),IF('PC 08'!D368="","Judul kosong",""),IF('PC 08'!F368="","Genre kosong",IF(ISERROR(MATCH(TRIM('PC 08'!F368),{"Pop","Rock","Dangdut","K-Pop","Electronic","Nasional","Daerah"},0)),"Genre di luar daftar","")),IF('PC 08'!G368="","Nama Channel kosong",""),IF('PC 08'!H368="","Link kosong",IF(ISERROR(FIND("youtu",LOWER('PC 08'!H368))),"Link bukan youtube","")),IF('PC 08'!I368="","Tgl Dibuat kosong",IF(NOT(ISNUMBER('PC 08'!I368)),"Tgl Dibuat harus tanggal","")),IF(AND('PC 08'!J368&lt;&gt;"",NOT(ISNUMBER('PC 08'!J368))),"Tgl Publish harus tanggal",""),IF(AND(ISNUMBER('PC 08'!I368),ISNUMBER('PC 08'!J368),'PC 08'!J368&lt;'PC 08'!I368),"Tgl Publish &lt; Tgl Dibuat",""),IF(AND('PC 08'!K368&lt;&gt;"",ISERROR(MATCH(TRIM('PC 08'!K368),{"Draft","Menunggu Review","Revisi","Terjadwal","Publish","Batal","Published"},0))),"Status di luar daftar","")))</f>
        <v>#ERROR!</v>
      </c>
      <c r="D368" s="5" t="str">
        <f>IF(C368="","OK","ADA MASALAH")</f>
        <v>#ERROR!</v>
      </c>
    </row>
    <row r="369">
      <c r="A369" s="4">
        <v>369.0</v>
      </c>
      <c r="B369" s="5" t="str">
        <f>'PC 08'!A369</f>
        <v/>
      </c>
      <c r="C369" s="5" t="str">
        <f>IF(COUNTA('PC 08'!A369:L369)=0,"",TEXTJOIN(" | ",TRUE,IF('PC 08'!A369="","Worker ID kosong",""),IF('PC 08'!B369="","Update Date kosong",IF(NOT(ISNUMBER('PC 08'!B369)),"Update Date harus tanggal","")),IF('PC 08'!D369="","Judul kosong",""),IF('PC 08'!F369="","Genre kosong",IF(ISERROR(MATCH(TRIM('PC 08'!F369),{"Pop","Rock","Dangdut","K-Pop","Electronic","Nasional","Daerah"},0)),"Genre di luar daftar","")),IF('PC 08'!G369="","Nama Channel kosong",""),IF('PC 08'!H369="","Link kosong",IF(ISERROR(FIND("youtu",LOWER('PC 08'!H369))),"Link bukan youtube","")),IF('PC 08'!I369="","Tgl Dibuat kosong",IF(NOT(ISNUMBER('PC 08'!I369)),"Tgl Dibuat harus tanggal","")),IF(AND('PC 08'!J369&lt;&gt;"",NOT(ISNUMBER('PC 08'!J369))),"Tgl Publish harus tanggal",""),IF(AND(ISNUMBER('PC 08'!I369),ISNUMBER('PC 08'!J369),'PC 08'!J369&lt;'PC 08'!I369),"Tgl Publish &lt; Tgl Dibuat",""),IF(AND('PC 08'!K369&lt;&gt;"",ISERROR(MATCH(TRIM('PC 08'!K369),{"Draft","Menunggu Review","Revisi","Terjadwal","Publish","Batal","Published"},0))),"Status di luar daftar","")))</f>
        <v>#ERROR!</v>
      </c>
      <c r="D369" s="5" t="str">
        <f>IF(C369="","OK","ADA MASALAH")</f>
        <v>#ERROR!</v>
      </c>
    </row>
    <row r="370">
      <c r="A370" s="4">
        <v>370.0</v>
      </c>
      <c r="B370" s="5" t="str">
        <f>'PC 08'!A370</f>
        <v/>
      </c>
      <c r="C370" s="5" t="str">
        <f>IF(COUNTA('PC 08'!A370:L370)=0,"",TEXTJOIN(" | ",TRUE,IF('PC 08'!A370="","Worker ID kosong",""),IF('PC 08'!B370="","Update Date kosong",IF(NOT(ISNUMBER('PC 08'!B370)),"Update Date harus tanggal","")),IF('PC 08'!D370="","Judul kosong",""),IF('PC 08'!F370="","Genre kosong",IF(ISERROR(MATCH(TRIM('PC 08'!F370),{"Pop","Rock","Dangdut","K-Pop","Electronic","Nasional","Daerah"},0)),"Genre di luar daftar","")),IF('PC 08'!G370="","Nama Channel kosong",""),IF('PC 08'!H370="","Link kosong",IF(ISERROR(FIND("youtu",LOWER('PC 08'!H370))),"Link bukan youtube","")),IF('PC 08'!I370="","Tgl Dibuat kosong",IF(NOT(ISNUMBER('PC 08'!I370)),"Tgl Dibuat harus tanggal","")),IF(AND('PC 08'!J370&lt;&gt;"",NOT(ISNUMBER('PC 08'!J370))),"Tgl Publish harus tanggal",""),IF(AND(ISNUMBER('PC 08'!I370),ISNUMBER('PC 08'!J370),'PC 08'!J370&lt;'PC 08'!I370),"Tgl Publish &lt; Tgl Dibuat",""),IF(AND('PC 08'!K370&lt;&gt;"",ISERROR(MATCH(TRIM('PC 08'!K370),{"Draft","Menunggu Review","Revisi","Terjadwal","Publish","Batal","Published"},0))),"Status di luar daftar","")))</f>
        <v>#ERROR!</v>
      </c>
      <c r="D370" s="5" t="str">
        <f>IF(C370="","OK","ADA MASALAH")</f>
        <v>#ERROR!</v>
      </c>
    </row>
    <row r="371">
      <c r="A371" s="4">
        <v>371.0</v>
      </c>
      <c r="B371" s="5" t="str">
        <f>'PC 08'!A371</f>
        <v/>
      </c>
      <c r="C371" s="5" t="str">
        <f>IF(COUNTA('PC 08'!A371:L371)=0,"",TEXTJOIN(" | ",TRUE,IF('PC 08'!A371="","Worker ID kosong",""),IF('PC 08'!B371="","Update Date kosong",IF(NOT(ISNUMBER('PC 08'!B371)),"Update Date harus tanggal","")),IF('PC 08'!D371="","Judul kosong",""),IF('PC 08'!F371="","Genre kosong",IF(ISERROR(MATCH(TRIM('PC 08'!F371),{"Pop","Rock","Dangdut","K-Pop","Electronic","Nasional","Daerah"},0)),"Genre di luar daftar","")),IF('PC 08'!G371="","Nama Channel kosong",""),IF('PC 08'!H371="","Link kosong",IF(ISERROR(FIND("youtu",LOWER('PC 08'!H371))),"Link bukan youtube","")),IF('PC 08'!I371="","Tgl Dibuat kosong",IF(NOT(ISNUMBER('PC 08'!I371)),"Tgl Dibuat harus tanggal","")),IF(AND('PC 08'!J371&lt;&gt;"",NOT(ISNUMBER('PC 08'!J371))),"Tgl Publish harus tanggal",""),IF(AND(ISNUMBER('PC 08'!I371),ISNUMBER('PC 08'!J371),'PC 08'!J371&lt;'PC 08'!I371),"Tgl Publish &lt; Tgl Dibuat",""),IF(AND('PC 08'!K371&lt;&gt;"",ISERROR(MATCH(TRIM('PC 08'!K371),{"Draft","Menunggu Review","Revisi","Terjadwal","Publish","Batal","Published"},0))),"Status di luar daftar","")))</f>
        <v>#ERROR!</v>
      </c>
      <c r="D371" s="5" t="str">
        <f>IF(C371="","OK","ADA MASALAH")</f>
        <v>#ERROR!</v>
      </c>
    </row>
    <row r="372">
      <c r="A372" s="4">
        <v>372.0</v>
      </c>
      <c r="B372" s="5" t="str">
        <f>'PC 08'!A372</f>
        <v/>
      </c>
      <c r="C372" s="5" t="str">
        <f>IF(COUNTA('PC 08'!A372:L372)=0,"",TEXTJOIN(" | ",TRUE,IF('PC 08'!A372="","Worker ID kosong",""),IF('PC 08'!B372="","Update Date kosong",IF(NOT(ISNUMBER('PC 08'!B372)),"Update Date harus tanggal","")),IF('PC 08'!D372="","Judul kosong",""),IF('PC 08'!F372="","Genre kosong",IF(ISERROR(MATCH(TRIM('PC 08'!F372),{"Pop","Rock","Dangdut","K-Pop","Electronic","Nasional","Daerah"},0)),"Genre di luar daftar","")),IF('PC 08'!G372="","Nama Channel kosong",""),IF('PC 08'!H372="","Link kosong",IF(ISERROR(FIND("youtu",LOWER('PC 08'!H372))),"Link bukan youtube","")),IF('PC 08'!I372="","Tgl Dibuat kosong",IF(NOT(ISNUMBER('PC 08'!I372)),"Tgl Dibuat harus tanggal","")),IF(AND('PC 08'!J372&lt;&gt;"",NOT(ISNUMBER('PC 08'!J372))),"Tgl Publish harus tanggal",""),IF(AND(ISNUMBER('PC 08'!I372),ISNUMBER('PC 08'!J372),'PC 08'!J372&lt;'PC 08'!I372),"Tgl Publish &lt; Tgl Dibuat",""),IF(AND('PC 08'!K372&lt;&gt;"",ISERROR(MATCH(TRIM('PC 08'!K372),{"Draft","Menunggu Review","Revisi","Terjadwal","Publish","Batal","Published"},0))),"Status di luar daftar","")))</f>
        <v>#ERROR!</v>
      </c>
      <c r="D372" s="5" t="str">
        <f>IF(C372="","OK","ADA MASALAH")</f>
        <v>#ERROR!</v>
      </c>
    </row>
    <row r="373">
      <c r="A373" s="4">
        <v>373.0</v>
      </c>
      <c r="B373" s="5" t="str">
        <f>'PC 08'!A373</f>
        <v/>
      </c>
      <c r="C373" s="5" t="str">
        <f>IF(COUNTA('PC 08'!A373:L373)=0,"",TEXTJOIN(" | ",TRUE,IF('PC 08'!A373="","Worker ID kosong",""),IF('PC 08'!B373="","Update Date kosong",IF(NOT(ISNUMBER('PC 08'!B373)),"Update Date harus tanggal","")),IF('PC 08'!D373="","Judul kosong",""),IF('PC 08'!F373="","Genre kosong",IF(ISERROR(MATCH(TRIM('PC 08'!F373),{"Pop","Rock","Dangdut","K-Pop","Electronic","Nasional","Daerah"},0)),"Genre di luar daftar","")),IF('PC 08'!G373="","Nama Channel kosong",""),IF('PC 08'!H373="","Link kosong",IF(ISERROR(FIND("youtu",LOWER('PC 08'!H373))),"Link bukan youtube","")),IF('PC 08'!I373="","Tgl Dibuat kosong",IF(NOT(ISNUMBER('PC 08'!I373)),"Tgl Dibuat harus tanggal","")),IF(AND('PC 08'!J373&lt;&gt;"",NOT(ISNUMBER('PC 08'!J373))),"Tgl Publish harus tanggal",""),IF(AND(ISNUMBER('PC 08'!I373),ISNUMBER('PC 08'!J373),'PC 08'!J373&lt;'PC 08'!I373),"Tgl Publish &lt; Tgl Dibuat",""),IF(AND('PC 08'!K373&lt;&gt;"",ISERROR(MATCH(TRIM('PC 08'!K373),{"Draft","Menunggu Review","Revisi","Terjadwal","Publish","Batal","Published"},0))),"Status di luar daftar","")))</f>
        <v>#ERROR!</v>
      </c>
      <c r="D373" s="5" t="str">
        <f>IF(C373="","OK","ADA MASALAH")</f>
        <v>#ERROR!</v>
      </c>
    </row>
    <row r="374">
      <c r="A374" s="4">
        <v>374.0</v>
      </c>
      <c r="B374" s="5" t="str">
        <f>'PC 08'!A374</f>
        <v/>
      </c>
      <c r="C374" s="5" t="str">
        <f>IF(COUNTA('PC 08'!A374:L374)=0,"",TEXTJOIN(" | ",TRUE,IF('PC 08'!A374="","Worker ID kosong",""),IF('PC 08'!B374="","Update Date kosong",IF(NOT(ISNUMBER('PC 08'!B374)),"Update Date harus tanggal","")),IF('PC 08'!D374="","Judul kosong",""),IF('PC 08'!F374="","Genre kosong",IF(ISERROR(MATCH(TRIM('PC 08'!F374),{"Pop","Rock","Dangdut","K-Pop","Electronic","Nasional","Daerah"},0)),"Genre di luar daftar","")),IF('PC 08'!G374="","Nama Channel kosong",""),IF('PC 08'!H374="","Link kosong",IF(ISERROR(FIND("youtu",LOWER('PC 08'!H374))),"Link bukan youtube","")),IF('PC 08'!I374="","Tgl Dibuat kosong",IF(NOT(ISNUMBER('PC 08'!I374)),"Tgl Dibuat harus tanggal","")),IF(AND('PC 08'!J374&lt;&gt;"",NOT(ISNUMBER('PC 08'!J374))),"Tgl Publish harus tanggal",""),IF(AND(ISNUMBER('PC 08'!I374),ISNUMBER('PC 08'!J374),'PC 08'!J374&lt;'PC 08'!I374),"Tgl Publish &lt; Tgl Dibuat",""),IF(AND('PC 08'!K374&lt;&gt;"",ISERROR(MATCH(TRIM('PC 08'!K374),{"Draft","Menunggu Review","Revisi","Terjadwal","Publish","Batal","Published"},0))),"Status di luar daftar","")))</f>
        <v>#ERROR!</v>
      </c>
      <c r="D374" s="5" t="str">
        <f>IF(C374="","OK","ADA MASALAH")</f>
        <v>#ERROR!</v>
      </c>
    </row>
    <row r="375">
      <c r="A375" s="4">
        <v>375.0</v>
      </c>
      <c r="B375" s="5" t="str">
        <f>'PC 08'!A375</f>
        <v/>
      </c>
      <c r="C375" s="5" t="str">
        <f>IF(COUNTA('PC 08'!A375:L375)=0,"",TEXTJOIN(" | ",TRUE,IF('PC 08'!A375="","Worker ID kosong",""),IF('PC 08'!B375="","Update Date kosong",IF(NOT(ISNUMBER('PC 08'!B375)),"Update Date harus tanggal","")),IF('PC 08'!D375="","Judul kosong",""),IF('PC 08'!F375="","Genre kosong",IF(ISERROR(MATCH(TRIM('PC 08'!F375),{"Pop","Rock","Dangdut","K-Pop","Electronic","Nasional","Daerah"},0)),"Genre di luar daftar","")),IF('PC 08'!G375="","Nama Channel kosong",""),IF('PC 08'!H375="","Link kosong",IF(ISERROR(FIND("youtu",LOWER('PC 08'!H375))),"Link bukan youtube","")),IF('PC 08'!I375="","Tgl Dibuat kosong",IF(NOT(ISNUMBER('PC 08'!I375)),"Tgl Dibuat harus tanggal","")),IF(AND('PC 08'!J375&lt;&gt;"",NOT(ISNUMBER('PC 08'!J375))),"Tgl Publish harus tanggal",""),IF(AND(ISNUMBER('PC 08'!I375),ISNUMBER('PC 08'!J375),'PC 08'!J375&lt;'PC 08'!I375),"Tgl Publish &lt; Tgl Dibuat",""),IF(AND('PC 08'!K375&lt;&gt;"",ISERROR(MATCH(TRIM('PC 08'!K375),{"Draft","Menunggu Review","Revisi","Terjadwal","Publish","Batal","Published"},0))),"Status di luar daftar","")))</f>
        <v>#ERROR!</v>
      </c>
      <c r="D375" s="5" t="str">
        <f>IF(C375="","OK","ADA MASALAH")</f>
        <v>#ERROR!</v>
      </c>
    </row>
    <row r="376">
      <c r="A376" s="4">
        <v>376.0</v>
      </c>
      <c r="B376" s="5" t="str">
        <f>'PC 08'!A376</f>
        <v/>
      </c>
      <c r="C376" s="5" t="str">
        <f>IF(COUNTA('PC 08'!A376:L376)=0,"",TEXTJOIN(" | ",TRUE,IF('PC 08'!A376="","Worker ID kosong",""),IF('PC 08'!B376="","Update Date kosong",IF(NOT(ISNUMBER('PC 08'!B376)),"Update Date harus tanggal","")),IF('PC 08'!D376="","Judul kosong",""),IF('PC 08'!F376="","Genre kosong",IF(ISERROR(MATCH(TRIM('PC 08'!F376),{"Pop","Rock","Dangdut","K-Pop","Electronic","Nasional","Daerah"},0)),"Genre di luar daftar","")),IF('PC 08'!G376="","Nama Channel kosong",""),IF('PC 08'!H376="","Link kosong",IF(ISERROR(FIND("youtu",LOWER('PC 08'!H376))),"Link bukan youtube","")),IF('PC 08'!I376="","Tgl Dibuat kosong",IF(NOT(ISNUMBER('PC 08'!I376)),"Tgl Dibuat harus tanggal","")),IF(AND('PC 08'!J376&lt;&gt;"",NOT(ISNUMBER('PC 08'!J376))),"Tgl Publish harus tanggal",""),IF(AND(ISNUMBER('PC 08'!I376),ISNUMBER('PC 08'!J376),'PC 08'!J376&lt;'PC 08'!I376),"Tgl Publish &lt; Tgl Dibuat",""),IF(AND('PC 08'!K376&lt;&gt;"",ISERROR(MATCH(TRIM('PC 08'!K376),{"Draft","Menunggu Review","Revisi","Terjadwal","Publish","Batal","Published"},0))),"Status di luar daftar","")))</f>
        <v>#ERROR!</v>
      </c>
      <c r="D376" s="5" t="str">
        <f>IF(C376="","OK","ADA MASALAH")</f>
        <v>#ERROR!</v>
      </c>
    </row>
    <row r="377">
      <c r="A377" s="4">
        <v>377.0</v>
      </c>
      <c r="B377" s="5" t="str">
        <f>'PC 08'!A377</f>
        <v/>
      </c>
      <c r="C377" s="5" t="str">
        <f>IF(COUNTA('PC 08'!A377:L377)=0,"",TEXTJOIN(" | ",TRUE,IF('PC 08'!A377="","Worker ID kosong",""),IF('PC 08'!B377="","Update Date kosong",IF(NOT(ISNUMBER('PC 08'!B377)),"Update Date harus tanggal","")),IF('PC 08'!D377="","Judul kosong",""),IF('PC 08'!F377="","Genre kosong",IF(ISERROR(MATCH(TRIM('PC 08'!F377),{"Pop","Rock","Dangdut","K-Pop","Electronic","Nasional","Daerah"},0)),"Genre di luar daftar","")),IF('PC 08'!G377="","Nama Channel kosong",""),IF('PC 08'!H377="","Link kosong",IF(ISERROR(FIND("youtu",LOWER('PC 08'!H377))),"Link bukan youtube","")),IF('PC 08'!I377="","Tgl Dibuat kosong",IF(NOT(ISNUMBER('PC 08'!I377)),"Tgl Dibuat harus tanggal","")),IF(AND('PC 08'!J377&lt;&gt;"",NOT(ISNUMBER('PC 08'!J377))),"Tgl Publish harus tanggal",""),IF(AND(ISNUMBER('PC 08'!I377),ISNUMBER('PC 08'!J377),'PC 08'!J377&lt;'PC 08'!I377),"Tgl Publish &lt; Tgl Dibuat",""),IF(AND('PC 08'!K377&lt;&gt;"",ISERROR(MATCH(TRIM('PC 08'!K377),{"Draft","Menunggu Review","Revisi","Terjadwal","Publish","Batal","Published"},0))),"Status di luar daftar","")))</f>
        <v>#ERROR!</v>
      </c>
      <c r="D377" s="5" t="str">
        <f>IF(C377="","OK","ADA MASALAH")</f>
        <v>#ERROR!</v>
      </c>
    </row>
    <row r="378">
      <c r="A378" s="4">
        <v>378.0</v>
      </c>
      <c r="B378" s="5" t="str">
        <f>'PC 08'!A378</f>
        <v/>
      </c>
      <c r="C378" s="5" t="str">
        <f>IF(COUNTA('PC 08'!A378:L378)=0,"",TEXTJOIN(" | ",TRUE,IF('PC 08'!A378="","Worker ID kosong",""),IF('PC 08'!B378="","Update Date kosong",IF(NOT(ISNUMBER('PC 08'!B378)),"Update Date harus tanggal","")),IF('PC 08'!D378="","Judul kosong",""),IF('PC 08'!F378="","Genre kosong",IF(ISERROR(MATCH(TRIM('PC 08'!F378),{"Pop","Rock","Dangdut","K-Pop","Electronic","Nasional","Daerah"},0)),"Genre di luar daftar","")),IF('PC 08'!G378="","Nama Channel kosong",""),IF('PC 08'!H378="","Link kosong",IF(ISERROR(FIND("youtu",LOWER('PC 08'!H378))),"Link bukan youtube","")),IF('PC 08'!I378="","Tgl Dibuat kosong",IF(NOT(ISNUMBER('PC 08'!I378)),"Tgl Dibuat harus tanggal","")),IF(AND('PC 08'!J378&lt;&gt;"",NOT(ISNUMBER('PC 08'!J378))),"Tgl Publish harus tanggal",""),IF(AND(ISNUMBER('PC 08'!I378),ISNUMBER('PC 08'!J378),'PC 08'!J378&lt;'PC 08'!I378),"Tgl Publish &lt; Tgl Dibuat",""),IF(AND('PC 08'!K378&lt;&gt;"",ISERROR(MATCH(TRIM('PC 08'!K378),{"Draft","Menunggu Review","Revisi","Terjadwal","Publish","Batal","Published"},0))),"Status di luar daftar","")))</f>
        <v>#ERROR!</v>
      </c>
      <c r="D378" s="5" t="str">
        <f>IF(C378="","OK","ADA MASALAH")</f>
        <v>#ERROR!</v>
      </c>
    </row>
    <row r="379">
      <c r="A379" s="4">
        <v>379.0</v>
      </c>
      <c r="B379" s="5" t="str">
        <f>'PC 08'!A379</f>
        <v/>
      </c>
      <c r="C379" s="5" t="str">
        <f>IF(COUNTA('PC 08'!A379:L379)=0,"",TEXTJOIN(" | ",TRUE,IF('PC 08'!A379="","Worker ID kosong",""),IF('PC 08'!B379="","Update Date kosong",IF(NOT(ISNUMBER('PC 08'!B379)),"Update Date harus tanggal","")),IF('PC 08'!D379="","Judul kosong",""),IF('PC 08'!F379="","Genre kosong",IF(ISERROR(MATCH(TRIM('PC 08'!F379),{"Pop","Rock","Dangdut","K-Pop","Electronic","Nasional","Daerah"},0)),"Genre di luar daftar","")),IF('PC 08'!G379="","Nama Channel kosong",""),IF('PC 08'!H379="","Link kosong",IF(ISERROR(FIND("youtu",LOWER('PC 08'!H379))),"Link bukan youtube","")),IF('PC 08'!I379="","Tgl Dibuat kosong",IF(NOT(ISNUMBER('PC 08'!I379)),"Tgl Dibuat harus tanggal","")),IF(AND('PC 08'!J379&lt;&gt;"",NOT(ISNUMBER('PC 08'!J379))),"Tgl Publish harus tanggal",""),IF(AND(ISNUMBER('PC 08'!I379),ISNUMBER('PC 08'!J379),'PC 08'!J379&lt;'PC 08'!I379),"Tgl Publish &lt; Tgl Dibuat",""),IF(AND('PC 08'!K379&lt;&gt;"",ISERROR(MATCH(TRIM('PC 08'!K379),{"Draft","Menunggu Review","Revisi","Terjadwal","Publish","Batal","Published"},0))),"Status di luar daftar","")))</f>
        <v>#ERROR!</v>
      </c>
      <c r="D379" s="5" t="str">
        <f>IF(C379="","OK","ADA MASALAH")</f>
        <v>#ERROR!</v>
      </c>
    </row>
    <row r="380">
      <c r="A380" s="4">
        <v>380.0</v>
      </c>
      <c r="B380" s="5" t="str">
        <f>'PC 08'!A380</f>
        <v/>
      </c>
      <c r="C380" s="5" t="str">
        <f>IF(COUNTA('PC 08'!A380:L380)=0,"",TEXTJOIN(" | ",TRUE,IF('PC 08'!A380="","Worker ID kosong",""),IF('PC 08'!B380="","Update Date kosong",IF(NOT(ISNUMBER('PC 08'!B380)),"Update Date harus tanggal","")),IF('PC 08'!D380="","Judul kosong",""),IF('PC 08'!F380="","Genre kosong",IF(ISERROR(MATCH(TRIM('PC 08'!F380),{"Pop","Rock","Dangdut","K-Pop","Electronic","Nasional","Daerah"},0)),"Genre di luar daftar","")),IF('PC 08'!G380="","Nama Channel kosong",""),IF('PC 08'!H380="","Link kosong",IF(ISERROR(FIND("youtu",LOWER('PC 08'!H380))),"Link bukan youtube","")),IF('PC 08'!I380="","Tgl Dibuat kosong",IF(NOT(ISNUMBER('PC 08'!I380)),"Tgl Dibuat harus tanggal","")),IF(AND('PC 08'!J380&lt;&gt;"",NOT(ISNUMBER('PC 08'!J380))),"Tgl Publish harus tanggal",""),IF(AND(ISNUMBER('PC 08'!I380),ISNUMBER('PC 08'!J380),'PC 08'!J380&lt;'PC 08'!I380),"Tgl Publish &lt; Tgl Dibuat",""),IF(AND('PC 08'!K380&lt;&gt;"",ISERROR(MATCH(TRIM('PC 08'!K380),{"Draft","Menunggu Review","Revisi","Terjadwal","Publish","Batal","Published"},0))),"Status di luar daftar","")))</f>
        <v>#ERROR!</v>
      </c>
      <c r="D380" s="5" t="str">
        <f>IF(C380="","OK","ADA MASALAH")</f>
        <v>#ERROR!</v>
      </c>
    </row>
    <row r="381">
      <c r="A381" s="4">
        <v>381.0</v>
      </c>
      <c r="B381" s="5" t="str">
        <f>'PC 08'!A381</f>
        <v/>
      </c>
      <c r="C381" s="5" t="str">
        <f>IF(COUNTA('PC 08'!A381:L381)=0,"",TEXTJOIN(" | ",TRUE,IF('PC 08'!A381="","Worker ID kosong",""),IF('PC 08'!B381="","Update Date kosong",IF(NOT(ISNUMBER('PC 08'!B381)),"Update Date harus tanggal","")),IF('PC 08'!D381="","Judul kosong",""),IF('PC 08'!F381="","Genre kosong",IF(ISERROR(MATCH(TRIM('PC 08'!F381),{"Pop","Rock","Dangdut","K-Pop","Electronic","Nasional","Daerah"},0)),"Genre di luar daftar","")),IF('PC 08'!G381="","Nama Channel kosong",""),IF('PC 08'!H381="","Link kosong",IF(ISERROR(FIND("youtu",LOWER('PC 08'!H381))),"Link bukan youtube","")),IF('PC 08'!I381="","Tgl Dibuat kosong",IF(NOT(ISNUMBER('PC 08'!I381)),"Tgl Dibuat harus tanggal","")),IF(AND('PC 08'!J381&lt;&gt;"",NOT(ISNUMBER('PC 08'!J381))),"Tgl Publish harus tanggal",""),IF(AND(ISNUMBER('PC 08'!I381),ISNUMBER('PC 08'!J381),'PC 08'!J381&lt;'PC 08'!I381),"Tgl Publish &lt; Tgl Dibuat",""),IF(AND('PC 08'!K381&lt;&gt;"",ISERROR(MATCH(TRIM('PC 08'!K381),{"Draft","Menunggu Review","Revisi","Terjadwal","Publish","Batal","Published"},0))),"Status di luar daftar","")))</f>
        <v>#ERROR!</v>
      </c>
      <c r="D381" s="5" t="str">
        <f>IF(C381="","OK","ADA MASALAH")</f>
        <v>#ERROR!</v>
      </c>
    </row>
    <row r="382">
      <c r="A382" s="4">
        <v>382.0</v>
      </c>
      <c r="B382" s="5" t="str">
        <f>'PC 08'!A382</f>
        <v/>
      </c>
      <c r="C382" s="5" t="str">
        <f>IF(COUNTA('PC 08'!A382:L382)=0,"",TEXTJOIN(" | ",TRUE,IF('PC 08'!A382="","Worker ID kosong",""),IF('PC 08'!B382="","Update Date kosong",IF(NOT(ISNUMBER('PC 08'!B382)),"Update Date harus tanggal","")),IF('PC 08'!D382="","Judul kosong",""),IF('PC 08'!F382="","Genre kosong",IF(ISERROR(MATCH(TRIM('PC 08'!F382),{"Pop","Rock","Dangdut","K-Pop","Electronic","Nasional","Daerah"},0)),"Genre di luar daftar","")),IF('PC 08'!G382="","Nama Channel kosong",""),IF('PC 08'!H382="","Link kosong",IF(ISERROR(FIND("youtu",LOWER('PC 08'!H382))),"Link bukan youtube","")),IF('PC 08'!I382="","Tgl Dibuat kosong",IF(NOT(ISNUMBER('PC 08'!I382)),"Tgl Dibuat harus tanggal","")),IF(AND('PC 08'!J382&lt;&gt;"",NOT(ISNUMBER('PC 08'!J382))),"Tgl Publish harus tanggal",""),IF(AND(ISNUMBER('PC 08'!I382),ISNUMBER('PC 08'!J382),'PC 08'!J382&lt;'PC 08'!I382),"Tgl Publish &lt; Tgl Dibuat",""),IF(AND('PC 08'!K382&lt;&gt;"",ISERROR(MATCH(TRIM('PC 08'!K382),{"Draft","Menunggu Review","Revisi","Terjadwal","Publish","Batal","Published"},0))),"Status di luar daftar","")))</f>
        <v>#ERROR!</v>
      </c>
      <c r="D382" s="5" t="str">
        <f>IF(C382="","OK","ADA MASALAH")</f>
        <v>#ERROR!</v>
      </c>
    </row>
    <row r="383">
      <c r="A383" s="4">
        <v>383.0</v>
      </c>
      <c r="B383" s="5" t="str">
        <f>'PC 08'!A383</f>
        <v/>
      </c>
      <c r="C383" s="5" t="str">
        <f>IF(COUNTA('PC 08'!A383:L383)=0,"",TEXTJOIN(" | ",TRUE,IF('PC 08'!A383="","Worker ID kosong",""),IF('PC 08'!B383="","Update Date kosong",IF(NOT(ISNUMBER('PC 08'!B383)),"Update Date harus tanggal","")),IF('PC 08'!D383="","Judul kosong",""),IF('PC 08'!F383="","Genre kosong",IF(ISERROR(MATCH(TRIM('PC 08'!F383),{"Pop","Rock","Dangdut","K-Pop","Electronic","Nasional","Daerah"},0)),"Genre di luar daftar","")),IF('PC 08'!G383="","Nama Channel kosong",""),IF('PC 08'!H383="","Link kosong",IF(ISERROR(FIND("youtu",LOWER('PC 08'!H383))),"Link bukan youtube","")),IF('PC 08'!I383="","Tgl Dibuat kosong",IF(NOT(ISNUMBER('PC 08'!I383)),"Tgl Dibuat harus tanggal","")),IF(AND('PC 08'!J383&lt;&gt;"",NOT(ISNUMBER('PC 08'!J383))),"Tgl Publish harus tanggal",""),IF(AND(ISNUMBER('PC 08'!I383),ISNUMBER('PC 08'!J383),'PC 08'!J383&lt;'PC 08'!I383),"Tgl Publish &lt; Tgl Dibuat",""),IF(AND('PC 08'!K383&lt;&gt;"",ISERROR(MATCH(TRIM('PC 08'!K383),{"Draft","Menunggu Review","Revisi","Terjadwal","Publish","Batal","Published"},0))),"Status di luar daftar","")))</f>
        <v>#ERROR!</v>
      </c>
      <c r="D383" s="5" t="str">
        <f>IF(C383="","OK","ADA MASALAH")</f>
        <v>#ERROR!</v>
      </c>
    </row>
    <row r="384">
      <c r="A384" s="4">
        <v>384.0</v>
      </c>
      <c r="B384" s="5" t="str">
        <f>'PC 08'!A384</f>
        <v/>
      </c>
      <c r="C384" s="5" t="str">
        <f>IF(COUNTA('PC 08'!A384:L384)=0,"",TEXTJOIN(" | ",TRUE,IF('PC 08'!A384="","Worker ID kosong",""),IF('PC 08'!B384="","Update Date kosong",IF(NOT(ISNUMBER('PC 08'!B384)),"Update Date harus tanggal","")),IF('PC 08'!D384="","Judul kosong",""),IF('PC 08'!F384="","Genre kosong",IF(ISERROR(MATCH(TRIM('PC 08'!F384),{"Pop","Rock","Dangdut","K-Pop","Electronic","Nasional","Daerah"},0)),"Genre di luar daftar","")),IF('PC 08'!G384="","Nama Channel kosong",""),IF('PC 08'!H384="","Link kosong",IF(ISERROR(FIND("youtu",LOWER('PC 08'!H384))),"Link bukan youtube","")),IF('PC 08'!I384="","Tgl Dibuat kosong",IF(NOT(ISNUMBER('PC 08'!I384)),"Tgl Dibuat harus tanggal","")),IF(AND('PC 08'!J384&lt;&gt;"",NOT(ISNUMBER('PC 08'!J384))),"Tgl Publish harus tanggal",""),IF(AND(ISNUMBER('PC 08'!I384),ISNUMBER('PC 08'!J384),'PC 08'!J384&lt;'PC 08'!I384),"Tgl Publish &lt; Tgl Dibuat",""),IF(AND('PC 08'!K384&lt;&gt;"",ISERROR(MATCH(TRIM('PC 08'!K384),{"Draft","Menunggu Review","Revisi","Terjadwal","Publish","Batal","Published"},0))),"Status di luar daftar","")))</f>
        <v>#ERROR!</v>
      </c>
      <c r="D384" s="5" t="str">
        <f>IF(C384="","OK","ADA MASALAH")</f>
        <v>#ERROR!</v>
      </c>
    </row>
    <row r="385">
      <c r="A385" s="4">
        <v>385.0</v>
      </c>
      <c r="B385" s="5" t="str">
        <f>'PC 08'!A385</f>
        <v/>
      </c>
      <c r="C385" s="5" t="str">
        <f>IF(COUNTA('PC 08'!A385:L385)=0,"",TEXTJOIN(" | ",TRUE,IF('PC 08'!A385="","Worker ID kosong",""),IF('PC 08'!B385="","Update Date kosong",IF(NOT(ISNUMBER('PC 08'!B385)),"Update Date harus tanggal","")),IF('PC 08'!D385="","Judul kosong",""),IF('PC 08'!F385="","Genre kosong",IF(ISERROR(MATCH(TRIM('PC 08'!F385),{"Pop","Rock","Dangdut","K-Pop","Electronic","Nasional","Daerah"},0)),"Genre di luar daftar","")),IF('PC 08'!G385="","Nama Channel kosong",""),IF('PC 08'!H385="","Link kosong",IF(ISERROR(FIND("youtu",LOWER('PC 08'!H385))),"Link bukan youtube","")),IF('PC 08'!I385="","Tgl Dibuat kosong",IF(NOT(ISNUMBER('PC 08'!I385)),"Tgl Dibuat harus tanggal","")),IF(AND('PC 08'!J385&lt;&gt;"",NOT(ISNUMBER('PC 08'!J385))),"Tgl Publish harus tanggal",""),IF(AND(ISNUMBER('PC 08'!I385),ISNUMBER('PC 08'!J385),'PC 08'!J385&lt;'PC 08'!I385),"Tgl Publish &lt; Tgl Dibuat",""),IF(AND('PC 08'!K385&lt;&gt;"",ISERROR(MATCH(TRIM('PC 08'!K385),{"Draft","Menunggu Review","Revisi","Terjadwal","Publish","Batal","Published"},0))),"Status di luar daftar","")))</f>
        <v>#ERROR!</v>
      </c>
      <c r="D385" s="5" t="str">
        <f>IF(C385="","OK","ADA MASALAH")</f>
        <v>#ERROR!</v>
      </c>
    </row>
    <row r="386">
      <c r="A386" s="4">
        <v>386.0</v>
      </c>
      <c r="B386" s="5" t="str">
        <f>'PC 08'!A386</f>
        <v/>
      </c>
      <c r="C386" s="5" t="str">
        <f>IF(COUNTA('PC 08'!A386:L386)=0,"",TEXTJOIN(" | ",TRUE,IF('PC 08'!A386="","Worker ID kosong",""),IF('PC 08'!B386="","Update Date kosong",IF(NOT(ISNUMBER('PC 08'!B386)),"Update Date harus tanggal","")),IF('PC 08'!D386="","Judul kosong",""),IF('PC 08'!F386="","Genre kosong",IF(ISERROR(MATCH(TRIM('PC 08'!F386),{"Pop","Rock","Dangdut","K-Pop","Electronic","Nasional","Daerah"},0)),"Genre di luar daftar","")),IF('PC 08'!G386="","Nama Channel kosong",""),IF('PC 08'!H386="","Link kosong",IF(ISERROR(FIND("youtu",LOWER('PC 08'!H386))),"Link bukan youtube","")),IF('PC 08'!I386="","Tgl Dibuat kosong",IF(NOT(ISNUMBER('PC 08'!I386)),"Tgl Dibuat harus tanggal","")),IF(AND('PC 08'!J386&lt;&gt;"",NOT(ISNUMBER('PC 08'!J386))),"Tgl Publish harus tanggal",""),IF(AND(ISNUMBER('PC 08'!I386),ISNUMBER('PC 08'!J386),'PC 08'!J386&lt;'PC 08'!I386),"Tgl Publish &lt; Tgl Dibuat",""),IF(AND('PC 08'!K386&lt;&gt;"",ISERROR(MATCH(TRIM('PC 08'!K386),{"Draft","Menunggu Review","Revisi","Terjadwal","Publish","Batal","Published"},0))),"Status di luar daftar","")))</f>
        <v>#ERROR!</v>
      </c>
      <c r="D386" s="5" t="str">
        <f>IF(C386="","OK","ADA MASALAH")</f>
        <v>#ERROR!</v>
      </c>
    </row>
    <row r="387">
      <c r="A387" s="4">
        <v>387.0</v>
      </c>
      <c r="B387" s="5" t="str">
        <f>'PC 08'!A387</f>
        <v/>
      </c>
      <c r="C387" s="5" t="str">
        <f>IF(COUNTA('PC 08'!A387:L387)=0,"",TEXTJOIN(" | ",TRUE,IF('PC 08'!A387="","Worker ID kosong",""),IF('PC 08'!B387="","Update Date kosong",IF(NOT(ISNUMBER('PC 08'!B387)),"Update Date harus tanggal","")),IF('PC 08'!D387="","Judul kosong",""),IF('PC 08'!F387="","Genre kosong",IF(ISERROR(MATCH(TRIM('PC 08'!F387),{"Pop","Rock","Dangdut","K-Pop","Electronic","Nasional","Daerah"},0)),"Genre di luar daftar","")),IF('PC 08'!G387="","Nama Channel kosong",""),IF('PC 08'!H387="","Link kosong",IF(ISERROR(FIND("youtu",LOWER('PC 08'!H387))),"Link bukan youtube","")),IF('PC 08'!I387="","Tgl Dibuat kosong",IF(NOT(ISNUMBER('PC 08'!I387)),"Tgl Dibuat harus tanggal","")),IF(AND('PC 08'!J387&lt;&gt;"",NOT(ISNUMBER('PC 08'!J387))),"Tgl Publish harus tanggal",""),IF(AND(ISNUMBER('PC 08'!I387),ISNUMBER('PC 08'!J387),'PC 08'!J387&lt;'PC 08'!I387),"Tgl Publish &lt; Tgl Dibuat",""),IF(AND('PC 08'!K387&lt;&gt;"",ISERROR(MATCH(TRIM('PC 08'!K387),{"Draft","Menunggu Review","Revisi","Terjadwal","Publish","Batal","Published"},0))),"Status di luar daftar","")))</f>
        <v>#ERROR!</v>
      </c>
      <c r="D387" s="5" t="str">
        <f>IF(C387="","OK","ADA MASALAH")</f>
        <v>#ERROR!</v>
      </c>
    </row>
    <row r="388">
      <c r="A388" s="4">
        <v>388.0</v>
      </c>
      <c r="B388" s="5" t="str">
        <f>'PC 08'!A388</f>
        <v/>
      </c>
      <c r="C388" s="5" t="str">
        <f>IF(COUNTA('PC 08'!A388:L388)=0,"",TEXTJOIN(" | ",TRUE,IF('PC 08'!A388="","Worker ID kosong",""),IF('PC 08'!B388="","Update Date kosong",IF(NOT(ISNUMBER('PC 08'!B388)),"Update Date harus tanggal","")),IF('PC 08'!D388="","Judul kosong",""),IF('PC 08'!F388="","Genre kosong",IF(ISERROR(MATCH(TRIM('PC 08'!F388),{"Pop","Rock","Dangdut","K-Pop","Electronic","Nasional","Daerah"},0)),"Genre di luar daftar","")),IF('PC 08'!G388="","Nama Channel kosong",""),IF('PC 08'!H388="","Link kosong",IF(ISERROR(FIND("youtu",LOWER('PC 08'!H388))),"Link bukan youtube","")),IF('PC 08'!I388="","Tgl Dibuat kosong",IF(NOT(ISNUMBER('PC 08'!I388)),"Tgl Dibuat harus tanggal","")),IF(AND('PC 08'!J388&lt;&gt;"",NOT(ISNUMBER('PC 08'!J388))),"Tgl Publish harus tanggal",""),IF(AND(ISNUMBER('PC 08'!I388),ISNUMBER('PC 08'!J388),'PC 08'!J388&lt;'PC 08'!I388),"Tgl Publish &lt; Tgl Dibuat",""),IF(AND('PC 08'!K388&lt;&gt;"",ISERROR(MATCH(TRIM('PC 08'!K388),{"Draft","Menunggu Review","Revisi","Terjadwal","Publish","Batal","Published"},0))),"Status di luar daftar","")))</f>
        <v>#ERROR!</v>
      </c>
      <c r="D388" s="5" t="str">
        <f>IF(C388="","OK","ADA MASALAH")</f>
        <v>#ERROR!</v>
      </c>
    </row>
    <row r="389">
      <c r="A389" s="4">
        <v>389.0</v>
      </c>
      <c r="B389" s="5" t="str">
        <f>'PC 08'!A389</f>
        <v/>
      </c>
      <c r="C389" s="5" t="str">
        <f>IF(COUNTA('PC 08'!A389:L389)=0,"",TEXTJOIN(" | ",TRUE,IF('PC 08'!A389="","Worker ID kosong",""),IF('PC 08'!B389="","Update Date kosong",IF(NOT(ISNUMBER('PC 08'!B389)),"Update Date harus tanggal","")),IF('PC 08'!D389="","Judul kosong",""),IF('PC 08'!F389="","Genre kosong",IF(ISERROR(MATCH(TRIM('PC 08'!F389),{"Pop","Rock","Dangdut","K-Pop","Electronic","Nasional","Daerah"},0)),"Genre di luar daftar","")),IF('PC 08'!G389="","Nama Channel kosong",""),IF('PC 08'!H389="","Link kosong",IF(ISERROR(FIND("youtu",LOWER('PC 08'!H389))),"Link bukan youtube","")),IF('PC 08'!I389="","Tgl Dibuat kosong",IF(NOT(ISNUMBER('PC 08'!I389)),"Tgl Dibuat harus tanggal","")),IF(AND('PC 08'!J389&lt;&gt;"",NOT(ISNUMBER('PC 08'!J389))),"Tgl Publish harus tanggal",""),IF(AND(ISNUMBER('PC 08'!I389),ISNUMBER('PC 08'!J389),'PC 08'!J389&lt;'PC 08'!I389),"Tgl Publish &lt; Tgl Dibuat",""),IF(AND('PC 08'!K389&lt;&gt;"",ISERROR(MATCH(TRIM('PC 08'!K389),{"Draft","Menunggu Review","Revisi","Terjadwal","Publish","Batal","Published"},0))),"Status di luar daftar","")))</f>
        <v>#ERROR!</v>
      </c>
      <c r="D389" s="5" t="str">
        <f>IF(C389="","OK","ADA MASALAH")</f>
        <v>#ERROR!</v>
      </c>
    </row>
    <row r="390">
      <c r="A390" s="4">
        <v>390.0</v>
      </c>
      <c r="B390" s="5" t="str">
        <f>'PC 08'!A390</f>
        <v/>
      </c>
      <c r="C390" s="5" t="str">
        <f>IF(COUNTA('PC 08'!A390:L390)=0,"",TEXTJOIN(" | ",TRUE,IF('PC 08'!A390="","Worker ID kosong",""),IF('PC 08'!B390="","Update Date kosong",IF(NOT(ISNUMBER('PC 08'!B390)),"Update Date harus tanggal","")),IF('PC 08'!D390="","Judul kosong",""),IF('PC 08'!F390="","Genre kosong",IF(ISERROR(MATCH(TRIM('PC 08'!F390),{"Pop","Rock","Dangdut","K-Pop","Electronic","Nasional","Daerah"},0)),"Genre di luar daftar","")),IF('PC 08'!G390="","Nama Channel kosong",""),IF('PC 08'!H390="","Link kosong",IF(ISERROR(FIND("youtu",LOWER('PC 08'!H390))),"Link bukan youtube","")),IF('PC 08'!I390="","Tgl Dibuat kosong",IF(NOT(ISNUMBER('PC 08'!I390)),"Tgl Dibuat harus tanggal","")),IF(AND('PC 08'!J390&lt;&gt;"",NOT(ISNUMBER('PC 08'!J390))),"Tgl Publish harus tanggal",""),IF(AND(ISNUMBER('PC 08'!I390),ISNUMBER('PC 08'!J390),'PC 08'!J390&lt;'PC 08'!I390),"Tgl Publish &lt; Tgl Dibuat",""),IF(AND('PC 08'!K390&lt;&gt;"",ISERROR(MATCH(TRIM('PC 08'!K390),{"Draft","Menunggu Review","Revisi","Terjadwal","Publish","Batal","Published"},0))),"Status di luar daftar","")))</f>
        <v>#ERROR!</v>
      </c>
      <c r="D390" s="5" t="str">
        <f>IF(C390="","OK","ADA MASALAH")</f>
        <v>#ERROR!</v>
      </c>
    </row>
    <row r="391">
      <c r="A391" s="4">
        <v>391.0</v>
      </c>
      <c r="B391" s="5" t="str">
        <f>'PC 08'!A391</f>
        <v/>
      </c>
      <c r="C391" s="5" t="str">
        <f>IF(COUNTA('PC 08'!A391:L391)=0,"",TEXTJOIN(" | ",TRUE,IF('PC 08'!A391="","Worker ID kosong",""),IF('PC 08'!B391="","Update Date kosong",IF(NOT(ISNUMBER('PC 08'!B391)),"Update Date harus tanggal","")),IF('PC 08'!D391="","Judul kosong",""),IF('PC 08'!F391="","Genre kosong",IF(ISERROR(MATCH(TRIM('PC 08'!F391),{"Pop","Rock","Dangdut","K-Pop","Electronic","Nasional","Daerah"},0)),"Genre di luar daftar","")),IF('PC 08'!G391="","Nama Channel kosong",""),IF('PC 08'!H391="","Link kosong",IF(ISERROR(FIND("youtu",LOWER('PC 08'!H391))),"Link bukan youtube","")),IF('PC 08'!I391="","Tgl Dibuat kosong",IF(NOT(ISNUMBER('PC 08'!I391)),"Tgl Dibuat harus tanggal","")),IF(AND('PC 08'!J391&lt;&gt;"",NOT(ISNUMBER('PC 08'!J391))),"Tgl Publish harus tanggal",""),IF(AND(ISNUMBER('PC 08'!I391),ISNUMBER('PC 08'!J391),'PC 08'!J391&lt;'PC 08'!I391),"Tgl Publish &lt; Tgl Dibuat",""),IF(AND('PC 08'!K391&lt;&gt;"",ISERROR(MATCH(TRIM('PC 08'!K391),{"Draft","Menunggu Review","Revisi","Terjadwal","Publish","Batal","Published"},0))),"Status di luar daftar","")))</f>
        <v>#ERROR!</v>
      </c>
      <c r="D391" s="5" t="str">
        <f>IF(C391="","OK","ADA MASALAH")</f>
        <v>#ERROR!</v>
      </c>
    </row>
    <row r="392">
      <c r="A392" s="4">
        <v>392.0</v>
      </c>
      <c r="B392" s="5" t="str">
        <f>'PC 08'!A392</f>
        <v/>
      </c>
      <c r="C392" s="5" t="str">
        <f>IF(COUNTA('PC 08'!A392:L392)=0,"",TEXTJOIN(" | ",TRUE,IF('PC 08'!A392="","Worker ID kosong",""),IF('PC 08'!B392="","Update Date kosong",IF(NOT(ISNUMBER('PC 08'!B392)),"Update Date harus tanggal","")),IF('PC 08'!D392="","Judul kosong",""),IF('PC 08'!F392="","Genre kosong",IF(ISERROR(MATCH(TRIM('PC 08'!F392),{"Pop","Rock","Dangdut","K-Pop","Electronic","Nasional","Daerah"},0)),"Genre di luar daftar","")),IF('PC 08'!G392="","Nama Channel kosong",""),IF('PC 08'!H392="","Link kosong",IF(ISERROR(FIND("youtu",LOWER('PC 08'!H392))),"Link bukan youtube","")),IF('PC 08'!I392="","Tgl Dibuat kosong",IF(NOT(ISNUMBER('PC 08'!I392)),"Tgl Dibuat harus tanggal","")),IF(AND('PC 08'!J392&lt;&gt;"",NOT(ISNUMBER('PC 08'!J392))),"Tgl Publish harus tanggal",""),IF(AND(ISNUMBER('PC 08'!I392),ISNUMBER('PC 08'!J392),'PC 08'!J392&lt;'PC 08'!I392),"Tgl Publish &lt; Tgl Dibuat",""),IF(AND('PC 08'!K392&lt;&gt;"",ISERROR(MATCH(TRIM('PC 08'!K392),{"Draft","Menunggu Review","Revisi","Terjadwal","Publish","Batal","Published"},0))),"Status di luar daftar","")))</f>
        <v>#ERROR!</v>
      </c>
      <c r="D392" s="5" t="str">
        <f>IF(C392="","OK","ADA MASALAH")</f>
        <v>#ERROR!</v>
      </c>
    </row>
    <row r="393">
      <c r="A393" s="4">
        <v>393.0</v>
      </c>
      <c r="B393" s="5" t="str">
        <f>'PC 08'!A393</f>
        <v/>
      </c>
      <c r="C393" s="5" t="str">
        <f>IF(COUNTA('PC 08'!A393:L393)=0,"",TEXTJOIN(" | ",TRUE,IF('PC 08'!A393="","Worker ID kosong",""),IF('PC 08'!B393="","Update Date kosong",IF(NOT(ISNUMBER('PC 08'!B393)),"Update Date harus tanggal","")),IF('PC 08'!D393="","Judul kosong",""),IF('PC 08'!F393="","Genre kosong",IF(ISERROR(MATCH(TRIM('PC 08'!F393),{"Pop","Rock","Dangdut","K-Pop","Electronic","Nasional","Daerah"},0)),"Genre di luar daftar","")),IF('PC 08'!G393="","Nama Channel kosong",""),IF('PC 08'!H393="","Link kosong",IF(ISERROR(FIND("youtu",LOWER('PC 08'!H393))),"Link bukan youtube","")),IF('PC 08'!I393="","Tgl Dibuat kosong",IF(NOT(ISNUMBER('PC 08'!I393)),"Tgl Dibuat harus tanggal","")),IF(AND('PC 08'!J393&lt;&gt;"",NOT(ISNUMBER('PC 08'!J393))),"Tgl Publish harus tanggal",""),IF(AND(ISNUMBER('PC 08'!I393),ISNUMBER('PC 08'!J393),'PC 08'!J393&lt;'PC 08'!I393),"Tgl Publish &lt; Tgl Dibuat",""),IF(AND('PC 08'!K393&lt;&gt;"",ISERROR(MATCH(TRIM('PC 08'!K393),{"Draft","Menunggu Review","Revisi","Terjadwal","Publish","Batal","Published"},0))),"Status di luar daftar","")))</f>
        <v>#ERROR!</v>
      </c>
      <c r="D393" s="5" t="str">
        <f>IF(C393="","OK","ADA MASALAH")</f>
        <v>#ERROR!</v>
      </c>
    </row>
    <row r="394">
      <c r="A394" s="4">
        <v>394.0</v>
      </c>
      <c r="B394" s="5" t="str">
        <f>'PC 08'!A394</f>
        <v/>
      </c>
      <c r="C394" s="5" t="str">
        <f>IF(COUNTA('PC 08'!A394:L394)=0,"",TEXTJOIN(" | ",TRUE,IF('PC 08'!A394="","Worker ID kosong",""),IF('PC 08'!B394="","Update Date kosong",IF(NOT(ISNUMBER('PC 08'!B394)),"Update Date harus tanggal","")),IF('PC 08'!D394="","Judul kosong",""),IF('PC 08'!F394="","Genre kosong",IF(ISERROR(MATCH(TRIM('PC 08'!F394),{"Pop","Rock","Dangdut","K-Pop","Electronic","Nasional","Daerah"},0)),"Genre di luar daftar","")),IF('PC 08'!G394="","Nama Channel kosong",""),IF('PC 08'!H394="","Link kosong",IF(ISERROR(FIND("youtu",LOWER('PC 08'!H394))),"Link bukan youtube","")),IF('PC 08'!I394="","Tgl Dibuat kosong",IF(NOT(ISNUMBER('PC 08'!I394)),"Tgl Dibuat harus tanggal","")),IF(AND('PC 08'!J394&lt;&gt;"",NOT(ISNUMBER('PC 08'!J394))),"Tgl Publish harus tanggal",""),IF(AND(ISNUMBER('PC 08'!I394),ISNUMBER('PC 08'!J394),'PC 08'!J394&lt;'PC 08'!I394),"Tgl Publish &lt; Tgl Dibuat",""),IF(AND('PC 08'!K394&lt;&gt;"",ISERROR(MATCH(TRIM('PC 08'!K394),{"Draft","Menunggu Review","Revisi","Terjadwal","Publish","Batal","Published"},0))),"Status di luar daftar","")))</f>
        <v>#ERROR!</v>
      </c>
      <c r="D394" s="5" t="str">
        <f>IF(C394="","OK","ADA MASALAH")</f>
        <v>#ERROR!</v>
      </c>
    </row>
    <row r="395">
      <c r="A395" s="4">
        <v>395.0</v>
      </c>
      <c r="B395" s="5" t="str">
        <f>'PC 08'!A395</f>
        <v/>
      </c>
      <c r="C395" s="5" t="str">
        <f>IF(COUNTA('PC 08'!A395:L395)=0,"",TEXTJOIN(" | ",TRUE,IF('PC 08'!A395="","Worker ID kosong",""),IF('PC 08'!B395="","Update Date kosong",IF(NOT(ISNUMBER('PC 08'!B395)),"Update Date harus tanggal","")),IF('PC 08'!D395="","Judul kosong",""),IF('PC 08'!F395="","Genre kosong",IF(ISERROR(MATCH(TRIM('PC 08'!F395),{"Pop","Rock","Dangdut","K-Pop","Electronic","Nasional","Daerah"},0)),"Genre di luar daftar","")),IF('PC 08'!G395="","Nama Channel kosong",""),IF('PC 08'!H395="","Link kosong",IF(ISERROR(FIND("youtu",LOWER('PC 08'!H395))),"Link bukan youtube","")),IF('PC 08'!I395="","Tgl Dibuat kosong",IF(NOT(ISNUMBER('PC 08'!I395)),"Tgl Dibuat harus tanggal","")),IF(AND('PC 08'!J395&lt;&gt;"",NOT(ISNUMBER('PC 08'!J395))),"Tgl Publish harus tanggal",""),IF(AND(ISNUMBER('PC 08'!I395),ISNUMBER('PC 08'!J395),'PC 08'!J395&lt;'PC 08'!I395),"Tgl Publish &lt; Tgl Dibuat",""),IF(AND('PC 08'!K395&lt;&gt;"",ISERROR(MATCH(TRIM('PC 08'!K395),{"Draft","Menunggu Review","Revisi","Terjadwal","Publish","Batal","Published"},0))),"Status di luar daftar","")))</f>
        <v>#ERROR!</v>
      </c>
      <c r="D395" s="5" t="str">
        <f>IF(C395="","OK","ADA MASALAH")</f>
        <v>#ERROR!</v>
      </c>
    </row>
    <row r="396">
      <c r="A396" s="4">
        <v>396.0</v>
      </c>
      <c r="B396" s="5" t="str">
        <f>'PC 08'!A396</f>
        <v/>
      </c>
      <c r="C396" s="5" t="str">
        <f>IF(COUNTA('PC 08'!A396:L396)=0,"",TEXTJOIN(" | ",TRUE,IF('PC 08'!A396="","Worker ID kosong",""),IF('PC 08'!B396="","Update Date kosong",IF(NOT(ISNUMBER('PC 08'!B396)),"Update Date harus tanggal","")),IF('PC 08'!D396="","Judul kosong",""),IF('PC 08'!F396="","Genre kosong",IF(ISERROR(MATCH(TRIM('PC 08'!F396),{"Pop","Rock","Dangdut","K-Pop","Electronic","Nasional","Daerah"},0)),"Genre di luar daftar","")),IF('PC 08'!G396="","Nama Channel kosong",""),IF('PC 08'!H396="","Link kosong",IF(ISERROR(FIND("youtu",LOWER('PC 08'!H396))),"Link bukan youtube","")),IF('PC 08'!I396="","Tgl Dibuat kosong",IF(NOT(ISNUMBER('PC 08'!I396)),"Tgl Dibuat harus tanggal","")),IF(AND('PC 08'!J396&lt;&gt;"",NOT(ISNUMBER('PC 08'!J396))),"Tgl Publish harus tanggal",""),IF(AND(ISNUMBER('PC 08'!I396),ISNUMBER('PC 08'!J396),'PC 08'!J396&lt;'PC 08'!I396),"Tgl Publish &lt; Tgl Dibuat",""),IF(AND('PC 08'!K396&lt;&gt;"",ISERROR(MATCH(TRIM('PC 08'!K396),{"Draft","Menunggu Review","Revisi","Terjadwal","Publish","Batal","Published"},0))),"Status di luar daftar","")))</f>
        <v>#ERROR!</v>
      </c>
      <c r="D396" s="5" t="str">
        <f>IF(C396="","OK","ADA MASALAH")</f>
        <v>#ERROR!</v>
      </c>
    </row>
    <row r="397">
      <c r="A397" s="4">
        <v>397.0</v>
      </c>
      <c r="B397" s="5" t="str">
        <f>'PC 08'!A397</f>
        <v/>
      </c>
      <c r="C397" s="5" t="str">
        <f>IF(COUNTA('PC 08'!A397:L397)=0,"",TEXTJOIN(" | ",TRUE,IF('PC 08'!A397="","Worker ID kosong",""),IF('PC 08'!B397="","Update Date kosong",IF(NOT(ISNUMBER('PC 08'!B397)),"Update Date harus tanggal","")),IF('PC 08'!D397="","Judul kosong",""),IF('PC 08'!F397="","Genre kosong",IF(ISERROR(MATCH(TRIM('PC 08'!F397),{"Pop","Rock","Dangdut","K-Pop","Electronic","Nasional","Daerah"},0)),"Genre di luar daftar","")),IF('PC 08'!G397="","Nama Channel kosong",""),IF('PC 08'!H397="","Link kosong",IF(ISERROR(FIND("youtu",LOWER('PC 08'!H397))),"Link bukan youtube","")),IF('PC 08'!I397="","Tgl Dibuat kosong",IF(NOT(ISNUMBER('PC 08'!I397)),"Tgl Dibuat harus tanggal","")),IF(AND('PC 08'!J397&lt;&gt;"",NOT(ISNUMBER('PC 08'!J397))),"Tgl Publish harus tanggal",""),IF(AND(ISNUMBER('PC 08'!I397),ISNUMBER('PC 08'!J397),'PC 08'!J397&lt;'PC 08'!I397),"Tgl Publish &lt; Tgl Dibuat",""),IF(AND('PC 08'!K397&lt;&gt;"",ISERROR(MATCH(TRIM('PC 08'!K397),{"Draft","Menunggu Review","Revisi","Terjadwal","Publish","Batal","Published"},0))),"Status di luar daftar","")))</f>
        <v>#ERROR!</v>
      </c>
      <c r="D397" s="5" t="str">
        <f>IF(C397="","OK","ADA MASALAH")</f>
        <v>#ERROR!</v>
      </c>
    </row>
    <row r="398">
      <c r="A398" s="4">
        <v>398.0</v>
      </c>
      <c r="B398" s="5" t="str">
        <f>'PC 08'!A398</f>
        <v/>
      </c>
      <c r="C398" s="5" t="str">
        <f>IF(COUNTA('PC 08'!A398:L398)=0,"",TEXTJOIN(" | ",TRUE,IF('PC 08'!A398="","Worker ID kosong",""),IF('PC 08'!B398="","Update Date kosong",IF(NOT(ISNUMBER('PC 08'!B398)),"Update Date harus tanggal","")),IF('PC 08'!D398="","Judul kosong",""),IF('PC 08'!F398="","Genre kosong",IF(ISERROR(MATCH(TRIM('PC 08'!F398),{"Pop","Rock","Dangdut","K-Pop","Electronic","Nasional","Daerah"},0)),"Genre di luar daftar","")),IF('PC 08'!G398="","Nama Channel kosong",""),IF('PC 08'!H398="","Link kosong",IF(ISERROR(FIND("youtu",LOWER('PC 08'!H398))),"Link bukan youtube","")),IF('PC 08'!I398="","Tgl Dibuat kosong",IF(NOT(ISNUMBER('PC 08'!I398)),"Tgl Dibuat harus tanggal","")),IF(AND('PC 08'!J398&lt;&gt;"",NOT(ISNUMBER('PC 08'!J398))),"Tgl Publish harus tanggal",""),IF(AND(ISNUMBER('PC 08'!I398),ISNUMBER('PC 08'!J398),'PC 08'!J398&lt;'PC 08'!I398),"Tgl Publish &lt; Tgl Dibuat",""),IF(AND('PC 08'!K398&lt;&gt;"",ISERROR(MATCH(TRIM('PC 08'!K398),{"Draft","Menunggu Review","Revisi","Terjadwal","Publish","Batal","Published"},0))),"Status di luar daftar","")))</f>
        <v>#ERROR!</v>
      </c>
      <c r="D398" s="5" t="str">
        <f>IF(C398="","OK","ADA MASALAH")</f>
        <v>#ERROR!</v>
      </c>
    </row>
    <row r="399">
      <c r="A399" s="4">
        <v>399.0</v>
      </c>
      <c r="B399" s="5" t="str">
        <f>'PC 08'!A399</f>
        <v/>
      </c>
      <c r="C399" s="5" t="str">
        <f>IF(COUNTA('PC 08'!A399:L399)=0,"",TEXTJOIN(" | ",TRUE,IF('PC 08'!A399="","Worker ID kosong",""),IF('PC 08'!B399="","Update Date kosong",IF(NOT(ISNUMBER('PC 08'!B399)),"Update Date harus tanggal","")),IF('PC 08'!D399="","Judul kosong",""),IF('PC 08'!F399="","Genre kosong",IF(ISERROR(MATCH(TRIM('PC 08'!F399),{"Pop","Rock","Dangdut","K-Pop","Electronic","Nasional","Daerah"},0)),"Genre di luar daftar","")),IF('PC 08'!G399="","Nama Channel kosong",""),IF('PC 08'!H399="","Link kosong",IF(ISERROR(FIND("youtu",LOWER('PC 08'!H399))),"Link bukan youtube","")),IF('PC 08'!I399="","Tgl Dibuat kosong",IF(NOT(ISNUMBER('PC 08'!I399)),"Tgl Dibuat harus tanggal","")),IF(AND('PC 08'!J399&lt;&gt;"",NOT(ISNUMBER('PC 08'!J399))),"Tgl Publish harus tanggal",""),IF(AND(ISNUMBER('PC 08'!I399),ISNUMBER('PC 08'!J399),'PC 08'!J399&lt;'PC 08'!I399),"Tgl Publish &lt; Tgl Dibuat",""),IF(AND('PC 08'!K399&lt;&gt;"",ISERROR(MATCH(TRIM('PC 08'!K399),{"Draft","Menunggu Review","Revisi","Terjadwal","Publish","Batal","Published"},0))),"Status di luar daftar","")))</f>
        <v>#ERROR!</v>
      </c>
      <c r="D399" s="5" t="str">
        <f>IF(C399="","OK","ADA MASALAH")</f>
        <v>#ERROR!</v>
      </c>
    </row>
    <row r="400">
      <c r="A400" s="4">
        <v>400.0</v>
      </c>
      <c r="B400" s="5" t="str">
        <f>'PC 08'!A400</f>
        <v/>
      </c>
      <c r="C400" s="5" t="str">
        <f>IF(COUNTA('PC 08'!A400:L400)=0,"",TEXTJOIN(" | ",TRUE,IF('PC 08'!A400="","Worker ID kosong",""),IF('PC 08'!B400="","Update Date kosong",IF(NOT(ISNUMBER('PC 08'!B400)),"Update Date harus tanggal","")),IF('PC 08'!D400="","Judul kosong",""),IF('PC 08'!F400="","Genre kosong",IF(ISERROR(MATCH(TRIM('PC 08'!F400),{"Pop","Rock","Dangdut","K-Pop","Electronic","Nasional","Daerah"},0)),"Genre di luar daftar","")),IF('PC 08'!G400="","Nama Channel kosong",""),IF('PC 08'!H400="","Link kosong",IF(ISERROR(FIND("youtu",LOWER('PC 08'!H400))),"Link bukan youtube","")),IF('PC 08'!I400="","Tgl Dibuat kosong",IF(NOT(ISNUMBER('PC 08'!I400)),"Tgl Dibuat harus tanggal","")),IF(AND('PC 08'!J400&lt;&gt;"",NOT(ISNUMBER('PC 08'!J400))),"Tgl Publish harus tanggal",""),IF(AND(ISNUMBER('PC 08'!I400),ISNUMBER('PC 08'!J400),'PC 08'!J400&lt;'PC 08'!I400),"Tgl Publish &lt; Tgl Dibuat",""),IF(AND('PC 08'!K400&lt;&gt;"",ISERROR(MATCH(TRIM('PC 08'!K400),{"Draft","Menunggu Review","Revisi","Terjadwal","Publish","Batal","Published"},0))),"Status di luar daftar","")))</f>
        <v>#ERROR!</v>
      </c>
      <c r="D400" s="5" t="str">
        <f>IF(C400="","OK","ADA MASALAH")</f>
        <v>#ERROR!</v>
      </c>
    </row>
    <row r="401">
      <c r="A401" s="4">
        <v>401.0</v>
      </c>
      <c r="B401" s="5" t="str">
        <f>'PC 08'!A401</f>
        <v/>
      </c>
      <c r="C401" s="5" t="str">
        <f>IF(COUNTA('PC 08'!A401:L401)=0,"",TEXTJOIN(" | ",TRUE,IF('PC 08'!A401="","Worker ID kosong",""),IF('PC 08'!B401="","Update Date kosong",IF(NOT(ISNUMBER('PC 08'!B401)),"Update Date harus tanggal","")),IF('PC 08'!D401="","Judul kosong",""),IF('PC 08'!F401="","Genre kosong",IF(ISERROR(MATCH(TRIM('PC 08'!F401),{"Pop","Rock","Dangdut","K-Pop","Electronic","Nasional","Daerah"},0)),"Genre di luar daftar","")),IF('PC 08'!G401="","Nama Channel kosong",""),IF('PC 08'!H401="","Link kosong",IF(ISERROR(FIND("youtu",LOWER('PC 08'!H401))),"Link bukan youtube","")),IF('PC 08'!I401="","Tgl Dibuat kosong",IF(NOT(ISNUMBER('PC 08'!I401)),"Tgl Dibuat harus tanggal","")),IF(AND('PC 08'!J401&lt;&gt;"",NOT(ISNUMBER('PC 08'!J401))),"Tgl Publish harus tanggal",""),IF(AND(ISNUMBER('PC 08'!I401),ISNUMBER('PC 08'!J401),'PC 08'!J401&lt;'PC 08'!I401),"Tgl Publish &lt; Tgl Dibuat",""),IF(AND('PC 08'!K401&lt;&gt;"",ISERROR(MATCH(TRIM('PC 08'!K401),{"Draft","Menunggu Review","Revisi","Terjadwal","Publish","Batal","Published"},0))),"Status di luar daftar","")))</f>
        <v>#ERROR!</v>
      </c>
      <c r="D401" s="5" t="str">
        <f>IF(C401="","OK","ADA MASALAH")</f>
        <v>#ERROR!</v>
      </c>
    </row>
    <row r="402">
      <c r="A402" s="4">
        <v>402.0</v>
      </c>
      <c r="B402" s="5" t="str">
        <f>'PC 08'!A402</f>
        <v/>
      </c>
      <c r="C402" s="5" t="str">
        <f>IF(COUNTA('PC 08'!A402:L402)=0,"",TEXTJOIN(" | ",TRUE,IF('PC 08'!A402="","Worker ID kosong",""),IF('PC 08'!B402="","Update Date kosong",IF(NOT(ISNUMBER('PC 08'!B402)),"Update Date harus tanggal","")),IF('PC 08'!D402="","Judul kosong",""),IF('PC 08'!F402="","Genre kosong",IF(ISERROR(MATCH(TRIM('PC 08'!F402),{"Pop","Rock","Dangdut","K-Pop","Electronic","Nasional","Daerah"},0)),"Genre di luar daftar","")),IF('PC 08'!G402="","Nama Channel kosong",""),IF('PC 08'!H402="","Link kosong",IF(ISERROR(FIND("youtu",LOWER('PC 08'!H402))),"Link bukan youtube","")),IF('PC 08'!I402="","Tgl Dibuat kosong",IF(NOT(ISNUMBER('PC 08'!I402)),"Tgl Dibuat harus tanggal","")),IF(AND('PC 08'!J402&lt;&gt;"",NOT(ISNUMBER('PC 08'!J402))),"Tgl Publish harus tanggal",""),IF(AND(ISNUMBER('PC 08'!I402),ISNUMBER('PC 08'!J402),'PC 08'!J402&lt;'PC 08'!I402),"Tgl Publish &lt; Tgl Dibuat",""),IF(AND('PC 08'!K402&lt;&gt;"",ISERROR(MATCH(TRIM('PC 08'!K402),{"Draft","Menunggu Review","Revisi","Terjadwal","Publish","Batal","Published"},0))),"Status di luar daftar","")))</f>
        <v>#ERROR!</v>
      </c>
      <c r="D402" s="5" t="str">
        <f>IF(C402="","OK","ADA MASALAH")</f>
        <v>#ERROR!</v>
      </c>
    </row>
    <row r="403">
      <c r="A403" s="4">
        <v>403.0</v>
      </c>
      <c r="B403" s="5" t="str">
        <f>'PC 08'!A403</f>
        <v/>
      </c>
      <c r="C403" s="5" t="str">
        <f>IF(COUNTA('PC 08'!A403:L403)=0,"",TEXTJOIN(" | ",TRUE,IF('PC 08'!A403="","Worker ID kosong",""),IF('PC 08'!B403="","Update Date kosong",IF(NOT(ISNUMBER('PC 08'!B403)),"Update Date harus tanggal","")),IF('PC 08'!D403="","Judul kosong",""),IF('PC 08'!F403="","Genre kosong",IF(ISERROR(MATCH(TRIM('PC 08'!F403),{"Pop","Rock","Dangdut","K-Pop","Electronic","Nasional","Daerah"},0)),"Genre di luar daftar","")),IF('PC 08'!G403="","Nama Channel kosong",""),IF('PC 08'!H403="","Link kosong",IF(ISERROR(FIND("youtu",LOWER('PC 08'!H403))),"Link bukan youtube","")),IF('PC 08'!I403="","Tgl Dibuat kosong",IF(NOT(ISNUMBER('PC 08'!I403)),"Tgl Dibuat harus tanggal","")),IF(AND('PC 08'!J403&lt;&gt;"",NOT(ISNUMBER('PC 08'!J403))),"Tgl Publish harus tanggal",""),IF(AND(ISNUMBER('PC 08'!I403),ISNUMBER('PC 08'!J403),'PC 08'!J403&lt;'PC 08'!I403),"Tgl Publish &lt; Tgl Dibuat",""),IF(AND('PC 08'!K403&lt;&gt;"",ISERROR(MATCH(TRIM('PC 08'!K403),{"Draft","Menunggu Review","Revisi","Terjadwal","Publish","Batal","Published"},0))),"Status di luar daftar","")))</f>
        <v>#ERROR!</v>
      </c>
      <c r="D403" s="5" t="str">
        <f>IF(C403="","OK","ADA MASALAH")</f>
        <v>#ERROR!</v>
      </c>
    </row>
    <row r="404">
      <c r="A404" s="4">
        <v>404.0</v>
      </c>
      <c r="B404" s="5" t="str">
        <f>'PC 08'!A404</f>
        <v/>
      </c>
      <c r="C404" s="5" t="str">
        <f>IF(COUNTA('PC 08'!A404:L404)=0,"",TEXTJOIN(" | ",TRUE,IF('PC 08'!A404="","Worker ID kosong",""),IF('PC 08'!B404="","Update Date kosong",IF(NOT(ISNUMBER('PC 08'!B404)),"Update Date harus tanggal","")),IF('PC 08'!D404="","Judul kosong",""),IF('PC 08'!F404="","Genre kosong",IF(ISERROR(MATCH(TRIM('PC 08'!F404),{"Pop","Rock","Dangdut","K-Pop","Electronic","Nasional","Daerah"},0)),"Genre di luar daftar","")),IF('PC 08'!G404="","Nama Channel kosong",""),IF('PC 08'!H404="","Link kosong",IF(ISERROR(FIND("youtu",LOWER('PC 08'!H404))),"Link bukan youtube","")),IF('PC 08'!I404="","Tgl Dibuat kosong",IF(NOT(ISNUMBER('PC 08'!I404)),"Tgl Dibuat harus tanggal","")),IF(AND('PC 08'!J404&lt;&gt;"",NOT(ISNUMBER('PC 08'!J404))),"Tgl Publish harus tanggal",""),IF(AND(ISNUMBER('PC 08'!I404),ISNUMBER('PC 08'!J404),'PC 08'!J404&lt;'PC 08'!I404),"Tgl Publish &lt; Tgl Dibuat",""),IF(AND('PC 08'!K404&lt;&gt;"",ISERROR(MATCH(TRIM('PC 08'!K404),{"Draft","Menunggu Review","Revisi","Terjadwal","Publish","Batal","Published"},0))),"Status di luar daftar","")))</f>
        <v>#ERROR!</v>
      </c>
      <c r="D404" s="5" t="str">
        <f>IF(C404="","OK","ADA MASALAH")</f>
        <v>#ERROR!</v>
      </c>
    </row>
    <row r="405">
      <c r="A405" s="4">
        <v>405.0</v>
      </c>
      <c r="B405" s="5" t="str">
        <f>'PC 08'!A405</f>
        <v/>
      </c>
      <c r="C405" s="5" t="str">
        <f>IF(COUNTA('PC 08'!A405:L405)=0,"",TEXTJOIN(" | ",TRUE,IF('PC 08'!A405="","Worker ID kosong",""),IF('PC 08'!B405="","Update Date kosong",IF(NOT(ISNUMBER('PC 08'!B405)),"Update Date harus tanggal","")),IF('PC 08'!D405="","Judul kosong",""),IF('PC 08'!F405="","Genre kosong",IF(ISERROR(MATCH(TRIM('PC 08'!F405),{"Pop","Rock","Dangdut","K-Pop","Electronic","Nasional","Daerah"},0)),"Genre di luar daftar","")),IF('PC 08'!G405="","Nama Channel kosong",""),IF('PC 08'!H405="","Link kosong",IF(ISERROR(FIND("youtu",LOWER('PC 08'!H405))),"Link bukan youtube","")),IF('PC 08'!I405="","Tgl Dibuat kosong",IF(NOT(ISNUMBER('PC 08'!I405)),"Tgl Dibuat harus tanggal","")),IF(AND('PC 08'!J405&lt;&gt;"",NOT(ISNUMBER('PC 08'!J405))),"Tgl Publish harus tanggal",""),IF(AND(ISNUMBER('PC 08'!I405),ISNUMBER('PC 08'!J405),'PC 08'!J405&lt;'PC 08'!I405),"Tgl Publish &lt; Tgl Dibuat",""),IF(AND('PC 08'!K405&lt;&gt;"",ISERROR(MATCH(TRIM('PC 08'!K405),{"Draft","Menunggu Review","Revisi","Terjadwal","Publish","Batal","Published"},0))),"Status di luar daftar","")))</f>
        <v>#ERROR!</v>
      </c>
      <c r="D405" s="5" t="str">
        <f>IF(C405="","OK","ADA MASALAH")</f>
        <v>#ERROR!</v>
      </c>
    </row>
    <row r="406">
      <c r="A406" s="4">
        <v>406.0</v>
      </c>
      <c r="B406" s="5" t="str">
        <f>'PC 08'!A406</f>
        <v/>
      </c>
      <c r="C406" s="5" t="str">
        <f>IF(COUNTA('PC 08'!A406:L406)=0,"",TEXTJOIN(" | ",TRUE,IF('PC 08'!A406="","Worker ID kosong",""),IF('PC 08'!B406="","Update Date kosong",IF(NOT(ISNUMBER('PC 08'!B406)),"Update Date harus tanggal","")),IF('PC 08'!D406="","Judul kosong",""),IF('PC 08'!F406="","Genre kosong",IF(ISERROR(MATCH(TRIM('PC 08'!F406),{"Pop","Rock","Dangdut","K-Pop","Electronic","Nasional","Daerah"},0)),"Genre di luar daftar","")),IF('PC 08'!G406="","Nama Channel kosong",""),IF('PC 08'!H406="","Link kosong",IF(ISERROR(FIND("youtu",LOWER('PC 08'!H406))),"Link bukan youtube","")),IF('PC 08'!I406="","Tgl Dibuat kosong",IF(NOT(ISNUMBER('PC 08'!I406)),"Tgl Dibuat harus tanggal","")),IF(AND('PC 08'!J406&lt;&gt;"",NOT(ISNUMBER('PC 08'!J406))),"Tgl Publish harus tanggal",""),IF(AND(ISNUMBER('PC 08'!I406),ISNUMBER('PC 08'!J406),'PC 08'!J406&lt;'PC 08'!I406),"Tgl Publish &lt; Tgl Dibuat",""),IF(AND('PC 08'!K406&lt;&gt;"",ISERROR(MATCH(TRIM('PC 08'!K406),{"Draft","Menunggu Review","Revisi","Terjadwal","Publish","Batal","Published"},0))),"Status di luar daftar","")))</f>
        <v>#ERROR!</v>
      </c>
      <c r="D406" s="5" t="str">
        <f>IF(C406="","OK","ADA MASALAH")</f>
        <v>#ERROR!</v>
      </c>
    </row>
    <row r="407">
      <c r="A407" s="4">
        <v>407.0</v>
      </c>
      <c r="B407" s="5" t="str">
        <f>'PC 08'!A407</f>
        <v/>
      </c>
      <c r="C407" s="5" t="str">
        <f>IF(COUNTA('PC 08'!A407:L407)=0,"",TEXTJOIN(" | ",TRUE,IF('PC 08'!A407="","Worker ID kosong",""),IF('PC 08'!B407="","Update Date kosong",IF(NOT(ISNUMBER('PC 08'!B407)),"Update Date harus tanggal","")),IF('PC 08'!D407="","Judul kosong",""),IF('PC 08'!F407="","Genre kosong",IF(ISERROR(MATCH(TRIM('PC 08'!F407),{"Pop","Rock","Dangdut","K-Pop","Electronic","Nasional","Daerah"},0)),"Genre di luar daftar","")),IF('PC 08'!G407="","Nama Channel kosong",""),IF('PC 08'!H407="","Link kosong",IF(ISERROR(FIND("youtu",LOWER('PC 08'!H407))),"Link bukan youtube","")),IF('PC 08'!I407="","Tgl Dibuat kosong",IF(NOT(ISNUMBER('PC 08'!I407)),"Tgl Dibuat harus tanggal","")),IF(AND('PC 08'!J407&lt;&gt;"",NOT(ISNUMBER('PC 08'!J407))),"Tgl Publish harus tanggal",""),IF(AND(ISNUMBER('PC 08'!I407),ISNUMBER('PC 08'!J407),'PC 08'!J407&lt;'PC 08'!I407),"Tgl Publish &lt; Tgl Dibuat",""),IF(AND('PC 08'!K407&lt;&gt;"",ISERROR(MATCH(TRIM('PC 08'!K407),{"Draft","Menunggu Review","Revisi","Terjadwal","Publish","Batal","Published"},0))),"Status di luar daftar","")))</f>
        <v>#ERROR!</v>
      </c>
      <c r="D407" s="5" t="str">
        <f>IF(C407="","OK","ADA MASALAH")</f>
        <v>#ERROR!</v>
      </c>
    </row>
    <row r="408">
      <c r="A408" s="4">
        <v>408.0</v>
      </c>
      <c r="B408" s="5" t="str">
        <f>'PC 08'!A408</f>
        <v/>
      </c>
      <c r="C408" s="5" t="str">
        <f>IF(COUNTA('PC 08'!A408:L408)=0,"",TEXTJOIN(" | ",TRUE,IF('PC 08'!A408="","Worker ID kosong",""),IF('PC 08'!B408="","Update Date kosong",IF(NOT(ISNUMBER('PC 08'!B408)),"Update Date harus tanggal","")),IF('PC 08'!D408="","Judul kosong",""),IF('PC 08'!F408="","Genre kosong",IF(ISERROR(MATCH(TRIM('PC 08'!F408),{"Pop","Rock","Dangdut","K-Pop","Electronic","Nasional","Daerah"},0)),"Genre di luar daftar","")),IF('PC 08'!G408="","Nama Channel kosong",""),IF('PC 08'!H408="","Link kosong",IF(ISERROR(FIND("youtu",LOWER('PC 08'!H408))),"Link bukan youtube","")),IF('PC 08'!I408="","Tgl Dibuat kosong",IF(NOT(ISNUMBER('PC 08'!I408)),"Tgl Dibuat harus tanggal","")),IF(AND('PC 08'!J408&lt;&gt;"",NOT(ISNUMBER('PC 08'!J408))),"Tgl Publish harus tanggal",""),IF(AND(ISNUMBER('PC 08'!I408),ISNUMBER('PC 08'!J408),'PC 08'!J408&lt;'PC 08'!I408),"Tgl Publish &lt; Tgl Dibuat",""),IF(AND('PC 08'!K408&lt;&gt;"",ISERROR(MATCH(TRIM('PC 08'!K408),{"Draft","Menunggu Review","Revisi","Terjadwal","Publish","Batal","Published"},0))),"Status di luar daftar","")))</f>
        <v>#ERROR!</v>
      </c>
      <c r="D408" s="5" t="str">
        <f>IF(C408="","OK","ADA MASALAH")</f>
        <v>#ERROR!</v>
      </c>
    </row>
    <row r="409">
      <c r="A409" s="4">
        <v>409.0</v>
      </c>
      <c r="B409" s="5" t="str">
        <f>'PC 08'!A409</f>
        <v/>
      </c>
      <c r="C409" s="5" t="str">
        <f>IF(COUNTA('PC 08'!A409:L409)=0,"",TEXTJOIN(" | ",TRUE,IF('PC 08'!A409="","Worker ID kosong",""),IF('PC 08'!B409="","Update Date kosong",IF(NOT(ISNUMBER('PC 08'!B409)),"Update Date harus tanggal","")),IF('PC 08'!D409="","Judul kosong",""),IF('PC 08'!F409="","Genre kosong",IF(ISERROR(MATCH(TRIM('PC 08'!F409),{"Pop","Rock","Dangdut","K-Pop","Electronic","Nasional","Daerah"},0)),"Genre di luar daftar","")),IF('PC 08'!G409="","Nama Channel kosong",""),IF('PC 08'!H409="","Link kosong",IF(ISERROR(FIND("youtu",LOWER('PC 08'!H409))),"Link bukan youtube","")),IF('PC 08'!I409="","Tgl Dibuat kosong",IF(NOT(ISNUMBER('PC 08'!I409)),"Tgl Dibuat harus tanggal","")),IF(AND('PC 08'!J409&lt;&gt;"",NOT(ISNUMBER('PC 08'!J409))),"Tgl Publish harus tanggal",""),IF(AND(ISNUMBER('PC 08'!I409),ISNUMBER('PC 08'!J409),'PC 08'!J409&lt;'PC 08'!I409),"Tgl Publish &lt; Tgl Dibuat",""),IF(AND('PC 08'!K409&lt;&gt;"",ISERROR(MATCH(TRIM('PC 08'!K409),{"Draft","Menunggu Review","Revisi","Terjadwal","Publish","Batal","Published"},0))),"Status di luar daftar","")))</f>
        <v>#ERROR!</v>
      </c>
      <c r="D409" s="5" t="str">
        <f>IF(C409="","OK","ADA MASALAH")</f>
        <v>#ERROR!</v>
      </c>
    </row>
    <row r="410">
      <c r="A410" s="4">
        <v>410.0</v>
      </c>
      <c r="B410" s="5" t="str">
        <f>'PC 08'!A410</f>
        <v/>
      </c>
      <c r="C410" s="5" t="str">
        <f>IF(COUNTA('PC 08'!A410:L410)=0,"",TEXTJOIN(" | ",TRUE,IF('PC 08'!A410="","Worker ID kosong",""),IF('PC 08'!B410="","Update Date kosong",IF(NOT(ISNUMBER('PC 08'!B410)),"Update Date harus tanggal","")),IF('PC 08'!D410="","Judul kosong",""),IF('PC 08'!F410="","Genre kosong",IF(ISERROR(MATCH(TRIM('PC 08'!F410),{"Pop","Rock","Dangdut","K-Pop","Electronic","Nasional","Daerah"},0)),"Genre di luar daftar","")),IF('PC 08'!G410="","Nama Channel kosong",""),IF('PC 08'!H410="","Link kosong",IF(ISERROR(FIND("youtu",LOWER('PC 08'!H410))),"Link bukan youtube","")),IF('PC 08'!I410="","Tgl Dibuat kosong",IF(NOT(ISNUMBER('PC 08'!I410)),"Tgl Dibuat harus tanggal","")),IF(AND('PC 08'!J410&lt;&gt;"",NOT(ISNUMBER('PC 08'!J410))),"Tgl Publish harus tanggal",""),IF(AND(ISNUMBER('PC 08'!I410),ISNUMBER('PC 08'!J410),'PC 08'!J410&lt;'PC 08'!I410),"Tgl Publish &lt; Tgl Dibuat",""),IF(AND('PC 08'!K410&lt;&gt;"",ISERROR(MATCH(TRIM('PC 08'!K410),{"Draft","Menunggu Review","Revisi","Terjadwal","Publish","Batal","Published"},0))),"Status di luar daftar","")))</f>
        <v>#ERROR!</v>
      </c>
      <c r="D410" s="5" t="str">
        <f>IF(C410="","OK","ADA MASALAH")</f>
        <v>#ERROR!</v>
      </c>
    </row>
    <row r="411">
      <c r="A411" s="4">
        <v>411.0</v>
      </c>
      <c r="B411" s="5" t="str">
        <f>'PC 08'!A411</f>
        <v/>
      </c>
      <c r="C411" s="5" t="str">
        <f>IF(COUNTA('PC 08'!A411:L411)=0,"",TEXTJOIN(" | ",TRUE,IF('PC 08'!A411="","Worker ID kosong",""),IF('PC 08'!B411="","Update Date kosong",IF(NOT(ISNUMBER('PC 08'!B411)),"Update Date harus tanggal","")),IF('PC 08'!D411="","Judul kosong",""),IF('PC 08'!F411="","Genre kosong",IF(ISERROR(MATCH(TRIM('PC 08'!F411),{"Pop","Rock","Dangdut","K-Pop","Electronic","Nasional","Daerah"},0)),"Genre di luar daftar","")),IF('PC 08'!G411="","Nama Channel kosong",""),IF('PC 08'!H411="","Link kosong",IF(ISERROR(FIND("youtu",LOWER('PC 08'!H411))),"Link bukan youtube","")),IF('PC 08'!I411="","Tgl Dibuat kosong",IF(NOT(ISNUMBER('PC 08'!I411)),"Tgl Dibuat harus tanggal","")),IF(AND('PC 08'!J411&lt;&gt;"",NOT(ISNUMBER('PC 08'!J411))),"Tgl Publish harus tanggal",""),IF(AND(ISNUMBER('PC 08'!I411),ISNUMBER('PC 08'!J411),'PC 08'!J411&lt;'PC 08'!I411),"Tgl Publish &lt; Tgl Dibuat",""),IF(AND('PC 08'!K411&lt;&gt;"",ISERROR(MATCH(TRIM('PC 08'!K411),{"Draft","Menunggu Review","Revisi","Terjadwal","Publish","Batal","Published"},0))),"Status di luar daftar","")))</f>
        <v>#ERROR!</v>
      </c>
      <c r="D411" s="5" t="str">
        <f>IF(C411="","OK","ADA MASALAH")</f>
        <v>#ERROR!</v>
      </c>
    </row>
    <row r="412">
      <c r="A412" s="4">
        <v>412.0</v>
      </c>
      <c r="B412" s="5" t="str">
        <f>'PC 08'!A412</f>
        <v/>
      </c>
      <c r="C412" s="5" t="str">
        <f>IF(COUNTA('PC 08'!A412:L412)=0,"",TEXTJOIN(" | ",TRUE,IF('PC 08'!A412="","Worker ID kosong",""),IF('PC 08'!B412="","Update Date kosong",IF(NOT(ISNUMBER('PC 08'!B412)),"Update Date harus tanggal","")),IF('PC 08'!D412="","Judul kosong",""),IF('PC 08'!F412="","Genre kosong",IF(ISERROR(MATCH(TRIM('PC 08'!F412),{"Pop","Rock","Dangdut","K-Pop","Electronic","Nasional","Daerah"},0)),"Genre di luar daftar","")),IF('PC 08'!G412="","Nama Channel kosong",""),IF('PC 08'!H412="","Link kosong",IF(ISERROR(FIND("youtu",LOWER('PC 08'!H412))),"Link bukan youtube","")),IF('PC 08'!I412="","Tgl Dibuat kosong",IF(NOT(ISNUMBER('PC 08'!I412)),"Tgl Dibuat harus tanggal","")),IF(AND('PC 08'!J412&lt;&gt;"",NOT(ISNUMBER('PC 08'!J412))),"Tgl Publish harus tanggal",""),IF(AND(ISNUMBER('PC 08'!I412),ISNUMBER('PC 08'!J412),'PC 08'!J412&lt;'PC 08'!I412),"Tgl Publish &lt; Tgl Dibuat",""),IF(AND('PC 08'!K412&lt;&gt;"",ISERROR(MATCH(TRIM('PC 08'!K412),{"Draft","Menunggu Review","Revisi","Terjadwal","Publish","Batal","Published"},0))),"Status di luar daftar","")))</f>
        <v>#ERROR!</v>
      </c>
      <c r="D412" s="5" t="str">
        <f>IF(C412="","OK","ADA MASALAH")</f>
        <v>#ERROR!</v>
      </c>
    </row>
    <row r="413">
      <c r="A413" s="4">
        <v>413.0</v>
      </c>
      <c r="B413" s="5" t="str">
        <f>'PC 08'!A413</f>
        <v/>
      </c>
      <c r="C413" s="5" t="str">
        <f>IF(COUNTA('PC 08'!A413:L413)=0,"",TEXTJOIN(" | ",TRUE,IF('PC 08'!A413="","Worker ID kosong",""),IF('PC 08'!B413="","Update Date kosong",IF(NOT(ISNUMBER('PC 08'!B413)),"Update Date harus tanggal","")),IF('PC 08'!D413="","Judul kosong",""),IF('PC 08'!F413="","Genre kosong",IF(ISERROR(MATCH(TRIM('PC 08'!F413),{"Pop","Rock","Dangdut","K-Pop","Electronic","Nasional","Daerah"},0)),"Genre di luar daftar","")),IF('PC 08'!G413="","Nama Channel kosong",""),IF('PC 08'!H413="","Link kosong",IF(ISERROR(FIND("youtu",LOWER('PC 08'!H413))),"Link bukan youtube","")),IF('PC 08'!I413="","Tgl Dibuat kosong",IF(NOT(ISNUMBER('PC 08'!I413)),"Tgl Dibuat harus tanggal","")),IF(AND('PC 08'!J413&lt;&gt;"",NOT(ISNUMBER('PC 08'!J413))),"Tgl Publish harus tanggal",""),IF(AND(ISNUMBER('PC 08'!I413),ISNUMBER('PC 08'!J413),'PC 08'!J413&lt;'PC 08'!I413),"Tgl Publish &lt; Tgl Dibuat",""),IF(AND('PC 08'!K413&lt;&gt;"",ISERROR(MATCH(TRIM('PC 08'!K413),{"Draft","Menunggu Review","Revisi","Terjadwal","Publish","Batal","Published"},0))),"Status di luar daftar","")))</f>
        <v>#ERROR!</v>
      </c>
      <c r="D413" s="5" t="str">
        <f>IF(C413="","OK","ADA MASALAH")</f>
        <v>#ERROR!</v>
      </c>
    </row>
    <row r="414">
      <c r="A414" s="4">
        <v>414.0</v>
      </c>
      <c r="B414" s="5" t="str">
        <f>'PC 08'!A414</f>
        <v/>
      </c>
      <c r="C414" s="5" t="str">
        <f>IF(COUNTA('PC 08'!A414:L414)=0,"",TEXTJOIN(" | ",TRUE,IF('PC 08'!A414="","Worker ID kosong",""),IF('PC 08'!B414="","Update Date kosong",IF(NOT(ISNUMBER('PC 08'!B414)),"Update Date harus tanggal","")),IF('PC 08'!D414="","Judul kosong",""),IF('PC 08'!F414="","Genre kosong",IF(ISERROR(MATCH(TRIM('PC 08'!F414),{"Pop","Rock","Dangdut","K-Pop","Electronic","Nasional","Daerah"},0)),"Genre di luar daftar","")),IF('PC 08'!G414="","Nama Channel kosong",""),IF('PC 08'!H414="","Link kosong",IF(ISERROR(FIND("youtu",LOWER('PC 08'!H414))),"Link bukan youtube","")),IF('PC 08'!I414="","Tgl Dibuat kosong",IF(NOT(ISNUMBER('PC 08'!I414)),"Tgl Dibuat harus tanggal","")),IF(AND('PC 08'!J414&lt;&gt;"",NOT(ISNUMBER('PC 08'!J414))),"Tgl Publish harus tanggal",""),IF(AND(ISNUMBER('PC 08'!I414),ISNUMBER('PC 08'!J414),'PC 08'!J414&lt;'PC 08'!I414),"Tgl Publish &lt; Tgl Dibuat",""),IF(AND('PC 08'!K414&lt;&gt;"",ISERROR(MATCH(TRIM('PC 08'!K414),{"Draft","Menunggu Review","Revisi","Terjadwal","Publish","Batal","Published"},0))),"Status di luar daftar","")))</f>
        <v>#ERROR!</v>
      </c>
      <c r="D414" s="5" t="str">
        <f>IF(C414="","OK","ADA MASALAH")</f>
        <v>#ERROR!</v>
      </c>
    </row>
    <row r="415">
      <c r="A415" s="4">
        <v>415.0</v>
      </c>
      <c r="B415" s="5" t="str">
        <f>'PC 08'!A415</f>
        <v/>
      </c>
      <c r="C415" s="5" t="str">
        <f>IF(COUNTA('PC 08'!A415:L415)=0,"",TEXTJOIN(" | ",TRUE,IF('PC 08'!A415="","Worker ID kosong",""),IF('PC 08'!B415="","Update Date kosong",IF(NOT(ISNUMBER('PC 08'!B415)),"Update Date harus tanggal","")),IF('PC 08'!D415="","Judul kosong",""),IF('PC 08'!F415="","Genre kosong",IF(ISERROR(MATCH(TRIM('PC 08'!F415),{"Pop","Rock","Dangdut","K-Pop","Electronic","Nasional","Daerah"},0)),"Genre di luar daftar","")),IF('PC 08'!G415="","Nama Channel kosong",""),IF('PC 08'!H415="","Link kosong",IF(ISERROR(FIND("youtu",LOWER('PC 08'!H415))),"Link bukan youtube","")),IF('PC 08'!I415="","Tgl Dibuat kosong",IF(NOT(ISNUMBER('PC 08'!I415)),"Tgl Dibuat harus tanggal","")),IF(AND('PC 08'!J415&lt;&gt;"",NOT(ISNUMBER('PC 08'!J415))),"Tgl Publish harus tanggal",""),IF(AND(ISNUMBER('PC 08'!I415),ISNUMBER('PC 08'!J415),'PC 08'!J415&lt;'PC 08'!I415),"Tgl Publish &lt; Tgl Dibuat",""),IF(AND('PC 08'!K415&lt;&gt;"",ISERROR(MATCH(TRIM('PC 08'!K415),{"Draft","Menunggu Review","Revisi","Terjadwal","Publish","Batal","Published"},0))),"Status di luar daftar","")))</f>
        <v>#ERROR!</v>
      </c>
      <c r="D415" s="5" t="str">
        <f>IF(C415="","OK","ADA MASALAH")</f>
        <v>#ERROR!</v>
      </c>
    </row>
    <row r="416">
      <c r="A416" s="4">
        <v>416.0</v>
      </c>
      <c r="B416" s="5" t="str">
        <f>'PC 08'!A416</f>
        <v/>
      </c>
      <c r="C416" s="5" t="str">
        <f>IF(COUNTA('PC 08'!A416:L416)=0,"",TEXTJOIN(" | ",TRUE,IF('PC 08'!A416="","Worker ID kosong",""),IF('PC 08'!B416="","Update Date kosong",IF(NOT(ISNUMBER('PC 08'!B416)),"Update Date harus tanggal","")),IF('PC 08'!D416="","Judul kosong",""),IF('PC 08'!F416="","Genre kosong",IF(ISERROR(MATCH(TRIM('PC 08'!F416),{"Pop","Rock","Dangdut","K-Pop","Electronic","Nasional","Daerah"},0)),"Genre di luar daftar","")),IF('PC 08'!G416="","Nama Channel kosong",""),IF('PC 08'!H416="","Link kosong",IF(ISERROR(FIND("youtu",LOWER('PC 08'!H416))),"Link bukan youtube","")),IF('PC 08'!I416="","Tgl Dibuat kosong",IF(NOT(ISNUMBER('PC 08'!I416)),"Tgl Dibuat harus tanggal","")),IF(AND('PC 08'!J416&lt;&gt;"",NOT(ISNUMBER('PC 08'!J416))),"Tgl Publish harus tanggal",""),IF(AND(ISNUMBER('PC 08'!I416),ISNUMBER('PC 08'!J416),'PC 08'!J416&lt;'PC 08'!I416),"Tgl Publish &lt; Tgl Dibuat",""),IF(AND('PC 08'!K416&lt;&gt;"",ISERROR(MATCH(TRIM('PC 08'!K416),{"Draft","Menunggu Review","Revisi","Terjadwal","Publish","Batal","Published"},0))),"Status di luar daftar","")))</f>
        <v>#ERROR!</v>
      </c>
      <c r="D416" s="5" t="str">
        <f>IF(C416="","OK","ADA MASALAH")</f>
        <v>#ERROR!</v>
      </c>
    </row>
    <row r="417">
      <c r="A417" s="4">
        <v>417.0</v>
      </c>
      <c r="B417" s="5" t="str">
        <f>'PC 08'!A417</f>
        <v/>
      </c>
      <c r="C417" s="5" t="str">
        <f>IF(COUNTA('PC 08'!A417:L417)=0,"",TEXTJOIN(" | ",TRUE,IF('PC 08'!A417="","Worker ID kosong",""),IF('PC 08'!B417="","Update Date kosong",IF(NOT(ISNUMBER('PC 08'!B417)),"Update Date harus tanggal","")),IF('PC 08'!D417="","Judul kosong",""),IF('PC 08'!F417="","Genre kosong",IF(ISERROR(MATCH(TRIM('PC 08'!F417),{"Pop","Rock","Dangdut","K-Pop","Electronic","Nasional","Daerah"},0)),"Genre di luar daftar","")),IF('PC 08'!G417="","Nama Channel kosong",""),IF('PC 08'!H417="","Link kosong",IF(ISERROR(FIND("youtu",LOWER('PC 08'!H417))),"Link bukan youtube","")),IF('PC 08'!I417="","Tgl Dibuat kosong",IF(NOT(ISNUMBER('PC 08'!I417)),"Tgl Dibuat harus tanggal","")),IF(AND('PC 08'!J417&lt;&gt;"",NOT(ISNUMBER('PC 08'!J417))),"Tgl Publish harus tanggal",""),IF(AND(ISNUMBER('PC 08'!I417),ISNUMBER('PC 08'!J417),'PC 08'!J417&lt;'PC 08'!I417),"Tgl Publish &lt; Tgl Dibuat",""),IF(AND('PC 08'!K417&lt;&gt;"",ISERROR(MATCH(TRIM('PC 08'!K417),{"Draft","Menunggu Review","Revisi","Terjadwal","Publish","Batal","Published"},0))),"Status di luar daftar","")))</f>
        <v>#ERROR!</v>
      </c>
      <c r="D417" s="5" t="str">
        <f>IF(C417="","OK","ADA MASALAH")</f>
        <v>#ERROR!</v>
      </c>
    </row>
    <row r="418">
      <c r="A418" s="4">
        <v>418.0</v>
      </c>
      <c r="B418" s="5" t="str">
        <f>'PC 08'!A418</f>
        <v/>
      </c>
      <c r="C418" s="5" t="str">
        <f>IF(COUNTA('PC 08'!A418:L418)=0,"",TEXTJOIN(" | ",TRUE,IF('PC 08'!A418="","Worker ID kosong",""),IF('PC 08'!B418="","Update Date kosong",IF(NOT(ISNUMBER('PC 08'!B418)),"Update Date harus tanggal","")),IF('PC 08'!D418="","Judul kosong",""),IF('PC 08'!F418="","Genre kosong",IF(ISERROR(MATCH(TRIM('PC 08'!F418),{"Pop","Rock","Dangdut","K-Pop","Electronic","Nasional","Daerah"},0)),"Genre di luar daftar","")),IF('PC 08'!G418="","Nama Channel kosong",""),IF('PC 08'!H418="","Link kosong",IF(ISERROR(FIND("youtu",LOWER('PC 08'!H418))),"Link bukan youtube","")),IF('PC 08'!I418="","Tgl Dibuat kosong",IF(NOT(ISNUMBER('PC 08'!I418)),"Tgl Dibuat harus tanggal","")),IF(AND('PC 08'!J418&lt;&gt;"",NOT(ISNUMBER('PC 08'!J418))),"Tgl Publish harus tanggal",""),IF(AND(ISNUMBER('PC 08'!I418),ISNUMBER('PC 08'!J418),'PC 08'!J418&lt;'PC 08'!I418),"Tgl Publish &lt; Tgl Dibuat",""),IF(AND('PC 08'!K418&lt;&gt;"",ISERROR(MATCH(TRIM('PC 08'!K418),{"Draft","Menunggu Review","Revisi","Terjadwal","Publish","Batal","Published"},0))),"Status di luar daftar","")))</f>
        <v>#ERROR!</v>
      </c>
      <c r="D418" s="5" t="str">
        <f>IF(C418="","OK","ADA MASALAH")</f>
        <v>#ERROR!</v>
      </c>
    </row>
    <row r="419">
      <c r="A419" s="4">
        <v>419.0</v>
      </c>
      <c r="B419" s="5" t="str">
        <f>'PC 08'!A419</f>
        <v/>
      </c>
      <c r="C419" s="5" t="str">
        <f>IF(COUNTA('PC 08'!A419:L419)=0,"",TEXTJOIN(" | ",TRUE,IF('PC 08'!A419="","Worker ID kosong",""),IF('PC 08'!B419="","Update Date kosong",IF(NOT(ISNUMBER('PC 08'!B419)),"Update Date harus tanggal","")),IF('PC 08'!D419="","Judul kosong",""),IF('PC 08'!F419="","Genre kosong",IF(ISERROR(MATCH(TRIM('PC 08'!F419),{"Pop","Rock","Dangdut","K-Pop","Electronic","Nasional","Daerah"},0)),"Genre di luar daftar","")),IF('PC 08'!G419="","Nama Channel kosong",""),IF('PC 08'!H419="","Link kosong",IF(ISERROR(FIND("youtu",LOWER('PC 08'!H419))),"Link bukan youtube","")),IF('PC 08'!I419="","Tgl Dibuat kosong",IF(NOT(ISNUMBER('PC 08'!I419)),"Tgl Dibuat harus tanggal","")),IF(AND('PC 08'!J419&lt;&gt;"",NOT(ISNUMBER('PC 08'!J419))),"Tgl Publish harus tanggal",""),IF(AND(ISNUMBER('PC 08'!I419),ISNUMBER('PC 08'!J419),'PC 08'!J419&lt;'PC 08'!I419),"Tgl Publish &lt; Tgl Dibuat",""),IF(AND('PC 08'!K419&lt;&gt;"",ISERROR(MATCH(TRIM('PC 08'!K419),{"Draft","Menunggu Review","Revisi","Terjadwal","Publish","Batal","Published"},0))),"Status di luar daftar","")))</f>
        <v>#ERROR!</v>
      </c>
      <c r="D419" s="5" t="str">
        <f>IF(C419="","OK","ADA MASALAH")</f>
        <v>#ERROR!</v>
      </c>
    </row>
    <row r="420">
      <c r="A420" s="4">
        <v>420.0</v>
      </c>
      <c r="B420" s="5" t="str">
        <f>'PC 08'!A420</f>
        <v/>
      </c>
      <c r="C420" s="5" t="str">
        <f>IF(COUNTA('PC 08'!A420:L420)=0,"",TEXTJOIN(" | ",TRUE,IF('PC 08'!A420="","Worker ID kosong",""),IF('PC 08'!B420="","Update Date kosong",IF(NOT(ISNUMBER('PC 08'!B420)),"Update Date harus tanggal","")),IF('PC 08'!D420="","Judul kosong",""),IF('PC 08'!F420="","Genre kosong",IF(ISERROR(MATCH(TRIM('PC 08'!F420),{"Pop","Rock","Dangdut","K-Pop","Electronic","Nasional","Daerah"},0)),"Genre di luar daftar","")),IF('PC 08'!G420="","Nama Channel kosong",""),IF('PC 08'!H420="","Link kosong",IF(ISERROR(FIND("youtu",LOWER('PC 08'!H420))),"Link bukan youtube","")),IF('PC 08'!I420="","Tgl Dibuat kosong",IF(NOT(ISNUMBER('PC 08'!I420)),"Tgl Dibuat harus tanggal","")),IF(AND('PC 08'!J420&lt;&gt;"",NOT(ISNUMBER('PC 08'!J420))),"Tgl Publish harus tanggal",""),IF(AND(ISNUMBER('PC 08'!I420),ISNUMBER('PC 08'!J420),'PC 08'!J420&lt;'PC 08'!I420),"Tgl Publish &lt; Tgl Dibuat",""),IF(AND('PC 08'!K420&lt;&gt;"",ISERROR(MATCH(TRIM('PC 08'!K420),{"Draft","Menunggu Review","Revisi","Terjadwal","Publish","Batal","Published"},0))),"Status di luar daftar","")))</f>
        <v>#ERROR!</v>
      </c>
      <c r="D420" s="5" t="str">
        <f>IF(C420="","OK","ADA MASALAH")</f>
        <v>#ERROR!</v>
      </c>
    </row>
    <row r="421">
      <c r="A421" s="4">
        <v>421.0</v>
      </c>
      <c r="B421" s="5" t="str">
        <f>'PC 08'!A421</f>
        <v/>
      </c>
      <c r="C421" s="5" t="str">
        <f>IF(COUNTA('PC 08'!A421:L421)=0,"",TEXTJOIN(" | ",TRUE,IF('PC 08'!A421="","Worker ID kosong",""),IF('PC 08'!B421="","Update Date kosong",IF(NOT(ISNUMBER('PC 08'!B421)),"Update Date harus tanggal","")),IF('PC 08'!D421="","Judul kosong",""),IF('PC 08'!F421="","Genre kosong",IF(ISERROR(MATCH(TRIM('PC 08'!F421),{"Pop","Rock","Dangdut","K-Pop","Electronic","Nasional","Daerah"},0)),"Genre di luar daftar","")),IF('PC 08'!G421="","Nama Channel kosong",""),IF('PC 08'!H421="","Link kosong",IF(ISERROR(FIND("youtu",LOWER('PC 08'!H421))),"Link bukan youtube","")),IF('PC 08'!I421="","Tgl Dibuat kosong",IF(NOT(ISNUMBER('PC 08'!I421)),"Tgl Dibuat harus tanggal","")),IF(AND('PC 08'!J421&lt;&gt;"",NOT(ISNUMBER('PC 08'!J421))),"Tgl Publish harus tanggal",""),IF(AND(ISNUMBER('PC 08'!I421),ISNUMBER('PC 08'!J421),'PC 08'!J421&lt;'PC 08'!I421),"Tgl Publish &lt; Tgl Dibuat",""),IF(AND('PC 08'!K421&lt;&gt;"",ISERROR(MATCH(TRIM('PC 08'!K421),{"Draft","Menunggu Review","Revisi","Terjadwal","Publish","Batal","Published"},0))),"Status di luar daftar","")))</f>
        <v>#ERROR!</v>
      </c>
      <c r="D421" s="5" t="str">
        <f>IF(C421="","OK","ADA MASALAH")</f>
        <v>#ERROR!</v>
      </c>
    </row>
    <row r="422">
      <c r="A422" s="4">
        <v>422.0</v>
      </c>
      <c r="B422" s="5" t="str">
        <f>'PC 08'!A422</f>
        <v/>
      </c>
      <c r="C422" s="5" t="str">
        <f>IF(COUNTA('PC 08'!A422:L422)=0,"",TEXTJOIN(" | ",TRUE,IF('PC 08'!A422="","Worker ID kosong",""),IF('PC 08'!B422="","Update Date kosong",IF(NOT(ISNUMBER('PC 08'!B422)),"Update Date harus tanggal","")),IF('PC 08'!D422="","Judul kosong",""),IF('PC 08'!F422="","Genre kosong",IF(ISERROR(MATCH(TRIM('PC 08'!F422),{"Pop","Rock","Dangdut","K-Pop","Electronic","Nasional","Daerah"},0)),"Genre di luar daftar","")),IF('PC 08'!G422="","Nama Channel kosong",""),IF('PC 08'!H422="","Link kosong",IF(ISERROR(FIND("youtu",LOWER('PC 08'!H422))),"Link bukan youtube","")),IF('PC 08'!I422="","Tgl Dibuat kosong",IF(NOT(ISNUMBER('PC 08'!I422)),"Tgl Dibuat harus tanggal","")),IF(AND('PC 08'!J422&lt;&gt;"",NOT(ISNUMBER('PC 08'!J422))),"Tgl Publish harus tanggal",""),IF(AND(ISNUMBER('PC 08'!I422),ISNUMBER('PC 08'!J422),'PC 08'!J422&lt;'PC 08'!I422),"Tgl Publish &lt; Tgl Dibuat",""),IF(AND('PC 08'!K422&lt;&gt;"",ISERROR(MATCH(TRIM('PC 08'!K422),{"Draft","Menunggu Review","Revisi","Terjadwal","Publish","Batal","Published"},0))),"Status di luar daftar","")))</f>
        <v>#ERROR!</v>
      </c>
      <c r="D422" s="5" t="str">
        <f>IF(C422="","OK","ADA MASALAH")</f>
        <v>#ERROR!</v>
      </c>
    </row>
    <row r="423">
      <c r="A423" s="4">
        <v>423.0</v>
      </c>
      <c r="B423" s="5" t="str">
        <f>'PC 08'!A423</f>
        <v/>
      </c>
      <c r="C423" s="5" t="str">
        <f>IF(COUNTA('PC 08'!A423:L423)=0,"",TEXTJOIN(" | ",TRUE,IF('PC 08'!A423="","Worker ID kosong",""),IF('PC 08'!B423="","Update Date kosong",IF(NOT(ISNUMBER('PC 08'!B423)),"Update Date harus tanggal","")),IF('PC 08'!D423="","Judul kosong",""),IF('PC 08'!F423="","Genre kosong",IF(ISERROR(MATCH(TRIM('PC 08'!F423),{"Pop","Rock","Dangdut","K-Pop","Electronic","Nasional","Daerah"},0)),"Genre di luar daftar","")),IF('PC 08'!G423="","Nama Channel kosong",""),IF('PC 08'!H423="","Link kosong",IF(ISERROR(FIND("youtu",LOWER('PC 08'!H423))),"Link bukan youtube","")),IF('PC 08'!I423="","Tgl Dibuat kosong",IF(NOT(ISNUMBER('PC 08'!I423)),"Tgl Dibuat harus tanggal","")),IF(AND('PC 08'!J423&lt;&gt;"",NOT(ISNUMBER('PC 08'!J423))),"Tgl Publish harus tanggal",""),IF(AND(ISNUMBER('PC 08'!I423),ISNUMBER('PC 08'!J423),'PC 08'!J423&lt;'PC 08'!I423),"Tgl Publish &lt; Tgl Dibuat",""),IF(AND('PC 08'!K423&lt;&gt;"",ISERROR(MATCH(TRIM('PC 08'!K423),{"Draft","Menunggu Review","Revisi","Terjadwal","Publish","Batal","Published"},0))),"Status di luar daftar","")))</f>
        <v>#ERROR!</v>
      </c>
      <c r="D423" s="5" t="str">
        <f>IF(C423="","OK","ADA MASALAH")</f>
        <v>#ERROR!</v>
      </c>
    </row>
    <row r="424">
      <c r="A424" s="4">
        <v>424.0</v>
      </c>
      <c r="B424" s="5" t="str">
        <f>'PC 08'!A424</f>
        <v/>
      </c>
      <c r="C424" s="5" t="str">
        <f>IF(COUNTA('PC 08'!A424:L424)=0,"",TEXTJOIN(" | ",TRUE,IF('PC 08'!A424="","Worker ID kosong",""),IF('PC 08'!B424="","Update Date kosong",IF(NOT(ISNUMBER('PC 08'!B424)),"Update Date harus tanggal","")),IF('PC 08'!D424="","Judul kosong",""),IF('PC 08'!F424="","Genre kosong",IF(ISERROR(MATCH(TRIM('PC 08'!F424),{"Pop","Rock","Dangdut","K-Pop","Electronic","Nasional","Daerah"},0)),"Genre di luar daftar","")),IF('PC 08'!G424="","Nama Channel kosong",""),IF('PC 08'!H424="","Link kosong",IF(ISERROR(FIND("youtu",LOWER('PC 08'!H424))),"Link bukan youtube","")),IF('PC 08'!I424="","Tgl Dibuat kosong",IF(NOT(ISNUMBER('PC 08'!I424)),"Tgl Dibuat harus tanggal","")),IF(AND('PC 08'!J424&lt;&gt;"",NOT(ISNUMBER('PC 08'!J424))),"Tgl Publish harus tanggal",""),IF(AND(ISNUMBER('PC 08'!I424),ISNUMBER('PC 08'!J424),'PC 08'!J424&lt;'PC 08'!I424),"Tgl Publish &lt; Tgl Dibuat",""),IF(AND('PC 08'!K424&lt;&gt;"",ISERROR(MATCH(TRIM('PC 08'!K424),{"Draft","Menunggu Review","Revisi","Terjadwal","Publish","Batal","Published"},0))),"Status di luar daftar","")))</f>
        <v>#ERROR!</v>
      </c>
      <c r="D424" s="5" t="str">
        <f>IF(C424="","OK","ADA MASALAH")</f>
        <v>#ERROR!</v>
      </c>
    </row>
    <row r="425">
      <c r="A425" s="4">
        <v>425.0</v>
      </c>
      <c r="B425" s="5" t="str">
        <f>'PC 08'!A425</f>
        <v/>
      </c>
      <c r="C425" s="5" t="str">
        <f>IF(COUNTA('PC 08'!A425:L425)=0,"",TEXTJOIN(" | ",TRUE,IF('PC 08'!A425="","Worker ID kosong",""),IF('PC 08'!B425="","Update Date kosong",IF(NOT(ISNUMBER('PC 08'!B425)),"Update Date harus tanggal","")),IF('PC 08'!D425="","Judul kosong",""),IF('PC 08'!F425="","Genre kosong",IF(ISERROR(MATCH(TRIM('PC 08'!F425),{"Pop","Rock","Dangdut","K-Pop","Electronic","Nasional","Daerah"},0)),"Genre di luar daftar","")),IF('PC 08'!G425="","Nama Channel kosong",""),IF('PC 08'!H425="","Link kosong",IF(ISERROR(FIND("youtu",LOWER('PC 08'!H425))),"Link bukan youtube","")),IF('PC 08'!I425="","Tgl Dibuat kosong",IF(NOT(ISNUMBER('PC 08'!I425)),"Tgl Dibuat harus tanggal","")),IF(AND('PC 08'!J425&lt;&gt;"",NOT(ISNUMBER('PC 08'!J425))),"Tgl Publish harus tanggal",""),IF(AND(ISNUMBER('PC 08'!I425),ISNUMBER('PC 08'!J425),'PC 08'!J425&lt;'PC 08'!I425),"Tgl Publish &lt; Tgl Dibuat",""),IF(AND('PC 08'!K425&lt;&gt;"",ISERROR(MATCH(TRIM('PC 08'!K425),{"Draft","Menunggu Review","Revisi","Terjadwal","Publish","Batal","Published"},0))),"Status di luar daftar","")))</f>
        <v>#ERROR!</v>
      </c>
      <c r="D425" s="5" t="str">
        <f>IF(C425="","OK","ADA MASALAH")</f>
        <v>#ERROR!</v>
      </c>
    </row>
    <row r="426">
      <c r="A426" s="4">
        <v>426.0</v>
      </c>
      <c r="B426" s="5" t="str">
        <f>'PC 08'!A426</f>
        <v/>
      </c>
      <c r="C426" s="5" t="str">
        <f>IF(COUNTA('PC 08'!A426:L426)=0,"",TEXTJOIN(" | ",TRUE,IF('PC 08'!A426="","Worker ID kosong",""),IF('PC 08'!B426="","Update Date kosong",IF(NOT(ISNUMBER('PC 08'!B426)),"Update Date harus tanggal","")),IF('PC 08'!D426="","Judul kosong",""),IF('PC 08'!F426="","Genre kosong",IF(ISERROR(MATCH(TRIM('PC 08'!F426),{"Pop","Rock","Dangdut","K-Pop","Electronic","Nasional","Daerah"},0)),"Genre di luar daftar","")),IF('PC 08'!G426="","Nama Channel kosong",""),IF('PC 08'!H426="","Link kosong",IF(ISERROR(FIND("youtu",LOWER('PC 08'!H426))),"Link bukan youtube","")),IF('PC 08'!I426="","Tgl Dibuat kosong",IF(NOT(ISNUMBER('PC 08'!I426)),"Tgl Dibuat harus tanggal","")),IF(AND('PC 08'!J426&lt;&gt;"",NOT(ISNUMBER('PC 08'!J426))),"Tgl Publish harus tanggal",""),IF(AND(ISNUMBER('PC 08'!I426),ISNUMBER('PC 08'!J426),'PC 08'!J426&lt;'PC 08'!I426),"Tgl Publish &lt; Tgl Dibuat",""),IF(AND('PC 08'!K426&lt;&gt;"",ISERROR(MATCH(TRIM('PC 08'!K426),{"Draft","Menunggu Review","Revisi","Terjadwal","Publish","Batal","Published"},0))),"Status di luar daftar","")))</f>
        <v>#ERROR!</v>
      </c>
      <c r="D426" s="5" t="str">
        <f>IF(C426="","OK","ADA MASALAH")</f>
        <v>#ERROR!</v>
      </c>
    </row>
    <row r="427">
      <c r="A427" s="4">
        <v>427.0</v>
      </c>
      <c r="B427" s="5" t="str">
        <f>'PC 08'!A427</f>
        <v/>
      </c>
      <c r="C427" s="5" t="str">
        <f>IF(COUNTA('PC 08'!A427:L427)=0,"",TEXTJOIN(" | ",TRUE,IF('PC 08'!A427="","Worker ID kosong",""),IF('PC 08'!B427="","Update Date kosong",IF(NOT(ISNUMBER('PC 08'!B427)),"Update Date harus tanggal","")),IF('PC 08'!D427="","Judul kosong",""),IF('PC 08'!F427="","Genre kosong",IF(ISERROR(MATCH(TRIM('PC 08'!F427),{"Pop","Rock","Dangdut","K-Pop","Electronic","Nasional","Daerah"},0)),"Genre di luar daftar","")),IF('PC 08'!G427="","Nama Channel kosong",""),IF('PC 08'!H427="","Link kosong",IF(ISERROR(FIND("youtu",LOWER('PC 08'!H427))),"Link bukan youtube","")),IF('PC 08'!I427="","Tgl Dibuat kosong",IF(NOT(ISNUMBER('PC 08'!I427)),"Tgl Dibuat harus tanggal","")),IF(AND('PC 08'!J427&lt;&gt;"",NOT(ISNUMBER('PC 08'!J427))),"Tgl Publish harus tanggal",""),IF(AND(ISNUMBER('PC 08'!I427),ISNUMBER('PC 08'!J427),'PC 08'!J427&lt;'PC 08'!I427),"Tgl Publish &lt; Tgl Dibuat",""),IF(AND('PC 08'!K427&lt;&gt;"",ISERROR(MATCH(TRIM('PC 08'!K427),{"Draft","Menunggu Review","Revisi","Terjadwal","Publish","Batal","Published"},0))),"Status di luar daftar","")))</f>
        <v>#ERROR!</v>
      </c>
      <c r="D427" s="5" t="str">
        <f>IF(C427="","OK","ADA MASALAH")</f>
        <v>#ERROR!</v>
      </c>
    </row>
    <row r="428">
      <c r="A428" s="4">
        <v>428.0</v>
      </c>
      <c r="B428" s="5" t="str">
        <f>'PC 08'!A428</f>
        <v/>
      </c>
      <c r="C428" s="5" t="str">
        <f>IF(COUNTA('PC 08'!A428:L428)=0,"",TEXTJOIN(" | ",TRUE,IF('PC 08'!A428="","Worker ID kosong",""),IF('PC 08'!B428="","Update Date kosong",IF(NOT(ISNUMBER('PC 08'!B428)),"Update Date harus tanggal","")),IF('PC 08'!D428="","Judul kosong",""),IF('PC 08'!F428="","Genre kosong",IF(ISERROR(MATCH(TRIM('PC 08'!F428),{"Pop","Rock","Dangdut","K-Pop","Electronic","Nasional","Daerah"},0)),"Genre di luar daftar","")),IF('PC 08'!G428="","Nama Channel kosong",""),IF('PC 08'!H428="","Link kosong",IF(ISERROR(FIND("youtu",LOWER('PC 08'!H428))),"Link bukan youtube","")),IF('PC 08'!I428="","Tgl Dibuat kosong",IF(NOT(ISNUMBER('PC 08'!I428)),"Tgl Dibuat harus tanggal","")),IF(AND('PC 08'!J428&lt;&gt;"",NOT(ISNUMBER('PC 08'!J428))),"Tgl Publish harus tanggal",""),IF(AND(ISNUMBER('PC 08'!I428),ISNUMBER('PC 08'!J428),'PC 08'!J428&lt;'PC 08'!I428),"Tgl Publish &lt; Tgl Dibuat",""),IF(AND('PC 08'!K428&lt;&gt;"",ISERROR(MATCH(TRIM('PC 08'!K428),{"Draft","Menunggu Review","Revisi","Terjadwal","Publish","Batal","Published"},0))),"Status di luar daftar","")))</f>
        <v>#ERROR!</v>
      </c>
      <c r="D428" s="5" t="str">
        <f>IF(C428="","OK","ADA MASALAH")</f>
        <v>#ERROR!</v>
      </c>
    </row>
    <row r="429">
      <c r="A429" s="4">
        <v>429.0</v>
      </c>
      <c r="B429" s="5" t="str">
        <f>'PC 08'!A429</f>
        <v/>
      </c>
      <c r="C429" s="5" t="str">
        <f>IF(COUNTA('PC 08'!A429:L429)=0,"",TEXTJOIN(" | ",TRUE,IF('PC 08'!A429="","Worker ID kosong",""),IF('PC 08'!B429="","Update Date kosong",IF(NOT(ISNUMBER('PC 08'!B429)),"Update Date harus tanggal","")),IF('PC 08'!D429="","Judul kosong",""),IF('PC 08'!F429="","Genre kosong",IF(ISERROR(MATCH(TRIM('PC 08'!F429),{"Pop","Rock","Dangdut","K-Pop","Electronic","Nasional","Daerah"},0)),"Genre di luar daftar","")),IF('PC 08'!G429="","Nama Channel kosong",""),IF('PC 08'!H429="","Link kosong",IF(ISERROR(FIND("youtu",LOWER('PC 08'!H429))),"Link bukan youtube","")),IF('PC 08'!I429="","Tgl Dibuat kosong",IF(NOT(ISNUMBER('PC 08'!I429)),"Tgl Dibuat harus tanggal","")),IF(AND('PC 08'!J429&lt;&gt;"",NOT(ISNUMBER('PC 08'!J429))),"Tgl Publish harus tanggal",""),IF(AND(ISNUMBER('PC 08'!I429),ISNUMBER('PC 08'!J429),'PC 08'!J429&lt;'PC 08'!I429),"Tgl Publish &lt; Tgl Dibuat",""),IF(AND('PC 08'!K429&lt;&gt;"",ISERROR(MATCH(TRIM('PC 08'!K429),{"Draft","Menunggu Review","Revisi","Terjadwal","Publish","Batal","Published"},0))),"Status di luar daftar","")))</f>
        <v>#ERROR!</v>
      </c>
      <c r="D429" s="5" t="str">
        <f>IF(C429="","OK","ADA MASALAH")</f>
        <v>#ERROR!</v>
      </c>
    </row>
    <row r="430">
      <c r="A430" s="4">
        <v>430.0</v>
      </c>
      <c r="B430" s="5" t="str">
        <f>'PC 08'!A430</f>
        <v/>
      </c>
      <c r="C430" s="5" t="str">
        <f>IF(COUNTA('PC 08'!A430:L430)=0,"",TEXTJOIN(" | ",TRUE,IF('PC 08'!A430="","Worker ID kosong",""),IF('PC 08'!B430="","Update Date kosong",IF(NOT(ISNUMBER('PC 08'!B430)),"Update Date harus tanggal","")),IF('PC 08'!D430="","Judul kosong",""),IF('PC 08'!F430="","Genre kosong",IF(ISERROR(MATCH(TRIM('PC 08'!F430),{"Pop","Rock","Dangdut","K-Pop","Electronic","Nasional","Daerah"},0)),"Genre di luar daftar","")),IF('PC 08'!G430="","Nama Channel kosong",""),IF('PC 08'!H430="","Link kosong",IF(ISERROR(FIND("youtu",LOWER('PC 08'!H430))),"Link bukan youtube","")),IF('PC 08'!I430="","Tgl Dibuat kosong",IF(NOT(ISNUMBER('PC 08'!I430)),"Tgl Dibuat harus tanggal","")),IF(AND('PC 08'!J430&lt;&gt;"",NOT(ISNUMBER('PC 08'!J430))),"Tgl Publish harus tanggal",""),IF(AND(ISNUMBER('PC 08'!I430),ISNUMBER('PC 08'!J430),'PC 08'!J430&lt;'PC 08'!I430),"Tgl Publish &lt; Tgl Dibuat",""),IF(AND('PC 08'!K430&lt;&gt;"",ISERROR(MATCH(TRIM('PC 08'!K430),{"Draft","Menunggu Review","Revisi","Terjadwal","Publish","Batal","Published"},0))),"Status di luar daftar","")))</f>
        <v>#ERROR!</v>
      </c>
      <c r="D430" s="5" t="str">
        <f>IF(C430="","OK","ADA MASALAH")</f>
        <v>#ERROR!</v>
      </c>
    </row>
    <row r="431">
      <c r="A431" s="4">
        <v>431.0</v>
      </c>
      <c r="B431" s="5" t="str">
        <f>'PC 08'!A431</f>
        <v/>
      </c>
      <c r="C431" s="5" t="str">
        <f>IF(COUNTA('PC 08'!A431:L431)=0,"",TEXTJOIN(" | ",TRUE,IF('PC 08'!A431="","Worker ID kosong",""),IF('PC 08'!B431="","Update Date kosong",IF(NOT(ISNUMBER('PC 08'!B431)),"Update Date harus tanggal","")),IF('PC 08'!D431="","Judul kosong",""),IF('PC 08'!F431="","Genre kosong",IF(ISERROR(MATCH(TRIM('PC 08'!F431),{"Pop","Rock","Dangdut","K-Pop","Electronic","Nasional","Daerah"},0)),"Genre di luar daftar","")),IF('PC 08'!G431="","Nama Channel kosong",""),IF('PC 08'!H431="","Link kosong",IF(ISERROR(FIND("youtu",LOWER('PC 08'!H431))),"Link bukan youtube","")),IF('PC 08'!I431="","Tgl Dibuat kosong",IF(NOT(ISNUMBER('PC 08'!I431)),"Tgl Dibuat harus tanggal","")),IF(AND('PC 08'!J431&lt;&gt;"",NOT(ISNUMBER('PC 08'!J431))),"Tgl Publish harus tanggal",""),IF(AND(ISNUMBER('PC 08'!I431),ISNUMBER('PC 08'!J431),'PC 08'!J431&lt;'PC 08'!I431),"Tgl Publish &lt; Tgl Dibuat",""),IF(AND('PC 08'!K431&lt;&gt;"",ISERROR(MATCH(TRIM('PC 08'!K431),{"Draft","Menunggu Review","Revisi","Terjadwal","Publish","Batal","Published"},0))),"Status di luar daftar","")))</f>
        <v>#ERROR!</v>
      </c>
      <c r="D431" s="5" t="str">
        <f>IF(C431="","OK","ADA MASALAH")</f>
        <v>#ERROR!</v>
      </c>
    </row>
    <row r="432">
      <c r="A432" s="4">
        <v>432.0</v>
      </c>
      <c r="B432" s="5" t="str">
        <f>'PC 08'!A432</f>
        <v/>
      </c>
      <c r="C432" s="5" t="str">
        <f>IF(COUNTA('PC 08'!A432:L432)=0,"",TEXTJOIN(" | ",TRUE,IF('PC 08'!A432="","Worker ID kosong",""),IF('PC 08'!B432="","Update Date kosong",IF(NOT(ISNUMBER('PC 08'!B432)),"Update Date harus tanggal","")),IF('PC 08'!D432="","Judul kosong",""),IF('PC 08'!F432="","Genre kosong",IF(ISERROR(MATCH(TRIM('PC 08'!F432),{"Pop","Rock","Dangdut","K-Pop","Electronic","Nasional","Daerah"},0)),"Genre di luar daftar","")),IF('PC 08'!G432="","Nama Channel kosong",""),IF('PC 08'!H432="","Link kosong",IF(ISERROR(FIND("youtu",LOWER('PC 08'!H432))),"Link bukan youtube","")),IF('PC 08'!I432="","Tgl Dibuat kosong",IF(NOT(ISNUMBER('PC 08'!I432)),"Tgl Dibuat harus tanggal","")),IF(AND('PC 08'!J432&lt;&gt;"",NOT(ISNUMBER('PC 08'!J432))),"Tgl Publish harus tanggal",""),IF(AND(ISNUMBER('PC 08'!I432),ISNUMBER('PC 08'!J432),'PC 08'!J432&lt;'PC 08'!I432),"Tgl Publish &lt; Tgl Dibuat",""),IF(AND('PC 08'!K432&lt;&gt;"",ISERROR(MATCH(TRIM('PC 08'!K432),{"Draft","Menunggu Review","Revisi","Terjadwal","Publish","Batal","Published"},0))),"Status di luar daftar","")))</f>
        <v>#ERROR!</v>
      </c>
      <c r="D432" s="5" t="str">
        <f>IF(C432="","OK","ADA MASALAH")</f>
        <v>#ERROR!</v>
      </c>
    </row>
    <row r="433">
      <c r="A433" s="4">
        <v>433.0</v>
      </c>
      <c r="B433" s="5" t="str">
        <f>'PC 08'!A433</f>
        <v/>
      </c>
      <c r="C433" s="5" t="str">
        <f>IF(COUNTA('PC 08'!A433:L433)=0,"",TEXTJOIN(" | ",TRUE,IF('PC 08'!A433="","Worker ID kosong",""),IF('PC 08'!B433="","Update Date kosong",IF(NOT(ISNUMBER('PC 08'!B433)),"Update Date harus tanggal","")),IF('PC 08'!D433="","Judul kosong",""),IF('PC 08'!F433="","Genre kosong",IF(ISERROR(MATCH(TRIM('PC 08'!F433),{"Pop","Rock","Dangdut","K-Pop","Electronic","Nasional","Daerah"},0)),"Genre di luar daftar","")),IF('PC 08'!G433="","Nama Channel kosong",""),IF('PC 08'!H433="","Link kosong",IF(ISERROR(FIND("youtu",LOWER('PC 08'!H433))),"Link bukan youtube","")),IF('PC 08'!I433="","Tgl Dibuat kosong",IF(NOT(ISNUMBER('PC 08'!I433)),"Tgl Dibuat harus tanggal","")),IF(AND('PC 08'!J433&lt;&gt;"",NOT(ISNUMBER('PC 08'!J433))),"Tgl Publish harus tanggal",""),IF(AND(ISNUMBER('PC 08'!I433),ISNUMBER('PC 08'!J433),'PC 08'!J433&lt;'PC 08'!I433),"Tgl Publish &lt; Tgl Dibuat",""),IF(AND('PC 08'!K433&lt;&gt;"",ISERROR(MATCH(TRIM('PC 08'!K433),{"Draft","Menunggu Review","Revisi","Terjadwal","Publish","Batal","Published"},0))),"Status di luar daftar","")))</f>
        <v>#ERROR!</v>
      </c>
      <c r="D433" s="5" t="str">
        <f>IF(C433="","OK","ADA MASALAH")</f>
        <v>#ERROR!</v>
      </c>
    </row>
    <row r="434">
      <c r="A434" s="4">
        <v>434.0</v>
      </c>
      <c r="B434" s="5" t="str">
        <f>'PC 08'!A434</f>
        <v/>
      </c>
      <c r="C434" s="5" t="str">
        <f>IF(COUNTA('PC 08'!A434:L434)=0,"",TEXTJOIN(" | ",TRUE,IF('PC 08'!A434="","Worker ID kosong",""),IF('PC 08'!B434="","Update Date kosong",IF(NOT(ISNUMBER('PC 08'!B434)),"Update Date harus tanggal","")),IF('PC 08'!D434="","Judul kosong",""),IF('PC 08'!F434="","Genre kosong",IF(ISERROR(MATCH(TRIM('PC 08'!F434),{"Pop","Rock","Dangdut","K-Pop","Electronic","Nasional","Daerah"},0)),"Genre di luar daftar","")),IF('PC 08'!G434="","Nama Channel kosong",""),IF('PC 08'!H434="","Link kosong",IF(ISERROR(FIND("youtu",LOWER('PC 08'!H434))),"Link bukan youtube","")),IF('PC 08'!I434="","Tgl Dibuat kosong",IF(NOT(ISNUMBER('PC 08'!I434)),"Tgl Dibuat harus tanggal","")),IF(AND('PC 08'!J434&lt;&gt;"",NOT(ISNUMBER('PC 08'!J434))),"Tgl Publish harus tanggal",""),IF(AND(ISNUMBER('PC 08'!I434),ISNUMBER('PC 08'!J434),'PC 08'!J434&lt;'PC 08'!I434),"Tgl Publish &lt; Tgl Dibuat",""),IF(AND('PC 08'!K434&lt;&gt;"",ISERROR(MATCH(TRIM('PC 08'!K434),{"Draft","Menunggu Review","Revisi","Terjadwal","Publish","Batal","Published"},0))),"Status di luar daftar","")))</f>
        <v>#ERROR!</v>
      </c>
      <c r="D434" s="5" t="str">
        <f>IF(C434="","OK","ADA MASALAH")</f>
        <v>#ERROR!</v>
      </c>
    </row>
    <row r="435">
      <c r="A435" s="4">
        <v>435.0</v>
      </c>
      <c r="B435" s="5" t="str">
        <f>'PC 08'!A435</f>
        <v/>
      </c>
      <c r="C435" s="5" t="str">
        <f>IF(COUNTA('PC 08'!A435:L435)=0,"",TEXTJOIN(" | ",TRUE,IF('PC 08'!A435="","Worker ID kosong",""),IF('PC 08'!B435="","Update Date kosong",IF(NOT(ISNUMBER('PC 08'!B435)),"Update Date harus tanggal","")),IF('PC 08'!D435="","Judul kosong",""),IF('PC 08'!F435="","Genre kosong",IF(ISERROR(MATCH(TRIM('PC 08'!F435),{"Pop","Rock","Dangdut","K-Pop","Electronic","Nasional","Daerah"},0)),"Genre di luar daftar","")),IF('PC 08'!G435="","Nama Channel kosong",""),IF('PC 08'!H435="","Link kosong",IF(ISERROR(FIND("youtu",LOWER('PC 08'!H435))),"Link bukan youtube","")),IF('PC 08'!I435="","Tgl Dibuat kosong",IF(NOT(ISNUMBER('PC 08'!I435)),"Tgl Dibuat harus tanggal","")),IF(AND('PC 08'!J435&lt;&gt;"",NOT(ISNUMBER('PC 08'!J435))),"Tgl Publish harus tanggal",""),IF(AND(ISNUMBER('PC 08'!I435),ISNUMBER('PC 08'!J435),'PC 08'!J435&lt;'PC 08'!I435),"Tgl Publish &lt; Tgl Dibuat",""),IF(AND('PC 08'!K435&lt;&gt;"",ISERROR(MATCH(TRIM('PC 08'!K435),{"Draft","Menunggu Review","Revisi","Terjadwal","Publish","Batal","Published"},0))),"Status di luar daftar","")))</f>
        <v>#ERROR!</v>
      </c>
      <c r="D435" s="5" t="str">
        <f>IF(C435="","OK","ADA MASALAH")</f>
        <v>#ERROR!</v>
      </c>
    </row>
    <row r="436">
      <c r="A436" s="4">
        <v>436.0</v>
      </c>
      <c r="B436" s="5" t="str">
        <f>'PC 08'!A436</f>
        <v/>
      </c>
      <c r="C436" s="5" t="str">
        <f>IF(COUNTA('PC 08'!A436:L436)=0,"",TEXTJOIN(" | ",TRUE,IF('PC 08'!A436="","Worker ID kosong",""),IF('PC 08'!B436="","Update Date kosong",IF(NOT(ISNUMBER('PC 08'!B436)),"Update Date harus tanggal","")),IF('PC 08'!D436="","Judul kosong",""),IF('PC 08'!F436="","Genre kosong",IF(ISERROR(MATCH(TRIM('PC 08'!F436),{"Pop","Rock","Dangdut","K-Pop","Electronic","Nasional","Daerah"},0)),"Genre di luar daftar","")),IF('PC 08'!G436="","Nama Channel kosong",""),IF('PC 08'!H436="","Link kosong",IF(ISERROR(FIND("youtu",LOWER('PC 08'!H436))),"Link bukan youtube","")),IF('PC 08'!I436="","Tgl Dibuat kosong",IF(NOT(ISNUMBER('PC 08'!I436)),"Tgl Dibuat harus tanggal","")),IF(AND('PC 08'!J436&lt;&gt;"",NOT(ISNUMBER('PC 08'!J436))),"Tgl Publish harus tanggal",""),IF(AND(ISNUMBER('PC 08'!I436),ISNUMBER('PC 08'!J436),'PC 08'!J436&lt;'PC 08'!I436),"Tgl Publish &lt; Tgl Dibuat",""),IF(AND('PC 08'!K436&lt;&gt;"",ISERROR(MATCH(TRIM('PC 08'!K436),{"Draft","Menunggu Review","Revisi","Terjadwal","Publish","Batal","Published"},0))),"Status di luar daftar","")))</f>
        <v>#ERROR!</v>
      </c>
      <c r="D436" s="5" t="str">
        <f>IF(C436="","OK","ADA MASALAH")</f>
        <v>#ERROR!</v>
      </c>
    </row>
    <row r="437">
      <c r="A437" s="4">
        <v>437.0</v>
      </c>
      <c r="B437" s="5" t="str">
        <f>'PC 08'!A437</f>
        <v/>
      </c>
      <c r="C437" s="5" t="str">
        <f>IF(COUNTA('PC 08'!A437:L437)=0,"",TEXTJOIN(" | ",TRUE,IF('PC 08'!A437="","Worker ID kosong",""),IF('PC 08'!B437="","Update Date kosong",IF(NOT(ISNUMBER('PC 08'!B437)),"Update Date harus tanggal","")),IF('PC 08'!D437="","Judul kosong",""),IF('PC 08'!F437="","Genre kosong",IF(ISERROR(MATCH(TRIM('PC 08'!F437),{"Pop","Rock","Dangdut","K-Pop","Electronic","Nasional","Daerah"},0)),"Genre di luar daftar","")),IF('PC 08'!G437="","Nama Channel kosong",""),IF('PC 08'!H437="","Link kosong",IF(ISERROR(FIND("youtu",LOWER('PC 08'!H437))),"Link bukan youtube","")),IF('PC 08'!I437="","Tgl Dibuat kosong",IF(NOT(ISNUMBER('PC 08'!I437)),"Tgl Dibuat harus tanggal","")),IF(AND('PC 08'!J437&lt;&gt;"",NOT(ISNUMBER('PC 08'!J437))),"Tgl Publish harus tanggal",""),IF(AND(ISNUMBER('PC 08'!I437),ISNUMBER('PC 08'!J437),'PC 08'!J437&lt;'PC 08'!I437),"Tgl Publish &lt; Tgl Dibuat",""),IF(AND('PC 08'!K437&lt;&gt;"",ISERROR(MATCH(TRIM('PC 08'!K437),{"Draft","Menunggu Review","Revisi","Terjadwal","Publish","Batal","Published"},0))),"Status di luar daftar","")))</f>
        <v>#ERROR!</v>
      </c>
      <c r="D437" s="5" t="str">
        <f>IF(C437="","OK","ADA MASALAH")</f>
        <v>#ERROR!</v>
      </c>
    </row>
    <row r="438">
      <c r="A438" s="4">
        <v>438.0</v>
      </c>
      <c r="B438" s="5" t="str">
        <f>'PC 08'!A438</f>
        <v/>
      </c>
      <c r="C438" s="5" t="str">
        <f>IF(COUNTA('PC 08'!A438:L438)=0,"",TEXTJOIN(" | ",TRUE,IF('PC 08'!A438="","Worker ID kosong",""),IF('PC 08'!B438="","Update Date kosong",IF(NOT(ISNUMBER('PC 08'!B438)),"Update Date harus tanggal","")),IF('PC 08'!D438="","Judul kosong",""),IF('PC 08'!F438="","Genre kosong",IF(ISERROR(MATCH(TRIM('PC 08'!F438),{"Pop","Rock","Dangdut","K-Pop","Electronic","Nasional","Daerah"},0)),"Genre di luar daftar","")),IF('PC 08'!G438="","Nama Channel kosong",""),IF('PC 08'!H438="","Link kosong",IF(ISERROR(FIND("youtu",LOWER('PC 08'!H438))),"Link bukan youtube","")),IF('PC 08'!I438="","Tgl Dibuat kosong",IF(NOT(ISNUMBER('PC 08'!I438)),"Tgl Dibuat harus tanggal","")),IF(AND('PC 08'!J438&lt;&gt;"",NOT(ISNUMBER('PC 08'!J438))),"Tgl Publish harus tanggal",""),IF(AND(ISNUMBER('PC 08'!I438),ISNUMBER('PC 08'!J438),'PC 08'!J438&lt;'PC 08'!I438),"Tgl Publish &lt; Tgl Dibuat",""),IF(AND('PC 08'!K438&lt;&gt;"",ISERROR(MATCH(TRIM('PC 08'!K438),{"Draft","Menunggu Review","Revisi","Terjadwal","Publish","Batal","Published"},0))),"Status di luar daftar","")))</f>
        <v>#ERROR!</v>
      </c>
      <c r="D438" s="5" t="str">
        <f>IF(C438="","OK","ADA MASALAH")</f>
        <v>#ERROR!</v>
      </c>
    </row>
    <row r="439">
      <c r="A439" s="4">
        <v>439.0</v>
      </c>
      <c r="B439" s="5" t="str">
        <f>'PC 08'!A439</f>
        <v/>
      </c>
      <c r="C439" s="5" t="str">
        <f>IF(COUNTA('PC 08'!A439:L439)=0,"",TEXTJOIN(" | ",TRUE,IF('PC 08'!A439="","Worker ID kosong",""),IF('PC 08'!B439="","Update Date kosong",IF(NOT(ISNUMBER('PC 08'!B439)),"Update Date harus tanggal","")),IF('PC 08'!D439="","Judul kosong",""),IF('PC 08'!F439="","Genre kosong",IF(ISERROR(MATCH(TRIM('PC 08'!F439),{"Pop","Rock","Dangdut","K-Pop","Electronic","Nasional","Daerah"},0)),"Genre di luar daftar","")),IF('PC 08'!G439="","Nama Channel kosong",""),IF('PC 08'!H439="","Link kosong",IF(ISERROR(FIND("youtu",LOWER('PC 08'!H439))),"Link bukan youtube","")),IF('PC 08'!I439="","Tgl Dibuat kosong",IF(NOT(ISNUMBER('PC 08'!I439)),"Tgl Dibuat harus tanggal","")),IF(AND('PC 08'!J439&lt;&gt;"",NOT(ISNUMBER('PC 08'!J439))),"Tgl Publish harus tanggal",""),IF(AND(ISNUMBER('PC 08'!I439),ISNUMBER('PC 08'!J439),'PC 08'!J439&lt;'PC 08'!I439),"Tgl Publish &lt; Tgl Dibuat",""),IF(AND('PC 08'!K439&lt;&gt;"",ISERROR(MATCH(TRIM('PC 08'!K439),{"Draft","Menunggu Review","Revisi","Terjadwal","Publish","Batal","Published"},0))),"Status di luar daftar","")))</f>
        <v>#ERROR!</v>
      </c>
      <c r="D439" s="5" t="str">
        <f>IF(C439="","OK","ADA MASALAH")</f>
        <v>#ERROR!</v>
      </c>
    </row>
    <row r="440">
      <c r="A440" s="4">
        <v>440.0</v>
      </c>
      <c r="B440" s="5" t="str">
        <f>'PC 08'!A440</f>
        <v/>
      </c>
      <c r="C440" s="5" t="str">
        <f>IF(COUNTA('PC 08'!A440:L440)=0,"",TEXTJOIN(" | ",TRUE,IF('PC 08'!A440="","Worker ID kosong",""),IF('PC 08'!B440="","Update Date kosong",IF(NOT(ISNUMBER('PC 08'!B440)),"Update Date harus tanggal","")),IF('PC 08'!D440="","Judul kosong",""),IF('PC 08'!F440="","Genre kosong",IF(ISERROR(MATCH(TRIM('PC 08'!F440),{"Pop","Rock","Dangdut","K-Pop","Electronic","Nasional","Daerah"},0)),"Genre di luar daftar","")),IF('PC 08'!G440="","Nama Channel kosong",""),IF('PC 08'!H440="","Link kosong",IF(ISERROR(FIND("youtu",LOWER('PC 08'!H440))),"Link bukan youtube","")),IF('PC 08'!I440="","Tgl Dibuat kosong",IF(NOT(ISNUMBER('PC 08'!I440)),"Tgl Dibuat harus tanggal","")),IF(AND('PC 08'!J440&lt;&gt;"",NOT(ISNUMBER('PC 08'!J440))),"Tgl Publish harus tanggal",""),IF(AND(ISNUMBER('PC 08'!I440),ISNUMBER('PC 08'!J440),'PC 08'!J440&lt;'PC 08'!I440),"Tgl Publish &lt; Tgl Dibuat",""),IF(AND('PC 08'!K440&lt;&gt;"",ISERROR(MATCH(TRIM('PC 08'!K440),{"Draft","Menunggu Review","Revisi","Terjadwal","Publish","Batal","Published"},0))),"Status di luar daftar","")))</f>
        <v>#ERROR!</v>
      </c>
      <c r="D440" s="5" t="str">
        <f>IF(C440="","OK","ADA MASALAH")</f>
        <v>#ERROR!</v>
      </c>
    </row>
    <row r="441">
      <c r="A441" s="4">
        <v>441.0</v>
      </c>
      <c r="B441" s="5" t="str">
        <f>'PC 08'!A441</f>
        <v/>
      </c>
      <c r="C441" s="5" t="str">
        <f>IF(COUNTA('PC 08'!A441:L441)=0,"",TEXTJOIN(" | ",TRUE,IF('PC 08'!A441="","Worker ID kosong",""),IF('PC 08'!B441="","Update Date kosong",IF(NOT(ISNUMBER('PC 08'!B441)),"Update Date harus tanggal","")),IF('PC 08'!D441="","Judul kosong",""),IF('PC 08'!F441="","Genre kosong",IF(ISERROR(MATCH(TRIM('PC 08'!F441),{"Pop","Rock","Dangdut","K-Pop","Electronic","Nasional","Daerah"},0)),"Genre di luar daftar","")),IF('PC 08'!G441="","Nama Channel kosong",""),IF('PC 08'!H441="","Link kosong",IF(ISERROR(FIND("youtu",LOWER('PC 08'!H441))),"Link bukan youtube","")),IF('PC 08'!I441="","Tgl Dibuat kosong",IF(NOT(ISNUMBER('PC 08'!I441)),"Tgl Dibuat harus tanggal","")),IF(AND('PC 08'!J441&lt;&gt;"",NOT(ISNUMBER('PC 08'!J441))),"Tgl Publish harus tanggal",""),IF(AND(ISNUMBER('PC 08'!I441),ISNUMBER('PC 08'!J441),'PC 08'!J441&lt;'PC 08'!I441),"Tgl Publish &lt; Tgl Dibuat",""),IF(AND('PC 08'!K441&lt;&gt;"",ISERROR(MATCH(TRIM('PC 08'!K441),{"Draft","Menunggu Review","Revisi","Terjadwal","Publish","Batal","Published"},0))),"Status di luar daftar","")))</f>
        <v>#ERROR!</v>
      </c>
      <c r="D441" s="5" t="str">
        <f>IF(C441="","OK","ADA MASALAH")</f>
        <v>#ERROR!</v>
      </c>
    </row>
    <row r="442">
      <c r="A442" s="4">
        <v>442.0</v>
      </c>
      <c r="B442" s="5" t="str">
        <f>'PC 08'!A442</f>
        <v/>
      </c>
      <c r="C442" s="5" t="str">
        <f>IF(COUNTA('PC 08'!A442:L442)=0,"",TEXTJOIN(" | ",TRUE,IF('PC 08'!A442="","Worker ID kosong",""),IF('PC 08'!B442="","Update Date kosong",IF(NOT(ISNUMBER('PC 08'!B442)),"Update Date harus tanggal","")),IF('PC 08'!D442="","Judul kosong",""),IF('PC 08'!F442="","Genre kosong",IF(ISERROR(MATCH(TRIM('PC 08'!F442),{"Pop","Rock","Dangdut","K-Pop","Electronic","Nasional","Daerah"},0)),"Genre di luar daftar","")),IF('PC 08'!G442="","Nama Channel kosong",""),IF('PC 08'!H442="","Link kosong",IF(ISERROR(FIND("youtu",LOWER('PC 08'!H442))),"Link bukan youtube","")),IF('PC 08'!I442="","Tgl Dibuat kosong",IF(NOT(ISNUMBER('PC 08'!I442)),"Tgl Dibuat harus tanggal","")),IF(AND('PC 08'!J442&lt;&gt;"",NOT(ISNUMBER('PC 08'!J442))),"Tgl Publish harus tanggal",""),IF(AND(ISNUMBER('PC 08'!I442),ISNUMBER('PC 08'!J442),'PC 08'!J442&lt;'PC 08'!I442),"Tgl Publish &lt; Tgl Dibuat",""),IF(AND('PC 08'!K442&lt;&gt;"",ISERROR(MATCH(TRIM('PC 08'!K442),{"Draft","Menunggu Review","Revisi","Terjadwal","Publish","Batal","Published"},0))),"Status di luar daftar","")))</f>
        <v>#ERROR!</v>
      </c>
      <c r="D442" s="5" t="str">
        <f>IF(C442="","OK","ADA MASALAH")</f>
        <v>#ERROR!</v>
      </c>
    </row>
    <row r="443">
      <c r="A443" s="4">
        <v>443.0</v>
      </c>
      <c r="B443" s="5" t="str">
        <f>'PC 08'!A443</f>
        <v/>
      </c>
      <c r="C443" s="5" t="str">
        <f>IF(COUNTA('PC 08'!A443:L443)=0,"",TEXTJOIN(" | ",TRUE,IF('PC 08'!A443="","Worker ID kosong",""),IF('PC 08'!B443="","Update Date kosong",IF(NOT(ISNUMBER('PC 08'!B443)),"Update Date harus tanggal","")),IF('PC 08'!D443="","Judul kosong",""),IF('PC 08'!F443="","Genre kosong",IF(ISERROR(MATCH(TRIM('PC 08'!F443),{"Pop","Rock","Dangdut","K-Pop","Electronic","Nasional","Daerah"},0)),"Genre di luar daftar","")),IF('PC 08'!G443="","Nama Channel kosong",""),IF('PC 08'!H443="","Link kosong",IF(ISERROR(FIND("youtu",LOWER('PC 08'!H443))),"Link bukan youtube","")),IF('PC 08'!I443="","Tgl Dibuat kosong",IF(NOT(ISNUMBER('PC 08'!I443)),"Tgl Dibuat harus tanggal","")),IF(AND('PC 08'!J443&lt;&gt;"",NOT(ISNUMBER('PC 08'!J443))),"Tgl Publish harus tanggal",""),IF(AND(ISNUMBER('PC 08'!I443),ISNUMBER('PC 08'!J443),'PC 08'!J443&lt;'PC 08'!I443),"Tgl Publish &lt; Tgl Dibuat",""),IF(AND('PC 08'!K443&lt;&gt;"",ISERROR(MATCH(TRIM('PC 08'!K443),{"Draft","Menunggu Review","Revisi","Terjadwal","Publish","Batal","Published"},0))),"Status di luar daftar","")))</f>
        <v>#ERROR!</v>
      </c>
      <c r="D443" s="5" t="str">
        <f>IF(C443="","OK","ADA MASALAH")</f>
        <v>#ERROR!</v>
      </c>
    </row>
    <row r="444">
      <c r="A444" s="4">
        <v>444.0</v>
      </c>
      <c r="B444" s="5" t="str">
        <f>'PC 08'!A444</f>
        <v/>
      </c>
      <c r="C444" s="5" t="str">
        <f>IF(COUNTA('PC 08'!A444:L444)=0,"",TEXTJOIN(" | ",TRUE,IF('PC 08'!A444="","Worker ID kosong",""),IF('PC 08'!B444="","Update Date kosong",IF(NOT(ISNUMBER('PC 08'!B444)),"Update Date harus tanggal","")),IF('PC 08'!D444="","Judul kosong",""),IF('PC 08'!F444="","Genre kosong",IF(ISERROR(MATCH(TRIM('PC 08'!F444),{"Pop","Rock","Dangdut","K-Pop","Electronic","Nasional","Daerah"},0)),"Genre di luar daftar","")),IF('PC 08'!G444="","Nama Channel kosong",""),IF('PC 08'!H444="","Link kosong",IF(ISERROR(FIND("youtu",LOWER('PC 08'!H444))),"Link bukan youtube","")),IF('PC 08'!I444="","Tgl Dibuat kosong",IF(NOT(ISNUMBER('PC 08'!I444)),"Tgl Dibuat harus tanggal","")),IF(AND('PC 08'!J444&lt;&gt;"",NOT(ISNUMBER('PC 08'!J444))),"Tgl Publish harus tanggal",""),IF(AND(ISNUMBER('PC 08'!I444),ISNUMBER('PC 08'!J444),'PC 08'!J444&lt;'PC 08'!I444),"Tgl Publish &lt; Tgl Dibuat",""),IF(AND('PC 08'!K444&lt;&gt;"",ISERROR(MATCH(TRIM('PC 08'!K444),{"Draft","Menunggu Review","Revisi","Terjadwal","Publish","Batal","Published"},0))),"Status di luar daftar","")))</f>
        <v>#ERROR!</v>
      </c>
      <c r="D444" s="5" t="str">
        <f>IF(C444="","OK","ADA MASALAH")</f>
        <v>#ERROR!</v>
      </c>
    </row>
    <row r="445">
      <c r="A445" s="4">
        <v>445.0</v>
      </c>
      <c r="B445" s="5" t="str">
        <f>'PC 08'!A445</f>
        <v/>
      </c>
      <c r="C445" s="5" t="str">
        <f>IF(COUNTA('PC 08'!A445:L445)=0,"",TEXTJOIN(" | ",TRUE,IF('PC 08'!A445="","Worker ID kosong",""),IF('PC 08'!B445="","Update Date kosong",IF(NOT(ISNUMBER('PC 08'!B445)),"Update Date harus tanggal","")),IF('PC 08'!D445="","Judul kosong",""),IF('PC 08'!F445="","Genre kosong",IF(ISERROR(MATCH(TRIM('PC 08'!F445),{"Pop","Rock","Dangdut","K-Pop","Electronic","Nasional","Daerah"},0)),"Genre di luar daftar","")),IF('PC 08'!G445="","Nama Channel kosong",""),IF('PC 08'!H445="","Link kosong",IF(ISERROR(FIND("youtu",LOWER('PC 08'!H445))),"Link bukan youtube","")),IF('PC 08'!I445="","Tgl Dibuat kosong",IF(NOT(ISNUMBER('PC 08'!I445)),"Tgl Dibuat harus tanggal","")),IF(AND('PC 08'!J445&lt;&gt;"",NOT(ISNUMBER('PC 08'!J445))),"Tgl Publish harus tanggal",""),IF(AND(ISNUMBER('PC 08'!I445),ISNUMBER('PC 08'!J445),'PC 08'!J445&lt;'PC 08'!I445),"Tgl Publish &lt; Tgl Dibuat",""),IF(AND('PC 08'!K445&lt;&gt;"",ISERROR(MATCH(TRIM('PC 08'!K445),{"Draft","Menunggu Review","Revisi","Terjadwal","Publish","Batal","Published"},0))),"Status di luar daftar","")))</f>
        <v>#ERROR!</v>
      </c>
      <c r="D445" s="5" t="str">
        <f>IF(C445="","OK","ADA MASALAH")</f>
        <v>#ERROR!</v>
      </c>
    </row>
    <row r="446">
      <c r="A446" s="4">
        <v>446.0</v>
      </c>
      <c r="B446" s="5" t="str">
        <f>'PC 08'!A446</f>
        <v/>
      </c>
      <c r="C446" s="5" t="str">
        <f>IF(COUNTA('PC 08'!A446:L446)=0,"",TEXTJOIN(" | ",TRUE,IF('PC 08'!A446="","Worker ID kosong",""),IF('PC 08'!B446="","Update Date kosong",IF(NOT(ISNUMBER('PC 08'!B446)),"Update Date harus tanggal","")),IF('PC 08'!D446="","Judul kosong",""),IF('PC 08'!F446="","Genre kosong",IF(ISERROR(MATCH(TRIM('PC 08'!F446),{"Pop","Rock","Dangdut","K-Pop","Electronic","Nasional","Daerah"},0)),"Genre di luar daftar","")),IF('PC 08'!G446="","Nama Channel kosong",""),IF('PC 08'!H446="","Link kosong",IF(ISERROR(FIND("youtu",LOWER('PC 08'!H446))),"Link bukan youtube","")),IF('PC 08'!I446="","Tgl Dibuat kosong",IF(NOT(ISNUMBER('PC 08'!I446)),"Tgl Dibuat harus tanggal","")),IF(AND('PC 08'!J446&lt;&gt;"",NOT(ISNUMBER('PC 08'!J446))),"Tgl Publish harus tanggal",""),IF(AND(ISNUMBER('PC 08'!I446),ISNUMBER('PC 08'!J446),'PC 08'!J446&lt;'PC 08'!I446),"Tgl Publish &lt; Tgl Dibuat",""),IF(AND('PC 08'!K446&lt;&gt;"",ISERROR(MATCH(TRIM('PC 08'!K446),{"Draft","Menunggu Review","Revisi","Terjadwal","Publish","Batal","Published"},0))),"Status di luar daftar","")))</f>
        <v>#ERROR!</v>
      </c>
      <c r="D446" s="5" t="str">
        <f>IF(C446="","OK","ADA MASALAH")</f>
        <v>#ERROR!</v>
      </c>
    </row>
    <row r="447">
      <c r="A447" s="4">
        <v>447.0</v>
      </c>
      <c r="B447" s="5" t="str">
        <f>'PC 08'!A447</f>
        <v/>
      </c>
      <c r="C447" s="5" t="str">
        <f>IF(COUNTA('PC 08'!A447:L447)=0,"",TEXTJOIN(" | ",TRUE,IF('PC 08'!A447="","Worker ID kosong",""),IF('PC 08'!B447="","Update Date kosong",IF(NOT(ISNUMBER('PC 08'!B447)),"Update Date harus tanggal","")),IF('PC 08'!D447="","Judul kosong",""),IF('PC 08'!F447="","Genre kosong",IF(ISERROR(MATCH(TRIM('PC 08'!F447),{"Pop","Rock","Dangdut","K-Pop","Electronic","Nasional","Daerah"},0)),"Genre di luar daftar","")),IF('PC 08'!G447="","Nama Channel kosong",""),IF('PC 08'!H447="","Link kosong",IF(ISERROR(FIND("youtu",LOWER('PC 08'!H447))),"Link bukan youtube","")),IF('PC 08'!I447="","Tgl Dibuat kosong",IF(NOT(ISNUMBER('PC 08'!I447)),"Tgl Dibuat harus tanggal","")),IF(AND('PC 08'!J447&lt;&gt;"",NOT(ISNUMBER('PC 08'!J447))),"Tgl Publish harus tanggal",""),IF(AND(ISNUMBER('PC 08'!I447),ISNUMBER('PC 08'!J447),'PC 08'!J447&lt;'PC 08'!I447),"Tgl Publish &lt; Tgl Dibuat",""),IF(AND('PC 08'!K447&lt;&gt;"",ISERROR(MATCH(TRIM('PC 08'!K447),{"Draft","Menunggu Review","Revisi","Terjadwal","Publish","Batal","Published"},0))),"Status di luar daftar","")))</f>
        <v>#ERROR!</v>
      </c>
      <c r="D447" s="5" t="str">
        <f>IF(C447="","OK","ADA MASALAH")</f>
        <v>#ERROR!</v>
      </c>
    </row>
    <row r="448">
      <c r="A448" s="4">
        <v>448.0</v>
      </c>
      <c r="B448" s="5" t="str">
        <f>'PC 08'!A448</f>
        <v/>
      </c>
      <c r="C448" s="5" t="str">
        <f>IF(COUNTA('PC 08'!A448:L448)=0,"",TEXTJOIN(" | ",TRUE,IF('PC 08'!A448="","Worker ID kosong",""),IF('PC 08'!B448="","Update Date kosong",IF(NOT(ISNUMBER('PC 08'!B448)),"Update Date harus tanggal","")),IF('PC 08'!D448="","Judul kosong",""),IF('PC 08'!F448="","Genre kosong",IF(ISERROR(MATCH(TRIM('PC 08'!F448),{"Pop","Rock","Dangdut","K-Pop","Electronic","Nasional","Daerah"},0)),"Genre di luar daftar","")),IF('PC 08'!G448="","Nama Channel kosong",""),IF('PC 08'!H448="","Link kosong",IF(ISERROR(FIND("youtu",LOWER('PC 08'!H448))),"Link bukan youtube","")),IF('PC 08'!I448="","Tgl Dibuat kosong",IF(NOT(ISNUMBER('PC 08'!I448)),"Tgl Dibuat harus tanggal","")),IF(AND('PC 08'!J448&lt;&gt;"",NOT(ISNUMBER('PC 08'!J448))),"Tgl Publish harus tanggal",""),IF(AND(ISNUMBER('PC 08'!I448),ISNUMBER('PC 08'!J448),'PC 08'!J448&lt;'PC 08'!I448),"Tgl Publish &lt; Tgl Dibuat",""),IF(AND('PC 08'!K448&lt;&gt;"",ISERROR(MATCH(TRIM('PC 08'!K448),{"Draft","Menunggu Review","Revisi","Terjadwal","Publish","Batal","Published"},0))),"Status di luar daftar","")))</f>
        <v>#ERROR!</v>
      </c>
      <c r="D448" s="5" t="str">
        <f>IF(C448="","OK","ADA MASALAH")</f>
        <v>#ERROR!</v>
      </c>
    </row>
    <row r="449">
      <c r="A449" s="4">
        <v>449.0</v>
      </c>
      <c r="B449" s="5" t="str">
        <f>'PC 08'!A449</f>
        <v/>
      </c>
      <c r="C449" s="5" t="str">
        <f>IF(COUNTA('PC 08'!A449:L449)=0,"",TEXTJOIN(" | ",TRUE,IF('PC 08'!A449="","Worker ID kosong",""),IF('PC 08'!B449="","Update Date kosong",IF(NOT(ISNUMBER('PC 08'!B449)),"Update Date harus tanggal","")),IF('PC 08'!D449="","Judul kosong",""),IF('PC 08'!F449="","Genre kosong",IF(ISERROR(MATCH(TRIM('PC 08'!F449),{"Pop","Rock","Dangdut","K-Pop","Electronic","Nasional","Daerah"},0)),"Genre di luar daftar","")),IF('PC 08'!G449="","Nama Channel kosong",""),IF('PC 08'!H449="","Link kosong",IF(ISERROR(FIND("youtu",LOWER('PC 08'!H449))),"Link bukan youtube","")),IF('PC 08'!I449="","Tgl Dibuat kosong",IF(NOT(ISNUMBER('PC 08'!I449)),"Tgl Dibuat harus tanggal","")),IF(AND('PC 08'!J449&lt;&gt;"",NOT(ISNUMBER('PC 08'!J449))),"Tgl Publish harus tanggal",""),IF(AND(ISNUMBER('PC 08'!I449),ISNUMBER('PC 08'!J449),'PC 08'!J449&lt;'PC 08'!I449),"Tgl Publish &lt; Tgl Dibuat",""),IF(AND('PC 08'!K449&lt;&gt;"",ISERROR(MATCH(TRIM('PC 08'!K449),{"Draft","Menunggu Review","Revisi","Terjadwal","Publish","Batal","Published"},0))),"Status di luar daftar","")))</f>
        <v>#ERROR!</v>
      </c>
      <c r="D449" s="5" t="str">
        <f>IF(C449="","OK","ADA MASALAH")</f>
        <v>#ERROR!</v>
      </c>
    </row>
    <row r="450">
      <c r="A450" s="4">
        <v>450.0</v>
      </c>
      <c r="B450" s="5" t="str">
        <f>'PC 08'!A450</f>
        <v/>
      </c>
      <c r="C450" s="5" t="str">
        <f>IF(COUNTA('PC 08'!A450:L450)=0,"",TEXTJOIN(" | ",TRUE,IF('PC 08'!A450="","Worker ID kosong",""),IF('PC 08'!B450="","Update Date kosong",IF(NOT(ISNUMBER('PC 08'!B450)),"Update Date harus tanggal","")),IF('PC 08'!D450="","Judul kosong",""),IF('PC 08'!F450="","Genre kosong",IF(ISERROR(MATCH(TRIM('PC 08'!F450),{"Pop","Rock","Dangdut","K-Pop","Electronic","Nasional","Daerah"},0)),"Genre di luar daftar","")),IF('PC 08'!G450="","Nama Channel kosong",""),IF('PC 08'!H450="","Link kosong",IF(ISERROR(FIND("youtu",LOWER('PC 08'!H450))),"Link bukan youtube","")),IF('PC 08'!I450="","Tgl Dibuat kosong",IF(NOT(ISNUMBER('PC 08'!I450)),"Tgl Dibuat harus tanggal","")),IF(AND('PC 08'!J450&lt;&gt;"",NOT(ISNUMBER('PC 08'!J450))),"Tgl Publish harus tanggal",""),IF(AND(ISNUMBER('PC 08'!I450),ISNUMBER('PC 08'!J450),'PC 08'!J450&lt;'PC 08'!I450),"Tgl Publish &lt; Tgl Dibuat",""),IF(AND('PC 08'!K450&lt;&gt;"",ISERROR(MATCH(TRIM('PC 08'!K450),{"Draft","Menunggu Review","Revisi","Terjadwal","Publish","Batal","Published"},0))),"Status di luar daftar","")))</f>
        <v>#ERROR!</v>
      </c>
      <c r="D450" s="5" t="str">
        <f>IF(C450="","OK","ADA MASALAH")</f>
        <v>#ERROR!</v>
      </c>
    </row>
    <row r="451">
      <c r="A451" s="4">
        <v>451.0</v>
      </c>
      <c r="B451" s="5" t="str">
        <f>'PC 08'!A451</f>
        <v/>
      </c>
      <c r="C451" s="5" t="str">
        <f>IF(COUNTA('PC 08'!A451:L451)=0,"",TEXTJOIN(" | ",TRUE,IF('PC 08'!A451="","Worker ID kosong",""),IF('PC 08'!B451="","Update Date kosong",IF(NOT(ISNUMBER('PC 08'!B451)),"Update Date harus tanggal","")),IF('PC 08'!D451="","Judul kosong",""),IF('PC 08'!F451="","Genre kosong",IF(ISERROR(MATCH(TRIM('PC 08'!F451),{"Pop","Rock","Dangdut","K-Pop","Electronic","Nasional","Daerah"},0)),"Genre di luar daftar","")),IF('PC 08'!G451="","Nama Channel kosong",""),IF('PC 08'!H451="","Link kosong",IF(ISERROR(FIND("youtu",LOWER('PC 08'!H451))),"Link bukan youtube","")),IF('PC 08'!I451="","Tgl Dibuat kosong",IF(NOT(ISNUMBER('PC 08'!I451)),"Tgl Dibuat harus tanggal","")),IF(AND('PC 08'!J451&lt;&gt;"",NOT(ISNUMBER('PC 08'!J451))),"Tgl Publish harus tanggal",""),IF(AND(ISNUMBER('PC 08'!I451),ISNUMBER('PC 08'!J451),'PC 08'!J451&lt;'PC 08'!I451),"Tgl Publish &lt; Tgl Dibuat",""),IF(AND('PC 08'!K451&lt;&gt;"",ISERROR(MATCH(TRIM('PC 08'!K451),{"Draft","Menunggu Review","Revisi","Terjadwal","Publish","Batal","Published"},0))),"Status di luar daftar","")))</f>
        <v>#ERROR!</v>
      </c>
      <c r="D451" s="5" t="str">
        <f>IF(C451="","OK","ADA MASALAH")</f>
        <v>#ERROR!</v>
      </c>
    </row>
    <row r="452">
      <c r="A452" s="4">
        <v>452.0</v>
      </c>
      <c r="B452" s="5" t="str">
        <f>'PC 08'!A452</f>
        <v/>
      </c>
      <c r="C452" s="5" t="str">
        <f>IF(COUNTA('PC 08'!A452:L452)=0,"",TEXTJOIN(" | ",TRUE,IF('PC 08'!A452="","Worker ID kosong",""),IF('PC 08'!B452="","Update Date kosong",IF(NOT(ISNUMBER('PC 08'!B452)),"Update Date harus tanggal","")),IF('PC 08'!D452="","Judul kosong",""),IF('PC 08'!F452="","Genre kosong",IF(ISERROR(MATCH(TRIM('PC 08'!F452),{"Pop","Rock","Dangdut","K-Pop","Electronic","Nasional","Daerah"},0)),"Genre di luar daftar","")),IF('PC 08'!G452="","Nama Channel kosong",""),IF('PC 08'!H452="","Link kosong",IF(ISERROR(FIND("youtu",LOWER('PC 08'!H452))),"Link bukan youtube","")),IF('PC 08'!I452="","Tgl Dibuat kosong",IF(NOT(ISNUMBER('PC 08'!I452)),"Tgl Dibuat harus tanggal","")),IF(AND('PC 08'!J452&lt;&gt;"",NOT(ISNUMBER('PC 08'!J452))),"Tgl Publish harus tanggal",""),IF(AND(ISNUMBER('PC 08'!I452),ISNUMBER('PC 08'!J452),'PC 08'!J452&lt;'PC 08'!I452),"Tgl Publish &lt; Tgl Dibuat",""),IF(AND('PC 08'!K452&lt;&gt;"",ISERROR(MATCH(TRIM('PC 08'!K452),{"Draft","Menunggu Review","Revisi","Terjadwal","Publish","Batal","Published"},0))),"Status di luar daftar","")))</f>
        <v>#ERROR!</v>
      </c>
      <c r="D452" s="5" t="str">
        <f>IF(C452="","OK","ADA MASALAH")</f>
        <v>#ERROR!</v>
      </c>
    </row>
    <row r="453">
      <c r="A453" s="4">
        <v>453.0</v>
      </c>
      <c r="B453" s="5" t="str">
        <f>'PC 08'!A453</f>
        <v/>
      </c>
      <c r="C453" s="5" t="str">
        <f>IF(COUNTA('PC 08'!A453:L453)=0,"",TEXTJOIN(" | ",TRUE,IF('PC 08'!A453="","Worker ID kosong",""),IF('PC 08'!B453="","Update Date kosong",IF(NOT(ISNUMBER('PC 08'!B453)),"Update Date harus tanggal","")),IF('PC 08'!D453="","Judul kosong",""),IF('PC 08'!F453="","Genre kosong",IF(ISERROR(MATCH(TRIM('PC 08'!F453),{"Pop","Rock","Dangdut","K-Pop","Electronic","Nasional","Daerah"},0)),"Genre di luar daftar","")),IF('PC 08'!G453="","Nama Channel kosong",""),IF('PC 08'!H453="","Link kosong",IF(ISERROR(FIND("youtu",LOWER('PC 08'!H453))),"Link bukan youtube","")),IF('PC 08'!I453="","Tgl Dibuat kosong",IF(NOT(ISNUMBER('PC 08'!I453)),"Tgl Dibuat harus tanggal","")),IF(AND('PC 08'!J453&lt;&gt;"",NOT(ISNUMBER('PC 08'!J453))),"Tgl Publish harus tanggal",""),IF(AND(ISNUMBER('PC 08'!I453),ISNUMBER('PC 08'!J453),'PC 08'!J453&lt;'PC 08'!I453),"Tgl Publish &lt; Tgl Dibuat",""),IF(AND('PC 08'!K453&lt;&gt;"",ISERROR(MATCH(TRIM('PC 08'!K453),{"Draft","Menunggu Review","Revisi","Terjadwal","Publish","Batal","Published"},0))),"Status di luar daftar","")))</f>
        <v>#ERROR!</v>
      </c>
      <c r="D453" s="5" t="str">
        <f>IF(C453="","OK","ADA MASALAH")</f>
        <v>#ERROR!</v>
      </c>
    </row>
    <row r="454">
      <c r="A454" s="4">
        <v>454.0</v>
      </c>
      <c r="B454" s="5" t="str">
        <f>'PC 08'!A454</f>
        <v/>
      </c>
      <c r="C454" s="5" t="str">
        <f>IF(COUNTA('PC 08'!A454:L454)=0,"",TEXTJOIN(" | ",TRUE,IF('PC 08'!A454="","Worker ID kosong",""),IF('PC 08'!B454="","Update Date kosong",IF(NOT(ISNUMBER('PC 08'!B454)),"Update Date harus tanggal","")),IF('PC 08'!D454="","Judul kosong",""),IF('PC 08'!F454="","Genre kosong",IF(ISERROR(MATCH(TRIM('PC 08'!F454),{"Pop","Rock","Dangdut","K-Pop","Electronic","Nasional","Daerah"},0)),"Genre di luar daftar","")),IF('PC 08'!G454="","Nama Channel kosong",""),IF('PC 08'!H454="","Link kosong",IF(ISERROR(FIND("youtu",LOWER('PC 08'!H454))),"Link bukan youtube","")),IF('PC 08'!I454="","Tgl Dibuat kosong",IF(NOT(ISNUMBER('PC 08'!I454)),"Tgl Dibuat harus tanggal","")),IF(AND('PC 08'!J454&lt;&gt;"",NOT(ISNUMBER('PC 08'!J454))),"Tgl Publish harus tanggal",""),IF(AND(ISNUMBER('PC 08'!I454),ISNUMBER('PC 08'!J454),'PC 08'!J454&lt;'PC 08'!I454),"Tgl Publish &lt; Tgl Dibuat",""),IF(AND('PC 08'!K454&lt;&gt;"",ISERROR(MATCH(TRIM('PC 08'!K454),{"Draft","Menunggu Review","Revisi","Terjadwal","Publish","Batal","Published"},0))),"Status di luar daftar","")))</f>
        <v>#ERROR!</v>
      </c>
      <c r="D454" s="5" t="str">
        <f>IF(C454="","OK","ADA MASALAH")</f>
        <v>#ERROR!</v>
      </c>
    </row>
    <row r="455">
      <c r="A455" s="4">
        <v>455.0</v>
      </c>
      <c r="B455" s="5" t="str">
        <f>'PC 08'!A455</f>
        <v/>
      </c>
      <c r="C455" s="5" t="str">
        <f>IF(COUNTA('PC 08'!A455:L455)=0,"",TEXTJOIN(" | ",TRUE,IF('PC 08'!A455="","Worker ID kosong",""),IF('PC 08'!B455="","Update Date kosong",IF(NOT(ISNUMBER('PC 08'!B455)),"Update Date harus tanggal","")),IF('PC 08'!D455="","Judul kosong",""),IF('PC 08'!F455="","Genre kosong",IF(ISERROR(MATCH(TRIM('PC 08'!F455),{"Pop","Rock","Dangdut","K-Pop","Electronic","Nasional","Daerah"},0)),"Genre di luar daftar","")),IF('PC 08'!G455="","Nama Channel kosong",""),IF('PC 08'!H455="","Link kosong",IF(ISERROR(FIND("youtu",LOWER('PC 08'!H455))),"Link bukan youtube","")),IF('PC 08'!I455="","Tgl Dibuat kosong",IF(NOT(ISNUMBER('PC 08'!I455)),"Tgl Dibuat harus tanggal","")),IF(AND('PC 08'!J455&lt;&gt;"",NOT(ISNUMBER('PC 08'!J455))),"Tgl Publish harus tanggal",""),IF(AND(ISNUMBER('PC 08'!I455),ISNUMBER('PC 08'!J455),'PC 08'!J455&lt;'PC 08'!I455),"Tgl Publish &lt; Tgl Dibuat",""),IF(AND('PC 08'!K455&lt;&gt;"",ISERROR(MATCH(TRIM('PC 08'!K455),{"Draft","Menunggu Review","Revisi","Terjadwal","Publish","Batal","Published"},0))),"Status di luar daftar","")))</f>
        <v>#ERROR!</v>
      </c>
      <c r="D455" s="5" t="str">
        <f>IF(C455="","OK","ADA MASALAH")</f>
        <v>#ERROR!</v>
      </c>
    </row>
    <row r="456">
      <c r="A456" s="4">
        <v>456.0</v>
      </c>
      <c r="B456" s="5" t="str">
        <f>'PC 08'!A456</f>
        <v/>
      </c>
      <c r="C456" s="5" t="str">
        <f>IF(COUNTA('PC 08'!A456:L456)=0,"",TEXTJOIN(" | ",TRUE,IF('PC 08'!A456="","Worker ID kosong",""),IF('PC 08'!B456="","Update Date kosong",IF(NOT(ISNUMBER('PC 08'!B456)),"Update Date harus tanggal","")),IF('PC 08'!D456="","Judul kosong",""),IF('PC 08'!F456="","Genre kosong",IF(ISERROR(MATCH(TRIM('PC 08'!F456),{"Pop","Rock","Dangdut","K-Pop","Electronic","Nasional","Daerah"},0)),"Genre di luar daftar","")),IF('PC 08'!G456="","Nama Channel kosong",""),IF('PC 08'!H456="","Link kosong",IF(ISERROR(FIND("youtu",LOWER('PC 08'!H456))),"Link bukan youtube","")),IF('PC 08'!I456="","Tgl Dibuat kosong",IF(NOT(ISNUMBER('PC 08'!I456)),"Tgl Dibuat harus tanggal","")),IF(AND('PC 08'!J456&lt;&gt;"",NOT(ISNUMBER('PC 08'!J456))),"Tgl Publish harus tanggal",""),IF(AND(ISNUMBER('PC 08'!I456),ISNUMBER('PC 08'!J456),'PC 08'!J456&lt;'PC 08'!I456),"Tgl Publish &lt; Tgl Dibuat",""),IF(AND('PC 08'!K456&lt;&gt;"",ISERROR(MATCH(TRIM('PC 08'!K456),{"Draft","Menunggu Review","Revisi","Terjadwal","Publish","Batal","Published"},0))),"Status di luar daftar","")))</f>
        <v>#ERROR!</v>
      </c>
      <c r="D456" s="5" t="str">
        <f>IF(C456="","OK","ADA MASALAH")</f>
        <v>#ERROR!</v>
      </c>
    </row>
    <row r="457">
      <c r="A457" s="4">
        <v>457.0</v>
      </c>
      <c r="B457" s="5" t="str">
        <f>'PC 08'!A457</f>
        <v/>
      </c>
      <c r="C457" s="5" t="str">
        <f>IF(COUNTA('PC 08'!A457:L457)=0,"",TEXTJOIN(" | ",TRUE,IF('PC 08'!A457="","Worker ID kosong",""),IF('PC 08'!B457="","Update Date kosong",IF(NOT(ISNUMBER('PC 08'!B457)),"Update Date harus tanggal","")),IF('PC 08'!D457="","Judul kosong",""),IF('PC 08'!F457="","Genre kosong",IF(ISERROR(MATCH(TRIM('PC 08'!F457),{"Pop","Rock","Dangdut","K-Pop","Electronic","Nasional","Daerah"},0)),"Genre di luar daftar","")),IF('PC 08'!G457="","Nama Channel kosong",""),IF('PC 08'!H457="","Link kosong",IF(ISERROR(FIND("youtu",LOWER('PC 08'!H457))),"Link bukan youtube","")),IF('PC 08'!I457="","Tgl Dibuat kosong",IF(NOT(ISNUMBER('PC 08'!I457)),"Tgl Dibuat harus tanggal","")),IF(AND('PC 08'!J457&lt;&gt;"",NOT(ISNUMBER('PC 08'!J457))),"Tgl Publish harus tanggal",""),IF(AND(ISNUMBER('PC 08'!I457),ISNUMBER('PC 08'!J457),'PC 08'!J457&lt;'PC 08'!I457),"Tgl Publish &lt; Tgl Dibuat",""),IF(AND('PC 08'!K457&lt;&gt;"",ISERROR(MATCH(TRIM('PC 08'!K457),{"Draft","Menunggu Review","Revisi","Terjadwal","Publish","Batal","Published"},0))),"Status di luar daftar","")))</f>
        <v>#ERROR!</v>
      </c>
      <c r="D457" s="5" t="str">
        <f>IF(C457="","OK","ADA MASALAH")</f>
        <v>#ERROR!</v>
      </c>
    </row>
    <row r="458">
      <c r="A458" s="4">
        <v>458.0</v>
      </c>
      <c r="B458" s="5" t="str">
        <f>'PC 08'!A458</f>
        <v/>
      </c>
      <c r="C458" s="5" t="str">
        <f>IF(COUNTA('PC 08'!A458:L458)=0,"",TEXTJOIN(" | ",TRUE,IF('PC 08'!A458="","Worker ID kosong",""),IF('PC 08'!B458="","Update Date kosong",IF(NOT(ISNUMBER('PC 08'!B458)),"Update Date harus tanggal","")),IF('PC 08'!D458="","Judul kosong",""),IF('PC 08'!F458="","Genre kosong",IF(ISERROR(MATCH(TRIM('PC 08'!F458),{"Pop","Rock","Dangdut","K-Pop","Electronic","Nasional","Daerah"},0)),"Genre di luar daftar","")),IF('PC 08'!G458="","Nama Channel kosong",""),IF('PC 08'!H458="","Link kosong",IF(ISERROR(FIND("youtu",LOWER('PC 08'!H458))),"Link bukan youtube","")),IF('PC 08'!I458="","Tgl Dibuat kosong",IF(NOT(ISNUMBER('PC 08'!I458)),"Tgl Dibuat harus tanggal","")),IF(AND('PC 08'!J458&lt;&gt;"",NOT(ISNUMBER('PC 08'!J458))),"Tgl Publish harus tanggal",""),IF(AND(ISNUMBER('PC 08'!I458),ISNUMBER('PC 08'!J458),'PC 08'!J458&lt;'PC 08'!I458),"Tgl Publish &lt; Tgl Dibuat",""),IF(AND('PC 08'!K458&lt;&gt;"",ISERROR(MATCH(TRIM('PC 08'!K458),{"Draft","Menunggu Review","Revisi","Terjadwal","Publish","Batal","Published"},0))),"Status di luar daftar","")))</f>
        <v>#ERROR!</v>
      </c>
      <c r="D458" s="5" t="str">
        <f>IF(C458="","OK","ADA MASALAH")</f>
        <v>#ERROR!</v>
      </c>
    </row>
    <row r="459">
      <c r="A459" s="4">
        <v>459.0</v>
      </c>
      <c r="B459" s="5" t="str">
        <f>'PC 08'!A459</f>
        <v/>
      </c>
      <c r="C459" s="5" t="str">
        <f>IF(COUNTA('PC 08'!A459:L459)=0,"",TEXTJOIN(" | ",TRUE,IF('PC 08'!A459="","Worker ID kosong",""),IF('PC 08'!B459="","Update Date kosong",IF(NOT(ISNUMBER('PC 08'!B459)),"Update Date harus tanggal","")),IF('PC 08'!D459="","Judul kosong",""),IF('PC 08'!F459="","Genre kosong",IF(ISERROR(MATCH(TRIM('PC 08'!F459),{"Pop","Rock","Dangdut","K-Pop","Electronic","Nasional","Daerah"},0)),"Genre di luar daftar","")),IF('PC 08'!G459="","Nama Channel kosong",""),IF('PC 08'!H459="","Link kosong",IF(ISERROR(FIND("youtu",LOWER('PC 08'!H459))),"Link bukan youtube","")),IF('PC 08'!I459="","Tgl Dibuat kosong",IF(NOT(ISNUMBER('PC 08'!I459)),"Tgl Dibuat harus tanggal","")),IF(AND('PC 08'!J459&lt;&gt;"",NOT(ISNUMBER('PC 08'!J459))),"Tgl Publish harus tanggal",""),IF(AND(ISNUMBER('PC 08'!I459),ISNUMBER('PC 08'!J459),'PC 08'!J459&lt;'PC 08'!I459),"Tgl Publish &lt; Tgl Dibuat",""),IF(AND('PC 08'!K459&lt;&gt;"",ISERROR(MATCH(TRIM('PC 08'!K459),{"Draft","Menunggu Review","Revisi","Terjadwal","Publish","Batal","Published"},0))),"Status di luar daftar","")))</f>
        <v>#ERROR!</v>
      </c>
      <c r="D459" s="5" t="str">
        <f>IF(C459="","OK","ADA MASALAH")</f>
        <v>#ERROR!</v>
      </c>
    </row>
    <row r="460">
      <c r="A460" s="4">
        <v>460.0</v>
      </c>
      <c r="B460" s="5" t="str">
        <f>'PC 08'!A460</f>
        <v/>
      </c>
      <c r="C460" s="5" t="str">
        <f>IF(COUNTA('PC 08'!A460:L460)=0,"",TEXTJOIN(" | ",TRUE,IF('PC 08'!A460="","Worker ID kosong",""),IF('PC 08'!B460="","Update Date kosong",IF(NOT(ISNUMBER('PC 08'!B460)),"Update Date harus tanggal","")),IF('PC 08'!D460="","Judul kosong",""),IF('PC 08'!F460="","Genre kosong",IF(ISERROR(MATCH(TRIM('PC 08'!F460),{"Pop","Rock","Dangdut","K-Pop","Electronic","Nasional","Daerah"},0)),"Genre di luar daftar","")),IF('PC 08'!G460="","Nama Channel kosong",""),IF('PC 08'!H460="","Link kosong",IF(ISERROR(FIND("youtu",LOWER('PC 08'!H460))),"Link bukan youtube","")),IF('PC 08'!I460="","Tgl Dibuat kosong",IF(NOT(ISNUMBER('PC 08'!I460)),"Tgl Dibuat harus tanggal","")),IF(AND('PC 08'!J460&lt;&gt;"",NOT(ISNUMBER('PC 08'!J460))),"Tgl Publish harus tanggal",""),IF(AND(ISNUMBER('PC 08'!I460),ISNUMBER('PC 08'!J460),'PC 08'!J460&lt;'PC 08'!I460),"Tgl Publish &lt; Tgl Dibuat",""),IF(AND('PC 08'!K460&lt;&gt;"",ISERROR(MATCH(TRIM('PC 08'!K460),{"Draft","Menunggu Review","Revisi","Terjadwal","Publish","Batal","Published"},0))),"Status di luar daftar","")))</f>
        <v>#ERROR!</v>
      </c>
      <c r="D460" s="5" t="str">
        <f>IF(C460="","OK","ADA MASALAH")</f>
        <v>#ERROR!</v>
      </c>
    </row>
    <row r="461">
      <c r="A461" s="4">
        <v>461.0</v>
      </c>
      <c r="B461" s="5" t="str">
        <f>'PC 08'!A461</f>
        <v/>
      </c>
      <c r="C461" s="5" t="str">
        <f>IF(COUNTA('PC 08'!A461:L461)=0,"",TEXTJOIN(" | ",TRUE,IF('PC 08'!A461="","Worker ID kosong",""),IF('PC 08'!B461="","Update Date kosong",IF(NOT(ISNUMBER('PC 08'!B461)),"Update Date harus tanggal","")),IF('PC 08'!D461="","Judul kosong",""),IF('PC 08'!F461="","Genre kosong",IF(ISERROR(MATCH(TRIM('PC 08'!F461),{"Pop","Rock","Dangdut","K-Pop","Electronic","Nasional","Daerah"},0)),"Genre di luar daftar","")),IF('PC 08'!G461="","Nama Channel kosong",""),IF('PC 08'!H461="","Link kosong",IF(ISERROR(FIND("youtu",LOWER('PC 08'!H461))),"Link bukan youtube","")),IF('PC 08'!I461="","Tgl Dibuat kosong",IF(NOT(ISNUMBER('PC 08'!I461)),"Tgl Dibuat harus tanggal","")),IF(AND('PC 08'!J461&lt;&gt;"",NOT(ISNUMBER('PC 08'!J461))),"Tgl Publish harus tanggal",""),IF(AND(ISNUMBER('PC 08'!I461),ISNUMBER('PC 08'!J461),'PC 08'!J461&lt;'PC 08'!I461),"Tgl Publish &lt; Tgl Dibuat",""),IF(AND('PC 08'!K461&lt;&gt;"",ISERROR(MATCH(TRIM('PC 08'!K461),{"Draft","Menunggu Review","Revisi","Terjadwal","Publish","Batal","Published"},0))),"Status di luar daftar","")))</f>
        <v>#ERROR!</v>
      </c>
      <c r="D461" s="5" t="str">
        <f>IF(C461="","OK","ADA MASALAH")</f>
        <v>#ERROR!</v>
      </c>
    </row>
    <row r="462">
      <c r="A462" s="4">
        <v>462.0</v>
      </c>
      <c r="B462" s="5" t="str">
        <f>'PC 08'!A462</f>
        <v/>
      </c>
      <c r="C462" s="5" t="str">
        <f>IF(COUNTA('PC 08'!A462:L462)=0,"",TEXTJOIN(" | ",TRUE,IF('PC 08'!A462="","Worker ID kosong",""),IF('PC 08'!B462="","Update Date kosong",IF(NOT(ISNUMBER('PC 08'!B462)),"Update Date harus tanggal","")),IF('PC 08'!D462="","Judul kosong",""),IF('PC 08'!F462="","Genre kosong",IF(ISERROR(MATCH(TRIM('PC 08'!F462),{"Pop","Rock","Dangdut","K-Pop","Electronic","Nasional","Daerah"},0)),"Genre di luar daftar","")),IF('PC 08'!G462="","Nama Channel kosong",""),IF('PC 08'!H462="","Link kosong",IF(ISERROR(FIND("youtu",LOWER('PC 08'!H462))),"Link bukan youtube","")),IF('PC 08'!I462="","Tgl Dibuat kosong",IF(NOT(ISNUMBER('PC 08'!I462)),"Tgl Dibuat harus tanggal","")),IF(AND('PC 08'!J462&lt;&gt;"",NOT(ISNUMBER('PC 08'!J462))),"Tgl Publish harus tanggal",""),IF(AND(ISNUMBER('PC 08'!I462),ISNUMBER('PC 08'!J462),'PC 08'!J462&lt;'PC 08'!I462),"Tgl Publish &lt; Tgl Dibuat",""),IF(AND('PC 08'!K462&lt;&gt;"",ISERROR(MATCH(TRIM('PC 08'!K462),{"Draft","Menunggu Review","Revisi","Terjadwal","Publish","Batal","Published"},0))),"Status di luar daftar","")))</f>
        <v>#ERROR!</v>
      </c>
      <c r="D462" s="5" t="str">
        <f>IF(C462="","OK","ADA MASALAH")</f>
        <v>#ERROR!</v>
      </c>
    </row>
    <row r="463">
      <c r="A463" s="4">
        <v>463.0</v>
      </c>
      <c r="B463" s="5" t="str">
        <f>'PC 08'!A463</f>
        <v/>
      </c>
      <c r="C463" s="5" t="str">
        <f>IF(COUNTA('PC 08'!A463:L463)=0,"",TEXTJOIN(" | ",TRUE,IF('PC 08'!A463="","Worker ID kosong",""),IF('PC 08'!B463="","Update Date kosong",IF(NOT(ISNUMBER('PC 08'!B463)),"Update Date harus tanggal","")),IF('PC 08'!D463="","Judul kosong",""),IF('PC 08'!F463="","Genre kosong",IF(ISERROR(MATCH(TRIM('PC 08'!F463),{"Pop","Rock","Dangdut","K-Pop","Electronic","Nasional","Daerah"},0)),"Genre di luar daftar","")),IF('PC 08'!G463="","Nama Channel kosong",""),IF('PC 08'!H463="","Link kosong",IF(ISERROR(FIND("youtu",LOWER('PC 08'!H463))),"Link bukan youtube","")),IF('PC 08'!I463="","Tgl Dibuat kosong",IF(NOT(ISNUMBER('PC 08'!I463)),"Tgl Dibuat harus tanggal","")),IF(AND('PC 08'!J463&lt;&gt;"",NOT(ISNUMBER('PC 08'!J463))),"Tgl Publish harus tanggal",""),IF(AND(ISNUMBER('PC 08'!I463),ISNUMBER('PC 08'!J463),'PC 08'!J463&lt;'PC 08'!I463),"Tgl Publish &lt; Tgl Dibuat",""),IF(AND('PC 08'!K463&lt;&gt;"",ISERROR(MATCH(TRIM('PC 08'!K463),{"Draft","Menunggu Review","Revisi","Terjadwal","Publish","Batal","Published"},0))),"Status di luar daftar","")))</f>
        <v>#ERROR!</v>
      </c>
      <c r="D463" s="5" t="str">
        <f>IF(C463="","OK","ADA MASALAH")</f>
        <v>#ERROR!</v>
      </c>
    </row>
    <row r="464">
      <c r="A464" s="4">
        <v>464.0</v>
      </c>
      <c r="B464" s="5" t="str">
        <f>'PC 08'!A464</f>
        <v/>
      </c>
      <c r="C464" s="5" t="str">
        <f>IF(COUNTA('PC 08'!A464:L464)=0,"",TEXTJOIN(" | ",TRUE,IF('PC 08'!A464="","Worker ID kosong",""),IF('PC 08'!B464="","Update Date kosong",IF(NOT(ISNUMBER('PC 08'!B464)),"Update Date harus tanggal","")),IF('PC 08'!D464="","Judul kosong",""),IF('PC 08'!F464="","Genre kosong",IF(ISERROR(MATCH(TRIM('PC 08'!F464),{"Pop","Rock","Dangdut","K-Pop","Electronic","Nasional","Daerah"},0)),"Genre di luar daftar","")),IF('PC 08'!G464="","Nama Channel kosong",""),IF('PC 08'!H464="","Link kosong",IF(ISERROR(FIND("youtu",LOWER('PC 08'!H464))),"Link bukan youtube","")),IF('PC 08'!I464="","Tgl Dibuat kosong",IF(NOT(ISNUMBER('PC 08'!I464)),"Tgl Dibuat harus tanggal","")),IF(AND('PC 08'!J464&lt;&gt;"",NOT(ISNUMBER('PC 08'!J464))),"Tgl Publish harus tanggal",""),IF(AND(ISNUMBER('PC 08'!I464),ISNUMBER('PC 08'!J464),'PC 08'!J464&lt;'PC 08'!I464),"Tgl Publish &lt; Tgl Dibuat",""),IF(AND('PC 08'!K464&lt;&gt;"",ISERROR(MATCH(TRIM('PC 08'!K464),{"Draft","Menunggu Review","Revisi","Terjadwal","Publish","Batal","Published"},0))),"Status di luar daftar","")))</f>
        <v>#ERROR!</v>
      </c>
      <c r="D464" s="5" t="str">
        <f>IF(C464="","OK","ADA MASALAH")</f>
        <v>#ERROR!</v>
      </c>
    </row>
    <row r="465">
      <c r="A465" s="4">
        <v>465.0</v>
      </c>
      <c r="B465" s="5" t="str">
        <f>'PC 08'!A465</f>
        <v/>
      </c>
      <c r="C465" s="5" t="str">
        <f>IF(COUNTA('PC 08'!A465:L465)=0,"",TEXTJOIN(" | ",TRUE,IF('PC 08'!A465="","Worker ID kosong",""),IF('PC 08'!B465="","Update Date kosong",IF(NOT(ISNUMBER('PC 08'!B465)),"Update Date harus tanggal","")),IF('PC 08'!D465="","Judul kosong",""),IF('PC 08'!F465="","Genre kosong",IF(ISERROR(MATCH(TRIM('PC 08'!F465),{"Pop","Rock","Dangdut","K-Pop","Electronic","Nasional","Daerah"},0)),"Genre di luar daftar","")),IF('PC 08'!G465="","Nama Channel kosong",""),IF('PC 08'!H465="","Link kosong",IF(ISERROR(FIND("youtu",LOWER('PC 08'!H465))),"Link bukan youtube","")),IF('PC 08'!I465="","Tgl Dibuat kosong",IF(NOT(ISNUMBER('PC 08'!I465)),"Tgl Dibuat harus tanggal","")),IF(AND('PC 08'!J465&lt;&gt;"",NOT(ISNUMBER('PC 08'!J465))),"Tgl Publish harus tanggal",""),IF(AND(ISNUMBER('PC 08'!I465),ISNUMBER('PC 08'!J465),'PC 08'!J465&lt;'PC 08'!I465),"Tgl Publish &lt; Tgl Dibuat",""),IF(AND('PC 08'!K465&lt;&gt;"",ISERROR(MATCH(TRIM('PC 08'!K465),{"Draft","Menunggu Review","Revisi","Terjadwal","Publish","Batal","Published"},0))),"Status di luar daftar","")))</f>
        <v>#ERROR!</v>
      </c>
      <c r="D465" s="5" t="str">
        <f>IF(C465="","OK","ADA MASALAH")</f>
        <v>#ERROR!</v>
      </c>
    </row>
    <row r="466">
      <c r="A466" s="4">
        <v>466.0</v>
      </c>
      <c r="B466" s="5" t="str">
        <f>'PC 08'!A466</f>
        <v/>
      </c>
      <c r="C466" s="5" t="str">
        <f>IF(COUNTA('PC 08'!A466:L466)=0,"",TEXTJOIN(" | ",TRUE,IF('PC 08'!A466="","Worker ID kosong",""),IF('PC 08'!B466="","Update Date kosong",IF(NOT(ISNUMBER('PC 08'!B466)),"Update Date harus tanggal","")),IF('PC 08'!D466="","Judul kosong",""),IF('PC 08'!F466="","Genre kosong",IF(ISERROR(MATCH(TRIM('PC 08'!F466),{"Pop","Rock","Dangdut","K-Pop","Electronic","Nasional","Daerah"},0)),"Genre di luar daftar","")),IF('PC 08'!G466="","Nama Channel kosong",""),IF('PC 08'!H466="","Link kosong",IF(ISERROR(FIND("youtu",LOWER('PC 08'!H466))),"Link bukan youtube","")),IF('PC 08'!I466="","Tgl Dibuat kosong",IF(NOT(ISNUMBER('PC 08'!I466)),"Tgl Dibuat harus tanggal","")),IF(AND('PC 08'!J466&lt;&gt;"",NOT(ISNUMBER('PC 08'!J466))),"Tgl Publish harus tanggal",""),IF(AND(ISNUMBER('PC 08'!I466),ISNUMBER('PC 08'!J466),'PC 08'!J466&lt;'PC 08'!I466),"Tgl Publish &lt; Tgl Dibuat",""),IF(AND('PC 08'!K466&lt;&gt;"",ISERROR(MATCH(TRIM('PC 08'!K466),{"Draft","Menunggu Review","Revisi","Terjadwal","Publish","Batal","Published"},0))),"Status di luar daftar","")))</f>
        <v>#ERROR!</v>
      </c>
      <c r="D466" s="5" t="str">
        <f>IF(C466="","OK","ADA MASALAH")</f>
        <v>#ERROR!</v>
      </c>
    </row>
    <row r="467">
      <c r="A467" s="4">
        <v>467.0</v>
      </c>
      <c r="B467" s="5" t="str">
        <f>'PC 08'!A467</f>
        <v/>
      </c>
      <c r="C467" s="5" t="str">
        <f>IF(COUNTA('PC 08'!A467:L467)=0,"",TEXTJOIN(" | ",TRUE,IF('PC 08'!A467="","Worker ID kosong",""),IF('PC 08'!B467="","Update Date kosong",IF(NOT(ISNUMBER('PC 08'!B467)),"Update Date harus tanggal","")),IF('PC 08'!D467="","Judul kosong",""),IF('PC 08'!F467="","Genre kosong",IF(ISERROR(MATCH(TRIM('PC 08'!F467),{"Pop","Rock","Dangdut","K-Pop","Electronic","Nasional","Daerah"},0)),"Genre di luar daftar","")),IF('PC 08'!G467="","Nama Channel kosong",""),IF('PC 08'!H467="","Link kosong",IF(ISERROR(FIND("youtu",LOWER('PC 08'!H467))),"Link bukan youtube","")),IF('PC 08'!I467="","Tgl Dibuat kosong",IF(NOT(ISNUMBER('PC 08'!I467)),"Tgl Dibuat harus tanggal","")),IF(AND('PC 08'!J467&lt;&gt;"",NOT(ISNUMBER('PC 08'!J467))),"Tgl Publish harus tanggal",""),IF(AND(ISNUMBER('PC 08'!I467),ISNUMBER('PC 08'!J467),'PC 08'!J467&lt;'PC 08'!I467),"Tgl Publish &lt; Tgl Dibuat",""),IF(AND('PC 08'!K467&lt;&gt;"",ISERROR(MATCH(TRIM('PC 08'!K467),{"Draft","Menunggu Review","Revisi","Terjadwal","Publish","Batal","Published"},0))),"Status di luar daftar","")))</f>
        <v>#ERROR!</v>
      </c>
      <c r="D467" s="5" t="str">
        <f>IF(C467="","OK","ADA MASALAH")</f>
        <v>#ERROR!</v>
      </c>
    </row>
    <row r="468">
      <c r="A468" s="4">
        <v>468.0</v>
      </c>
      <c r="B468" s="5" t="str">
        <f>'PC 08'!A468</f>
        <v/>
      </c>
      <c r="C468" s="5" t="str">
        <f>IF(COUNTA('PC 08'!A468:L468)=0,"",TEXTJOIN(" | ",TRUE,IF('PC 08'!A468="","Worker ID kosong",""),IF('PC 08'!B468="","Update Date kosong",IF(NOT(ISNUMBER('PC 08'!B468)),"Update Date harus tanggal","")),IF('PC 08'!D468="","Judul kosong",""),IF('PC 08'!F468="","Genre kosong",IF(ISERROR(MATCH(TRIM('PC 08'!F468),{"Pop","Rock","Dangdut","K-Pop","Electronic","Nasional","Daerah"},0)),"Genre di luar daftar","")),IF('PC 08'!G468="","Nama Channel kosong",""),IF('PC 08'!H468="","Link kosong",IF(ISERROR(FIND("youtu",LOWER('PC 08'!H468))),"Link bukan youtube","")),IF('PC 08'!I468="","Tgl Dibuat kosong",IF(NOT(ISNUMBER('PC 08'!I468)),"Tgl Dibuat harus tanggal","")),IF(AND('PC 08'!J468&lt;&gt;"",NOT(ISNUMBER('PC 08'!J468))),"Tgl Publish harus tanggal",""),IF(AND(ISNUMBER('PC 08'!I468),ISNUMBER('PC 08'!J468),'PC 08'!J468&lt;'PC 08'!I468),"Tgl Publish &lt; Tgl Dibuat",""),IF(AND('PC 08'!K468&lt;&gt;"",ISERROR(MATCH(TRIM('PC 08'!K468),{"Draft","Menunggu Review","Revisi","Terjadwal","Publish","Batal","Published"},0))),"Status di luar daftar","")))</f>
        <v>#ERROR!</v>
      </c>
      <c r="D468" s="5" t="str">
        <f>IF(C468="","OK","ADA MASALAH")</f>
        <v>#ERROR!</v>
      </c>
    </row>
    <row r="469">
      <c r="A469" s="4">
        <v>469.0</v>
      </c>
      <c r="B469" s="5" t="str">
        <f>'PC 08'!A469</f>
        <v/>
      </c>
      <c r="C469" s="5" t="str">
        <f>IF(COUNTA('PC 08'!A469:L469)=0,"",TEXTJOIN(" | ",TRUE,IF('PC 08'!A469="","Worker ID kosong",""),IF('PC 08'!B469="","Update Date kosong",IF(NOT(ISNUMBER('PC 08'!B469)),"Update Date harus tanggal","")),IF('PC 08'!D469="","Judul kosong",""),IF('PC 08'!F469="","Genre kosong",IF(ISERROR(MATCH(TRIM('PC 08'!F469),{"Pop","Rock","Dangdut","K-Pop","Electronic","Nasional","Daerah"},0)),"Genre di luar daftar","")),IF('PC 08'!G469="","Nama Channel kosong",""),IF('PC 08'!H469="","Link kosong",IF(ISERROR(FIND("youtu",LOWER('PC 08'!H469))),"Link bukan youtube","")),IF('PC 08'!I469="","Tgl Dibuat kosong",IF(NOT(ISNUMBER('PC 08'!I469)),"Tgl Dibuat harus tanggal","")),IF(AND('PC 08'!J469&lt;&gt;"",NOT(ISNUMBER('PC 08'!J469))),"Tgl Publish harus tanggal",""),IF(AND(ISNUMBER('PC 08'!I469),ISNUMBER('PC 08'!J469),'PC 08'!J469&lt;'PC 08'!I469),"Tgl Publish &lt; Tgl Dibuat",""),IF(AND('PC 08'!K469&lt;&gt;"",ISERROR(MATCH(TRIM('PC 08'!K469),{"Draft","Menunggu Review","Revisi","Terjadwal","Publish","Batal","Published"},0))),"Status di luar daftar","")))</f>
        <v>#ERROR!</v>
      </c>
      <c r="D469" s="5" t="str">
        <f>IF(C469="","OK","ADA MASALAH")</f>
        <v>#ERROR!</v>
      </c>
    </row>
    <row r="470">
      <c r="A470" s="4">
        <v>470.0</v>
      </c>
      <c r="B470" s="5" t="str">
        <f>'PC 08'!A470</f>
        <v/>
      </c>
      <c r="C470" s="5" t="str">
        <f>IF(COUNTA('PC 08'!A470:L470)=0,"",TEXTJOIN(" | ",TRUE,IF('PC 08'!A470="","Worker ID kosong",""),IF('PC 08'!B470="","Update Date kosong",IF(NOT(ISNUMBER('PC 08'!B470)),"Update Date harus tanggal","")),IF('PC 08'!D470="","Judul kosong",""),IF('PC 08'!F470="","Genre kosong",IF(ISERROR(MATCH(TRIM('PC 08'!F470),{"Pop","Rock","Dangdut","K-Pop","Electronic","Nasional","Daerah"},0)),"Genre di luar daftar","")),IF('PC 08'!G470="","Nama Channel kosong",""),IF('PC 08'!H470="","Link kosong",IF(ISERROR(FIND("youtu",LOWER('PC 08'!H470))),"Link bukan youtube","")),IF('PC 08'!I470="","Tgl Dibuat kosong",IF(NOT(ISNUMBER('PC 08'!I470)),"Tgl Dibuat harus tanggal","")),IF(AND('PC 08'!J470&lt;&gt;"",NOT(ISNUMBER('PC 08'!J470))),"Tgl Publish harus tanggal",""),IF(AND(ISNUMBER('PC 08'!I470),ISNUMBER('PC 08'!J470),'PC 08'!J470&lt;'PC 08'!I470),"Tgl Publish &lt; Tgl Dibuat",""),IF(AND('PC 08'!K470&lt;&gt;"",ISERROR(MATCH(TRIM('PC 08'!K470),{"Draft","Menunggu Review","Revisi","Terjadwal","Publish","Batal","Published"},0))),"Status di luar daftar","")))</f>
        <v>#ERROR!</v>
      </c>
      <c r="D470" s="5" t="str">
        <f>IF(C470="","OK","ADA MASALAH")</f>
        <v>#ERROR!</v>
      </c>
    </row>
    <row r="471">
      <c r="A471" s="4">
        <v>471.0</v>
      </c>
      <c r="B471" s="5" t="str">
        <f>'PC 08'!A471</f>
        <v/>
      </c>
      <c r="C471" s="5" t="str">
        <f>IF(COUNTA('PC 08'!A471:L471)=0,"",TEXTJOIN(" | ",TRUE,IF('PC 08'!A471="","Worker ID kosong",""),IF('PC 08'!B471="","Update Date kosong",IF(NOT(ISNUMBER('PC 08'!B471)),"Update Date harus tanggal","")),IF('PC 08'!D471="","Judul kosong",""),IF('PC 08'!F471="","Genre kosong",IF(ISERROR(MATCH(TRIM('PC 08'!F471),{"Pop","Rock","Dangdut","K-Pop","Electronic","Nasional","Daerah"},0)),"Genre di luar daftar","")),IF('PC 08'!G471="","Nama Channel kosong",""),IF('PC 08'!H471="","Link kosong",IF(ISERROR(FIND("youtu",LOWER('PC 08'!H471))),"Link bukan youtube","")),IF('PC 08'!I471="","Tgl Dibuat kosong",IF(NOT(ISNUMBER('PC 08'!I471)),"Tgl Dibuat harus tanggal","")),IF(AND('PC 08'!J471&lt;&gt;"",NOT(ISNUMBER('PC 08'!J471))),"Tgl Publish harus tanggal",""),IF(AND(ISNUMBER('PC 08'!I471),ISNUMBER('PC 08'!J471),'PC 08'!J471&lt;'PC 08'!I471),"Tgl Publish &lt; Tgl Dibuat",""),IF(AND('PC 08'!K471&lt;&gt;"",ISERROR(MATCH(TRIM('PC 08'!K471),{"Draft","Menunggu Review","Revisi","Terjadwal","Publish","Batal","Published"},0))),"Status di luar daftar","")))</f>
        <v>#ERROR!</v>
      </c>
      <c r="D471" s="5" t="str">
        <f>IF(C471="","OK","ADA MASALAH")</f>
        <v>#ERROR!</v>
      </c>
    </row>
    <row r="472">
      <c r="A472" s="4">
        <v>472.0</v>
      </c>
      <c r="B472" s="5" t="str">
        <f>'PC 08'!A472</f>
        <v/>
      </c>
      <c r="C472" s="5" t="str">
        <f>IF(COUNTA('PC 08'!A472:L472)=0,"",TEXTJOIN(" | ",TRUE,IF('PC 08'!A472="","Worker ID kosong",""),IF('PC 08'!B472="","Update Date kosong",IF(NOT(ISNUMBER('PC 08'!B472)),"Update Date harus tanggal","")),IF('PC 08'!D472="","Judul kosong",""),IF('PC 08'!F472="","Genre kosong",IF(ISERROR(MATCH(TRIM('PC 08'!F472),{"Pop","Rock","Dangdut","K-Pop","Electronic","Nasional","Daerah"},0)),"Genre di luar daftar","")),IF('PC 08'!G472="","Nama Channel kosong",""),IF('PC 08'!H472="","Link kosong",IF(ISERROR(FIND("youtu",LOWER('PC 08'!H472))),"Link bukan youtube","")),IF('PC 08'!I472="","Tgl Dibuat kosong",IF(NOT(ISNUMBER('PC 08'!I472)),"Tgl Dibuat harus tanggal","")),IF(AND('PC 08'!J472&lt;&gt;"",NOT(ISNUMBER('PC 08'!J472))),"Tgl Publish harus tanggal",""),IF(AND(ISNUMBER('PC 08'!I472),ISNUMBER('PC 08'!J472),'PC 08'!J472&lt;'PC 08'!I472),"Tgl Publish &lt; Tgl Dibuat",""),IF(AND('PC 08'!K472&lt;&gt;"",ISERROR(MATCH(TRIM('PC 08'!K472),{"Draft","Menunggu Review","Revisi","Terjadwal","Publish","Batal","Published"},0))),"Status di luar daftar","")))</f>
        <v>#ERROR!</v>
      </c>
      <c r="D472" s="5" t="str">
        <f>IF(C472="","OK","ADA MASALAH")</f>
        <v>#ERROR!</v>
      </c>
    </row>
    <row r="473">
      <c r="A473" s="4">
        <v>473.0</v>
      </c>
      <c r="B473" s="5" t="str">
        <f>'PC 08'!A473</f>
        <v/>
      </c>
      <c r="C473" s="5" t="str">
        <f>IF(COUNTA('PC 08'!A473:L473)=0,"",TEXTJOIN(" | ",TRUE,IF('PC 08'!A473="","Worker ID kosong",""),IF('PC 08'!B473="","Update Date kosong",IF(NOT(ISNUMBER('PC 08'!B473)),"Update Date harus tanggal","")),IF('PC 08'!D473="","Judul kosong",""),IF('PC 08'!F473="","Genre kosong",IF(ISERROR(MATCH(TRIM('PC 08'!F473),{"Pop","Rock","Dangdut","K-Pop","Electronic","Nasional","Daerah"},0)),"Genre di luar daftar","")),IF('PC 08'!G473="","Nama Channel kosong",""),IF('PC 08'!H473="","Link kosong",IF(ISERROR(FIND("youtu",LOWER('PC 08'!H473))),"Link bukan youtube","")),IF('PC 08'!I473="","Tgl Dibuat kosong",IF(NOT(ISNUMBER('PC 08'!I473)),"Tgl Dibuat harus tanggal","")),IF(AND('PC 08'!J473&lt;&gt;"",NOT(ISNUMBER('PC 08'!J473))),"Tgl Publish harus tanggal",""),IF(AND(ISNUMBER('PC 08'!I473),ISNUMBER('PC 08'!J473),'PC 08'!J473&lt;'PC 08'!I473),"Tgl Publish &lt; Tgl Dibuat",""),IF(AND('PC 08'!K473&lt;&gt;"",ISERROR(MATCH(TRIM('PC 08'!K473),{"Draft","Menunggu Review","Revisi","Terjadwal","Publish","Batal","Published"},0))),"Status di luar daftar","")))</f>
        <v>#ERROR!</v>
      </c>
      <c r="D473" s="5" t="str">
        <f>IF(C473="","OK","ADA MASALAH")</f>
        <v>#ERROR!</v>
      </c>
    </row>
    <row r="474">
      <c r="A474" s="4">
        <v>474.0</v>
      </c>
      <c r="B474" s="5" t="str">
        <f>'PC 08'!A474</f>
        <v/>
      </c>
      <c r="C474" s="5" t="str">
        <f>IF(COUNTA('PC 08'!A474:L474)=0,"",TEXTJOIN(" | ",TRUE,IF('PC 08'!A474="","Worker ID kosong",""),IF('PC 08'!B474="","Update Date kosong",IF(NOT(ISNUMBER('PC 08'!B474)),"Update Date harus tanggal","")),IF('PC 08'!D474="","Judul kosong",""),IF('PC 08'!F474="","Genre kosong",IF(ISERROR(MATCH(TRIM('PC 08'!F474),{"Pop","Rock","Dangdut","K-Pop","Electronic","Nasional","Daerah"},0)),"Genre di luar daftar","")),IF('PC 08'!G474="","Nama Channel kosong",""),IF('PC 08'!H474="","Link kosong",IF(ISERROR(FIND("youtu",LOWER('PC 08'!H474))),"Link bukan youtube","")),IF('PC 08'!I474="","Tgl Dibuat kosong",IF(NOT(ISNUMBER('PC 08'!I474)),"Tgl Dibuat harus tanggal","")),IF(AND('PC 08'!J474&lt;&gt;"",NOT(ISNUMBER('PC 08'!J474))),"Tgl Publish harus tanggal",""),IF(AND(ISNUMBER('PC 08'!I474),ISNUMBER('PC 08'!J474),'PC 08'!J474&lt;'PC 08'!I474),"Tgl Publish &lt; Tgl Dibuat",""),IF(AND('PC 08'!K474&lt;&gt;"",ISERROR(MATCH(TRIM('PC 08'!K474),{"Draft","Menunggu Review","Revisi","Terjadwal","Publish","Batal","Published"},0))),"Status di luar daftar","")))</f>
        <v>#ERROR!</v>
      </c>
      <c r="D474" s="5" t="str">
        <f>IF(C474="","OK","ADA MASALAH")</f>
        <v>#ERROR!</v>
      </c>
    </row>
    <row r="475">
      <c r="A475" s="4">
        <v>475.0</v>
      </c>
      <c r="B475" s="5" t="str">
        <f>'PC 08'!A475</f>
        <v/>
      </c>
      <c r="C475" s="5" t="str">
        <f>IF(COUNTA('PC 08'!A475:L475)=0,"",TEXTJOIN(" | ",TRUE,IF('PC 08'!A475="","Worker ID kosong",""),IF('PC 08'!B475="","Update Date kosong",IF(NOT(ISNUMBER('PC 08'!B475)),"Update Date harus tanggal","")),IF('PC 08'!D475="","Judul kosong",""),IF('PC 08'!F475="","Genre kosong",IF(ISERROR(MATCH(TRIM('PC 08'!F475),{"Pop","Rock","Dangdut","K-Pop","Electronic","Nasional","Daerah"},0)),"Genre di luar daftar","")),IF('PC 08'!G475="","Nama Channel kosong",""),IF('PC 08'!H475="","Link kosong",IF(ISERROR(FIND("youtu",LOWER('PC 08'!H475))),"Link bukan youtube","")),IF('PC 08'!I475="","Tgl Dibuat kosong",IF(NOT(ISNUMBER('PC 08'!I475)),"Tgl Dibuat harus tanggal","")),IF(AND('PC 08'!J475&lt;&gt;"",NOT(ISNUMBER('PC 08'!J475))),"Tgl Publish harus tanggal",""),IF(AND(ISNUMBER('PC 08'!I475),ISNUMBER('PC 08'!J475),'PC 08'!J475&lt;'PC 08'!I475),"Tgl Publish &lt; Tgl Dibuat",""),IF(AND('PC 08'!K475&lt;&gt;"",ISERROR(MATCH(TRIM('PC 08'!K475),{"Draft","Menunggu Review","Revisi","Terjadwal","Publish","Batal","Published"},0))),"Status di luar daftar","")))</f>
        <v>#ERROR!</v>
      </c>
      <c r="D475" s="5" t="str">
        <f>IF(C475="","OK","ADA MASALAH")</f>
        <v>#ERROR!</v>
      </c>
    </row>
    <row r="476">
      <c r="A476" s="4">
        <v>476.0</v>
      </c>
      <c r="B476" s="5" t="str">
        <f>'PC 08'!A476</f>
        <v/>
      </c>
      <c r="C476" s="5" t="str">
        <f>IF(COUNTA('PC 08'!A476:L476)=0,"",TEXTJOIN(" | ",TRUE,IF('PC 08'!A476="","Worker ID kosong",""),IF('PC 08'!B476="","Update Date kosong",IF(NOT(ISNUMBER('PC 08'!B476)),"Update Date harus tanggal","")),IF('PC 08'!D476="","Judul kosong",""),IF('PC 08'!F476="","Genre kosong",IF(ISERROR(MATCH(TRIM('PC 08'!F476),{"Pop","Rock","Dangdut","K-Pop","Electronic","Nasional","Daerah"},0)),"Genre di luar daftar","")),IF('PC 08'!G476="","Nama Channel kosong",""),IF('PC 08'!H476="","Link kosong",IF(ISERROR(FIND("youtu",LOWER('PC 08'!H476))),"Link bukan youtube","")),IF('PC 08'!I476="","Tgl Dibuat kosong",IF(NOT(ISNUMBER('PC 08'!I476)),"Tgl Dibuat harus tanggal","")),IF(AND('PC 08'!J476&lt;&gt;"",NOT(ISNUMBER('PC 08'!J476))),"Tgl Publish harus tanggal",""),IF(AND(ISNUMBER('PC 08'!I476),ISNUMBER('PC 08'!J476),'PC 08'!J476&lt;'PC 08'!I476),"Tgl Publish &lt; Tgl Dibuat",""),IF(AND('PC 08'!K476&lt;&gt;"",ISERROR(MATCH(TRIM('PC 08'!K476),{"Draft","Menunggu Review","Revisi","Terjadwal","Publish","Batal","Published"},0))),"Status di luar daftar","")))</f>
        <v>#ERROR!</v>
      </c>
      <c r="D476" s="5" t="str">
        <f>IF(C476="","OK","ADA MASALAH")</f>
        <v>#ERROR!</v>
      </c>
    </row>
    <row r="477">
      <c r="A477" s="4">
        <v>477.0</v>
      </c>
      <c r="B477" s="5" t="str">
        <f>'PC 08'!A477</f>
        <v/>
      </c>
      <c r="C477" s="5" t="str">
        <f>IF(COUNTA('PC 08'!A477:L477)=0,"",TEXTJOIN(" | ",TRUE,IF('PC 08'!A477="","Worker ID kosong",""),IF('PC 08'!B477="","Update Date kosong",IF(NOT(ISNUMBER('PC 08'!B477)),"Update Date harus tanggal","")),IF('PC 08'!D477="","Judul kosong",""),IF('PC 08'!F477="","Genre kosong",IF(ISERROR(MATCH(TRIM('PC 08'!F477),{"Pop","Rock","Dangdut","K-Pop","Electronic","Nasional","Daerah"},0)),"Genre di luar daftar","")),IF('PC 08'!G477="","Nama Channel kosong",""),IF('PC 08'!H477="","Link kosong",IF(ISERROR(FIND("youtu",LOWER('PC 08'!H477))),"Link bukan youtube","")),IF('PC 08'!I477="","Tgl Dibuat kosong",IF(NOT(ISNUMBER('PC 08'!I477)),"Tgl Dibuat harus tanggal","")),IF(AND('PC 08'!J477&lt;&gt;"",NOT(ISNUMBER('PC 08'!J477))),"Tgl Publish harus tanggal",""),IF(AND(ISNUMBER('PC 08'!I477),ISNUMBER('PC 08'!J477),'PC 08'!J477&lt;'PC 08'!I477),"Tgl Publish &lt; Tgl Dibuat",""),IF(AND('PC 08'!K477&lt;&gt;"",ISERROR(MATCH(TRIM('PC 08'!K477),{"Draft","Menunggu Review","Revisi","Terjadwal","Publish","Batal","Published"},0))),"Status di luar daftar","")))</f>
        <v>#ERROR!</v>
      </c>
      <c r="D477" s="5" t="str">
        <f>IF(C477="","OK","ADA MASALAH")</f>
        <v>#ERROR!</v>
      </c>
    </row>
    <row r="478">
      <c r="A478" s="4">
        <v>478.0</v>
      </c>
      <c r="B478" s="5" t="str">
        <f>'PC 08'!A478</f>
        <v/>
      </c>
      <c r="C478" s="5" t="str">
        <f>IF(COUNTA('PC 08'!A478:L478)=0,"",TEXTJOIN(" | ",TRUE,IF('PC 08'!A478="","Worker ID kosong",""),IF('PC 08'!B478="","Update Date kosong",IF(NOT(ISNUMBER('PC 08'!B478)),"Update Date harus tanggal","")),IF('PC 08'!D478="","Judul kosong",""),IF('PC 08'!F478="","Genre kosong",IF(ISERROR(MATCH(TRIM('PC 08'!F478),{"Pop","Rock","Dangdut","K-Pop","Electronic","Nasional","Daerah"},0)),"Genre di luar daftar","")),IF('PC 08'!G478="","Nama Channel kosong",""),IF('PC 08'!H478="","Link kosong",IF(ISERROR(FIND("youtu",LOWER('PC 08'!H478))),"Link bukan youtube","")),IF('PC 08'!I478="","Tgl Dibuat kosong",IF(NOT(ISNUMBER('PC 08'!I478)),"Tgl Dibuat harus tanggal","")),IF(AND('PC 08'!J478&lt;&gt;"",NOT(ISNUMBER('PC 08'!J478))),"Tgl Publish harus tanggal",""),IF(AND(ISNUMBER('PC 08'!I478),ISNUMBER('PC 08'!J478),'PC 08'!J478&lt;'PC 08'!I478),"Tgl Publish &lt; Tgl Dibuat",""),IF(AND('PC 08'!K478&lt;&gt;"",ISERROR(MATCH(TRIM('PC 08'!K478),{"Draft","Menunggu Review","Revisi","Terjadwal","Publish","Batal","Published"},0))),"Status di luar daftar","")))</f>
        <v>#ERROR!</v>
      </c>
      <c r="D478" s="5" t="str">
        <f>IF(C478="","OK","ADA MASALAH")</f>
        <v>#ERROR!</v>
      </c>
    </row>
    <row r="479">
      <c r="A479" s="4">
        <v>479.0</v>
      </c>
      <c r="B479" s="5" t="str">
        <f>'PC 08'!A479</f>
        <v/>
      </c>
      <c r="C479" s="5" t="str">
        <f>IF(COUNTA('PC 08'!A479:L479)=0,"",TEXTJOIN(" | ",TRUE,IF('PC 08'!A479="","Worker ID kosong",""),IF('PC 08'!B479="","Update Date kosong",IF(NOT(ISNUMBER('PC 08'!B479)),"Update Date harus tanggal","")),IF('PC 08'!D479="","Judul kosong",""),IF('PC 08'!F479="","Genre kosong",IF(ISERROR(MATCH(TRIM('PC 08'!F479),{"Pop","Rock","Dangdut","K-Pop","Electronic","Nasional","Daerah"},0)),"Genre di luar daftar","")),IF('PC 08'!G479="","Nama Channel kosong",""),IF('PC 08'!H479="","Link kosong",IF(ISERROR(FIND("youtu",LOWER('PC 08'!H479))),"Link bukan youtube","")),IF('PC 08'!I479="","Tgl Dibuat kosong",IF(NOT(ISNUMBER('PC 08'!I479)),"Tgl Dibuat harus tanggal","")),IF(AND('PC 08'!J479&lt;&gt;"",NOT(ISNUMBER('PC 08'!J479))),"Tgl Publish harus tanggal",""),IF(AND(ISNUMBER('PC 08'!I479),ISNUMBER('PC 08'!J479),'PC 08'!J479&lt;'PC 08'!I479),"Tgl Publish &lt; Tgl Dibuat",""),IF(AND('PC 08'!K479&lt;&gt;"",ISERROR(MATCH(TRIM('PC 08'!K479),{"Draft","Menunggu Review","Revisi","Terjadwal","Publish","Batal","Published"},0))),"Status di luar daftar","")))</f>
        <v>#ERROR!</v>
      </c>
      <c r="D479" s="5" t="str">
        <f>IF(C479="","OK","ADA MASALAH")</f>
        <v>#ERROR!</v>
      </c>
    </row>
    <row r="480">
      <c r="A480" s="4">
        <v>480.0</v>
      </c>
      <c r="B480" s="5" t="str">
        <f>'PC 08'!A480</f>
        <v/>
      </c>
      <c r="C480" s="5" t="str">
        <f>IF(COUNTA('PC 08'!A480:L480)=0,"",TEXTJOIN(" | ",TRUE,IF('PC 08'!A480="","Worker ID kosong",""),IF('PC 08'!B480="","Update Date kosong",IF(NOT(ISNUMBER('PC 08'!B480)),"Update Date harus tanggal","")),IF('PC 08'!D480="","Judul kosong",""),IF('PC 08'!F480="","Genre kosong",IF(ISERROR(MATCH(TRIM('PC 08'!F480),{"Pop","Rock","Dangdut","K-Pop","Electronic","Nasional","Daerah"},0)),"Genre di luar daftar","")),IF('PC 08'!G480="","Nama Channel kosong",""),IF('PC 08'!H480="","Link kosong",IF(ISERROR(FIND("youtu",LOWER('PC 08'!H480))),"Link bukan youtube","")),IF('PC 08'!I480="","Tgl Dibuat kosong",IF(NOT(ISNUMBER('PC 08'!I480)),"Tgl Dibuat harus tanggal","")),IF(AND('PC 08'!J480&lt;&gt;"",NOT(ISNUMBER('PC 08'!J480))),"Tgl Publish harus tanggal",""),IF(AND(ISNUMBER('PC 08'!I480),ISNUMBER('PC 08'!J480),'PC 08'!J480&lt;'PC 08'!I480),"Tgl Publish &lt; Tgl Dibuat",""),IF(AND('PC 08'!K480&lt;&gt;"",ISERROR(MATCH(TRIM('PC 08'!K480),{"Draft","Menunggu Review","Revisi","Terjadwal","Publish","Batal","Published"},0))),"Status di luar daftar","")))</f>
        <v>#ERROR!</v>
      </c>
      <c r="D480" s="5" t="str">
        <f>IF(C480="","OK","ADA MASALAH")</f>
        <v>#ERROR!</v>
      </c>
    </row>
    <row r="481">
      <c r="A481" s="4">
        <v>481.0</v>
      </c>
      <c r="B481" s="5" t="str">
        <f>'PC 08'!A481</f>
        <v/>
      </c>
      <c r="C481" s="5" t="str">
        <f>IF(COUNTA('PC 08'!A481:L481)=0,"",TEXTJOIN(" | ",TRUE,IF('PC 08'!A481="","Worker ID kosong",""),IF('PC 08'!B481="","Update Date kosong",IF(NOT(ISNUMBER('PC 08'!B481)),"Update Date harus tanggal","")),IF('PC 08'!D481="","Judul kosong",""),IF('PC 08'!F481="","Genre kosong",IF(ISERROR(MATCH(TRIM('PC 08'!F481),{"Pop","Rock","Dangdut","K-Pop","Electronic","Nasional","Daerah"},0)),"Genre di luar daftar","")),IF('PC 08'!G481="","Nama Channel kosong",""),IF('PC 08'!H481="","Link kosong",IF(ISERROR(FIND("youtu",LOWER('PC 08'!H481))),"Link bukan youtube","")),IF('PC 08'!I481="","Tgl Dibuat kosong",IF(NOT(ISNUMBER('PC 08'!I481)),"Tgl Dibuat harus tanggal","")),IF(AND('PC 08'!J481&lt;&gt;"",NOT(ISNUMBER('PC 08'!J481))),"Tgl Publish harus tanggal",""),IF(AND(ISNUMBER('PC 08'!I481),ISNUMBER('PC 08'!J481),'PC 08'!J481&lt;'PC 08'!I481),"Tgl Publish &lt; Tgl Dibuat",""),IF(AND('PC 08'!K481&lt;&gt;"",ISERROR(MATCH(TRIM('PC 08'!K481),{"Draft","Menunggu Review","Revisi","Terjadwal","Publish","Batal","Published"},0))),"Status di luar daftar","")))</f>
        <v>#ERROR!</v>
      </c>
      <c r="D481" s="5" t="str">
        <f>IF(C481="","OK","ADA MASALAH")</f>
        <v>#ERROR!</v>
      </c>
    </row>
    <row r="482">
      <c r="A482" s="4">
        <v>482.0</v>
      </c>
      <c r="B482" s="5" t="str">
        <f>'PC 08'!A482</f>
        <v/>
      </c>
      <c r="C482" s="5" t="str">
        <f>IF(COUNTA('PC 08'!A482:L482)=0,"",TEXTJOIN(" | ",TRUE,IF('PC 08'!A482="","Worker ID kosong",""),IF('PC 08'!B482="","Update Date kosong",IF(NOT(ISNUMBER('PC 08'!B482)),"Update Date harus tanggal","")),IF('PC 08'!D482="","Judul kosong",""),IF('PC 08'!F482="","Genre kosong",IF(ISERROR(MATCH(TRIM('PC 08'!F482),{"Pop","Rock","Dangdut","K-Pop","Electronic","Nasional","Daerah"},0)),"Genre di luar daftar","")),IF('PC 08'!G482="","Nama Channel kosong",""),IF('PC 08'!H482="","Link kosong",IF(ISERROR(FIND("youtu",LOWER('PC 08'!H482))),"Link bukan youtube","")),IF('PC 08'!I482="","Tgl Dibuat kosong",IF(NOT(ISNUMBER('PC 08'!I482)),"Tgl Dibuat harus tanggal","")),IF(AND('PC 08'!J482&lt;&gt;"",NOT(ISNUMBER('PC 08'!J482))),"Tgl Publish harus tanggal",""),IF(AND(ISNUMBER('PC 08'!I482),ISNUMBER('PC 08'!J482),'PC 08'!J482&lt;'PC 08'!I482),"Tgl Publish &lt; Tgl Dibuat",""),IF(AND('PC 08'!K482&lt;&gt;"",ISERROR(MATCH(TRIM('PC 08'!K482),{"Draft","Menunggu Review","Revisi","Terjadwal","Publish","Batal","Published"},0))),"Status di luar daftar","")))</f>
        <v>#ERROR!</v>
      </c>
      <c r="D482" s="5" t="str">
        <f>IF(C482="","OK","ADA MASALAH")</f>
        <v>#ERROR!</v>
      </c>
    </row>
    <row r="483">
      <c r="A483" s="4">
        <v>483.0</v>
      </c>
      <c r="B483" s="5" t="str">
        <f>'PC 08'!A483</f>
        <v/>
      </c>
      <c r="C483" s="5" t="str">
        <f>IF(COUNTA('PC 08'!A483:L483)=0,"",TEXTJOIN(" | ",TRUE,IF('PC 08'!A483="","Worker ID kosong",""),IF('PC 08'!B483="","Update Date kosong",IF(NOT(ISNUMBER('PC 08'!B483)),"Update Date harus tanggal","")),IF('PC 08'!D483="","Judul kosong",""),IF('PC 08'!F483="","Genre kosong",IF(ISERROR(MATCH(TRIM('PC 08'!F483),{"Pop","Rock","Dangdut","K-Pop","Electronic","Nasional","Daerah"},0)),"Genre di luar daftar","")),IF('PC 08'!G483="","Nama Channel kosong",""),IF('PC 08'!H483="","Link kosong",IF(ISERROR(FIND("youtu",LOWER('PC 08'!H483))),"Link bukan youtube","")),IF('PC 08'!I483="","Tgl Dibuat kosong",IF(NOT(ISNUMBER('PC 08'!I483)),"Tgl Dibuat harus tanggal","")),IF(AND('PC 08'!J483&lt;&gt;"",NOT(ISNUMBER('PC 08'!J483))),"Tgl Publish harus tanggal",""),IF(AND(ISNUMBER('PC 08'!I483),ISNUMBER('PC 08'!J483),'PC 08'!J483&lt;'PC 08'!I483),"Tgl Publish &lt; Tgl Dibuat",""),IF(AND('PC 08'!K483&lt;&gt;"",ISERROR(MATCH(TRIM('PC 08'!K483),{"Draft","Menunggu Review","Revisi","Terjadwal","Publish","Batal","Published"},0))),"Status di luar daftar","")))</f>
        <v>#ERROR!</v>
      </c>
      <c r="D483" s="5" t="str">
        <f>IF(C483="","OK","ADA MASALAH")</f>
        <v>#ERROR!</v>
      </c>
    </row>
    <row r="484">
      <c r="A484" s="4">
        <v>484.0</v>
      </c>
      <c r="B484" s="5" t="str">
        <f>'PC 08'!A484</f>
        <v/>
      </c>
      <c r="C484" s="5" t="str">
        <f>IF(COUNTA('PC 08'!A484:L484)=0,"",TEXTJOIN(" | ",TRUE,IF('PC 08'!A484="","Worker ID kosong",""),IF('PC 08'!B484="","Update Date kosong",IF(NOT(ISNUMBER('PC 08'!B484)),"Update Date harus tanggal","")),IF('PC 08'!D484="","Judul kosong",""),IF('PC 08'!F484="","Genre kosong",IF(ISERROR(MATCH(TRIM('PC 08'!F484),{"Pop","Rock","Dangdut","K-Pop","Electronic","Nasional","Daerah"},0)),"Genre di luar daftar","")),IF('PC 08'!G484="","Nama Channel kosong",""),IF('PC 08'!H484="","Link kosong",IF(ISERROR(FIND("youtu",LOWER('PC 08'!H484))),"Link bukan youtube","")),IF('PC 08'!I484="","Tgl Dibuat kosong",IF(NOT(ISNUMBER('PC 08'!I484)),"Tgl Dibuat harus tanggal","")),IF(AND('PC 08'!J484&lt;&gt;"",NOT(ISNUMBER('PC 08'!J484))),"Tgl Publish harus tanggal",""),IF(AND(ISNUMBER('PC 08'!I484),ISNUMBER('PC 08'!J484),'PC 08'!J484&lt;'PC 08'!I484),"Tgl Publish &lt; Tgl Dibuat",""),IF(AND('PC 08'!K484&lt;&gt;"",ISERROR(MATCH(TRIM('PC 08'!K484),{"Draft","Menunggu Review","Revisi","Terjadwal","Publish","Batal","Published"},0))),"Status di luar daftar","")))</f>
        <v>#ERROR!</v>
      </c>
      <c r="D484" s="5" t="str">
        <f>IF(C484="","OK","ADA MASALAH")</f>
        <v>#ERROR!</v>
      </c>
    </row>
    <row r="485">
      <c r="A485" s="4">
        <v>485.0</v>
      </c>
      <c r="B485" s="5" t="str">
        <f>'PC 08'!A485</f>
        <v/>
      </c>
      <c r="C485" s="5" t="str">
        <f>IF(COUNTA('PC 08'!A485:L485)=0,"",TEXTJOIN(" | ",TRUE,IF('PC 08'!A485="","Worker ID kosong",""),IF('PC 08'!B485="","Update Date kosong",IF(NOT(ISNUMBER('PC 08'!B485)),"Update Date harus tanggal","")),IF('PC 08'!D485="","Judul kosong",""),IF('PC 08'!F485="","Genre kosong",IF(ISERROR(MATCH(TRIM('PC 08'!F485),{"Pop","Rock","Dangdut","K-Pop","Electronic","Nasional","Daerah"},0)),"Genre di luar daftar","")),IF('PC 08'!G485="","Nama Channel kosong",""),IF('PC 08'!H485="","Link kosong",IF(ISERROR(FIND("youtu",LOWER('PC 08'!H485))),"Link bukan youtube","")),IF('PC 08'!I485="","Tgl Dibuat kosong",IF(NOT(ISNUMBER('PC 08'!I485)),"Tgl Dibuat harus tanggal","")),IF(AND('PC 08'!J485&lt;&gt;"",NOT(ISNUMBER('PC 08'!J485))),"Tgl Publish harus tanggal",""),IF(AND(ISNUMBER('PC 08'!I485),ISNUMBER('PC 08'!J485),'PC 08'!J485&lt;'PC 08'!I485),"Tgl Publish &lt; Tgl Dibuat",""),IF(AND('PC 08'!K485&lt;&gt;"",ISERROR(MATCH(TRIM('PC 08'!K485),{"Draft","Menunggu Review","Revisi","Terjadwal","Publish","Batal","Published"},0))),"Status di luar daftar","")))</f>
        <v>#ERROR!</v>
      </c>
      <c r="D485" s="5" t="str">
        <f>IF(C485="","OK","ADA MASALAH")</f>
        <v>#ERROR!</v>
      </c>
    </row>
    <row r="486">
      <c r="A486" s="4">
        <v>486.0</v>
      </c>
      <c r="B486" s="5" t="str">
        <f>'PC 08'!A486</f>
        <v/>
      </c>
      <c r="C486" s="5" t="str">
        <f>IF(COUNTA('PC 08'!A486:L486)=0,"",TEXTJOIN(" | ",TRUE,IF('PC 08'!A486="","Worker ID kosong",""),IF('PC 08'!B486="","Update Date kosong",IF(NOT(ISNUMBER('PC 08'!B486)),"Update Date harus tanggal","")),IF('PC 08'!D486="","Judul kosong",""),IF('PC 08'!F486="","Genre kosong",IF(ISERROR(MATCH(TRIM('PC 08'!F486),{"Pop","Rock","Dangdut","K-Pop","Electronic","Nasional","Daerah"},0)),"Genre di luar daftar","")),IF('PC 08'!G486="","Nama Channel kosong",""),IF('PC 08'!H486="","Link kosong",IF(ISERROR(FIND("youtu",LOWER('PC 08'!H486))),"Link bukan youtube","")),IF('PC 08'!I486="","Tgl Dibuat kosong",IF(NOT(ISNUMBER('PC 08'!I486)),"Tgl Dibuat harus tanggal","")),IF(AND('PC 08'!J486&lt;&gt;"",NOT(ISNUMBER('PC 08'!J486))),"Tgl Publish harus tanggal",""),IF(AND(ISNUMBER('PC 08'!I486),ISNUMBER('PC 08'!J486),'PC 08'!J486&lt;'PC 08'!I486),"Tgl Publish &lt; Tgl Dibuat",""),IF(AND('PC 08'!K486&lt;&gt;"",ISERROR(MATCH(TRIM('PC 08'!K486),{"Draft","Menunggu Review","Revisi","Terjadwal","Publish","Batal","Published"},0))),"Status di luar daftar","")))</f>
        <v>#ERROR!</v>
      </c>
      <c r="D486" s="5" t="str">
        <f>IF(C486="","OK","ADA MASALAH")</f>
        <v>#ERROR!</v>
      </c>
    </row>
    <row r="487">
      <c r="A487" s="4">
        <v>487.0</v>
      </c>
      <c r="B487" s="5" t="str">
        <f>'PC 08'!A487</f>
        <v/>
      </c>
      <c r="C487" s="5" t="str">
        <f>IF(COUNTA('PC 08'!A487:L487)=0,"",TEXTJOIN(" | ",TRUE,IF('PC 08'!A487="","Worker ID kosong",""),IF('PC 08'!B487="","Update Date kosong",IF(NOT(ISNUMBER('PC 08'!B487)),"Update Date harus tanggal","")),IF('PC 08'!D487="","Judul kosong",""),IF('PC 08'!F487="","Genre kosong",IF(ISERROR(MATCH(TRIM('PC 08'!F487),{"Pop","Rock","Dangdut","K-Pop","Electronic","Nasional","Daerah"},0)),"Genre di luar daftar","")),IF('PC 08'!G487="","Nama Channel kosong",""),IF('PC 08'!H487="","Link kosong",IF(ISERROR(FIND("youtu",LOWER('PC 08'!H487))),"Link bukan youtube","")),IF('PC 08'!I487="","Tgl Dibuat kosong",IF(NOT(ISNUMBER('PC 08'!I487)),"Tgl Dibuat harus tanggal","")),IF(AND('PC 08'!J487&lt;&gt;"",NOT(ISNUMBER('PC 08'!J487))),"Tgl Publish harus tanggal",""),IF(AND(ISNUMBER('PC 08'!I487),ISNUMBER('PC 08'!J487),'PC 08'!J487&lt;'PC 08'!I487),"Tgl Publish &lt; Tgl Dibuat",""),IF(AND('PC 08'!K487&lt;&gt;"",ISERROR(MATCH(TRIM('PC 08'!K487),{"Draft","Menunggu Review","Revisi","Terjadwal","Publish","Batal","Published"},0))),"Status di luar daftar","")))</f>
        <v>#ERROR!</v>
      </c>
      <c r="D487" s="5" t="str">
        <f>IF(C487="","OK","ADA MASALAH")</f>
        <v>#ERROR!</v>
      </c>
    </row>
    <row r="488">
      <c r="A488" s="4">
        <v>488.0</v>
      </c>
      <c r="B488" s="5" t="str">
        <f>'PC 08'!A488</f>
        <v/>
      </c>
      <c r="C488" s="5" t="str">
        <f>IF(COUNTA('PC 08'!A488:L488)=0,"",TEXTJOIN(" | ",TRUE,IF('PC 08'!A488="","Worker ID kosong",""),IF('PC 08'!B488="","Update Date kosong",IF(NOT(ISNUMBER('PC 08'!B488)),"Update Date harus tanggal","")),IF('PC 08'!D488="","Judul kosong",""),IF('PC 08'!F488="","Genre kosong",IF(ISERROR(MATCH(TRIM('PC 08'!F488),{"Pop","Rock","Dangdut","K-Pop","Electronic","Nasional","Daerah"},0)),"Genre di luar daftar","")),IF('PC 08'!G488="","Nama Channel kosong",""),IF('PC 08'!H488="","Link kosong",IF(ISERROR(FIND("youtu",LOWER('PC 08'!H488))),"Link bukan youtube","")),IF('PC 08'!I488="","Tgl Dibuat kosong",IF(NOT(ISNUMBER('PC 08'!I488)),"Tgl Dibuat harus tanggal","")),IF(AND('PC 08'!J488&lt;&gt;"",NOT(ISNUMBER('PC 08'!J488))),"Tgl Publish harus tanggal",""),IF(AND(ISNUMBER('PC 08'!I488),ISNUMBER('PC 08'!J488),'PC 08'!J488&lt;'PC 08'!I488),"Tgl Publish &lt; Tgl Dibuat",""),IF(AND('PC 08'!K488&lt;&gt;"",ISERROR(MATCH(TRIM('PC 08'!K488),{"Draft","Menunggu Review","Revisi","Terjadwal","Publish","Batal","Published"},0))),"Status di luar daftar","")))</f>
        <v>#ERROR!</v>
      </c>
      <c r="D488" s="5" t="str">
        <f>IF(C488="","OK","ADA MASALAH")</f>
        <v>#ERROR!</v>
      </c>
    </row>
    <row r="489">
      <c r="A489" s="4">
        <v>489.0</v>
      </c>
      <c r="B489" s="5" t="str">
        <f>'PC 08'!A489</f>
        <v/>
      </c>
      <c r="C489" s="5" t="str">
        <f>IF(COUNTA('PC 08'!A489:L489)=0,"",TEXTJOIN(" | ",TRUE,IF('PC 08'!A489="","Worker ID kosong",""),IF('PC 08'!B489="","Update Date kosong",IF(NOT(ISNUMBER('PC 08'!B489)),"Update Date harus tanggal","")),IF('PC 08'!D489="","Judul kosong",""),IF('PC 08'!F489="","Genre kosong",IF(ISERROR(MATCH(TRIM('PC 08'!F489),{"Pop","Rock","Dangdut","K-Pop","Electronic","Nasional","Daerah"},0)),"Genre di luar daftar","")),IF('PC 08'!G489="","Nama Channel kosong",""),IF('PC 08'!H489="","Link kosong",IF(ISERROR(FIND("youtu",LOWER('PC 08'!H489))),"Link bukan youtube","")),IF('PC 08'!I489="","Tgl Dibuat kosong",IF(NOT(ISNUMBER('PC 08'!I489)),"Tgl Dibuat harus tanggal","")),IF(AND('PC 08'!J489&lt;&gt;"",NOT(ISNUMBER('PC 08'!J489))),"Tgl Publish harus tanggal",""),IF(AND(ISNUMBER('PC 08'!I489),ISNUMBER('PC 08'!J489),'PC 08'!J489&lt;'PC 08'!I489),"Tgl Publish &lt; Tgl Dibuat",""),IF(AND('PC 08'!K489&lt;&gt;"",ISERROR(MATCH(TRIM('PC 08'!K489),{"Draft","Menunggu Review","Revisi","Terjadwal","Publish","Batal","Published"},0))),"Status di luar daftar","")))</f>
        <v>#ERROR!</v>
      </c>
      <c r="D489" s="5" t="str">
        <f>IF(C489="","OK","ADA MASALAH")</f>
        <v>#ERROR!</v>
      </c>
    </row>
    <row r="490">
      <c r="A490" s="4">
        <v>490.0</v>
      </c>
      <c r="B490" s="5" t="str">
        <f>'PC 08'!A490</f>
        <v/>
      </c>
      <c r="C490" s="5" t="str">
        <f>IF(COUNTA('PC 08'!A490:L490)=0,"",TEXTJOIN(" | ",TRUE,IF('PC 08'!A490="","Worker ID kosong",""),IF('PC 08'!B490="","Update Date kosong",IF(NOT(ISNUMBER('PC 08'!B490)),"Update Date harus tanggal","")),IF('PC 08'!D490="","Judul kosong",""),IF('PC 08'!F490="","Genre kosong",IF(ISERROR(MATCH(TRIM('PC 08'!F490),{"Pop","Rock","Dangdut","K-Pop","Electronic","Nasional","Daerah"},0)),"Genre di luar daftar","")),IF('PC 08'!G490="","Nama Channel kosong",""),IF('PC 08'!H490="","Link kosong",IF(ISERROR(FIND("youtu",LOWER('PC 08'!H490))),"Link bukan youtube","")),IF('PC 08'!I490="","Tgl Dibuat kosong",IF(NOT(ISNUMBER('PC 08'!I490)),"Tgl Dibuat harus tanggal","")),IF(AND('PC 08'!J490&lt;&gt;"",NOT(ISNUMBER('PC 08'!J490))),"Tgl Publish harus tanggal",""),IF(AND(ISNUMBER('PC 08'!I490),ISNUMBER('PC 08'!J490),'PC 08'!J490&lt;'PC 08'!I490),"Tgl Publish &lt; Tgl Dibuat",""),IF(AND('PC 08'!K490&lt;&gt;"",ISERROR(MATCH(TRIM('PC 08'!K490),{"Draft","Menunggu Review","Revisi","Terjadwal","Publish","Batal","Published"},0))),"Status di luar daftar","")))</f>
        <v>#ERROR!</v>
      </c>
      <c r="D490" s="5" t="str">
        <f>IF(C490="","OK","ADA MASALAH")</f>
        <v>#ERROR!</v>
      </c>
    </row>
    <row r="491">
      <c r="A491" s="4">
        <v>491.0</v>
      </c>
      <c r="B491" s="5" t="str">
        <f>'PC 08'!A491</f>
        <v/>
      </c>
      <c r="C491" s="5" t="str">
        <f>IF(COUNTA('PC 08'!A491:L491)=0,"",TEXTJOIN(" | ",TRUE,IF('PC 08'!A491="","Worker ID kosong",""),IF('PC 08'!B491="","Update Date kosong",IF(NOT(ISNUMBER('PC 08'!B491)),"Update Date harus tanggal","")),IF('PC 08'!D491="","Judul kosong",""),IF('PC 08'!F491="","Genre kosong",IF(ISERROR(MATCH(TRIM('PC 08'!F491),{"Pop","Rock","Dangdut","K-Pop","Electronic","Nasional","Daerah"},0)),"Genre di luar daftar","")),IF('PC 08'!G491="","Nama Channel kosong",""),IF('PC 08'!H491="","Link kosong",IF(ISERROR(FIND("youtu",LOWER('PC 08'!H491))),"Link bukan youtube","")),IF('PC 08'!I491="","Tgl Dibuat kosong",IF(NOT(ISNUMBER('PC 08'!I491)),"Tgl Dibuat harus tanggal","")),IF(AND('PC 08'!J491&lt;&gt;"",NOT(ISNUMBER('PC 08'!J491))),"Tgl Publish harus tanggal",""),IF(AND(ISNUMBER('PC 08'!I491),ISNUMBER('PC 08'!J491),'PC 08'!J491&lt;'PC 08'!I491),"Tgl Publish &lt; Tgl Dibuat",""),IF(AND('PC 08'!K491&lt;&gt;"",ISERROR(MATCH(TRIM('PC 08'!K491),{"Draft","Menunggu Review","Revisi","Terjadwal","Publish","Batal","Published"},0))),"Status di luar daftar","")))</f>
        <v>#ERROR!</v>
      </c>
      <c r="D491" s="5" t="str">
        <f>IF(C491="","OK","ADA MASALAH")</f>
        <v>#ERROR!</v>
      </c>
    </row>
    <row r="492">
      <c r="A492" s="4">
        <v>492.0</v>
      </c>
      <c r="B492" s="5" t="str">
        <f>'PC 08'!A492</f>
        <v/>
      </c>
      <c r="C492" s="5" t="str">
        <f>IF(COUNTA('PC 08'!A492:L492)=0,"",TEXTJOIN(" | ",TRUE,IF('PC 08'!A492="","Worker ID kosong",""),IF('PC 08'!B492="","Update Date kosong",IF(NOT(ISNUMBER('PC 08'!B492)),"Update Date harus tanggal","")),IF('PC 08'!D492="","Judul kosong",""),IF('PC 08'!F492="","Genre kosong",IF(ISERROR(MATCH(TRIM('PC 08'!F492),{"Pop","Rock","Dangdut","K-Pop","Electronic","Nasional","Daerah"},0)),"Genre di luar daftar","")),IF('PC 08'!G492="","Nama Channel kosong",""),IF('PC 08'!H492="","Link kosong",IF(ISERROR(FIND("youtu",LOWER('PC 08'!H492))),"Link bukan youtube","")),IF('PC 08'!I492="","Tgl Dibuat kosong",IF(NOT(ISNUMBER('PC 08'!I492)),"Tgl Dibuat harus tanggal","")),IF(AND('PC 08'!J492&lt;&gt;"",NOT(ISNUMBER('PC 08'!J492))),"Tgl Publish harus tanggal",""),IF(AND(ISNUMBER('PC 08'!I492),ISNUMBER('PC 08'!J492),'PC 08'!J492&lt;'PC 08'!I492),"Tgl Publish &lt; Tgl Dibuat",""),IF(AND('PC 08'!K492&lt;&gt;"",ISERROR(MATCH(TRIM('PC 08'!K492),{"Draft","Menunggu Review","Revisi","Terjadwal","Publish","Batal","Published"},0))),"Status di luar daftar","")))</f>
        <v>#ERROR!</v>
      </c>
      <c r="D492" s="5" t="str">
        <f>IF(C492="","OK","ADA MASALAH")</f>
        <v>#ERROR!</v>
      </c>
    </row>
    <row r="493">
      <c r="A493" s="4">
        <v>493.0</v>
      </c>
      <c r="B493" s="5" t="str">
        <f>'PC 08'!A493</f>
        <v/>
      </c>
      <c r="C493" s="5" t="str">
        <f>IF(COUNTA('PC 08'!A493:L493)=0,"",TEXTJOIN(" | ",TRUE,IF('PC 08'!A493="","Worker ID kosong",""),IF('PC 08'!B493="","Update Date kosong",IF(NOT(ISNUMBER('PC 08'!B493)),"Update Date harus tanggal","")),IF('PC 08'!D493="","Judul kosong",""),IF('PC 08'!F493="","Genre kosong",IF(ISERROR(MATCH(TRIM('PC 08'!F493),{"Pop","Rock","Dangdut","K-Pop","Electronic","Nasional","Daerah"},0)),"Genre di luar daftar","")),IF('PC 08'!G493="","Nama Channel kosong",""),IF('PC 08'!H493="","Link kosong",IF(ISERROR(FIND("youtu",LOWER('PC 08'!H493))),"Link bukan youtube","")),IF('PC 08'!I493="","Tgl Dibuat kosong",IF(NOT(ISNUMBER('PC 08'!I493)),"Tgl Dibuat harus tanggal","")),IF(AND('PC 08'!J493&lt;&gt;"",NOT(ISNUMBER('PC 08'!J493))),"Tgl Publish harus tanggal",""),IF(AND(ISNUMBER('PC 08'!I493),ISNUMBER('PC 08'!J493),'PC 08'!J493&lt;'PC 08'!I493),"Tgl Publish &lt; Tgl Dibuat",""),IF(AND('PC 08'!K493&lt;&gt;"",ISERROR(MATCH(TRIM('PC 08'!K493),{"Draft","Menunggu Review","Revisi","Terjadwal","Publish","Batal","Published"},0))),"Status di luar daftar","")))</f>
        <v>#ERROR!</v>
      </c>
      <c r="D493" s="5" t="str">
        <f>IF(C493="","OK","ADA MASALAH")</f>
        <v>#ERROR!</v>
      </c>
    </row>
    <row r="494">
      <c r="A494" s="4">
        <v>494.0</v>
      </c>
      <c r="B494" s="5" t="str">
        <f>'PC 08'!A494</f>
        <v/>
      </c>
      <c r="C494" s="5" t="str">
        <f>IF(COUNTA('PC 08'!A494:L494)=0,"",TEXTJOIN(" | ",TRUE,IF('PC 08'!A494="","Worker ID kosong",""),IF('PC 08'!B494="","Update Date kosong",IF(NOT(ISNUMBER('PC 08'!B494)),"Update Date harus tanggal","")),IF('PC 08'!D494="","Judul kosong",""),IF('PC 08'!F494="","Genre kosong",IF(ISERROR(MATCH(TRIM('PC 08'!F494),{"Pop","Rock","Dangdut","K-Pop","Electronic","Nasional","Daerah"},0)),"Genre di luar daftar","")),IF('PC 08'!G494="","Nama Channel kosong",""),IF('PC 08'!H494="","Link kosong",IF(ISERROR(FIND("youtu",LOWER('PC 08'!H494))),"Link bukan youtube","")),IF('PC 08'!I494="","Tgl Dibuat kosong",IF(NOT(ISNUMBER('PC 08'!I494)),"Tgl Dibuat harus tanggal","")),IF(AND('PC 08'!J494&lt;&gt;"",NOT(ISNUMBER('PC 08'!J494))),"Tgl Publish harus tanggal",""),IF(AND(ISNUMBER('PC 08'!I494),ISNUMBER('PC 08'!J494),'PC 08'!J494&lt;'PC 08'!I494),"Tgl Publish &lt; Tgl Dibuat",""),IF(AND('PC 08'!K494&lt;&gt;"",ISERROR(MATCH(TRIM('PC 08'!K494),{"Draft","Menunggu Review","Revisi","Terjadwal","Publish","Batal","Published"},0))),"Status di luar daftar","")))</f>
        <v>#ERROR!</v>
      </c>
      <c r="D494" s="5" t="str">
        <f>IF(C494="","OK","ADA MASALAH")</f>
        <v>#ERROR!</v>
      </c>
    </row>
    <row r="495">
      <c r="A495" s="4">
        <v>495.0</v>
      </c>
      <c r="B495" s="5" t="str">
        <f>'PC 08'!A495</f>
        <v/>
      </c>
      <c r="C495" s="5" t="str">
        <f>IF(COUNTA('PC 08'!A495:L495)=0,"",TEXTJOIN(" | ",TRUE,IF('PC 08'!A495="","Worker ID kosong",""),IF('PC 08'!B495="","Update Date kosong",IF(NOT(ISNUMBER('PC 08'!B495)),"Update Date harus tanggal","")),IF('PC 08'!D495="","Judul kosong",""),IF('PC 08'!F495="","Genre kosong",IF(ISERROR(MATCH(TRIM('PC 08'!F495),{"Pop","Rock","Dangdut","K-Pop","Electronic","Nasional","Daerah"},0)),"Genre di luar daftar","")),IF('PC 08'!G495="","Nama Channel kosong",""),IF('PC 08'!H495="","Link kosong",IF(ISERROR(FIND("youtu",LOWER('PC 08'!H495))),"Link bukan youtube","")),IF('PC 08'!I495="","Tgl Dibuat kosong",IF(NOT(ISNUMBER('PC 08'!I495)),"Tgl Dibuat harus tanggal","")),IF(AND('PC 08'!J495&lt;&gt;"",NOT(ISNUMBER('PC 08'!J495))),"Tgl Publish harus tanggal",""),IF(AND(ISNUMBER('PC 08'!I495),ISNUMBER('PC 08'!J495),'PC 08'!J495&lt;'PC 08'!I495),"Tgl Publish &lt; Tgl Dibuat",""),IF(AND('PC 08'!K495&lt;&gt;"",ISERROR(MATCH(TRIM('PC 08'!K495),{"Draft","Menunggu Review","Revisi","Terjadwal","Publish","Batal","Published"},0))),"Status di luar daftar","")))</f>
        <v>#ERROR!</v>
      </c>
      <c r="D495" s="5" t="str">
        <f>IF(C495="","OK","ADA MASALAH")</f>
        <v>#ERROR!</v>
      </c>
    </row>
    <row r="496">
      <c r="A496" s="4">
        <v>496.0</v>
      </c>
      <c r="B496" s="5" t="str">
        <f>'PC 08'!A496</f>
        <v/>
      </c>
      <c r="C496" s="5" t="str">
        <f>IF(COUNTA('PC 08'!A496:L496)=0,"",TEXTJOIN(" | ",TRUE,IF('PC 08'!A496="","Worker ID kosong",""),IF('PC 08'!B496="","Update Date kosong",IF(NOT(ISNUMBER('PC 08'!B496)),"Update Date harus tanggal","")),IF('PC 08'!D496="","Judul kosong",""),IF('PC 08'!F496="","Genre kosong",IF(ISERROR(MATCH(TRIM('PC 08'!F496),{"Pop","Rock","Dangdut","K-Pop","Electronic","Nasional","Daerah"},0)),"Genre di luar daftar","")),IF('PC 08'!G496="","Nama Channel kosong",""),IF('PC 08'!H496="","Link kosong",IF(ISERROR(FIND("youtu",LOWER('PC 08'!H496))),"Link bukan youtube","")),IF('PC 08'!I496="","Tgl Dibuat kosong",IF(NOT(ISNUMBER('PC 08'!I496)),"Tgl Dibuat harus tanggal","")),IF(AND('PC 08'!J496&lt;&gt;"",NOT(ISNUMBER('PC 08'!J496))),"Tgl Publish harus tanggal",""),IF(AND(ISNUMBER('PC 08'!I496),ISNUMBER('PC 08'!J496),'PC 08'!J496&lt;'PC 08'!I496),"Tgl Publish &lt; Tgl Dibuat",""),IF(AND('PC 08'!K496&lt;&gt;"",ISERROR(MATCH(TRIM('PC 08'!K496),{"Draft","Menunggu Review","Revisi","Terjadwal","Publish","Batal","Published"},0))),"Status di luar daftar","")))</f>
        <v>#ERROR!</v>
      </c>
      <c r="D496" s="5" t="str">
        <f>IF(C496="","OK","ADA MASALAH")</f>
        <v>#ERROR!</v>
      </c>
    </row>
    <row r="497">
      <c r="A497" s="4">
        <v>497.0</v>
      </c>
      <c r="B497" s="5" t="str">
        <f>'PC 08'!A497</f>
        <v/>
      </c>
      <c r="C497" s="5" t="str">
        <f>IF(COUNTA('PC 08'!A497:L497)=0,"",TEXTJOIN(" | ",TRUE,IF('PC 08'!A497="","Worker ID kosong",""),IF('PC 08'!B497="","Update Date kosong",IF(NOT(ISNUMBER('PC 08'!B497)),"Update Date harus tanggal","")),IF('PC 08'!D497="","Judul kosong",""),IF('PC 08'!F497="","Genre kosong",IF(ISERROR(MATCH(TRIM('PC 08'!F497),{"Pop","Rock","Dangdut","K-Pop","Electronic","Nasional","Daerah"},0)),"Genre di luar daftar","")),IF('PC 08'!G497="","Nama Channel kosong",""),IF('PC 08'!H497="","Link kosong",IF(ISERROR(FIND("youtu",LOWER('PC 08'!H497))),"Link bukan youtube","")),IF('PC 08'!I497="","Tgl Dibuat kosong",IF(NOT(ISNUMBER('PC 08'!I497)),"Tgl Dibuat harus tanggal","")),IF(AND('PC 08'!J497&lt;&gt;"",NOT(ISNUMBER('PC 08'!J497))),"Tgl Publish harus tanggal",""),IF(AND(ISNUMBER('PC 08'!I497),ISNUMBER('PC 08'!J497),'PC 08'!J497&lt;'PC 08'!I497),"Tgl Publish &lt; Tgl Dibuat",""),IF(AND('PC 08'!K497&lt;&gt;"",ISERROR(MATCH(TRIM('PC 08'!K497),{"Draft","Menunggu Review","Revisi","Terjadwal","Publish","Batal","Published"},0))),"Status di luar daftar","")))</f>
        <v>#ERROR!</v>
      </c>
      <c r="D497" s="5" t="str">
        <f>IF(C497="","OK","ADA MASALAH")</f>
        <v>#ERROR!</v>
      </c>
    </row>
    <row r="498">
      <c r="A498" s="4">
        <v>498.0</v>
      </c>
      <c r="B498" s="5" t="str">
        <f>'PC 08'!A498</f>
        <v/>
      </c>
      <c r="C498" s="5" t="str">
        <f>IF(COUNTA('PC 08'!A498:L498)=0,"",TEXTJOIN(" | ",TRUE,IF('PC 08'!A498="","Worker ID kosong",""),IF('PC 08'!B498="","Update Date kosong",IF(NOT(ISNUMBER('PC 08'!B498)),"Update Date harus tanggal","")),IF('PC 08'!D498="","Judul kosong",""),IF('PC 08'!F498="","Genre kosong",IF(ISERROR(MATCH(TRIM('PC 08'!F498),{"Pop","Rock","Dangdut","K-Pop","Electronic","Nasional","Daerah"},0)),"Genre di luar daftar","")),IF('PC 08'!G498="","Nama Channel kosong",""),IF('PC 08'!H498="","Link kosong",IF(ISERROR(FIND("youtu",LOWER('PC 08'!H498))),"Link bukan youtube","")),IF('PC 08'!I498="","Tgl Dibuat kosong",IF(NOT(ISNUMBER('PC 08'!I498)),"Tgl Dibuat harus tanggal","")),IF(AND('PC 08'!J498&lt;&gt;"",NOT(ISNUMBER('PC 08'!J498))),"Tgl Publish harus tanggal",""),IF(AND(ISNUMBER('PC 08'!I498),ISNUMBER('PC 08'!J498),'PC 08'!J498&lt;'PC 08'!I498),"Tgl Publish &lt; Tgl Dibuat",""),IF(AND('PC 08'!K498&lt;&gt;"",ISERROR(MATCH(TRIM('PC 08'!K498),{"Draft","Menunggu Review","Revisi","Terjadwal","Publish","Batal","Published"},0))),"Status di luar daftar","")))</f>
        <v>#ERROR!</v>
      </c>
      <c r="D498" s="5" t="str">
        <f>IF(C498="","OK","ADA MASALAH")</f>
        <v>#ERROR!</v>
      </c>
    </row>
    <row r="499">
      <c r="A499" s="4">
        <v>499.0</v>
      </c>
      <c r="B499" s="5" t="str">
        <f>'PC 08'!A499</f>
        <v/>
      </c>
      <c r="C499" s="5" t="str">
        <f>IF(COUNTA('PC 08'!A499:L499)=0,"",TEXTJOIN(" | ",TRUE,IF('PC 08'!A499="","Worker ID kosong",""),IF('PC 08'!B499="","Update Date kosong",IF(NOT(ISNUMBER('PC 08'!B499)),"Update Date harus tanggal","")),IF('PC 08'!D499="","Judul kosong",""),IF('PC 08'!F499="","Genre kosong",IF(ISERROR(MATCH(TRIM('PC 08'!F499),{"Pop","Rock","Dangdut","K-Pop","Electronic","Nasional","Daerah"},0)),"Genre di luar daftar","")),IF('PC 08'!G499="","Nama Channel kosong",""),IF('PC 08'!H499="","Link kosong",IF(ISERROR(FIND("youtu",LOWER('PC 08'!H499))),"Link bukan youtube","")),IF('PC 08'!I499="","Tgl Dibuat kosong",IF(NOT(ISNUMBER('PC 08'!I499)),"Tgl Dibuat harus tanggal","")),IF(AND('PC 08'!J499&lt;&gt;"",NOT(ISNUMBER('PC 08'!J499))),"Tgl Publish harus tanggal",""),IF(AND(ISNUMBER('PC 08'!I499),ISNUMBER('PC 08'!J499),'PC 08'!J499&lt;'PC 08'!I499),"Tgl Publish &lt; Tgl Dibuat",""),IF(AND('PC 08'!K499&lt;&gt;"",ISERROR(MATCH(TRIM('PC 08'!K499),{"Draft","Menunggu Review","Revisi","Terjadwal","Publish","Batal","Published"},0))),"Status di luar daftar","")))</f>
        <v>#ERROR!</v>
      </c>
      <c r="D499" s="5" t="str">
        <f>IF(C499="","OK","ADA MASALAH")</f>
        <v>#ERROR!</v>
      </c>
    </row>
    <row r="500">
      <c r="A500" s="4">
        <v>500.0</v>
      </c>
      <c r="B500" s="5" t="str">
        <f>'PC 08'!A500</f>
        <v/>
      </c>
      <c r="C500" s="5" t="str">
        <f>IF(COUNTA('PC 08'!A500:L500)=0,"",TEXTJOIN(" | ",TRUE,IF('PC 08'!A500="","Worker ID kosong",""),IF('PC 08'!B500="","Update Date kosong",IF(NOT(ISNUMBER('PC 08'!B500)),"Update Date harus tanggal","")),IF('PC 08'!D500="","Judul kosong",""),IF('PC 08'!F500="","Genre kosong",IF(ISERROR(MATCH(TRIM('PC 08'!F500),{"Pop","Rock","Dangdut","K-Pop","Electronic","Nasional","Daerah"},0)),"Genre di luar daftar","")),IF('PC 08'!G500="","Nama Channel kosong",""),IF('PC 08'!H500="","Link kosong",IF(ISERROR(FIND("youtu",LOWER('PC 08'!H500))),"Link bukan youtube","")),IF('PC 08'!I500="","Tgl Dibuat kosong",IF(NOT(ISNUMBER('PC 08'!I500)),"Tgl Dibuat harus tanggal","")),IF(AND('PC 08'!J500&lt;&gt;"",NOT(ISNUMBER('PC 08'!J500))),"Tgl Publish harus tanggal",""),IF(AND(ISNUMBER('PC 08'!I500),ISNUMBER('PC 08'!J500),'PC 08'!J500&lt;'PC 08'!I500),"Tgl Publish &lt; Tgl Dibuat",""),IF(AND('PC 08'!K500&lt;&gt;"",ISERROR(MATCH(TRIM('PC 08'!K500),{"Draft","Menunggu Review","Revisi","Terjadwal","Publish","Batal","Published"},0))),"Status di luar daftar","")))</f>
        <v>#ERROR!</v>
      </c>
      <c r="D500" s="5" t="str">
        <f>IF(C500="","OK","ADA MASALAH")</f>
        <v>#ERROR!</v>
      </c>
    </row>
  </sheetData>
  <conditionalFormatting sqref="A2:D500">
    <cfRule type="expression" dxfId="0" priority="1" stopIfTrue="1">
      <formula>$C2&lt;&gt;""</formula>
    </cfRule>
  </conditionalFormatting>
  <drawing r:id="rId1"/>
</worksheet>
</file>