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02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<sst xmlns="http://schemas.openxmlformats.org/spreadsheetml/2006/main" count="17" uniqueCount="16">
  <si>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Worker ID</t>
  </si>
  <si>
    <t>Baris</t>
  </si>
  <si>
    <t>Update Date</t>
  </si>
  <si>
    <t xml:space="preserve">Song ID YT </t>
  </si>
  <si>
    <t>Judul Lagu Kompilasi</t>
  </si>
  <si>
    <t>Aggregator</t>
  </si>
  <si>
    <t>Masalah Ditemukan</t>
  </si>
  <si>
    <t>Status Baris</t>
  </si>
  <si>
    <t xml:space="preserve">Genre </t>
  </si>
  <si>
    <t>Nama Channel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</si>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</sst>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  <c r="H1" s="4" t="s">
        <v>10</v>
      </c>
      <c r="I1" s="4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>
      <c r="E2" s="5"/>
      <c r="L2" s="5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2" t="s">
        <v>1</v>
      </c>
      <c r="B1" s="2" t="s">
        <v>0</v>
      </c>
      <c r="C1" s="2" t="s">
        <v>6</v>
      </c>
      <c r="D1" s="2" t="s">
        <v>7</v>
      </c>
    </row>
    <row r="2">
      <c r="A2" s="3">
        <v>2.0</v>
      </c>
      <c r="B2" s="5" t="str">
        <f>'PC 02'!A2</f>
        <v/>
      </c>
      <c r="C2" s="5" t="str">
        <f>IF(COUNTA('PC 02'!A2:L2)=0,"",TEXTJOIN(" | ",TRUE,IF('PC 02'!A2="","Worker ID kosong",""),IF('PC 02'!B2="","Update Date kosong",IF(NOT(ISNUMBER('PC 02'!B2)),"Update Date harus tanggal","")),IF('PC 02'!D2="","Judul kosong",""),IF('PC 02'!F2="","Genre kosong",IF(ISERROR(MATCH(TRIM('PC 02'!F2),{"Pop","Rock","Dangdut","K-Pop","Electronic","Nasional","Daerah"},0)),"Genre di luar daftar","")),IF('PC 02'!G2="","Nama Channel kosong",""),IF('PC 02'!H2="","Link kosong",IF(ISERROR(FIND("youtu",LOWER('PC 02'!H2))),"Link bukan youtube","")),IF('PC 02'!I2="","Tgl Dibuat kosong",IF(NOT(ISNUMBER('PC 02'!I2)),"Tgl Dibuat harus tanggal","")),IF(AND('PC 02'!J2&lt;&gt;"",NOT(ISNUMBER('PC 02'!J2))),"Tgl Publish harus tanggal",""),IF(AND(ISNUMBER('PC 02'!I2),ISNUMBER('PC 02'!J2),'PC 02'!J2&lt;'PC 02'!I2),"Tgl Publish &lt; Tgl Dibuat",""),IF(AND('PC 02'!K2&lt;&gt;"",ISERROR(MATCH(TRIM('PC 02'!K2),{"Draft","Menunggu Review","Revisi","Terjadwal","Publish","Batal","Published"},0))),"Status di luar daftar","")))</f>
        <v>#ERROR!</v>
      </c>
      <c r="D2" s="5" t="str">
        <f>IF(C2="","OK","ADA MASALAH")</f>
        <v>#ERROR!</v>
      </c>
    </row>
    <row r="3">
      <c r="A3" s="3">
        <v>3.0</v>
      </c>
      <c r="B3" s="5" t="str">
        <f>'PC 02'!A3</f>
        <v/>
      </c>
      <c r="C3" s="5" t="str">
        <f>IF(COUNTA('PC 02'!A3:L3)=0,"",TEXTJOIN(" | ",TRUE,IF('PC 02'!A3="","Worker ID kosong",""),IF('PC 02'!B3="","Update Date kosong",IF(NOT(ISNUMBER('PC 02'!B3)),"Update Date harus tanggal","")),IF('PC 02'!D3="","Judul kosong",""),IF('PC 02'!F3="","Genre kosong",IF(ISERROR(MATCH(TRIM('PC 02'!F3),{"Pop","Rock","Dangdut","K-Pop","Electronic","Nasional","Daerah"},0)),"Genre di luar daftar","")),IF('PC 02'!G3="","Nama Channel kosong",""),IF('PC 02'!H3="","Link kosong",IF(ISERROR(FIND("youtu",LOWER('PC 02'!H3))),"Link bukan youtube","")),IF('PC 02'!I3="","Tgl Dibuat kosong",IF(NOT(ISNUMBER('PC 02'!I3)),"Tgl Dibuat harus tanggal","")),IF(AND('PC 02'!J3&lt;&gt;"",NOT(ISNUMBER('PC 02'!J3))),"Tgl Publish harus tanggal",""),IF(AND(ISNUMBER('PC 02'!I3),ISNUMBER('PC 02'!J3),'PC 02'!J3&lt;'PC 02'!I3),"Tgl Publish &lt; Tgl Dibuat",""),IF(AND('PC 02'!K3&lt;&gt;"",ISERROR(MATCH(TRIM('PC 02'!K3),{"Draft","Menunggu Review","Revisi","Terjadwal","Publish","Batal","Published"},0))),"Status di luar daftar","")))</f>
        <v>#ERROR!</v>
      </c>
      <c r="D3" s="5" t="str">
        <f>IF(C3="","OK","ADA MASALAH")</f>
        <v>#ERROR!</v>
      </c>
    </row>
    <row r="4">
      <c r="A4" s="3">
        <v>4.0</v>
      </c>
      <c r="B4" s="5" t="str">
        <f>'PC 02'!A4</f>
        <v/>
      </c>
      <c r="C4" s="5" t="str">
        <f>IF(COUNTA('PC 02'!A4:L4)=0,"",TEXTJOIN(" | ",TRUE,IF('PC 02'!A4="","Worker ID kosong",""),IF('PC 02'!B4="","Update Date kosong",IF(NOT(ISNUMBER('PC 02'!B4)),"Update Date harus tanggal","")),IF('PC 02'!D4="","Judul kosong",""),IF('PC 02'!F4="","Genre kosong",IF(ISERROR(MATCH(TRIM('PC 02'!F4),{"Pop","Rock","Dangdut","K-Pop","Electronic","Nasional","Daerah"},0)),"Genre di luar daftar","")),IF('PC 02'!G4="","Nama Channel kosong",""),IF('PC 02'!H4="","Link kosong",IF(ISERROR(FIND("youtu",LOWER('PC 02'!H4))),"Link bukan youtube","")),IF('PC 02'!I4="","Tgl Dibuat kosong",IF(NOT(ISNUMBER('PC 02'!I4)),"Tgl Dibuat harus tanggal","")),IF(AND('PC 02'!J4&lt;&gt;"",NOT(ISNUMBER('PC 02'!J4))),"Tgl Publish harus tanggal",""),IF(AND(ISNUMBER('PC 02'!I4),ISNUMBER('PC 02'!J4),'PC 02'!J4&lt;'PC 02'!I4),"Tgl Publish &lt; Tgl Dibuat",""),IF(AND('PC 02'!K4&lt;&gt;"",ISERROR(MATCH(TRIM('PC 02'!K4),{"Draft","Menunggu Review","Revisi","Terjadwal","Publish","Batal","Published"},0))),"Status di luar daftar","")))</f>
        <v>#ERROR!</v>
      </c>
      <c r="D4" s="5" t="str">
        <f>IF(C4="","OK","ADA MASALAH")</f>
        <v>#ERROR!</v>
      </c>
    </row>
    <row r="5">
      <c r="A5" s="3">
        <v>5.0</v>
      </c>
      <c r="B5" s="5" t="str">
        <f>'PC 02'!A5</f>
        <v/>
      </c>
      <c r="C5" s="5" t="str">
        <f>IF(COUNTA('PC 02'!A5:L5)=0,"",TEXTJOIN(" | ",TRUE,IF('PC 02'!A5="","Worker ID kosong",""),IF('PC 02'!B5="","Update Date kosong",IF(NOT(ISNUMBER('PC 02'!B5)),"Update Date harus tanggal","")),IF('PC 02'!D5="","Judul kosong",""),IF('PC 02'!F5="","Genre kosong",IF(ISERROR(MATCH(TRIM('PC 02'!F5),{"Pop","Rock","Dangdut","K-Pop","Electronic","Nasional","Daerah"},0)),"Genre di luar daftar","")),IF('PC 02'!G5="","Nama Channel kosong",""),IF('PC 02'!H5="","Link kosong",IF(ISERROR(FIND("youtu",LOWER('PC 02'!H5))),"Link bukan youtube","")),IF('PC 02'!I5="","Tgl Dibuat kosong",IF(NOT(ISNUMBER('PC 02'!I5)),"Tgl Dibuat harus tanggal","")),IF(AND('PC 02'!J5&lt;&gt;"",NOT(ISNUMBER('PC 02'!J5))),"Tgl Publish harus tanggal",""),IF(AND(ISNUMBER('PC 02'!I5),ISNUMBER('PC 02'!J5),'PC 02'!J5&lt;'PC 02'!I5),"Tgl Publish &lt; Tgl Dibuat",""),IF(AND('PC 02'!K5&lt;&gt;"",ISERROR(MATCH(TRIM('PC 02'!K5),{"Draft","Menunggu Review","Revisi","Terjadwal","Publish","Batal","Published"},0))),"Status di luar daftar","")))</f>
        <v>#ERROR!</v>
      </c>
      <c r="D5" s="5" t="str">
        <f>IF(C5="","OK","ADA MASALAH")</f>
        <v>#ERROR!</v>
      </c>
    </row>
    <row r="6">
      <c r="A6" s="3">
        <v>6.0</v>
      </c>
      <c r="B6" s="5" t="str">
        <f>'PC 02'!A6</f>
        <v/>
      </c>
      <c r="C6" s="5" t="str">
        <f>IF(COUNTA('PC 02'!A6:L6)=0,"",TEXTJOIN(" | ",TRUE,IF('PC 02'!A6="","Worker ID kosong",""),IF('PC 02'!B6="","Update Date kosong",IF(NOT(ISNUMBER('PC 02'!B6)),"Update Date harus tanggal","")),IF('PC 02'!D6="","Judul kosong",""),IF('PC 02'!F6="","Genre kosong",IF(ISERROR(MATCH(TRIM('PC 02'!F6),{"Pop","Rock","Dangdut","K-Pop","Electronic","Nasional","Daerah"},0)),"Genre di luar daftar","")),IF('PC 02'!G6="","Nama Channel kosong",""),IF('PC 02'!H6="","Link kosong",IF(ISERROR(FIND("youtu",LOWER('PC 02'!H6))),"Link bukan youtube","")),IF('PC 02'!I6="","Tgl Dibuat kosong",IF(NOT(ISNUMBER('PC 02'!I6)),"Tgl Dibuat harus tanggal","")),IF(AND('PC 02'!J6&lt;&gt;"",NOT(ISNUMBER('PC 02'!J6))),"Tgl Publish harus tanggal",""),IF(AND(ISNUMBER('PC 02'!I6),ISNUMBER('PC 02'!J6),'PC 02'!J6&lt;'PC 02'!I6),"Tgl Publish &lt; Tgl Dibuat",""),IF(AND('PC 02'!K6&lt;&gt;"",ISERROR(MATCH(TRIM('PC 02'!K6),{"Draft","Menunggu Review","Revisi","Terjadwal","Publish","Batal","Published"},0))),"Status di luar daftar","")))</f>
        <v>#ERROR!</v>
      </c>
      <c r="D6" s="5" t="str">
        <f>IF(C6="","OK","ADA MASALAH")</f>
        <v>#ERROR!</v>
      </c>
    </row>
    <row r="7">
      <c r="A7" s="3">
        <v>7.0</v>
      </c>
      <c r="B7" s="5" t="str">
        <f>'PC 02'!A7</f>
        <v/>
      </c>
      <c r="C7" s="5" t="str">
        <f>IF(COUNTA('PC 02'!A7:L7)=0,"",TEXTJOIN(" | ",TRUE,IF('PC 02'!A7="","Worker ID kosong",""),IF('PC 02'!B7="","Update Date kosong",IF(NOT(ISNUMBER('PC 02'!B7)),"Update Date harus tanggal","")),IF('PC 02'!D7="","Judul kosong",""),IF('PC 02'!F7="","Genre kosong",IF(ISERROR(MATCH(TRIM('PC 02'!F7),{"Pop","Rock","Dangdut","K-Pop","Electronic","Nasional","Daerah"},0)),"Genre di luar daftar","")),IF('PC 02'!G7="","Nama Channel kosong",""),IF('PC 02'!H7="","Link kosong",IF(ISERROR(FIND("youtu",LOWER('PC 02'!H7))),"Link bukan youtube","")),IF('PC 02'!I7="","Tgl Dibuat kosong",IF(NOT(ISNUMBER('PC 02'!I7)),"Tgl Dibuat harus tanggal","")),IF(AND('PC 02'!J7&lt;&gt;"",NOT(ISNUMBER('PC 02'!J7))),"Tgl Publish harus tanggal",""),IF(AND(ISNUMBER('PC 02'!I7),ISNUMBER('PC 02'!J7),'PC 02'!J7&lt;'PC 02'!I7),"Tgl Publish &lt; Tgl Dibuat",""),IF(AND('PC 02'!K7&lt;&gt;"",ISERROR(MATCH(TRIM('PC 02'!K7),{"Draft","Menunggu Review","Revisi","Terjadwal","Publish","Batal","Published"},0))),"Status di luar daftar","")))</f>
        <v>#ERROR!</v>
      </c>
      <c r="D7" s="5" t="str">
        <f>IF(C7="","OK","ADA MASALAH")</f>
        <v>#ERROR!</v>
      </c>
    </row>
    <row r="8">
      <c r="A8" s="3">
        <v>8.0</v>
      </c>
      <c r="B8" s="5" t="str">
        <f>'PC 02'!A8</f>
        <v/>
      </c>
      <c r="C8" s="5" t="str">
        <f>IF(COUNTA('PC 02'!A8:L8)=0,"",TEXTJOIN(" | ",TRUE,IF('PC 02'!A8="","Worker ID kosong",""),IF('PC 02'!B8="","Update Date kosong",IF(NOT(ISNUMBER('PC 02'!B8)),"Update Date harus tanggal","")),IF('PC 02'!D8="","Judul kosong",""),IF('PC 02'!F8="","Genre kosong",IF(ISERROR(MATCH(TRIM('PC 02'!F8),{"Pop","Rock","Dangdut","K-Pop","Electronic","Nasional","Daerah"},0)),"Genre di luar daftar","")),IF('PC 02'!G8="","Nama Channel kosong",""),IF('PC 02'!H8="","Link kosong",IF(ISERROR(FIND("youtu",LOWER('PC 02'!H8))),"Link bukan youtube","")),IF('PC 02'!I8="","Tgl Dibuat kosong",IF(NOT(ISNUMBER('PC 02'!I8)),"Tgl Dibuat harus tanggal","")),IF(AND('PC 02'!J8&lt;&gt;"",NOT(ISNUMBER('PC 02'!J8))),"Tgl Publish harus tanggal",""),IF(AND(ISNUMBER('PC 02'!I8),ISNUMBER('PC 02'!J8),'PC 02'!J8&lt;'PC 02'!I8),"Tgl Publish &lt; Tgl Dibuat",""),IF(AND('PC 02'!K8&lt;&gt;"",ISERROR(MATCH(TRIM('PC 02'!K8),{"Draft","Menunggu Review","Revisi","Terjadwal","Publish","Batal","Published"},0))),"Status di luar daftar","")))</f>
        <v>#ERROR!</v>
      </c>
      <c r="D8" s="5" t="str">
        <f>IF(C8="","OK","ADA MASALAH")</f>
        <v>#ERROR!</v>
      </c>
    </row>
    <row r="9">
      <c r="A9" s="3">
        <v>9.0</v>
      </c>
      <c r="B9" s="5" t="str">
        <f>'PC 02'!A9</f>
        <v/>
      </c>
      <c r="C9" s="5" t="str">
        <f>IF(COUNTA('PC 02'!A9:L9)=0,"",TEXTJOIN(" | ",TRUE,IF('PC 02'!A9="","Worker ID kosong",""),IF('PC 02'!B9="","Update Date kosong",IF(NOT(ISNUMBER('PC 02'!B9)),"Update Date harus tanggal","")),IF('PC 02'!D9="","Judul kosong",""),IF('PC 02'!F9="","Genre kosong",IF(ISERROR(MATCH(TRIM('PC 02'!F9),{"Pop","Rock","Dangdut","K-Pop","Electronic","Nasional","Daerah"},0)),"Genre di luar daftar","")),IF('PC 02'!G9="","Nama Channel kosong",""),IF('PC 02'!H9="","Link kosong",IF(ISERROR(FIND("youtu",LOWER('PC 02'!H9))),"Link bukan youtube","")),IF('PC 02'!I9="","Tgl Dibuat kosong",IF(NOT(ISNUMBER('PC 02'!I9)),"Tgl Dibuat harus tanggal","")),IF(AND('PC 02'!J9&lt;&gt;"",NOT(ISNUMBER('PC 02'!J9))),"Tgl Publish harus tanggal",""),IF(AND(ISNUMBER('PC 02'!I9),ISNUMBER('PC 02'!J9),'PC 02'!J9&lt;'PC 02'!I9),"Tgl Publish &lt; Tgl Dibuat",""),IF(AND('PC 02'!K9&lt;&gt;"",ISERROR(MATCH(TRIM('PC 02'!K9),{"Draft","Menunggu Review","Revisi","Terjadwal","Publish","Batal","Published"},0))),"Status di luar daftar","")))</f>
        <v>#ERROR!</v>
      </c>
      <c r="D9" s="5" t="str">
        <f>IF(C9="","OK","ADA MASALAH")</f>
        <v>#ERROR!</v>
      </c>
    </row>
    <row r="10">
      <c r="A10" s="3">
        <v>10.0</v>
      </c>
      <c r="B10" s="5" t="str">
        <f>'PC 02'!A10</f>
        <v/>
      </c>
      <c r="C10" s="5" t="str">
        <f>IF(COUNTA('PC 02'!A10:L10)=0,"",TEXTJOIN(" | ",TRUE,IF('PC 02'!A10="","Worker ID kosong",""),IF('PC 02'!B10="","Update Date kosong",IF(NOT(ISNUMBER('PC 02'!B10)),"Update Date harus tanggal","")),IF('PC 02'!D10="","Judul kosong",""),IF('PC 02'!F10="","Genre kosong",IF(ISERROR(MATCH(TRIM('PC 02'!F10),{"Pop","Rock","Dangdut","K-Pop","Electronic","Nasional","Daerah"},0)),"Genre di luar daftar","")),IF('PC 02'!G10="","Nama Channel kosong",""),IF('PC 02'!H10="","Link kosong",IF(ISERROR(FIND("youtu",LOWER('PC 02'!H10))),"Link bukan youtube","")),IF('PC 02'!I10="","Tgl Dibuat kosong",IF(NOT(ISNUMBER('PC 02'!I10)),"Tgl Dibuat harus tanggal","")),IF(AND('PC 02'!J10&lt;&gt;"",NOT(ISNUMBER('PC 02'!J10))),"Tgl Publish harus tanggal",""),IF(AND(ISNUMBER('PC 02'!I10),ISNUMBER('PC 02'!J10),'PC 02'!J10&lt;'PC 02'!I10),"Tgl Publish &lt; Tgl Dibuat",""),IF(AND('PC 02'!K10&lt;&gt;"",ISERROR(MATCH(TRIM('PC 02'!K10),{"Draft","Menunggu Review","Revisi","Terjadwal","Publish","Batal","Published"},0))),"Status di luar daftar","")))</f>
        <v>#ERROR!</v>
      </c>
      <c r="D10" s="5" t="str">
        <f>IF(C10="","OK","ADA MASALAH")</f>
        <v>#ERROR!</v>
      </c>
    </row>
    <row r="11">
      <c r="A11" s="3">
        <v>11.0</v>
      </c>
      <c r="B11" s="5" t="str">
        <f>'PC 02'!A11</f>
        <v/>
      </c>
      <c r="C11" s="5" t="str">
        <f>IF(COUNTA('PC 02'!A11:L11)=0,"",TEXTJOIN(" | ",TRUE,IF('PC 02'!A11="","Worker ID kosong",""),IF('PC 02'!B11="","Update Date kosong",IF(NOT(ISNUMBER('PC 02'!B11)),"Update Date harus tanggal","")),IF('PC 02'!D11="","Judul kosong",""),IF('PC 02'!F11="","Genre kosong",IF(ISERROR(MATCH(TRIM('PC 02'!F11),{"Pop","Rock","Dangdut","K-Pop","Electronic","Nasional","Daerah"},0)),"Genre di luar daftar","")),IF('PC 02'!G11="","Nama Channel kosong",""),IF('PC 02'!H11="","Link kosong",IF(ISERROR(FIND("youtu",LOWER('PC 02'!H11))),"Link bukan youtube","")),IF('PC 02'!I11="","Tgl Dibuat kosong",IF(NOT(ISNUMBER('PC 02'!I11)),"Tgl Dibuat harus tanggal","")),IF(AND('PC 02'!J11&lt;&gt;"",NOT(ISNUMBER('PC 02'!J11))),"Tgl Publish harus tanggal",""),IF(AND(ISNUMBER('PC 02'!I11),ISNUMBER('PC 02'!J11),'PC 02'!J11&lt;'PC 02'!I11),"Tgl Publish &lt; Tgl Dibuat",""),IF(AND('PC 02'!K11&lt;&gt;"",ISERROR(MATCH(TRIM('PC 02'!K11),{"Draft","Menunggu Review","Revisi","Terjadwal","Publish","Batal","Published"},0))),"Status di luar daftar","")))</f>
        <v>#ERROR!</v>
      </c>
      <c r="D11" s="5" t="str">
        <f>IF(C11="","OK","ADA MASALAH")</f>
        <v>#ERROR!</v>
      </c>
    </row>
    <row r="12">
      <c r="A12" s="3">
        <v>12.0</v>
      </c>
      <c r="B12" s="5" t="str">
        <f>'PC 02'!A12</f>
        <v/>
      </c>
      <c r="C12" s="5" t="str">
        <f>IF(COUNTA('PC 02'!A12:L12)=0,"",TEXTJOIN(" | ",TRUE,IF('PC 02'!A12="","Worker ID kosong",""),IF('PC 02'!B12="","Update Date kosong",IF(NOT(ISNUMBER('PC 02'!B12)),"Update Date harus tanggal","")),IF('PC 02'!D12="","Judul kosong",""),IF('PC 02'!F12="","Genre kosong",IF(ISERROR(MATCH(TRIM('PC 02'!F12),{"Pop","Rock","Dangdut","K-Pop","Electronic","Nasional","Daerah"},0)),"Genre di luar daftar","")),IF('PC 02'!G12="","Nama Channel kosong",""),IF('PC 02'!H12="","Link kosong",IF(ISERROR(FIND("youtu",LOWER('PC 02'!H12))),"Link bukan youtube","")),IF('PC 02'!I12="","Tgl Dibuat kosong",IF(NOT(ISNUMBER('PC 02'!I12)),"Tgl Dibuat harus tanggal","")),IF(AND('PC 02'!J12&lt;&gt;"",NOT(ISNUMBER('PC 02'!J12))),"Tgl Publish harus tanggal",""),IF(AND(ISNUMBER('PC 02'!I12),ISNUMBER('PC 02'!J12),'PC 02'!J12&lt;'PC 02'!I12),"Tgl Publish &lt; Tgl Dibuat",""),IF(AND('PC 02'!K12&lt;&gt;"",ISERROR(MATCH(TRIM('PC 02'!K12),{"Draft","Menunggu Review","Revisi","Terjadwal","Publish","Batal","Published"},0))),"Status di luar daftar","")))</f>
        <v>#ERROR!</v>
      </c>
      <c r="D12" s="5" t="str">
        <f>IF(C12="","OK","ADA MASALAH")</f>
        <v>#ERROR!</v>
      </c>
    </row>
    <row r="13">
      <c r="A13" s="3">
        <v>13.0</v>
      </c>
      <c r="B13" s="5" t="str">
        <f>'PC 02'!A13</f>
        <v/>
      </c>
      <c r="C13" s="5" t="str">
        <f>IF(COUNTA('PC 02'!A13:L13)=0,"",TEXTJOIN(" | ",TRUE,IF('PC 02'!A13="","Worker ID kosong",""),IF('PC 02'!B13="","Update Date kosong",IF(NOT(ISNUMBER('PC 02'!B13)),"Update Date harus tanggal","")),IF('PC 02'!D13="","Judul kosong",""),IF('PC 02'!F13="","Genre kosong",IF(ISERROR(MATCH(TRIM('PC 02'!F13),{"Pop","Rock","Dangdut","K-Pop","Electronic","Nasional","Daerah"},0)),"Genre di luar daftar","")),IF('PC 02'!G13="","Nama Channel kosong",""),IF('PC 02'!H13="","Link kosong",IF(ISERROR(FIND("youtu",LOWER('PC 02'!H13))),"Link bukan youtube","")),IF('PC 02'!I13="","Tgl Dibuat kosong",IF(NOT(ISNUMBER('PC 02'!I13)),"Tgl Dibuat harus tanggal","")),IF(AND('PC 02'!J13&lt;&gt;"",NOT(ISNUMBER('PC 02'!J13))),"Tgl Publish harus tanggal",""),IF(AND(ISNUMBER('PC 02'!I13),ISNUMBER('PC 02'!J13),'PC 02'!J13&lt;'PC 02'!I13),"Tgl Publish &lt; Tgl Dibuat",""),IF(AND('PC 02'!K13&lt;&gt;"",ISERROR(MATCH(TRIM('PC 02'!K13),{"Draft","Menunggu Review","Revisi","Terjadwal","Publish","Batal","Published"},0))),"Status di luar daftar","")))</f>
        <v>#ERROR!</v>
      </c>
      <c r="D13" s="5" t="str">
        <f>IF(C13="","OK","ADA MASALAH")</f>
        <v>#ERROR!</v>
      </c>
    </row>
    <row r="14">
      <c r="A14" s="3">
        <v>14.0</v>
      </c>
      <c r="B14" s="5" t="str">
        <f>'PC 02'!A14</f>
        <v/>
      </c>
      <c r="C14" s="5" t="str">
        <f>IF(COUNTA('PC 02'!A14:L14)=0,"",TEXTJOIN(" | ",TRUE,IF('PC 02'!A14="","Worker ID kosong",""),IF('PC 02'!B14="","Update Date kosong",IF(NOT(ISNUMBER('PC 02'!B14)),"Update Date harus tanggal","")),IF('PC 02'!D14="","Judul kosong",""),IF('PC 02'!F14="","Genre kosong",IF(ISERROR(MATCH(TRIM('PC 02'!F14),{"Pop","Rock","Dangdut","K-Pop","Electronic","Nasional","Daerah"},0)),"Genre di luar daftar","")),IF('PC 02'!G14="","Nama Channel kosong",""),IF('PC 02'!H14="","Link kosong",IF(ISERROR(FIND("youtu",LOWER('PC 02'!H14))),"Link bukan youtube","")),IF('PC 02'!I14="","Tgl Dibuat kosong",IF(NOT(ISNUMBER('PC 02'!I14)),"Tgl Dibuat harus tanggal","")),IF(AND('PC 02'!J14&lt;&gt;"",NOT(ISNUMBER('PC 02'!J14))),"Tgl Publish harus tanggal",""),IF(AND(ISNUMBER('PC 02'!I14),ISNUMBER('PC 02'!J14),'PC 02'!J14&lt;'PC 02'!I14),"Tgl Publish &lt; Tgl Dibuat",""),IF(AND('PC 02'!K14&lt;&gt;"",ISERROR(MATCH(TRIM('PC 02'!K14),{"Draft","Menunggu Review","Revisi","Terjadwal","Publish","Batal","Published"},0))),"Status di luar daftar","")))</f>
        <v>#ERROR!</v>
      </c>
      <c r="D14" s="5" t="str">
        <f>IF(C14="","OK","ADA MASALAH")</f>
        <v>#ERROR!</v>
      </c>
    </row>
    <row r="15">
      <c r="A15" s="3">
        <v>15.0</v>
      </c>
      <c r="B15" s="5" t="str">
        <f>'PC 02'!A15</f>
        <v/>
      </c>
      <c r="C15" s="5" t="str">
        <f>IF(COUNTA('PC 02'!A15:L15)=0,"",TEXTJOIN(" | ",TRUE,IF('PC 02'!A15="","Worker ID kosong",""),IF('PC 02'!B15="","Update Date kosong",IF(NOT(ISNUMBER('PC 02'!B15)),"Update Date harus tanggal","")),IF('PC 02'!D15="","Judul kosong",""),IF('PC 02'!F15="","Genre kosong",IF(ISERROR(MATCH(TRIM('PC 02'!F15),{"Pop","Rock","Dangdut","K-Pop","Electronic","Nasional","Daerah"},0)),"Genre di luar daftar","")),IF('PC 02'!G15="","Nama Channel kosong",""),IF('PC 02'!H15="","Link kosong",IF(ISERROR(FIND("youtu",LOWER('PC 02'!H15))),"Link bukan youtube","")),IF('PC 02'!I15="","Tgl Dibuat kosong",IF(NOT(ISNUMBER('PC 02'!I15)),"Tgl Dibuat harus tanggal","")),IF(AND('PC 02'!J15&lt;&gt;"",NOT(ISNUMBER('PC 02'!J15))),"Tgl Publish harus tanggal",""),IF(AND(ISNUMBER('PC 02'!I15),ISNUMBER('PC 02'!J15),'PC 02'!J15&lt;'PC 02'!I15),"Tgl Publish &lt; Tgl Dibuat",""),IF(AND('PC 02'!K15&lt;&gt;"",ISERROR(MATCH(TRIM('PC 02'!K15),{"Draft","Menunggu Review","Revisi","Terjadwal","Publish","Batal","Published"},0))),"Status di luar daftar","")))</f>
        <v>#ERROR!</v>
      </c>
      <c r="D15" s="5" t="str">
        <f>IF(C15="","OK","ADA MASALAH")</f>
        <v>#ERROR!</v>
      </c>
    </row>
    <row r="16">
      <c r="A16" s="3">
        <v>16.0</v>
      </c>
      <c r="B16" s="5" t="str">
        <f>'PC 02'!A16</f>
        <v/>
      </c>
      <c r="C16" s="5" t="str">
        <f>IF(COUNTA('PC 02'!A16:L16)=0,"",TEXTJOIN(" | ",TRUE,IF('PC 02'!A16="","Worker ID kosong",""),IF('PC 02'!B16="","Update Date kosong",IF(NOT(ISNUMBER('PC 02'!B16)),"Update Date harus tanggal","")),IF('PC 02'!D16="","Judul kosong",""),IF('PC 02'!F16="","Genre kosong",IF(ISERROR(MATCH(TRIM('PC 02'!F16),{"Pop","Rock","Dangdut","K-Pop","Electronic","Nasional","Daerah"},0)),"Genre di luar daftar","")),IF('PC 02'!G16="","Nama Channel kosong",""),IF('PC 02'!H16="","Link kosong",IF(ISERROR(FIND("youtu",LOWER('PC 02'!H16))),"Link bukan youtube","")),IF('PC 02'!I16="","Tgl Dibuat kosong",IF(NOT(ISNUMBER('PC 02'!I16)),"Tgl Dibuat harus tanggal","")),IF(AND('PC 02'!J16&lt;&gt;"",NOT(ISNUMBER('PC 02'!J16))),"Tgl Publish harus tanggal",""),IF(AND(ISNUMBER('PC 02'!I16),ISNUMBER('PC 02'!J16),'PC 02'!J16&lt;'PC 02'!I16),"Tgl Publish &lt; Tgl Dibuat",""),IF(AND('PC 02'!K16&lt;&gt;"",ISERROR(MATCH(TRIM('PC 02'!K16),{"Draft","Menunggu Review","Revisi","Terjadwal","Publish","Batal","Published"},0))),"Status di luar daftar","")))</f>
        <v>#ERROR!</v>
      </c>
      <c r="D16" s="5" t="str">
        <f>IF(C16="","OK","ADA MASALAH")</f>
        <v>#ERROR!</v>
      </c>
    </row>
    <row r="17">
      <c r="A17" s="3">
        <v>17.0</v>
      </c>
      <c r="B17" s="5" t="str">
        <f>'PC 02'!A17</f>
        <v/>
      </c>
      <c r="C17" s="5" t="str">
        <f>IF(COUNTA('PC 02'!A17:L17)=0,"",TEXTJOIN(" | ",TRUE,IF('PC 02'!A17="","Worker ID kosong",""),IF('PC 02'!B17="","Update Date kosong",IF(NOT(ISNUMBER('PC 02'!B17)),"Update Date harus tanggal","")),IF('PC 02'!D17="","Judul kosong",""),IF('PC 02'!F17="","Genre kosong",IF(ISERROR(MATCH(TRIM('PC 02'!F17),{"Pop","Rock","Dangdut","K-Pop","Electronic","Nasional","Daerah"},0)),"Genre di luar daftar","")),IF('PC 02'!G17="","Nama Channel kosong",""),IF('PC 02'!H17="","Link kosong",IF(ISERROR(FIND("youtu",LOWER('PC 02'!H17))),"Link bukan youtube","")),IF('PC 02'!I17="","Tgl Dibuat kosong",IF(NOT(ISNUMBER('PC 02'!I17)),"Tgl Dibuat harus tanggal","")),IF(AND('PC 02'!J17&lt;&gt;"",NOT(ISNUMBER('PC 02'!J17))),"Tgl Publish harus tanggal",""),IF(AND(ISNUMBER('PC 02'!I17),ISNUMBER('PC 02'!J17),'PC 02'!J17&lt;'PC 02'!I17),"Tgl Publish &lt; Tgl Dibuat",""),IF(AND('PC 02'!K17&lt;&gt;"",ISERROR(MATCH(TRIM('PC 02'!K17),{"Draft","Menunggu Review","Revisi","Terjadwal","Publish","Batal","Published"},0))),"Status di luar daftar","")))</f>
        <v>#ERROR!</v>
      </c>
      <c r="D17" s="5" t="str">
        <f>IF(C17="","OK","ADA MASALAH")</f>
        <v>#ERROR!</v>
      </c>
    </row>
    <row r="18">
      <c r="A18" s="3">
        <v>18.0</v>
      </c>
      <c r="B18" s="5" t="str">
        <f>'PC 02'!A18</f>
        <v/>
      </c>
      <c r="C18" s="5" t="str">
        <f>IF(COUNTA('PC 02'!A18:L18)=0,"",TEXTJOIN(" | ",TRUE,IF('PC 02'!A18="","Worker ID kosong",""),IF('PC 02'!B18="","Update Date kosong",IF(NOT(ISNUMBER('PC 02'!B18)),"Update Date harus tanggal","")),IF('PC 02'!D18="","Judul kosong",""),IF('PC 02'!F18="","Genre kosong",IF(ISERROR(MATCH(TRIM('PC 02'!F18),{"Pop","Rock","Dangdut","K-Pop","Electronic","Nasional","Daerah"},0)),"Genre di luar daftar","")),IF('PC 02'!G18="","Nama Channel kosong",""),IF('PC 02'!H18="","Link kosong",IF(ISERROR(FIND("youtu",LOWER('PC 02'!H18))),"Link bukan youtube","")),IF('PC 02'!I18="","Tgl Dibuat kosong",IF(NOT(ISNUMBER('PC 02'!I18)),"Tgl Dibuat harus tanggal","")),IF(AND('PC 02'!J18&lt;&gt;"",NOT(ISNUMBER('PC 02'!J18))),"Tgl Publish harus tanggal",""),IF(AND(ISNUMBER('PC 02'!I18),ISNUMBER('PC 02'!J18),'PC 02'!J18&lt;'PC 02'!I18),"Tgl Publish &lt; Tgl Dibuat",""),IF(AND('PC 02'!K18&lt;&gt;"",ISERROR(MATCH(TRIM('PC 02'!K18),{"Draft","Menunggu Review","Revisi","Terjadwal","Publish","Batal","Published"},0))),"Status di luar daftar","")))</f>
        <v>#ERROR!</v>
      </c>
      <c r="D18" s="5" t="str">
        <f>IF(C18="","OK","ADA MASALAH")</f>
        <v>#ERROR!</v>
      </c>
    </row>
    <row r="19">
      <c r="A19" s="3">
        <v>19.0</v>
      </c>
      <c r="B19" s="5" t="str">
        <f>'PC 02'!A19</f>
        <v/>
      </c>
      <c r="C19" s="5" t="str">
        <f>IF(COUNTA('PC 02'!A19:L19)=0,"",TEXTJOIN(" | ",TRUE,IF('PC 02'!A19="","Worker ID kosong",""),IF('PC 02'!B19="","Update Date kosong",IF(NOT(ISNUMBER('PC 02'!B19)),"Update Date harus tanggal","")),IF('PC 02'!D19="","Judul kosong",""),IF('PC 02'!F19="","Genre kosong",IF(ISERROR(MATCH(TRIM('PC 02'!F19),{"Pop","Rock","Dangdut","K-Pop","Electronic","Nasional","Daerah"},0)),"Genre di luar daftar","")),IF('PC 02'!G19="","Nama Channel kosong",""),IF('PC 02'!H19="","Link kosong",IF(ISERROR(FIND("youtu",LOWER('PC 02'!H19))),"Link bukan youtube","")),IF('PC 02'!I19="","Tgl Dibuat kosong",IF(NOT(ISNUMBER('PC 02'!I19)),"Tgl Dibuat harus tanggal","")),IF(AND('PC 02'!J19&lt;&gt;"",NOT(ISNUMBER('PC 02'!J19))),"Tgl Publish harus tanggal",""),IF(AND(ISNUMBER('PC 02'!I19),ISNUMBER('PC 02'!J19),'PC 02'!J19&lt;'PC 02'!I19),"Tgl Publish &lt; Tgl Dibuat",""),IF(AND('PC 02'!K19&lt;&gt;"",ISERROR(MATCH(TRIM('PC 02'!K19),{"Draft","Menunggu Review","Revisi","Terjadwal","Publish","Batal","Published"},0))),"Status di luar daftar","")))</f>
        <v>#ERROR!</v>
      </c>
      <c r="D19" s="5" t="str">
        <f>IF(C19="","OK","ADA MASALAH")</f>
        <v>#ERROR!</v>
      </c>
    </row>
    <row r="20">
      <c r="A20" s="3">
        <v>20.0</v>
      </c>
      <c r="B20" s="5" t="str">
        <f>'PC 02'!A20</f>
        <v/>
      </c>
      <c r="C20" s="5" t="str">
        <f>IF(COUNTA('PC 02'!A20:L20)=0,"",TEXTJOIN(" | ",TRUE,IF('PC 02'!A20="","Worker ID kosong",""),IF('PC 02'!B20="","Update Date kosong",IF(NOT(ISNUMBER('PC 02'!B20)),"Update Date harus tanggal","")),IF('PC 02'!D20="","Judul kosong",""),IF('PC 02'!F20="","Genre kosong",IF(ISERROR(MATCH(TRIM('PC 02'!F20),{"Pop","Rock","Dangdut","K-Pop","Electronic","Nasional","Daerah"},0)),"Genre di luar daftar","")),IF('PC 02'!G20="","Nama Channel kosong",""),IF('PC 02'!H20="","Link kosong",IF(ISERROR(FIND("youtu",LOWER('PC 02'!H20))),"Link bukan youtube","")),IF('PC 02'!I20="","Tgl Dibuat kosong",IF(NOT(ISNUMBER('PC 02'!I20)),"Tgl Dibuat harus tanggal","")),IF(AND('PC 02'!J20&lt;&gt;"",NOT(ISNUMBER('PC 02'!J20))),"Tgl Publish harus tanggal",""),IF(AND(ISNUMBER('PC 02'!I20),ISNUMBER('PC 02'!J20),'PC 02'!J20&lt;'PC 02'!I20),"Tgl Publish &lt; Tgl Dibuat",""),IF(AND('PC 02'!K20&lt;&gt;"",ISERROR(MATCH(TRIM('PC 02'!K20),{"Draft","Menunggu Review","Revisi","Terjadwal","Publish","Batal","Published"},0))),"Status di luar daftar","")))</f>
        <v>#ERROR!</v>
      </c>
      <c r="D20" s="5" t="str">
        <f>IF(C20="","OK","ADA MASALAH")</f>
        <v>#ERROR!</v>
      </c>
    </row>
    <row r="21">
      <c r="A21" s="3">
        <v>21.0</v>
      </c>
      <c r="B21" s="5" t="str">
        <f>'PC 02'!A21</f>
        <v/>
      </c>
      <c r="C21" s="5" t="str">
        <f>IF(COUNTA('PC 02'!A21:L21)=0,"",TEXTJOIN(" | ",TRUE,IF('PC 02'!A21="","Worker ID kosong",""),IF('PC 02'!B21="","Update Date kosong",IF(NOT(ISNUMBER('PC 02'!B21)),"Update Date harus tanggal","")),IF('PC 02'!D21="","Judul kosong",""),IF('PC 02'!F21="","Genre kosong",IF(ISERROR(MATCH(TRIM('PC 02'!F21),{"Pop","Rock","Dangdut","K-Pop","Electronic","Nasional","Daerah"},0)),"Genre di luar daftar","")),IF('PC 02'!G21="","Nama Channel kosong",""),IF('PC 02'!H21="","Link kosong",IF(ISERROR(FIND("youtu",LOWER('PC 02'!H21))),"Link bukan youtube","")),IF('PC 02'!I21="","Tgl Dibuat kosong",IF(NOT(ISNUMBER('PC 02'!I21)),"Tgl Dibuat harus tanggal","")),IF(AND('PC 02'!J21&lt;&gt;"",NOT(ISNUMBER('PC 02'!J21))),"Tgl Publish harus tanggal",""),IF(AND(ISNUMBER('PC 02'!I21),ISNUMBER('PC 02'!J21),'PC 02'!J21&lt;'PC 02'!I21),"Tgl Publish &lt; Tgl Dibuat",""),IF(AND('PC 02'!K21&lt;&gt;"",ISERROR(MATCH(TRIM('PC 02'!K21),{"Draft","Menunggu Review","Revisi","Terjadwal","Publish","Batal","Published"},0))),"Status di luar daftar","")))</f>
        <v>#ERROR!</v>
      </c>
      <c r="D21" s="5" t="str">
        <f>IF(C21="","OK","ADA MASALAH")</f>
        <v>#ERROR!</v>
      </c>
    </row>
    <row r="22">
      <c r="A22" s="3">
        <v>22.0</v>
      </c>
      <c r="B22" s="5" t="str">
        <f>'PC 02'!A22</f>
        <v/>
      </c>
      <c r="C22" s="5" t="str">
        <f>IF(COUNTA('PC 02'!A22:L22)=0,"",TEXTJOIN(" | ",TRUE,IF('PC 02'!A22="","Worker ID kosong",""),IF('PC 02'!B22="","Update Date kosong",IF(NOT(ISNUMBER('PC 02'!B22)),"Update Date harus tanggal","")),IF('PC 02'!D22="","Judul kosong",""),IF('PC 02'!F22="","Genre kosong",IF(ISERROR(MATCH(TRIM('PC 02'!F22),{"Pop","Rock","Dangdut","K-Pop","Electronic","Nasional","Daerah"},0)),"Genre di luar daftar","")),IF('PC 02'!G22="","Nama Channel kosong",""),IF('PC 02'!H22="","Link kosong",IF(ISERROR(FIND("youtu",LOWER('PC 02'!H22))),"Link bukan youtube","")),IF('PC 02'!I22="","Tgl Dibuat kosong",IF(NOT(ISNUMBER('PC 02'!I22)),"Tgl Dibuat harus tanggal","")),IF(AND('PC 02'!J22&lt;&gt;"",NOT(ISNUMBER('PC 02'!J22))),"Tgl Publish harus tanggal",""),IF(AND(ISNUMBER('PC 02'!I22),ISNUMBER('PC 02'!J22),'PC 02'!J22&lt;'PC 02'!I22),"Tgl Publish &lt; Tgl Dibuat",""),IF(AND('PC 02'!K22&lt;&gt;"",ISERROR(MATCH(TRIM('PC 02'!K22),{"Draft","Menunggu Review","Revisi","Terjadwal","Publish","Batal","Published"},0))),"Status di luar daftar","")))</f>
        <v>#ERROR!</v>
      </c>
      <c r="D22" s="5" t="str">
        <f>IF(C22="","OK","ADA MASALAH")</f>
        <v>#ERROR!</v>
      </c>
    </row>
    <row r="23">
      <c r="A23" s="3">
        <v>23.0</v>
      </c>
      <c r="B23" s="5" t="str">
        <f>'PC 02'!A23</f>
        <v/>
      </c>
      <c r="C23" s="5" t="str">
        <f>IF(COUNTA('PC 02'!A23:L23)=0,"",TEXTJOIN(" | ",TRUE,IF('PC 02'!A23="","Worker ID kosong",""),IF('PC 02'!B23="","Update Date kosong",IF(NOT(ISNUMBER('PC 02'!B23)),"Update Date harus tanggal","")),IF('PC 02'!D23="","Judul kosong",""),IF('PC 02'!F23="","Genre kosong",IF(ISERROR(MATCH(TRIM('PC 02'!F23),{"Pop","Rock","Dangdut","K-Pop","Electronic","Nasional","Daerah"},0)),"Genre di luar daftar","")),IF('PC 02'!G23="","Nama Channel kosong",""),IF('PC 02'!H23="","Link kosong",IF(ISERROR(FIND("youtu",LOWER('PC 02'!H23))),"Link bukan youtube","")),IF('PC 02'!I23="","Tgl Dibuat kosong",IF(NOT(ISNUMBER('PC 02'!I23)),"Tgl Dibuat harus tanggal","")),IF(AND('PC 02'!J23&lt;&gt;"",NOT(ISNUMBER('PC 02'!J23))),"Tgl Publish harus tanggal",""),IF(AND(ISNUMBER('PC 02'!I23),ISNUMBER('PC 02'!J23),'PC 02'!J23&lt;'PC 02'!I23),"Tgl Publish &lt; Tgl Dibuat",""),IF(AND('PC 02'!K23&lt;&gt;"",ISERROR(MATCH(TRIM('PC 02'!K23),{"Draft","Menunggu Review","Revisi","Terjadwal","Publish","Batal","Published"},0))),"Status di luar daftar","")))</f>
        <v>#ERROR!</v>
      </c>
      <c r="D23" s="5" t="str">
        <f>IF(C23="","OK","ADA MASALAH")</f>
        <v>#ERROR!</v>
      </c>
    </row>
    <row r="24">
      <c r="A24" s="3">
        <v>24.0</v>
      </c>
      <c r="B24" s="5" t="str">
        <f>'PC 02'!A24</f>
        <v/>
      </c>
      <c r="C24" s="5" t="str">
        <f>IF(COUNTA('PC 02'!A24:L24)=0,"",TEXTJOIN(" | ",TRUE,IF('PC 02'!A24="","Worker ID kosong",""),IF('PC 02'!B24="","Update Date kosong",IF(NOT(ISNUMBER('PC 02'!B24)),"Update Date harus tanggal","")),IF('PC 02'!D24="","Judul kosong",""),IF('PC 02'!F24="","Genre kosong",IF(ISERROR(MATCH(TRIM('PC 02'!F24),{"Pop","Rock","Dangdut","K-Pop","Electronic","Nasional","Daerah"},0)),"Genre di luar daftar","")),IF('PC 02'!G24="","Nama Channel kosong",""),IF('PC 02'!H24="","Link kosong",IF(ISERROR(FIND("youtu",LOWER('PC 02'!H24))),"Link bukan youtube","")),IF('PC 02'!I24="","Tgl Dibuat kosong",IF(NOT(ISNUMBER('PC 02'!I24)),"Tgl Dibuat harus tanggal","")),IF(AND('PC 02'!J24&lt;&gt;"",NOT(ISNUMBER('PC 02'!J24))),"Tgl Publish harus tanggal",""),IF(AND(ISNUMBER('PC 02'!I24),ISNUMBER('PC 02'!J24),'PC 02'!J24&lt;'PC 02'!I24),"Tgl Publish &lt; Tgl Dibuat",""),IF(AND('PC 02'!K24&lt;&gt;"",ISERROR(MATCH(TRIM('PC 02'!K24),{"Draft","Menunggu Review","Revisi","Terjadwal","Publish","Batal","Published"},0))),"Status di luar daftar","")))</f>
        <v>#ERROR!</v>
      </c>
      <c r="D24" s="5" t="str">
        <f>IF(C24="","OK","ADA MASALAH")</f>
        <v>#ERROR!</v>
      </c>
    </row>
    <row r="25">
      <c r="A25" s="3">
        <v>25.0</v>
      </c>
      <c r="B25" s="5" t="str">
        <f>'PC 02'!A25</f>
        <v/>
      </c>
      <c r="C25" s="5" t="str">
        <f>IF(COUNTA('PC 02'!A25:L25)=0,"",TEXTJOIN(" | ",TRUE,IF('PC 02'!A25="","Worker ID kosong",""),IF('PC 02'!B25="","Update Date kosong",IF(NOT(ISNUMBER('PC 02'!B25)),"Update Date harus tanggal","")),IF('PC 02'!D25="","Judul kosong",""),IF('PC 02'!F25="","Genre kosong",IF(ISERROR(MATCH(TRIM('PC 02'!F25),{"Pop","Rock","Dangdut","K-Pop","Electronic","Nasional","Daerah"},0)),"Genre di luar daftar","")),IF('PC 02'!G25="","Nama Channel kosong",""),IF('PC 02'!H25="","Link kosong",IF(ISERROR(FIND("youtu",LOWER('PC 02'!H25))),"Link bukan youtube","")),IF('PC 02'!I25="","Tgl Dibuat kosong",IF(NOT(ISNUMBER('PC 02'!I25)),"Tgl Dibuat harus tanggal","")),IF(AND('PC 02'!J25&lt;&gt;"",NOT(ISNUMBER('PC 02'!J25))),"Tgl Publish harus tanggal",""),IF(AND(ISNUMBER('PC 02'!I25),ISNUMBER('PC 02'!J25),'PC 02'!J25&lt;'PC 02'!I25),"Tgl Publish &lt; Tgl Dibuat",""),IF(AND('PC 02'!K25&lt;&gt;"",ISERROR(MATCH(TRIM('PC 02'!K25),{"Draft","Menunggu Review","Revisi","Terjadwal","Publish","Batal","Published"},0))),"Status di luar daftar","")))</f>
        <v>#ERROR!</v>
      </c>
      <c r="D25" s="5" t="str">
        <f>IF(C25="","OK","ADA MASALAH")</f>
        <v>#ERROR!</v>
      </c>
    </row>
    <row r="26">
      <c r="A26" s="3">
        <v>26.0</v>
      </c>
      <c r="B26" s="5" t="str">
        <f>'PC 02'!A26</f>
        <v/>
      </c>
      <c r="C26" s="5" t="str">
        <f>IF(COUNTA('PC 02'!A26:L26)=0,"",TEXTJOIN(" | ",TRUE,IF('PC 02'!A26="","Worker ID kosong",""),IF('PC 02'!B26="","Update Date kosong",IF(NOT(ISNUMBER('PC 02'!B26)),"Update Date harus tanggal","")),IF('PC 02'!D26="","Judul kosong",""),IF('PC 02'!F26="","Genre kosong",IF(ISERROR(MATCH(TRIM('PC 02'!F26),{"Pop","Rock","Dangdut","K-Pop","Electronic","Nasional","Daerah"},0)),"Genre di luar daftar","")),IF('PC 02'!G26="","Nama Channel kosong",""),IF('PC 02'!H26="","Link kosong",IF(ISERROR(FIND("youtu",LOWER('PC 02'!H26))),"Link bukan youtube","")),IF('PC 02'!I26="","Tgl Dibuat kosong",IF(NOT(ISNUMBER('PC 02'!I26)),"Tgl Dibuat harus tanggal","")),IF(AND('PC 02'!J26&lt;&gt;"",NOT(ISNUMBER('PC 02'!J26))),"Tgl Publish harus tanggal",""),IF(AND(ISNUMBER('PC 02'!I26),ISNUMBER('PC 02'!J26),'PC 02'!J26&lt;'PC 02'!I26),"Tgl Publish &lt; Tgl Dibuat",""),IF(AND('PC 02'!K26&lt;&gt;"",ISERROR(MATCH(TRIM('PC 02'!K26),{"Draft","Menunggu Review","Revisi","Terjadwal","Publish","Batal","Published"},0))),"Status di luar daftar","")))</f>
        <v>#ERROR!</v>
      </c>
      <c r="D26" s="5" t="str">
        <f>IF(C26="","OK","ADA MASALAH")</f>
        <v>#ERROR!</v>
      </c>
    </row>
    <row r="27">
      <c r="A27" s="3">
        <v>27.0</v>
      </c>
      <c r="B27" s="5" t="str">
        <f>'PC 02'!A27</f>
        <v/>
      </c>
      <c r="C27" s="5" t="str">
        <f>IF(COUNTA('PC 02'!A27:L27)=0,"",TEXTJOIN(" | ",TRUE,IF('PC 02'!A27="","Worker ID kosong",""),IF('PC 02'!B27="","Update Date kosong",IF(NOT(ISNUMBER('PC 02'!B27)),"Update Date harus tanggal","")),IF('PC 02'!D27="","Judul kosong",""),IF('PC 02'!F27="","Genre kosong",IF(ISERROR(MATCH(TRIM('PC 02'!F27),{"Pop","Rock","Dangdut","K-Pop","Electronic","Nasional","Daerah"},0)),"Genre di luar daftar","")),IF('PC 02'!G27="","Nama Channel kosong",""),IF('PC 02'!H27="","Link kosong",IF(ISERROR(FIND("youtu",LOWER('PC 02'!H27))),"Link bukan youtube","")),IF('PC 02'!I27="","Tgl Dibuat kosong",IF(NOT(ISNUMBER('PC 02'!I27)),"Tgl Dibuat harus tanggal","")),IF(AND('PC 02'!J27&lt;&gt;"",NOT(ISNUMBER('PC 02'!J27))),"Tgl Publish harus tanggal",""),IF(AND(ISNUMBER('PC 02'!I27),ISNUMBER('PC 02'!J27),'PC 02'!J27&lt;'PC 02'!I27),"Tgl Publish &lt; Tgl Dibuat",""),IF(AND('PC 02'!K27&lt;&gt;"",ISERROR(MATCH(TRIM('PC 02'!K27),{"Draft","Menunggu Review","Revisi","Terjadwal","Publish","Batal","Published"},0))),"Status di luar daftar","")))</f>
        <v>#ERROR!</v>
      </c>
      <c r="D27" s="5" t="str">
        <f>IF(C27="","OK","ADA MASALAH")</f>
        <v>#ERROR!</v>
      </c>
    </row>
    <row r="28">
      <c r="A28" s="3">
        <v>28.0</v>
      </c>
      <c r="B28" s="5" t="str">
        <f>'PC 02'!A28</f>
        <v/>
      </c>
      <c r="C28" s="5" t="str">
        <f>IF(COUNTA('PC 02'!A28:L28)=0,"",TEXTJOIN(" | ",TRUE,IF('PC 02'!A28="","Worker ID kosong",""),IF('PC 02'!B28="","Update Date kosong",IF(NOT(ISNUMBER('PC 02'!B28)),"Update Date harus tanggal","")),IF('PC 02'!D28="","Judul kosong",""),IF('PC 02'!F28="","Genre kosong",IF(ISERROR(MATCH(TRIM('PC 02'!F28),{"Pop","Rock","Dangdut","K-Pop","Electronic","Nasional","Daerah"},0)),"Genre di luar daftar","")),IF('PC 02'!G28="","Nama Channel kosong",""),IF('PC 02'!H28="","Link kosong",IF(ISERROR(FIND("youtu",LOWER('PC 02'!H28))),"Link bukan youtube","")),IF('PC 02'!I28="","Tgl Dibuat kosong",IF(NOT(ISNUMBER('PC 02'!I28)),"Tgl Dibuat harus tanggal","")),IF(AND('PC 02'!J28&lt;&gt;"",NOT(ISNUMBER('PC 02'!J28))),"Tgl Publish harus tanggal",""),IF(AND(ISNUMBER('PC 02'!I28),ISNUMBER('PC 02'!J28),'PC 02'!J28&lt;'PC 02'!I28),"Tgl Publish &lt; Tgl Dibuat",""),IF(AND('PC 02'!K28&lt;&gt;"",ISERROR(MATCH(TRIM('PC 02'!K28),{"Draft","Menunggu Review","Revisi","Terjadwal","Publish","Batal","Published"},0))),"Status di luar daftar","")))</f>
        <v>#ERROR!</v>
      </c>
      <c r="D28" s="5" t="str">
        <f>IF(C28="","OK","ADA MASALAH")</f>
        <v>#ERROR!</v>
      </c>
    </row>
    <row r="29">
      <c r="A29" s="3">
        <v>29.0</v>
      </c>
      <c r="B29" s="5" t="str">
        <f>'PC 02'!A29</f>
        <v/>
      </c>
      <c r="C29" s="5" t="str">
        <f>IF(COUNTA('PC 02'!A29:L29)=0,"",TEXTJOIN(" | ",TRUE,IF('PC 02'!A29="","Worker ID kosong",""),IF('PC 02'!B29="","Update Date kosong",IF(NOT(ISNUMBER('PC 02'!B29)),"Update Date harus tanggal","")),IF('PC 02'!D29="","Judul kosong",""),IF('PC 02'!F29="","Genre kosong",IF(ISERROR(MATCH(TRIM('PC 02'!F29),{"Pop","Rock","Dangdut","K-Pop","Electronic","Nasional","Daerah"},0)),"Genre di luar daftar","")),IF('PC 02'!G29="","Nama Channel kosong",""),IF('PC 02'!H29="","Link kosong",IF(ISERROR(FIND("youtu",LOWER('PC 02'!H29))),"Link bukan youtube","")),IF('PC 02'!I29="","Tgl Dibuat kosong",IF(NOT(ISNUMBER('PC 02'!I29)),"Tgl Dibuat harus tanggal","")),IF(AND('PC 02'!J29&lt;&gt;"",NOT(ISNUMBER('PC 02'!J29))),"Tgl Publish harus tanggal",""),IF(AND(ISNUMBER('PC 02'!I29),ISNUMBER('PC 02'!J29),'PC 02'!J29&lt;'PC 02'!I29),"Tgl Publish &lt; Tgl Dibuat",""),IF(AND('PC 02'!K29&lt;&gt;"",ISERROR(MATCH(TRIM('PC 02'!K29),{"Draft","Menunggu Review","Revisi","Terjadwal","Publish","Batal","Published"},0))),"Status di luar daftar","")))</f>
        <v>#ERROR!</v>
      </c>
      <c r="D29" s="5" t="str">
        <f>IF(C29="","OK","ADA MASALAH")</f>
        <v>#ERROR!</v>
      </c>
    </row>
    <row r="30">
      <c r="A30" s="3">
        <v>30.0</v>
      </c>
      <c r="B30" s="5" t="str">
        <f>'PC 02'!A30</f>
        <v/>
      </c>
      <c r="C30" s="5" t="str">
        <f>IF(COUNTA('PC 02'!A30:L30)=0,"",TEXTJOIN(" | ",TRUE,IF('PC 02'!A30="","Worker ID kosong",""),IF('PC 02'!B30="","Update Date kosong",IF(NOT(ISNUMBER('PC 02'!B30)),"Update Date harus tanggal","")),IF('PC 02'!D30="","Judul kosong",""),IF('PC 02'!F30="","Genre kosong",IF(ISERROR(MATCH(TRIM('PC 02'!F30),{"Pop","Rock","Dangdut","K-Pop","Electronic","Nasional","Daerah"},0)),"Genre di luar daftar","")),IF('PC 02'!G30="","Nama Channel kosong",""),IF('PC 02'!H30="","Link kosong",IF(ISERROR(FIND("youtu",LOWER('PC 02'!H30))),"Link bukan youtube","")),IF('PC 02'!I30="","Tgl Dibuat kosong",IF(NOT(ISNUMBER('PC 02'!I30)),"Tgl Dibuat harus tanggal","")),IF(AND('PC 02'!J30&lt;&gt;"",NOT(ISNUMBER('PC 02'!J30))),"Tgl Publish harus tanggal",""),IF(AND(ISNUMBER('PC 02'!I30),ISNUMBER('PC 02'!J30),'PC 02'!J30&lt;'PC 02'!I30),"Tgl Publish &lt; Tgl Dibuat",""),IF(AND('PC 02'!K30&lt;&gt;"",ISERROR(MATCH(TRIM('PC 02'!K30),{"Draft","Menunggu Review","Revisi","Terjadwal","Publish","Batal","Published"},0))),"Status di luar daftar","")))</f>
        <v>#ERROR!</v>
      </c>
      <c r="D30" s="5" t="str">
        <f>IF(C30="","OK","ADA MASALAH")</f>
        <v>#ERROR!</v>
      </c>
    </row>
    <row r="31">
      <c r="A31" s="3">
        <v>31.0</v>
      </c>
      <c r="B31" s="5" t="str">
        <f>'PC 02'!A31</f>
        <v/>
      </c>
      <c r="C31" s="5" t="str">
        <f>IF(COUNTA('PC 02'!A31:L31)=0,"",TEXTJOIN(" | ",TRUE,IF('PC 02'!A31="","Worker ID kosong",""),IF('PC 02'!B31="","Update Date kosong",IF(NOT(ISNUMBER('PC 02'!B31)),"Update Date harus tanggal","")),IF('PC 02'!D31="","Judul kosong",""),IF('PC 02'!F31="","Genre kosong",IF(ISERROR(MATCH(TRIM('PC 02'!F31),{"Pop","Rock","Dangdut","K-Pop","Electronic","Nasional","Daerah"},0)),"Genre di luar daftar","")),IF('PC 02'!G31="","Nama Channel kosong",""),IF('PC 02'!H31="","Link kosong",IF(ISERROR(FIND("youtu",LOWER('PC 02'!H31))),"Link bukan youtube","")),IF('PC 02'!I31="","Tgl Dibuat kosong",IF(NOT(ISNUMBER('PC 02'!I31)),"Tgl Dibuat harus tanggal","")),IF(AND('PC 02'!J31&lt;&gt;"",NOT(ISNUMBER('PC 02'!J31))),"Tgl Publish harus tanggal",""),IF(AND(ISNUMBER('PC 02'!I31),ISNUMBER('PC 02'!J31),'PC 02'!J31&lt;'PC 02'!I31),"Tgl Publish &lt; Tgl Dibuat",""),IF(AND('PC 02'!K31&lt;&gt;"",ISERROR(MATCH(TRIM('PC 02'!K31),{"Draft","Menunggu Review","Revisi","Terjadwal","Publish","Batal","Published"},0))),"Status di luar daftar","")))</f>
        <v>#ERROR!</v>
      </c>
      <c r="D31" s="5" t="str">
        <f>IF(C31="","OK","ADA MASALAH")</f>
        <v>#ERROR!</v>
      </c>
    </row>
    <row r="32">
      <c r="A32" s="3">
        <v>32.0</v>
      </c>
      <c r="B32" s="5" t="str">
        <f>'PC 02'!A32</f>
        <v/>
      </c>
      <c r="C32" s="5" t="str">
        <f>IF(COUNTA('PC 02'!A32:L32)=0,"",TEXTJOIN(" | ",TRUE,IF('PC 02'!A32="","Worker ID kosong",""),IF('PC 02'!B32="","Update Date kosong",IF(NOT(ISNUMBER('PC 02'!B32)),"Update Date harus tanggal","")),IF('PC 02'!D32="","Judul kosong",""),IF('PC 02'!F32="","Genre kosong",IF(ISERROR(MATCH(TRIM('PC 02'!F32),{"Pop","Rock","Dangdut","K-Pop","Electronic","Nasional","Daerah"},0)),"Genre di luar daftar","")),IF('PC 02'!G32="","Nama Channel kosong",""),IF('PC 02'!H32="","Link kosong",IF(ISERROR(FIND("youtu",LOWER('PC 02'!H32))),"Link bukan youtube","")),IF('PC 02'!I32="","Tgl Dibuat kosong",IF(NOT(ISNUMBER('PC 02'!I32)),"Tgl Dibuat harus tanggal","")),IF(AND('PC 02'!J32&lt;&gt;"",NOT(ISNUMBER('PC 02'!J32))),"Tgl Publish harus tanggal",""),IF(AND(ISNUMBER('PC 02'!I32),ISNUMBER('PC 02'!J32),'PC 02'!J32&lt;'PC 02'!I32),"Tgl Publish &lt; Tgl Dibuat",""),IF(AND('PC 02'!K32&lt;&gt;"",ISERROR(MATCH(TRIM('PC 02'!K32),{"Draft","Menunggu Review","Revisi","Terjadwal","Publish","Batal","Published"},0))),"Status di luar daftar","")))</f>
        <v>#ERROR!</v>
      </c>
      <c r="D32" s="5" t="str">
        <f>IF(C32="","OK","ADA MASALAH")</f>
        <v>#ERROR!</v>
      </c>
    </row>
    <row r="33">
      <c r="A33" s="3">
        <v>33.0</v>
      </c>
      <c r="B33" s="5" t="str">
        <f>'PC 02'!A33</f>
        <v/>
      </c>
      <c r="C33" s="5" t="str">
        <f>IF(COUNTA('PC 02'!A33:L33)=0,"",TEXTJOIN(" | ",TRUE,IF('PC 02'!A33="","Worker ID kosong",""),IF('PC 02'!B33="","Update Date kosong",IF(NOT(ISNUMBER('PC 02'!B33)),"Update Date harus tanggal","")),IF('PC 02'!D33="","Judul kosong",""),IF('PC 02'!F33="","Genre kosong",IF(ISERROR(MATCH(TRIM('PC 02'!F33),{"Pop","Rock","Dangdut","K-Pop","Electronic","Nasional","Daerah"},0)),"Genre di luar daftar","")),IF('PC 02'!G33="","Nama Channel kosong",""),IF('PC 02'!H33="","Link kosong",IF(ISERROR(FIND("youtu",LOWER('PC 02'!H33))),"Link bukan youtube","")),IF('PC 02'!I33="","Tgl Dibuat kosong",IF(NOT(ISNUMBER('PC 02'!I33)),"Tgl Dibuat harus tanggal","")),IF(AND('PC 02'!J33&lt;&gt;"",NOT(ISNUMBER('PC 02'!J33))),"Tgl Publish harus tanggal",""),IF(AND(ISNUMBER('PC 02'!I33),ISNUMBER('PC 02'!J33),'PC 02'!J33&lt;'PC 02'!I33),"Tgl Publish &lt; Tgl Dibuat",""),IF(AND('PC 02'!K33&lt;&gt;"",ISERROR(MATCH(TRIM('PC 02'!K33),{"Draft","Menunggu Review","Revisi","Terjadwal","Publish","Batal","Published"},0))),"Status di luar daftar","")))</f>
        <v>#ERROR!</v>
      </c>
      <c r="D33" s="5" t="str">
        <f>IF(C33="","OK","ADA MASALAH")</f>
        <v>#ERROR!</v>
      </c>
    </row>
    <row r="34">
      <c r="A34" s="3">
        <v>34.0</v>
      </c>
      <c r="B34" s="5" t="str">
        <f>'PC 02'!A34</f>
        <v/>
      </c>
      <c r="C34" s="5" t="str">
        <f>IF(COUNTA('PC 02'!A34:L34)=0,"",TEXTJOIN(" | ",TRUE,IF('PC 02'!A34="","Worker ID kosong",""),IF('PC 02'!B34="","Update Date kosong",IF(NOT(ISNUMBER('PC 02'!B34)),"Update Date harus tanggal","")),IF('PC 02'!D34="","Judul kosong",""),IF('PC 02'!F34="","Genre kosong",IF(ISERROR(MATCH(TRIM('PC 02'!F34),{"Pop","Rock","Dangdut","K-Pop","Electronic","Nasional","Daerah"},0)),"Genre di luar daftar","")),IF('PC 02'!G34="","Nama Channel kosong",""),IF('PC 02'!H34="","Link kosong",IF(ISERROR(FIND("youtu",LOWER('PC 02'!H34))),"Link bukan youtube","")),IF('PC 02'!I34="","Tgl Dibuat kosong",IF(NOT(ISNUMBER('PC 02'!I34)),"Tgl Dibuat harus tanggal","")),IF(AND('PC 02'!J34&lt;&gt;"",NOT(ISNUMBER('PC 02'!J34))),"Tgl Publish harus tanggal",""),IF(AND(ISNUMBER('PC 02'!I34),ISNUMBER('PC 02'!J34),'PC 02'!J34&lt;'PC 02'!I34),"Tgl Publish &lt; Tgl Dibuat",""),IF(AND('PC 02'!K34&lt;&gt;"",ISERROR(MATCH(TRIM('PC 02'!K34),{"Draft","Menunggu Review","Revisi","Terjadwal","Publish","Batal","Published"},0))),"Status di luar daftar","")))</f>
        <v>#ERROR!</v>
      </c>
      <c r="D34" s="5" t="str">
        <f>IF(C34="","OK","ADA MASALAH")</f>
        <v>#ERROR!</v>
      </c>
    </row>
    <row r="35">
      <c r="A35" s="3">
        <v>35.0</v>
      </c>
      <c r="B35" s="5" t="str">
        <f>'PC 02'!A35</f>
        <v/>
      </c>
      <c r="C35" s="5" t="str">
        <f>IF(COUNTA('PC 02'!A35:L35)=0,"",TEXTJOIN(" | ",TRUE,IF('PC 02'!A35="","Worker ID kosong",""),IF('PC 02'!B35="","Update Date kosong",IF(NOT(ISNUMBER('PC 02'!B35)),"Update Date harus tanggal","")),IF('PC 02'!D35="","Judul kosong",""),IF('PC 02'!F35="","Genre kosong",IF(ISERROR(MATCH(TRIM('PC 02'!F35),{"Pop","Rock","Dangdut","K-Pop","Electronic","Nasional","Daerah"},0)),"Genre di luar daftar","")),IF('PC 02'!G35="","Nama Channel kosong",""),IF('PC 02'!H35="","Link kosong",IF(ISERROR(FIND("youtu",LOWER('PC 02'!H35))),"Link bukan youtube","")),IF('PC 02'!I35="","Tgl Dibuat kosong",IF(NOT(ISNUMBER('PC 02'!I35)),"Tgl Dibuat harus tanggal","")),IF(AND('PC 02'!J35&lt;&gt;"",NOT(ISNUMBER('PC 02'!J35))),"Tgl Publish harus tanggal",""),IF(AND(ISNUMBER('PC 02'!I35),ISNUMBER('PC 02'!J35),'PC 02'!J35&lt;'PC 02'!I35),"Tgl Publish &lt; Tgl Dibuat",""),IF(AND('PC 02'!K35&lt;&gt;"",ISERROR(MATCH(TRIM('PC 02'!K35),{"Draft","Menunggu Review","Revisi","Terjadwal","Publish","Batal","Published"},0))),"Status di luar daftar","")))</f>
        <v>#ERROR!</v>
      </c>
      <c r="D35" s="5" t="str">
        <f>IF(C35="","OK","ADA MASALAH")</f>
        <v>#ERROR!</v>
      </c>
    </row>
    <row r="36">
      <c r="A36" s="3">
        <v>36.0</v>
      </c>
      <c r="B36" s="5" t="str">
        <f>'PC 02'!A36</f>
        <v/>
      </c>
      <c r="C36" s="5" t="str">
        <f>IF(COUNTA('PC 02'!A36:L36)=0,"",TEXTJOIN(" | ",TRUE,IF('PC 02'!A36="","Worker ID kosong",""),IF('PC 02'!B36="","Update Date kosong",IF(NOT(ISNUMBER('PC 02'!B36)),"Update Date harus tanggal","")),IF('PC 02'!D36="","Judul kosong",""),IF('PC 02'!F36="","Genre kosong",IF(ISERROR(MATCH(TRIM('PC 02'!F36),{"Pop","Rock","Dangdut","K-Pop","Electronic","Nasional","Daerah"},0)),"Genre di luar daftar","")),IF('PC 02'!G36="","Nama Channel kosong",""),IF('PC 02'!H36="","Link kosong",IF(ISERROR(FIND("youtu",LOWER('PC 02'!H36))),"Link bukan youtube","")),IF('PC 02'!I36="","Tgl Dibuat kosong",IF(NOT(ISNUMBER('PC 02'!I36)),"Tgl Dibuat harus tanggal","")),IF(AND('PC 02'!J36&lt;&gt;"",NOT(ISNUMBER('PC 02'!J36))),"Tgl Publish harus tanggal",""),IF(AND(ISNUMBER('PC 02'!I36),ISNUMBER('PC 02'!J36),'PC 02'!J36&lt;'PC 02'!I36),"Tgl Publish &lt; Tgl Dibuat",""),IF(AND('PC 02'!K36&lt;&gt;"",ISERROR(MATCH(TRIM('PC 02'!K36),{"Draft","Menunggu Review","Revisi","Terjadwal","Publish","Batal","Published"},0))),"Status di luar daftar","")))</f>
        <v>#ERROR!</v>
      </c>
      <c r="D36" s="5" t="str">
        <f>IF(C36="","OK","ADA MASALAH")</f>
        <v>#ERROR!</v>
      </c>
    </row>
    <row r="37">
      <c r="A37" s="3">
        <v>37.0</v>
      </c>
      <c r="B37" s="5" t="str">
        <f>'PC 02'!A37</f>
        <v/>
      </c>
      <c r="C37" s="5" t="str">
        <f>IF(COUNTA('PC 02'!A37:L37)=0,"",TEXTJOIN(" | ",TRUE,IF('PC 02'!A37="","Worker ID kosong",""),IF('PC 02'!B37="","Update Date kosong",IF(NOT(ISNUMBER('PC 02'!B37)),"Update Date harus tanggal","")),IF('PC 02'!D37="","Judul kosong",""),IF('PC 02'!F37="","Genre kosong",IF(ISERROR(MATCH(TRIM('PC 02'!F37),{"Pop","Rock","Dangdut","K-Pop","Electronic","Nasional","Daerah"},0)),"Genre di luar daftar","")),IF('PC 02'!G37="","Nama Channel kosong",""),IF('PC 02'!H37="","Link kosong",IF(ISERROR(FIND("youtu",LOWER('PC 02'!H37))),"Link bukan youtube","")),IF('PC 02'!I37="","Tgl Dibuat kosong",IF(NOT(ISNUMBER('PC 02'!I37)),"Tgl Dibuat harus tanggal","")),IF(AND('PC 02'!J37&lt;&gt;"",NOT(ISNUMBER('PC 02'!J37))),"Tgl Publish harus tanggal",""),IF(AND(ISNUMBER('PC 02'!I37),ISNUMBER('PC 02'!J37),'PC 02'!J37&lt;'PC 02'!I37),"Tgl Publish &lt; Tgl Dibuat",""),IF(AND('PC 02'!K37&lt;&gt;"",ISERROR(MATCH(TRIM('PC 02'!K37),{"Draft","Menunggu Review","Revisi","Terjadwal","Publish","Batal","Published"},0))),"Status di luar daftar","")))</f>
        <v>#ERROR!</v>
      </c>
      <c r="D37" s="5" t="str">
        <f>IF(C37="","OK","ADA MASALAH")</f>
        <v>#ERROR!</v>
      </c>
    </row>
    <row r="38">
      <c r="A38" s="3">
        <v>38.0</v>
      </c>
      <c r="B38" s="5" t="str">
        <f>'PC 02'!A38</f>
        <v/>
      </c>
      <c r="C38" s="5" t="str">
        <f>IF(COUNTA('PC 02'!A38:L38)=0,"",TEXTJOIN(" | ",TRUE,IF('PC 02'!A38="","Worker ID kosong",""),IF('PC 02'!B38="","Update Date kosong",IF(NOT(ISNUMBER('PC 02'!B38)),"Update Date harus tanggal","")),IF('PC 02'!D38="","Judul kosong",""),IF('PC 02'!F38="","Genre kosong",IF(ISERROR(MATCH(TRIM('PC 02'!F38),{"Pop","Rock","Dangdut","K-Pop","Electronic","Nasional","Daerah"},0)),"Genre di luar daftar","")),IF('PC 02'!G38="","Nama Channel kosong",""),IF('PC 02'!H38="","Link kosong",IF(ISERROR(FIND("youtu",LOWER('PC 02'!H38))),"Link bukan youtube","")),IF('PC 02'!I38="","Tgl Dibuat kosong",IF(NOT(ISNUMBER('PC 02'!I38)),"Tgl Dibuat harus tanggal","")),IF(AND('PC 02'!J38&lt;&gt;"",NOT(ISNUMBER('PC 02'!J38))),"Tgl Publish harus tanggal",""),IF(AND(ISNUMBER('PC 02'!I38),ISNUMBER('PC 02'!J38),'PC 02'!J38&lt;'PC 02'!I38),"Tgl Publish &lt; Tgl Dibuat",""),IF(AND('PC 02'!K38&lt;&gt;"",ISERROR(MATCH(TRIM('PC 02'!K38),{"Draft","Menunggu Review","Revisi","Terjadwal","Publish","Batal","Published"},0))),"Status di luar daftar","")))</f>
        <v>#ERROR!</v>
      </c>
      <c r="D38" s="5" t="str">
        <f>IF(C38="","OK","ADA MASALAH")</f>
        <v>#ERROR!</v>
      </c>
    </row>
    <row r="39">
      <c r="A39" s="3">
        <v>39.0</v>
      </c>
      <c r="B39" s="5" t="str">
        <f>'PC 02'!A39</f>
        <v/>
      </c>
      <c r="C39" s="5" t="str">
        <f>IF(COUNTA('PC 02'!A39:L39)=0,"",TEXTJOIN(" | ",TRUE,IF('PC 02'!A39="","Worker ID kosong",""),IF('PC 02'!B39="","Update Date kosong",IF(NOT(ISNUMBER('PC 02'!B39)),"Update Date harus tanggal","")),IF('PC 02'!D39="","Judul kosong",""),IF('PC 02'!F39="","Genre kosong",IF(ISERROR(MATCH(TRIM('PC 02'!F39),{"Pop","Rock","Dangdut","K-Pop","Electronic","Nasional","Daerah"},0)),"Genre di luar daftar","")),IF('PC 02'!G39="","Nama Channel kosong",""),IF('PC 02'!H39="","Link kosong",IF(ISERROR(FIND("youtu",LOWER('PC 02'!H39))),"Link bukan youtube","")),IF('PC 02'!I39="","Tgl Dibuat kosong",IF(NOT(ISNUMBER('PC 02'!I39)),"Tgl Dibuat harus tanggal","")),IF(AND('PC 02'!J39&lt;&gt;"",NOT(ISNUMBER('PC 02'!J39))),"Tgl Publish harus tanggal",""),IF(AND(ISNUMBER('PC 02'!I39),ISNUMBER('PC 02'!J39),'PC 02'!J39&lt;'PC 02'!I39),"Tgl Publish &lt; Tgl Dibuat",""),IF(AND('PC 02'!K39&lt;&gt;"",ISERROR(MATCH(TRIM('PC 02'!K39),{"Draft","Menunggu Review","Revisi","Terjadwal","Publish","Batal","Published"},0))),"Status di luar daftar","")))</f>
        <v>#ERROR!</v>
      </c>
      <c r="D39" s="5" t="str">
        <f>IF(C39="","OK","ADA MASALAH")</f>
        <v>#ERROR!</v>
      </c>
    </row>
    <row r="40">
      <c r="A40" s="3">
        <v>40.0</v>
      </c>
      <c r="B40" s="5" t="str">
        <f>'PC 02'!A40</f>
        <v/>
      </c>
      <c r="C40" s="5" t="str">
        <f>IF(COUNTA('PC 02'!A40:L40)=0,"",TEXTJOIN(" | ",TRUE,IF('PC 02'!A40="","Worker ID kosong",""),IF('PC 02'!B40="","Update Date kosong",IF(NOT(ISNUMBER('PC 02'!B40)),"Update Date harus tanggal","")),IF('PC 02'!D40="","Judul kosong",""),IF('PC 02'!F40="","Genre kosong",IF(ISERROR(MATCH(TRIM('PC 02'!F40),{"Pop","Rock","Dangdut","K-Pop","Electronic","Nasional","Daerah"},0)),"Genre di luar daftar","")),IF('PC 02'!G40="","Nama Channel kosong",""),IF('PC 02'!H40="","Link kosong",IF(ISERROR(FIND("youtu",LOWER('PC 02'!H40))),"Link bukan youtube","")),IF('PC 02'!I40="","Tgl Dibuat kosong",IF(NOT(ISNUMBER('PC 02'!I40)),"Tgl Dibuat harus tanggal","")),IF(AND('PC 02'!J40&lt;&gt;"",NOT(ISNUMBER('PC 02'!J40))),"Tgl Publish harus tanggal",""),IF(AND(ISNUMBER('PC 02'!I40),ISNUMBER('PC 02'!J40),'PC 02'!J40&lt;'PC 02'!I40),"Tgl Publish &lt; Tgl Dibuat",""),IF(AND('PC 02'!K40&lt;&gt;"",ISERROR(MATCH(TRIM('PC 02'!K40),{"Draft","Menunggu Review","Revisi","Terjadwal","Publish","Batal","Published"},0))),"Status di luar daftar","")))</f>
        <v>#ERROR!</v>
      </c>
      <c r="D40" s="5" t="str">
        <f>IF(C40="","OK","ADA MASALAH")</f>
        <v>#ERROR!</v>
      </c>
    </row>
    <row r="41">
      <c r="A41" s="3">
        <v>41.0</v>
      </c>
      <c r="B41" s="5" t="str">
        <f>'PC 02'!A41</f>
        <v/>
      </c>
      <c r="C41" s="5" t="str">
        <f>IF(COUNTA('PC 02'!A41:L41)=0,"",TEXTJOIN(" | ",TRUE,IF('PC 02'!A41="","Worker ID kosong",""),IF('PC 02'!B41="","Update Date kosong",IF(NOT(ISNUMBER('PC 02'!B41)),"Update Date harus tanggal","")),IF('PC 02'!D41="","Judul kosong",""),IF('PC 02'!F41="","Genre kosong",IF(ISERROR(MATCH(TRIM('PC 02'!F41),{"Pop","Rock","Dangdut","K-Pop","Electronic","Nasional","Daerah"},0)),"Genre di luar daftar","")),IF('PC 02'!G41="","Nama Channel kosong",""),IF('PC 02'!H41="","Link kosong",IF(ISERROR(FIND("youtu",LOWER('PC 02'!H41))),"Link bukan youtube","")),IF('PC 02'!I41="","Tgl Dibuat kosong",IF(NOT(ISNUMBER('PC 02'!I41)),"Tgl Dibuat harus tanggal","")),IF(AND('PC 02'!J41&lt;&gt;"",NOT(ISNUMBER('PC 02'!J41))),"Tgl Publish harus tanggal",""),IF(AND(ISNUMBER('PC 02'!I41),ISNUMBER('PC 02'!J41),'PC 02'!J41&lt;'PC 02'!I41),"Tgl Publish &lt; Tgl Dibuat",""),IF(AND('PC 02'!K41&lt;&gt;"",ISERROR(MATCH(TRIM('PC 02'!K41),{"Draft","Menunggu Review","Revisi","Terjadwal","Publish","Batal","Published"},0))),"Status di luar daftar","")))</f>
        <v>#ERROR!</v>
      </c>
      <c r="D41" s="5" t="str">
        <f>IF(C41="","OK","ADA MASALAH")</f>
        <v>#ERROR!</v>
      </c>
    </row>
    <row r="42">
      <c r="A42" s="3">
        <v>42.0</v>
      </c>
      <c r="B42" s="5" t="str">
        <f>'PC 02'!A42</f>
        <v/>
      </c>
      <c r="C42" s="5" t="str">
        <f>IF(COUNTA('PC 02'!A42:L42)=0,"",TEXTJOIN(" | ",TRUE,IF('PC 02'!A42="","Worker ID kosong",""),IF('PC 02'!B42="","Update Date kosong",IF(NOT(ISNUMBER('PC 02'!B42)),"Update Date harus tanggal","")),IF('PC 02'!D42="","Judul kosong",""),IF('PC 02'!F42="","Genre kosong",IF(ISERROR(MATCH(TRIM('PC 02'!F42),{"Pop","Rock","Dangdut","K-Pop","Electronic","Nasional","Daerah"},0)),"Genre di luar daftar","")),IF('PC 02'!G42="","Nama Channel kosong",""),IF('PC 02'!H42="","Link kosong",IF(ISERROR(FIND("youtu",LOWER('PC 02'!H42))),"Link bukan youtube","")),IF('PC 02'!I42="","Tgl Dibuat kosong",IF(NOT(ISNUMBER('PC 02'!I42)),"Tgl Dibuat harus tanggal","")),IF(AND('PC 02'!J42&lt;&gt;"",NOT(ISNUMBER('PC 02'!J42))),"Tgl Publish harus tanggal",""),IF(AND(ISNUMBER('PC 02'!I42),ISNUMBER('PC 02'!J42),'PC 02'!J42&lt;'PC 02'!I42),"Tgl Publish &lt; Tgl Dibuat",""),IF(AND('PC 02'!K42&lt;&gt;"",ISERROR(MATCH(TRIM('PC 02'!K42),{"Draft","Menunggu Review","Revisi","Terjadwal","Publish","Batal","Published"},0))),"Status di luar daftar","")))</f>
        <v>#ERROR!</v>
      </c>
      <c r="D42" s="5" t="str">
        <f>IF(C42="","OK","ADA MASALAH")</f>
        <v>#ERROR!</v>
      </c>
    </row>
    <row r="43">
      <c r="A43" s="3">
        <v>43.0</v>
      </c>
      <c r="B43" s="5" t="str">
        <f>'PC 02'!A43</f>
        <v/>
      </c>
      <c r="C43" s="5" t="str">
        <f>IF(COUNTA('PC 02'!A43:L43)=0,"",TEXTJOIN(" | ",TRUE,IF('PC 02'!A43="","Worker ID kosong",""),IF('PC 02'!B43="","Update Date kosong",IF(NOT(ISNUMBER('PC 02'!B43)),"Update Date harus tanggal","")),IF('PC 02'!D43="","Judul kosong",""),IF('PC 02'!F43="","Genre kosong",IF(ISERROR(MATCH(TRIM('PC 02'!F43),{"Pop","Rock","Dangdut","K-Pop","Electronic","Nasional","Daerah"},0)),"Genre di luar daftar","")),IF('PC 02'!G43="","Nama Channel kosong",""),IF('PC 02'!H43="","Link kosong",IF(ISERROR(FIND("youtu",LOWER('PC 02'!H43))),"Link bukan youtube","")),IF('PC 02'!I43="","Tgl Dibuat kosong",IF(NOT(ISNUMBER('PC 02'!I43)),"Tgl Dibuat harus tanggal","")),IF(AND('PC 02'!J43&lt;&gt;"",NOT(ISNUMBER('PC 02'!J43))),"Tgl Publish harus tanggal",""),IF(AND(ISNUMBER('PC 02'!I43),ISNUMBER('PC 02'!J43),'PC 02'!J43&lt;'PC 02'!I43),"Tgl Publish &lt; Tgl Dibuat",""),IF(AND('PC 02'!K43&lt;&gt;"",ISERROR(MATCH(TRIM('PC 02'!K43),{"Draft","Menunggu Review","Revisi","Terjadwal","Publish","Batal","Published"},0))),"Status di luar daftar","")))</f>
        <v>#ERROR!</v>
      </c>
      <c r="D43" s="5" t="str">
        <f>IF(C43="","OK","ADA MASALAH")</f>
        <v>#ERROR!</v>
      </c>
    </row>
    <row r="44">
      <c r="A44" s="3">
        <v>44.0</v>
      </c>
      <c r="B44" s="5" t="str">
        <f>'PC 02'!A44</f>
        <v/>
      </c>
      <c r="C44" s="5" t="str">
        <f>IF(COUNTA('PC 02'!A44:L44)=0,"",TEXTJOIN(" | ",TRUE,IF('PC 02'!A44="","Worker ID kosong",""),IF('PC 02'!B44="","Update Date kosong",IF(NOT(ISNUMBER('PC 02'!B44)),"Update Date harus tanggal","")),IF('PC 02'!D44="","Judul kosong",""),IF('PC 02'!F44="","Genre kosong",IF(ISERROR(MATCH(TRIM('PC 02'!F44),{"Pop","Rock","Dangdut","K-Pop","Electronic","Nasional","Daerah"},0)),"Genre di luar daftar","")),IF('PC 02'!G44="","Nama Channel kosong",""),IF('PC 02'!H44="","Link kosong",IF(ISERROR(FIND("youtu",LOWER('PC 02'!H44))),"Link bukan youtube","")),IF('PC 02'!I44="","Tgl Dibuat kosong",IF(NOT(ISNUMBER('PC 02'!I44)),"Tgl Dibuat harus tanggal","")),IF(AND('PC 02'!J44&lt;&gt;"",NOT(ISNUMBER('PC 02'!J44))),"Tgl Publish harus tanggal",""),IF(AND(ISNUMBER('PC 02'!I44),ISNUMBER('PC 02'!J44),'PC 02'!J44&lt;'PC 02'!I44),"Tgl Publish &lt; Tgl Dibuat",""),IF(AND('PC 02'!K44&lt;&gt;"",ISERROR(MATCH(TRIM('PC 02'!K44),{"Draft","Menunggu Review","Revisi","Terjadwal","Publish","Batal","Published"},0))),"Status di luar daftar","")))</f>
        <v>#ERROR!</v>
      </c>
      <c r="D44" s="5" t="str">
        <f>IF(C44="","OK","ADA MASALAH")</f>
        <v>#ERROR!</v>
      </c>
    </row>
    <row r="45">
      <c r="A45" s="3">
        <v>45.0</v>
      </c>
      <c r="B45" s="5" t="str">
        <f>'PC 02'!A45</f>
        <v/>
      </c>
      <c r="C45" s="5" t="str">
        <f>IF(COUNTA('PC 02'!A45:L45)=0,"",TEXTJOIN(" | ",TRUE,IF('PC 02'!A45="","Worker ID kosong",""),IF('PC 02'!B45="","Update Date kosong",IF(NOT(ISNUMBER('PC 02'!B45)),"Update Date harus tanggal","")),IF('PC 02'!D45="","Judul kosong",""),IF('PC 02'!F45="","Genre kosong",IF(ISERROR(MATCH(TRIM('PC 02'!F45),{"Pop","Rock","Dangdut","K-Pop","Electronic","Nasional","Daerah"},0)),"Genre di luar daftar","")),IF('PC 02'!G45="","Nama Channel kosong",""),IF('PC 02'!H45="","Link kosong",IF(ISERROR(FIND("youtu",LOWER('PC 02'!H45))),"Link bukan youtube","")),IF('PC 02'!I45="","Tgl Dibuat kosong",IF(NOT(ISNUMBER('PC 02'!I45)),"Tgl Dibuat harus tanggal","")),IF(AND('PC 02'!J45&lt;&gt;"",NOT(ISNUMBER('PC 02'!J45))),"Tgl Publish harus tanggal",""),IF(AND(ISNUMBER('PC 02'!I45),ISNUMBER('PC 02'!J45),'PC 02'!J45&lt;'PC 02'!I45),"Tgl Publish &lt; Tgl Dibuat",""),IF(AND('PC 02'!K45&lt;&gt;"",ISERROR(MATCH(TRIM('PC 02'!K45),{"Draft","Menunggu Review","Revisi","Terjadwal","Publish","Batal","Published"},0))),"Status di luar daftar","")))</f>
        <v>#ERROR!</v>
      </c>
      <c r="D45" s="5" t="str">
        <f>IF(C45="","OK","ADA MASALAH")</f>
        <v>#ERROR!</v>
      </c>
    </row>
    <row r="46">
      <c r="A46" s="3">
        <v>46.0</v>
      </c>
      <c r="B46" s="5" t="str">
        <f>'PC 02'!A46</f>
        <v/>
      </c>
      <c r="C46" s="5" t="str">
        <f>IF(COUNTA('PC 02'!A46:L46)=0,"",TEXTJOIN(" | ",TRUE,IF('PC 02'!A46="","Worker ID kosong",""),IF('PC 02'!B46="","Update Date kosong",IF(NOT(ISNUMBER('PC 02'!B46)),"Update Date harus tanggal","")),IF('PC 02'!D46="","Judul kosong",""),IF('PC 02'!F46="","Genre kosong",IF(ISERROR(MATCH(TRIM('PC 02'!F46),{"Pop","Rock","Dangdut","K-Pop","Electronic","Nasional","Daerah"},0)),"Genre di luar daftar","")),IF('PC 02'!G46="","Nama Channel kosong",""),IF('PC 02'!H46="","Link kosong",IF(ISERROR(FIND("youtu",LOWER('PC 02'!H46))),"Link bukan youtube","")),IF('PC 02'!I46="","Tgl Dibuat kosong",IF(NOT(ISNUMBER('PC 02'!I46)),"Tgl Dibuat harus tanggal","")),IF(AND('PC 02'!J46&lt;&gt;"",NOT(ISNUMBER('PC 02'!J46))),"Tgl Publish harus tanggal",""),IF(AND(ISNUMBER('PC 02'!I46),ISNUMBER('PC 02'!J46),'PC 02'!J46&lt;'PC 02'!I46),"Tgl Publish &lt; Tgl Dibuat",""),IF(AND('PC 02'!K46&lt;&gt;"",ISERROR(MATCH(TRIM('PC 02'!K46),{"Draft","Menunggu Review","Revisi","Terjadwal","Publish","Batal","Published"},0))),"Status di luar daftar","")))</f>
        <v>#ERROR!</v>
      </c>
      <c r="D46" s="5" t="str">
        <f>IF(C46="","OK","ADA MASALAH")</f>
        <v>#ERROR!</v>
      </c>
    </row>
    <row r="47">
      <c r="A47" s="3">
        <v>47.0</v>
      </c>
      <c r="B47" s="5" t="str">
        <f>'PC 02'!A47</f>
        <v/>
      </c>
      <c r="C47" s="5" t="str">
        <f>IF(COUNTA('PC 02'!A47:L47)=0,"",TEXTJOIN(" | ",TRUE,IF('PC 02'!A47="","Worker ID kosong",""),IF('PC 02'!B47="","Update Date kosong",IF(NOT(ISNUMBER('PC 02'!B47)),"Update Date harus tanggal","")),IF('PC 02'!D47="","Judul kosong",""),IF('PC 02'!F47="","Genre kosong",IF(ISERROR(MATCH(TRIM('PC 02'!F47),{"Pop","Rock","Dangdut","K-Pop","Electronic","Nasional","Daerah"},0)),"Genre di luar daftar","")),IF('PC 02'!G47="","Nama Channel kosong",""),IF('PC 02'!H47="","Link kosong",IF(ISERROR(FIND("youtu",LOWER('PC 02'!H47))),"Link bukan youtube","")),IF('PC 02'!I47="","Tgl Dibuat kosong",IF(NOT(ISNUMBER('PC 02'!I47)),"Tgl Dibuat harus tanggal","")),IF(AND('PC 02'!J47&lt;&gt;"",NOT(ISNUMBER('PC 02'!J47))),"Tgl Publish harus tanggal",""),IF(AND(ISNUMBER('PC 02'!I47),ISNUMBER('PC 02'!J47),'PC 02'!J47&lt;'PC 02'!I47),"Tgl Publish &lt; Tgl Dibuat",""),IF(AND('PC 02'!K47&lt;&gt;"",ISERROR(MATCH(TRIM('PC 02'!K47),{"Draft","Menunggu Review","Revisi","Terjadwal","Publish","Batal","Published"},0))),"Status di luar daftar","")))</f>
        <v>#ERROR!</v>
      </c>
      <c r="D47" s="5" t="str">
        <f>IF(C47="","OK","ADA MASALAH")</f>
        <v>#ERROR!</v>
      </c>
    </row>
    <row r="48">
      <c r="A48" s="3">
        <v>48.0</v>
      </c>
      <c r="B48" s="5" t="str">
        <f>'PC 02'!A48</f>
        <v/>
      </c>
      <c r="C48" s="5" t="str">
        <f>IF(COUNTA('PC 02'!A48:L48)=0,"",TEXTJOIN(" | ",TRUE,IF('PC 02'!A48="","Worker ID kosong",""),IF('PC 02'!B48="","Update Date kosong",IF(NOT(ISNUMBER('PC 02'!B48)),"Update Date harus tanggal","")),IF('PC 02'!D48="","Judul kosong",""),IF('PC 02'!F48="","Genre kosong",IF(ISERROR(MATCH(TRIM('PC 02'!F48),{"Pop","Rock","Dangdut","K-Pop","Electronic","Nasional","Daerah"},0)),"Genre di luar daftar","")),IF('PC 02'!G48="","Nama Channel kosong",""),IF('PC 02'!H48="","Link kosong",IF(ISERROR(FIND("youtu",LOWER('PC 02'!H48))),"Link bukan youtube","")),IF('PC 02'!I48="","Tgl Dibuat kosong",IF(NOT(ISNUMBER('PC 02'!I48)),"Tgl Dibuat harus tanggal","")),IF(AND('PC 02'!J48&lt;&gt;"",NOT(ISNUMBER('PC 02'!J48))),"Tgl Publish harus tanggal",""),IF(AND(ISNUMBER('PC 02'!I48),ISNUMBER('PC 02'!J48),'PC 02'!J48&lt;'PC 02'!I48),"Tgl Publish &lt; Tgl Dibuat",""),IF(AND('PC 02'!K48&lt;&gt;"",ISERROR(MATCH(TRIM('PC 02'!K48),{"Draft","Menunggu Review","Revisi","Terjadwal","Publish","Batal","Published"},0))),"Status di luar daftar","")))</f>
        <v>#ERROR!</v>
      </c>
      <c r="D48" s="5" t="str">
        <f>IF(C48="","OK","ADA MASALAH")</f>
        <v>#ERROR!</v>
      </c>
    </row>
    <row r="49">
      <c r="A49" s="3">
        <v>49.0</v>
      </c>
      <c r="B49" s="5" t="str">
        <f>'PC 02'!A49</f>
        <v/>
      </c>
      <c r="C49" s="5" t="str">
        <f>IF(COUNTA('PC 02'!A49:L49)=0,"",TEXTJOIN(" | ",TRUE,IF('PC 02'!A49="","Worker ID kosong",""),IF('PC 02'!B49="","Update Date kosong",IF(NOT(ISNUMBER('PC 02'!B49)),"Update Date harus tanggal","")),IF('PC 02'!D49="","Judul kosong",""),IF('PC 02'!F49="","Genre kosong",IF(ISERROR(MATCH(TRIM('PC 02'!F49),{"Pop","Rock","Dangdut","K-Pop","Electronic","Nasional","Daerah"},0)),"Genre di luar daftar","")),IF('PC 02'!G49="","Nama Channel kosong",""),IF('PC 02'!H49="","Link kosong",IF(ISERROR(FIND("youtu",LOWER('PC 02'!H49))),"Link bukan youtube","")),IF('PC 02'!I49="","Tgl Dibuat kosong",IF(NOT(ISNUMBER('PC 02'!I49)),"Tgl Dibuat harus tanggal","")),IF(AND('PC 02'!J49&lt;&gt;"",NOT(ISNUMBER('PC 02'!J49))),"Tgl Publish harus tanggal",""),IF(AND(ISNUMBER('PC 02'!I49),ISNUMBER('PC 02'!J49),'PC 02'!J49&lt;'PC 02'!I49),"Tgl Publish &lt; Tgl Dibuat",""),IF(AND('PC 02'!K49&lt;&gt;"",ISERROR(MATCH(TRIM('PC 02'!K49),{"Draft","Menunggu Review","Revisi","Terjadwal","Publish","Batal","Published"},0))),"Status di luar daftar","")))</f>
        <v>#ERROR!</v>
      </c>
      <c r="D49" s="5" t="str">
        <f>IF(C49="","OK","ADA MASALAH")</f>
        <v>#ERROR!</v>
      </c>
    </row>
    <row r="50">
      <c r="A50" s="3">
        <v>50.0</v>
      </c>
      <c r="B50" s="5" t="str">
        <f>'PC 02'!A50</f>
        <v/>
      </c>
      <c r="C50" s="5" t="str">
        <f>IF(COUNTA('PC 02'!A50:L50)=0,"",TEXTJOIN(" | ",TRUE,IF('PC 02'!A50="","Worker ID kosong",""),IF('PC 02'!B50="","Update Date kosong",IF(NOT(ISNUMBER('PC 02'!B50)),"Update Date harus tanggal","")),IF('PC 02'!D50="","Judul kosong",""),IF('PC 02'!F50="","Genre kosong",IF(ISERROR(MATCH(TRIM('PC 02'!F50),{"Pop","Rock","Dangdut","K-Pop","Electronic","Nasional","Daerah"},0)),"Genre di luar daftar","")),IF('PC 02'!G50="","Nama Channel kosong",""),IF('PC 02'!H50="","Link kosong",IF(ISERROR(FIND("youtu",LOWER('PC 02'!H50))),"Link bukan youtube","")),IF('PC 02'!I50="","Tgl Dibuat kosong",IF(NOT(ISNUMBER('PC 02'!I50)),"Tgl Dibuat harus tanggal","")),IF(AND('PC 02'!J50&lt;&gt;"",NOT(ISNUMBER('PC 02'!J50))),"Tgl Publish harus tanggal",""),IF(AND(ISNUMBER('PC 02'!I50),ISNUMBER('PC 02'!J50),'PC 02'!J50&lt;'PC 02'!I50),"Tgl Publish &lt; Tgl Dibuat",""),IF(AND('PC 02'!K50&lt;&gt;"",ISERROR(MATCH(TRIM('PC 02'!K50),{"Draft","Menunggu Review","Revisi","Terjadwal","Publish","Batal","Published"},0))),"Status di luar daftar","")))</f>
        <v>#ERROR!</v>
      </c>
      <c r="D50" s="5" t="str">
        <f>IF(C50="","OK","ADA MASALAH")</f>
        <v>#ERROR!</v>
      </c>
    </row>
    <row r="51">
      <c r="A51" s="3">
        <v>51.0</v>
      </c>
      <c r="B51" s="5" t="str">
        <f>'PC 02'!A51</f>
        <v/>
      </c>
      <c r="C51" s="5" t="str">
        <f>IF(COUNTA('PC 02'!A51:L51)=0,"",TEXTJOIN(" | ",TRUE,IF('PC 02'!A51="","Worker ID kosong",""),IF('PC 02'!B51="","Update Date kosong",IF(NOT(ISNUMBER('PC 02'!B51)),"Update Date harus tanggal","")),IF('PC 02'!D51="","Judul kosong",""),IF('PC 02'!F51="","Genre kosong",IF(ISERROR(MATCH(TRIM('PC 02'!F51),{"Pop","Rock","Dangdut","K-Pop","Electronic","Nasional","Daerah"},0)),"Genre di luar daftar","")),IF('PC 02'!G51="","Nama Channel kosong",""),IF('PC 02'!H51="","Link kosong",IF(ISERROR(FIND("youtu",LOWER('PC 02'!H51))),"Link bukan youtube","")),IF('PC 02'!I51="","Tgl Dibuat kosong",IF(NOT(ISNUMBER('PC 02'!I51)),"Tgl Dibuat harus tanggal","")),IF(AND('PC 02'!J51&lt;&gt;"",NOT(ISNUMBER('PC 02'!J51))),"Tgl Publish harus tanggal",""),IF(AND(ISNUMBER('PC 02'!I51),ISNUMBER('PC 02'!J51),'PC 02'!J51&lt;'PC 02'!I51),"Tgl Publish &lt; Tgl Dibuat",""),IF(AND('PC 02'!K51&lt;&gt;"",ISERROR(MATCH(TRIM('PC 02'!K51),{"Draft","Menunggu Review","Revisi","Terjadwal","Publish","Batal","Published"},0))),"Status di luar daftar","")))</f>
        <v>#ERROR!</v>
      </c>
      <c r="D51" s="5" t="str">
        <f>IF(C51="","OK","ADA MASALAH")</f>
        <v>#ERROR!</v>
      </c>
    </row>
    <row r="52">
      <c r="A52" s="3">
        <v>52.0</v>
      </c>
      <c r="B52" s="5" t="str">
        <f>'PC 02'!A52</f>
        <v/>
      </c>
      <c r="C52" s="5" t="str">
        <f>IF(COUNTA('PC 02'!A52:L52)=0,"",TEXTJOIN(" | ",TRUE,IF('PC 02'!A52="","Worker ID kosong",""),IF('PC 02'!B52="","Update Date kosong",IF(NOT(ISNUMBER('PC 02'!B52)),"Update Date harus tanggal","")),IF('PC 02'!D52="","Judul kosong",""),IF('PC 02'!F52="","Genre kosong",IF(ISERROR(MATCH(TRIM('PC 02'!F52),{"Pop","Rock","Dangdut","K-Pop","Electronic","Nasional","Daerah"},0)),"Genre di luar daftar","")),IF('PC 02'!G52="","Nama Channel kosong",""),IF('PC 02'!H52="","Link kosong",IF(ISERROR(FIND("youtu",LOWER('PC 02'!H52))),"Link bukan youtube","")),IF('PC 02'!I52="","Tgl Dibuat kosong",IF(NOT(ISNUMBER('PC 02'!I52)),"Tgl Dibuat harus tanggal","")),IF(AND('PC 02'!J52&lt;&gt;"",NOT(ISNUMBER('PC 02'!J52))),"Tgl Publish harus tanggal",""),IF(AND(ISNUMBER('PC 02'!I52),ISNUMBER('PC 02'!J52),'PC 02'!J52&lt;'PC 02'!I52),"Tgl Publish &lt; Tgl Dibuat",""),IF(AND('PC 02'!K52&lt;&gt;"",ISERROR(MATCH(TRIM('PC 02'!K52),{"Draft","Menunggu Review","Revisi","Terjadwal","Publish","Batal","Published"},0))),"Status di luar daftar","")))</f>
        <v>#ERROR!</v>
      </c>
      <c r="D52" s="5" t="str">
        <f>IF(C52="","OK","ADA MASALAH")</f>
        <v>#ERROR!</v>
      </c>
    </row>
    <row r="53">
      <c r="A53" s="3">
        <v>53.0</v>
      </c>
      <c r="B53" s="5" t="str">
        <f>'PC 02'!A53</f>
        <v/>
      </c>
      <c r="C53" s="5" t="str">
        <f>IF(COUNTA('PC 02'!A53:L53)=0,"",TEXTJOIN(" | ",TRUE,IF('PC 02'!A53="","Worker ID kosong",""),IF('PC 02'!B53="","Update Date kosong",IF(NOT(ISNUMBER('PC 02'!B53)),"Update Date harus tanggal","")),IF('PC 02'!D53="","Judul kosong",""),IF('PC 02'!F53="","Genre kosong",IF(ISERROR(MATCH(TRIM('PC 02'!F53),{"Pop","Rock","Dangdut","K-Pop","Electronic","Nasional","Daerah"},0)),"Genre di luar daftar","")),IF('PC 02'!G53="","Nama Channel kosong",""),IF('PC 02'!H53="","Link kosong",IF(ISERROR(FIND("youtu",LOWER('PC 02'!H53))),"Link bukan youtube","")),IF('PC 02'!I53="","Tgl Dibuat kosong",IF(NOT(ISNUMBER('PC 02'!I53)),"Tgl Dibuat harus tanggal","")),IF(AND('PC 02'!J53&lt;&gt;"",NOT(ISNUMBER('PC 02'!J53))),"Tgl Publish harus tanggal",""),IF(AND(ISNUMBER('PC 02'!I53),ISNUMBER('PC 02'!J53),'PC 02'!J53&lt;'PC 02'!I53),"Tgl Publish &lt; Tgl Dibuat",""),IF(AND('PC 02'!K53&lt;&gt;"",ISERROR(MATCH(TRIM('PC 02'!K53),{"Draft","Menunggu Review","Revisi","Terjadwal","Publish","Batal","Published"},0))),"Status di luar daftar","")))</f>
        <v>#ERROR!</v>
      </c>
      <c r="D53" s="5" t="str">
        <f>IF(C53="","OK","ADA MASALAH")</f>
        <v>#ERROR!</v>
      </c>
    </row>
    <row r="54">
      <c r="A54" s="3">
        <v>54.0</v>
      </c>
      <c r="B54" s="5" t="str">
        <f>'PC 02'!A54</f>
        <v/>
      </c>
      <c r="C54" s="5" t="str">
        <f>IF(COUNTA('PC 02'!A54:L54)=0,"",TEXTJOIN(" | ",TRUE,IF('PC 02'!A54="","Worker ID kosong",""),IF('PC 02'!B54="","Update Date kosong",IF(NOT(ISNUMBER('PC 02'!B54)),"Update Date harus tanggal","")),IF('PC 02'!D54="","Judul kosong",""),IF('PC 02'!F54="","Genre kosong",IF(ISERROR(MATCH(TRIM('PC 02'!F54),{"Pop","Rock","Dangdut","K-Pop","Electronic","Nasional","Daerah"},0)),"Genre di luar daftar","")),IF('PC 02'!G54="","Nama Channel kosong",""),IF('PC 02'!H54="","Link kosong",IF(ISERROR(FIND("youtu",LOWER('PC 02'!H54))),"Link bukan youtube","")),IF('PC 02'!I54="","Tgl Dibuat kosong",IF(NOT(ISNUMBER('PC 02'!I54)),"Tgl Dibuat harus tanggal","")),IF(AND('PC 02'!J54&lt;&gt;"",NOT(ISNUMBER('PC 02'!J54))),"Tgl Publish harus tanggal",""),IF(AND(ISNUMBER('PC 02'!I54),ISNUMBER('PC 02'!J54),'PC 02'!J54&lt;'PC 02'!I54),"Tgl Publish &lt; Tgl Dibuat",""),IF(AND('PC 02'!K54&lt;&gt;"",ISERROR(MATCH(TRIM('PC 02'!K54),{"Draft","Menunggu Review","Revisi","Terjadwal","Publish","Batal","Published"},0))),"Status di luar daftar","")))</f>
        <v>#ERROR!</v>
      </c>
      <c r="D54" s="5" t="str">
        <f>IF(C54="","OK","ADA MASALAH")</f>
        <v>#ERROR!</v>
      </c>
    </row>
    <row r="55">
      <c r="A55" s="3">
        <v>55.0</v>
      </c>
      <c r="B55" s="5" t="str">
        <f>'PC 02'!A55</f>
        <v/>
      </c>
      <c r="C55" s="5" t="str">
        <f>IF(COUNTA('PC 02'!A55:L55)=0,"",TEXTJOIN(" | ",TRUE,IF('PC 02'!A55="","Worker ID kosong",""),IF('PC 02'!B55="","Update Date kosong",IF(NOT(ISNUMBER('PC 02'!B55)),"Update Date harus tanggal","")),IF('PC 02'!D55="","Judul kosong",""),IF('PC 02'!F55="","Genre kosong",IF(ISERROR(MATCH(TRIM('PC 02'!F55),{"Pop","Rock","Dangdut","K-Pop","Electronic","Nasional","Daerah"},0)),"Genre di luar daftar","")),IF('PC 02'!G55="","Nama Channel kosong",""),IF('PC 02'!H55="","Link kosong",IF(ISERROR(FIND("youtu",LOWER('PC 02'!H55))),"Link bukan youtube","")),IF('PC 02'!I55="","Tgl Dibuat kosong",IF(NOT(ISNUMBER('PC 02'!I55)),"Tgl Dibuat harus tanggal","")),IF(AND('PC 02'!J55&lt;&gt;"",NOT(ISNUMBER('PC 02'!J55))),"Tgl Publish harus tanggal",""),IF(AND(ISNUMBER('PC 02'!I55),ISNUMBER('PC 02'!J55),'PC 02'!J55&lt;'PC 02'!I55),"Tgl Publish &lt; Tgl Dibuat",""),IF(AND('PC 02'!K55&lt;&gt;"",ISERROR(MATCH(TRIM('PC 02'!K55),{"Draft","Menunggu Review","Revisi","Terjadwal","Publish","Batal","Published"},0))),"Status di luar daftar","")))</f>
        <v>#ERROR!</v>
      </c>
      <c r="D55" s="5" t="str">
        <f>IF(C55="","OK","ADA MASALAH")</f>
        <v>#ERROR!</v>
      </c>
    </row>
    <row r="56">
      <c r="A56" s="3">
        <v>56.0</v>
      </c>
      <c r="B56" s="5" t="str">
        <f>'PC 02'!A56</f>
        <v/>
      </c>
      <c r="C56" s="5" t="str">
        <f>IF(COUNTA('PC 02'!A56:L56)=0,"",TEXTJOIN(" | ",TRUE,IF('PC 02'!A56="","Worker ID kosong",""),IF('PC 02'!B56="","Update Date kosong",IF(NOT(ISNUMBER('PC 02'!B56)),"Update Date harus tanggal","")),IF('PC 02'!D56="","Judul kosong",""),IF('PC 02'!F56="","Genre kosong",IF(ISERROR(MATCH(TRIM('PC 02'!F56),{"Pop","Rock","Dangdut","K-Pop","Electronic","Nasional","Daerah"},0)),"Genre di luar daftar","")),IF('PC 02'!G56="","Nama Channel kosong",""),IF('PC 02'!H56="","Link kosong",IF(ISERROR(FIND("youtu",LOWER('PC 02'!H56))),"Link bukan youtube","")),IF('PC 02'!I56="","Tgl Dibuat kosong",IF(NOT(ISNUMBER('PC 02'!I56)),"Tgl Dibuat harus tanggal","")),IF(AND('PC 02'!J56&lt;&gt;"",NOT(ISNUMBER('PC 02'!J56))),"Tgl Publish harus tanggal",""),IF(AND(ISNUMBER('PC 02'!I56),ISNUMBER('PC 02'!J56),'PC 02'!J56&lt;'PC 02'!I56),"Tgl Publish &lt; Tgl Dibuat",""),IF(AND('PC 02'!K56&lt;&gt;"",ISERROR(MATCH(TRIM('PC 02'!K56),{"Draft","Menunggu Review","Revisi","Terjadwal","Publish","Batal","Published"},0))),"Status di luar daftar","")))</f>
        <v>#ERROR!</v>
      </c>
      <c r="D56" s="5" t="str">
        <f>IF(C56="","OK","ADA MASALAH")</f>
        <v>#ERROR!</v>
      </c>
    </row>
    <row r="57">
      <c r="A57" s="3">
        <v>57.0</v>
      </c>
      <c r="B57" s="5" t="str">
        <f>'PC 02'!A57</f>
        <v/>
      </c>
      <c r="C57" s="5" t="str">
        <f>IF(COUNTA('PC 02'!A57:L57)=0,"",TEXTJOIN(" | ",TRUE,IF('PC 02'!A57="","Worker ID kosong",""),IF('PC 02'!B57="","Update Date kosong",IF(NOT(ISNUMBER('PC 02'!B57)),"Update Date harus tanggal","")),IF('PC 02'!D57="","Judul kosong",""),IF('PC 02'!F57="","Genre kosong",IF(ISERROR(MATCH(TRIM('PC 02'!F57),{"Pop","Rock","Dangdut","K-Pop","Electronic","Nasional","Daerah"},0)),"Genre di luar daftar","")),IF('PC 02'!G57="","Nama Channel kosong",""),IF('PC 02'!H57="","Link kosong",IF(ISERROR(FIND("youtu",LOWER('PC 02'!H57))),"Link bukan youtube","")),IF('PC 02'!I57="","Tgl Dibuat kosong",IF(NOT(ISNUMBER('PC 02'!I57)),"Tgl Dibuat harus tanggal","")),IF(AND('PC 02'!J57&lt;&gt;"",NOT(ISNUMBER('PC 02'!J57))),"Tgl Publish harus tanggal",""),IF(AND(ISNUMBER('PC 02'!I57),ISNUMBER('PC 02'!J57),'PC 02'!J57&lt;'PC 02'!I57),"Tgl Publish &lt; Tgl Dibuat",""),IF(AND('PC 02'!K57&lt;&gt;"",ISERROR(MATCH(TRIM('PC 02'!K57),{"Draft","Menunggu Review","Revisi","Terjadwal","Publish","Batal","Published"},0))),"Status di luar daftar","")))</f>
        <v>#ERROR!</v>
      </c>
      <c r="D57" s="5" t="str">
        <f>IF(C57="","OK","ADA MASALAH")</f>
        <v>#ERROR!</v>
      </c>
    </row>
    <row r="58">
      <c r="A58" s="3">
        <v>58.0</v>
      </c>
      <c r="B58" s="5" t="str">
        <f>'PC 02'!A58</f>
        <v/>
      </c>
      <c r="C58" s="5" t="str">
        <f>IF(COUNTA('PC 02'!A58:L58)=0,"",TEXTJOIN(" | ",TRUE,IF('PC 02'!A58="","Worker ID kosong",""),IF('PC 02'!B58="","Update Date kosong",IF(NOT(ISNUMBER('PC 02'!B58)),"Update Date harus tanggal","")),IF('PC 02'!D58="","Judul kosong",""),IF('PC 02'!F58="","Genre kosong",IF(ISERROR(MATCH(TRIM('PC 02'!F58),{"Pop","Rock","Dangdut","K-Pop","Electronic","Nasional","Daerah"},0)),"Genre di luar daftar","")),IF('PC 02'!G58="","Nama Channel kosong",""),IF('PC 02'!H58="","Link kosong",IF(ISERROR(FIND("youtu",LOWER('PC 02'!H58))),"Link bukan youtube","")),IF('PC 02'!I58="","Tgl Dibuat kosong",IF(NOT(ISNUMBER('PC 02'!I58)),"Tgl Dibuat harus tanggal","")),IF(AND('PC 02'!J58&lt;&gt;"",NOT(ISNUMBER('PC 02'!J58))),"Tgl Publish harus tanggal",""),IF(AND(ISNUMBER('PC 02'!I58),ISNUMBER('PC 02'!J58),'PC 02'!J58&lt;'PC 02'!I58),"Tgl Publish &lt; Tgl Dibuat",""),IF(AND('PC 02'!K58&lt;&gt;"",ISERROR(MATCH(TRIM('PC 02'!K58),{"Draft","Menunggu Review","Revisi","Terjadwal","Publish","Batal","Published"},0))),"Status di luar daftar","")))</f>
        <v>#ERROR!</v>
      </c>
      <c r="D58" s="5" t="str">
        <f>IF(C58="","OK","ADA MASALAH")</f>
        <v>#ERROR!</v>
      </c>
    </row>
    <row r="59">
      <c r="A59" s="3">
        <v>59.0</v>
      </c>
      <c r="B59" s="5" t="str">
        <f>'PC 02'!A59</f>
        <v/>
      </c>
      <c r="C59" s="5" t="str">
        <f>IF(COUNTA('PC 02'!A59:L59)=0,"",TEXTJOIN(" | ",TRUE,IF('PC 02'!A59="","Worker ID kosong",""),IF('PC 02'!B59="","Update Date kosong",IF(NOT(ISNUMBER('PC 02'!B59)),"Update Date harus tanggal","")),IF('PC 02'!D59="","Judul kosong",""),IF('PC 02'!F59="","Genre kosong",IF(ISERROR(MATCH(TRIM('PC 02'!F59),{"Pop","Rock","Dangdut","K-Pop","Electronic","Nasional","Daerah"},0)),"Genre di luar daftar","")),IF('PC 02'!G59="","Nama Channel kosong",""),IF('PC 02'!H59="","Link kosong",IF(ISERROR(FIND("youtu",LOWER('PC 02'!H59))),"Link bukan youtube","")),IF('PC 02'!I59="","Tgl Dibuat kosong",IF(NOT(ISNUMBER('PC 02'!I59)),"Tgl Dibuat harus tanggal","")),IF(AND('PC 02'!J59&lt;&gt;"",NOT(ISNUMBER('PC 02'!J59))),"Tgl Publish harus tanggal",""),IF(AND(ISNUMBER('PC 02'!I59),ISNUMBER('PC 02'!J59),'PC 02'!J59&lt;'PC 02'!I59),"Tgl Publish &lt; Tgl Dibuat",""),IF(AND('PC 02'!K59&lt;&gt;"",ISERROR(MATCH(TRIM('PC 02'!K59),{"Draft","Menunggu Review","Revisi","Terjadwal","Publish","Batal","Published"},0))),"Status di luar daftar","")))</f>
        <v>#ERROR!</v>
      </c>
      <c r="D59" s="5" t="str">
        <f>IF(C59="","OK","ADA MASALAH")</f>
        <v>#ERROR!</v>
      </c>
    </row>
    <row r="60">
      <c r="A60" s="3">
        <v>60.0</v>
      </c>
      <c r="B60" s="5" t="str">
        <f>'PC 02'!A60</f>
        <v/>
      </c>
      <c r="C60" s="5" t="str">
        <f>IF(COUNTA('PC 02'!A60:L60)=0,"",TEXTJOIN(" | ",TRUE,IF('PC 02'!A60="","Worker ID kosong",""),IF('PC 02'!B60="","Update Date kosong",IF(NOT(ISNUMBER('PC 02'!B60)),"Update Date harus tanggal","")),IF('PC 02'!D60="","Judul kosong",""),IF('PC 02'!F60="","Genre kosong",IF(ISERROR(MATCH(TRIM('PC 02'!F60),{"Pop","Rock","Dangdut","K-Pop","Electronic","Nasional","Daerah"},0)),"Genre di luar daftar","")),IF('PC 02'!G60="","Nama Channel kosong",""),IF('PC 02'!H60="","Link kosong",IF(ISERROR(FIND("youtu",LOWER('PC 02'!H60))),"Link bukan youtube","")),IF('PC 02'!I60="","Tgl Dibuat kosong",IF(NOT(ISNUMBER('PC 02'!I60)),"Tgl Dibuat harus tanggal","")),IF(AND('PC 02'!J60&lt;&gt;"",NOT(ISNUMBER('PC 02'!J60))),"Tgl Publish harus tanggal",""),IF(AND(ISNUMBER('PC 02'!I60),ISNUMBER('PC 02'!J60),'PC 02'!J60&lt;'PC 02'!I60),"Tgl Publish &lt; Tgl Dibuat",""),IF(AND('PC 02'!K60&lt;&gt;"",ISERROR(MATCH(TRIM('PC 02'!K60),{"Draft","Menunggu Review","Revisi","Terjadwal","Publish","Batal","Published"},0))),"Status di luar daftar","")))</f>
        <v>#ERROR!</v>
      </c>
      <c r="D60" s="5" t="str">
        <f>IF(C60="","OK","ADA MASALAH")</f>
        <v>#ERROR!</v>
      </c>
    </row>
    <row r="61">
      <c r="A61" s="3">
        <v>61.0</v>
      </c>
      <c r="B61" s="5" t="str">
        <f>'PC 02'!A61</f>
        <v/>
      </c>
      <c r="C61" s="5" t="str">
        <f>IF(COUNTA('PC 02'!A61:L61)=0,"",TEXTJOIN(" | ",TRUE,IF('PC 02'!A61="","Worker ID kosong",""),IF('PC 02'!B61="","Update Date kosong",IF(NOT(ISNUMBER('PC 02'!B61)),"Update Date harus tanggal","")),IF('PC 02'!D61="","Judul kosong",""),IF('PC 02'!F61="","Genre kosong",IF(ISERROR(MATCH(TRIM('PC 02'!F61),{"Pop","Rock","Dangdut","K-Pop","Electronic","Nasional","Daerah"},0)),"Genre di luar daftar","")),IF('PC 02'!G61="","Nama Channel kosong",""),IF('PC 02'!H61="","Link kosong",IF(ISERROR(FIND("youtu",LOWER('PC 02'!H61))),"Link bukan youtube","")),IF('PC 02'!I61="","Tgl Dibuat kosong",IF(NOT(ISNUMBER('PC 02'!I61)),"Tgl Dibuat harus tanggal","")),IF(AND('PC 02'!J61&lt;&gt;"",NOT(ISNUMBER('PC 02'!J61))),"Tgl Publish harus tanggal",""),IF(AND(ISNUMBER('PC 02'!I61),ISNUMBER('PC 02'!J61),'PC 02'!J61&lt;'PC 02'!I61),"Tgl Publish &lt; Tgl Dibuat",""),IF(AND('PC 02'!K61&lt;&gt;"",ISERROR(MATCH(TRIM('PC 02'!K61),{"Draft","Menunggu Review","Revisi","Terjadwal","Publish","Batal","Published"},0))),"Status di luar daftar","")))</f>
        <v>#ERROR!</v>
      </c>
      <c r="D61" s="5" t="str">
        <f>IF(C61="","OK","ADA MASALAH")</f>
        <v>#ERROR!</v>
      </c>
    </row>
    <row r="62">
      <c r="A62" s="3">
        <v>62.0</v>
      </c>
      <c r="B62" s="5" t="str">
        <f>'PC 02'!A62</f>
        <v/>
      </c>
      <c r="C62" s="5" t="str">
        <f>IF(COUNTA('PC 02'!A62:L62)=0,"",TEXTJOIN(" | ",TRUE,IF('PC 02'!A62="","Worker ID kosong",""),IF('PC 02'!B62="","Update Date kosong",IF(NOT(ISNUMBER('PC 02'!B62)),"Update Date harus tanggal","")),IF('PC 02'!D62="","Judul kosong",""),IF('PC 02'!F62="","Genre kosong",IF(ISERROR(MATCH(TRIM('PC 02'!F62),{"Pop","Rock","Dangdut","K-Pop","Electronic","Nasional","Daerah"},0)),"Genre di luar daftar","")),IF('PC 02'!G62="","Nama Channel kosong",""),IF('PC 02'!H62="","Link kosong",IF(ISERROR(FIND("youtu",LOWER('PC 02'!H62))),"Link bukan youtube","")),IF('PC 02'!I62="","Tgl Dibuat kosong",IF(NOT(ISNUMBER('PC 02'!I62)),"Tgl Dibuat harus tanggal","")),IF(AND('PC 02'!J62&lt;&gt;"",NOT(ISNUMBER('PC 02'!J62))),"Tgl Publish harus tanggal",""),IF(AND(ISNUMBER('PC 02'!I62),ISNUMBER('PC 02'!J62),'PC 02'!J62&lt;'PC 02'!I62),"Tgl Publish &lt; Tgl Dibuat",""),IF(AND('PC 02'!K62&lt;&gt;"",ISERROR(MATCH(TRIM('PC 02'!K62),{"Draft","Menunggu Review","Revisi","Terjadwal","Publish","Batal","Published"},0))),"Status di luar daftar","")))</f>
        <v>#ERROR!</v>
      </c>
      <c r="D62" s="5" t="str">
        <f>IF(C62="","OK","ADA MASALAH")</f>
        <v>#ERROR!</v>
      </c>
    </row>
    <row r="63">
      <c r="A63" s="3">
        <v>63.0</v>
      </c>
      <c r="B63" s="5" t="str">
        <f>'PC 02'!A63</f>
        <v/>
      </c>
      <c r="C63" s="5" t="str">
        <f>IF(COUNTA('PC 02'!A63:L63)=0,"",TEXTJOIN(" | ",TRUE,IF('PC 02'!A63="","Worker ID kosong",""),IF('PC 02'!B63="","Update Date kosong",IF(NOT(ISNUMBER('PC 02'!B63)),"Update Date harus tanggal","")),IF('PC 02'!D63="","Judul kosong",""),IF('PC 02'!F63="","Genre kosong",IF(ISERROR(MATCH(TRIM('PC 02'!F63),{"Pop","Rock","Dangdut","K-Pop","Electronic","Nasional","Daerah"},0)),"Genre di luar daftar","")),IF('PC 02'!G63="","Nama Channel kosong",""),IF('PC 02'!H63="","Link kosong",IF(ISERROR(FIND("youtu",LOWER('PC 02'!H63))),"Link bukan youtube","")),IF('PC 02'!I63="","Tgl Dibuat kosong",IF(NOT(ISNUMBER('PC 02'!I63)),"Tgl Dibuat harus tanggal","")),IF(AND('PC 02'!J63&lt;&gt;"",NOT(ISNUMBER('PC 02'!J63))),"Tgl Publish harus tanggal",""),IF(AND(ISNUMBER('PC 02'!I63),ISNUMBER('PC 02'!J63),'PC 02'!J63&lt;'PC 02'!I63),"Tgl Publish &lt; Tgl Dibuat",""),IF(AND('PC 02'!K63&lt;&gt;"",ISERROR(MATCH(TRIM('PC 02'!K63),{"Draft","Menunggu Review","Revisi","Terjadwal","Publish","Batal","Published"},0))),"Status di luar daftar","")))</f>
        <v>#ERROR!</v>
      </c>
      <c r="D63" s="5" t="str">
        <f>IF(C63="","OK","ADA MASALAH")</f>
        <v>#ERROR!</v>
      </c>
    </row>
    <row r="64">
      <c r="A64" s="3">
        <v>64.0</v>
      </c>
      <c r="B64" s="5" t="str">
        <f>'PC 02'!A64</f>
        <v/>
      </c>
      <c r="C64" s="5" t="str">
        <f>IF(COUNTA('PC 02'!A64:L64)=0,"",TEXTJOIN(" | ",TRUE,IF('PC 02'!A64="","Worker ID kosong",""),IF('PC 02'!B64="","Update Date kosong",IF(NOT(ISNUMBER('PC 02'!B64)),"Update Date harus tanggal","")),IF('PC 02'!D64="","Judul kosong",""),IF('PC 02'!F64="","Genre kosong",IF(ISERROR(MATCH(TRIM('PC 02'!F64),{"Pop","Rock","Dangdut","K-Pop","Electronic","Nasional","Daerah"},0)),"Genre di luar daftar","")),IF('PC 02'!G64="","Nama Channel kosong",""),IF('PC 02'!H64="","Link kosong",IF(ISERROR(FIND("youtu",LOWER('PC 02'!H64))),"Link bukan youtube","")),IF('PC 02'!I64="","Tgl Dibuat kosong",IF(NOT(ISNUMBER('PC 02'!I64)),"Tgl Dibuat harus tanggal","")),IF(AND('PC 02'!J64&lt;&gt;"",NOT(ISNUMBER('PC 02'!J64))),"Tgl Publish harus tanggal",""),IF(AND(ISNUMBER('PC 02'!I64),ISNUMBER('PC 02'!J64),'PC 02'!J64&lt;'PC 02'!I64),"Tgl Publish &lt; Tgl Dibuat",""),IF(AND('PC 02'!K64&lt;&gt;"",ISERROR(MATCH(TRIM('PC 02'!K64),{"Draft","Menunggu Review","Revisi","Terjadwal","Publish","Batal","Published"},0))),"Status di luar daftar","")))</f>
        <v>#ERROR!</v>
      </c>
      <c r="D64" s="5" t="str">
        <f>IF(C64="","OK","ADA MASALAH")</f>
        <v>#ERROR!</v>
      </c>
    </row>
    <row r="65">
      <c r="A65" s="3">
        <v>65.0</v>
      </c>
      <c r="B65" s="5" t="str">
        <f>'PC 02'!A65</f>
        <v/>
      </c>
      <c r="C65" s="5" t="str">
        <f>IF(COUNTA('PC 02'!A65:L65)=0,"",TEXTJOIN(" | ",TRUE,IF('PC 02'!A65="","Worker ID kosong",""),IF('PC 02'!B65="","Update Date kosong",IF(NOT(ISNUMBER('PC 02'!B65)),"Update Date harus tanggal","")),IF('PC 02'!D65="","Judul kosong",""),IF('PC 02'!F65="","Genre kosong",IF(ISERROR(MATCH(TRIM('PC 02'!F65),{"Pop","Rock","Dangdut","K-Pop","Electronic","Nasional","Daerah"},0)),"Genre di luar daftar","")),IF('PC 02'!G65="","Nama Channel kosong",""),IF('PC 02'!H65="","Link kosong",IF(ISERROR(FIND("youtu",LOWER('PC 02'!H65))),"Link bukan youtube","")),IF('PC 02'!I65="","Tgl Dibuat kosong",IF(NOT(ISNUMBER('PC 02'!I65)),"Tgl Dibuat harus tanggal","")),IF(AND('PC 02'!J65&lt;&gt;"",NOT(ISNUMBER('PC 02'!J65))),"Tgl Publish harus tanggal",""),IF(AND(ISNUMBER('PC 02'!I65),ISNUMBER('PC 02'!J65),'PC 02'!J65&lt;'PC 02'!I65),"Tgl Publish &lt; Tgl Dibuat",""),IF(AND('PC 02'!K65&lt;&gt;"",ISERROR(MATCH(TRIM('PC 02'!K65),{"Draft","Menunggu Review","Revisi","Terjadwal","Publish","Batal","Published"},0))),"Status di luar daftar","")))</f>
        <v>#ERROR!</v>
      </c>
      <c r="D65" s="5" t="str">
        <f>IF(C65="","OK","ADA MASALAH")</f>
        <v>#ERROR!</v>
      </c>
    </row>
    <row r="66">
      <c r="A66" s="3">
        <v>66.0</v>
      </c>
      <c r="B66" s="5" t="str">
        <f>'PC 02'!A66</f>
        <v/>
      </c>
      <c r="C66" s="5" t="str">
        <f>IF(COUNTA('PC 02'!A66:L66)=0,"",TEXTJOIN(" | ",TRUE,IF('PC 02'!A66="","Worker ID kosong",""),IF('PC 02'!B66="","Update Date kosong",IF(NOT(ISNUMBER('PC 02'!B66)),"Update Date harus tanggal","")),IF('PC 02'!D66="","Judul kosong",""),IF('PC 02'!F66="","Genre kosong",IF(ISERROR(MATCH(TRIM('PC 02'!F66),{"Pop","Rock","Dangdut","K-Pop","Electronic","Nasional","Daerah"},0)),"Genre di luar daftar","")),IF('PC 02'!G66="","Nama Channel kosong",""),IF('PC 02'!H66="","Link kosong",IF(ISERROR(FIND("youtu",LOWER('PC 02'!H66))),"Link bukan youtube","")),IF('PC 02'!I66="","Tgl Dibuat kosong",IF(NOT(ISNUMBER('PC 02'!I66)),"Tgl Dibuat harus tanggal","")),IF(AND('PC 02'!J66&lt;&gt;"",NOT(ISNUMBER('PC 02'!J66))),"Tgl Publish harus tanggal",""),IF(AND(ISNUMBER('PC 02'!I66),ISNUMBER('PC 02'!J66),'PC 02'!J66&lt;'PC 02'!I66),"Tgl Publish &lt; Tgl Dibuat",""),IF(AND('PC 02'!K66&lt;&gt;"",ISERROR(MATCH(TRIM('PC 02'!K66),{"Draft","Menunggu Review","Revisi","Terjadwal","Publish","Batal","Published"},0))),"Status di luar daftar","")))</f>
        <v>#ERROR!</v>
      </c>
      <c r="D66" s="5" t="str">
        <f>IF(C66="","OK","ADA MASALAH")</f>
        <v>#ERROR!</v>
      </c>
    </row>
    <row r="67">
      <c r="A67" s="3">
        <v>67.0</v>
      </c>
      <c r="B67" s="5" t="str">
        <f>'PC 02'!A67</f>
        <v/>
      </c>
      <c r="C67" s="5" t="str">
        <f>IF(COUNTA('PC 02'!A67:L67)=0,"",TEXTJOIN(" | ",TRUE,IF('PC 02'!A67="","Worker ID kosong",""),IF('PC 02'!B67="","Update Date kosong",IF(NOT(ISNUMBER('PC 02'!B67)),"Update Date harus tanggal","")),IF('PC 02'!D67="","Judul kosong",""),IF('PC 02'!F67="","Genre kosong",IF(ISERROR(MATCH(TRIM('PC 02'!F67),{"Pop","Rock","Dangdut","K-Pop","Electronic","Nasional","Daerah"},0)),"Genre di luar daftar","")),IF('PC 02'!G67="","Nama Channel kosong",""),IF('PC 02'!H67="","Link kosong",IF(ISERROR(FIND("youtu",LOWER('PC 02'!H67))),"Link bukan youtube","")),IF('PC 02'!I67="","Tgl Dibuat kosong",IF(NOT(ISNUMBER('PC 02'!I67)),"Tgl Dibuat harus tanggal","")),IF(AND('PC 02'!J67&lt;&gt;"",NOT(ISNUMBER('PC 02'!J67))),"Tgl Publish harus tanggal",""),IF(AND(ISNUMBER('PC 02'!I67),ISNUMBER('PC 02'!J67),'PC 02'!J67&lt;'PC 02'!I67),"Tgl Publish &lt; Tgl Dibuat",""),IF(AND('PC 02'!K67&lt;&gt;"",ISERROR(MATCH(TRIM('PC 02'!K67),{"Draft","Menunggu Review","Revisi","Terjadwal","Publish","Batal","Published"},0))),"Status di luar daftar","")))</f>
        <v>#ERROR!</v>
      </c>
      <c r="D67" s="5" t="str">
        <f>IF(C67="","OK","ADA MASALAH")</f>
        <v>#ERROR!</v>
      </c>
    </row>
    <row r="68">
      <c r="A68" s="3">
        <v>68.0</v>
      </c>
      <c r="B68" s="5" t="str">
        <f>'PC 02'!A68</f>
        <v/>
      </c>
      <c r="C68" s="5" t="str">
        <f>IF(COUNTA('PC 02'!A68:L68)=0,"",TEXTJOIN(" | ",TRUE,IF('PC 02'!A68="","Worker ID kosong",""),IF('PC 02'!B68="","Update Date kosong",IF(NOT(ISNUMBER('PC 02'!B68)),"Update Date harus tanggal","")),IF('PC 02'!D68="","Judul kosong",""),IF('PC 02'!F68="","Genre kosong",IF(ISERROR(MATCH(TRIM('PC 02'!F68),{"Pop","Rock","Dangdut","K-Pop","Electronic","Nasional","Daerah"},0)),"Genre di luar daftar","")),IF('PC 02'!G68="","Nama Channel kosong",""),IF('PC 02'!H68="","Link kosong",IF(ISERROR(FIND("youtu",LOWER('PC 02'!H68))),"Link bukan youtube","")),IF('PC 02'!I68="","Tgl Dibuat kosong",IF(NOT(ISNUMBER('PC 02'!I68)),"Tgl Dibuat harus tanggal","")),IF(AND('PC 02'!J68&lt;&gt;"",NOT(ISNUMBER('PC 02'!J68))),"Tgl Publish harus tanggal",""),IF(AND(ISNUMBER('PC 02'!I68),ISNUMBER('PC 02'!J68),'PC 02'!J68&lt;'PC 02'!I68),"Tgl Publish &lt; Tgl Dibuat",""),IF(AND('PC 02'!K68&lt;&gt;"",ISERROR(MATCH(TRIM('PC 02'!K68),{"Draft","Menunggu Review","Revisi","Terjadwal","Publish","Batal","Published"},0))),"Status di luar daftar","")))</f>
        <v>#ERROR!</v>
      </c>
      <c r="D68" s="5" t="str">
        <f>IF(C68="","OK","ADA MASALAH")</f>
        <v>#ERROR!</v>
      </c>
    </row>
    <row r="69">
      <c r="A69" s="3">
        <v>69.0</v>
      </c>
      <c r="B69" s="5" t="str">
        <f>'PC 02'!A69</f>
        <v/>
      </c>
      <c r="C69" s="5" t="str">
        <f>IF(COUNTA('PC 02'!A69:L69)=0,"",TEXTJOIN(" | ",TRUE,IF('PC 02'!A69="","Worker ID kosong",""),IF('PC 02'!B69="","Update Date kosong",IF(NOT(ISNUMBER('PC 02'!B69)),"Update Date harus tanggal","")),IF('PC 02'!D69="","Judul kosong",""),IF('PC 02'!F69="","Genre kosong",IF(ISERROR(MATCH(TRIM('PC 02'!F69),{"Pop","Rock","Dangdut","K-Pop","Electronic","Nasional","Daerah"},0)),"Genre di luar daftar","")),IF('PC 02'!G69="","Nama Channel kosong",""),IF('PC 02'!H69="","Link kosong",IF(ISERROR(FIND("youtu",LOWER('PC 02'!H69))),"Link bukan youtube","")),IF('PC 02'!I69="","Tgl Dibuat kosong",IF(NOT(ISNUMBER('PC 02'!I69)),"Tgl Dibuat harus tanggal","")),IF(AND('PC 02'!J69&lt;&gt;"",NOT(ISNUMBER('PC 02'!J69))),"Tgl Publish harus tanggal",""),IF(AND(ISNUMBER('PC 02'!I69),ISNUMBER('PC 02'!J69),'PC 02'!J69&lt;'PC 02'!I69),"Tgl Publish &lt; Tgl Dibuat",""),IF(AND('PC 02'!K69&lt;&gt;"",ISERROR(MATCH(TRIM('PC 02'!K69),{"Draft","Menunggu Review","Revisi","Terjadwal","Publish","Batal","Published"},0))),"Status di luar daftar","")))</f>
        <v>#ERROR!</v>
      </c>
      <c r="D69" s="5" t="str">
        <f>IF(C69="","OK","ADA MASALAH")</f>
        <v>#ERROR!</v>
      </c>
    </row>
    <row r="70">
      <c r="A70" s="3">
        <v>70.0</v>
      </c>
      <c r="B70" s="5" t="str">
        <f>'PC 02'!A70</f>
        <v/>
      </c>
      <c r="C70" s="5" t="str">
        <f>IF(COUNTA('PC 02'!A70:L70)=0,"",TEXTJOIN(" | ",TRUE,IF('PC 02'!A70="","Worker ID kosong",""),IF('PC 02'!B70="","Update Date kosong",IF(NOT(ISNUMBER('PC 02'!B70)),"Update Date harus tanggal","")),IF('PC 02'!D70="","Judul kosong",""),IF('PC 02'!F70="","Genre kosong",IF(ISERROR(MATCH(TRIM('PC 02'!F70),{"Pop","Rock","Dangdut","K-Pop","Electronic","Nasional","Daerah"},0)),"Genre di luar daftar","")),IF('PC 02'!G70="","Nama Channel kosong",""),IF('PC 02'!H70="","Link kosong",IF(ISERROR(FIND("youtu",LOWER('PC 02'!H70))),"Link bukan youtube","")),IF('PC 02'!I70="","Tgl Dibuat kosong",IF(NOT(ISNUMBER('PC 02'!I70)),"Tgl Dibuat harus tanggal","")),IF(AND('PC 02'!J70&lt;&gt;"",NOT(ISNUMBER('PC 02'!J70))),"Tgl Publish harus tanggal",""),IF(AND(ISNUMBER('PC 02'!I70),ISNUMBER('PC 02'!J70),'PC 02'!J70&lt;'PC 02'!I70),"Tgl Publish &lt; Tgl Dibuat",""),IF(AND('PC 02'!K70&lt;&gt;"",ISERROR(MATCH(TRIM('PC 02'!K70),{"Draft","Menunggu Review","Revisi","Terjadwal","Publish","Batal","Published"},0))),"Status di luar daftar","")))</f>
        <v>#ERROR!</v>
      </c>
      <c r="D70" s="5" t="str">
        <f>IF(C70="","OK","ADA MASALAH")</f>
        <v>#ERROR!</v>
      </c>
    </row>
    <row r="71">
      <c r="A71" s="3">
        <v>71.0</v>
      </c>
      <c r="B71" s="5" t="str">
        <f>'PC 02'!A71</f>
        <v/>
      </c>
      <c r="C71" s="5" t="str">
        <f>IF(COUNTA('PC 02'!A71:L71)=0,"",TEXTJOIN(" | ",TRUE,IF('PC 02'!A71="","Worker ID kosong",""),IF('PC 02'!B71="","Update Date kosong",IF(NOT(ISNUMBER('PC 02'!B71)),"Update Date harus tanggal","")),IF('PC 02'!D71="","Judul kosong",""),IF('PC 02'!F71="","Genre kosong",IF(ISERROR(MATCH(TRIM('PC 02'!F71),{"Pop","Rock","Dangdut","K-Pop","Electronic","Nasional","Daerah"},0)),"Genre di luar daftar","")),IF('PC 02'!G71="","Nama Channel kosong",""),IF('PC 02'!H71="","Link kosong",IF(ISERROR(FIND("youtu",LOWER('PC 02'!H71))),"Link bukan youtube","")),IF('PC 02'!I71="","Tgl Dibuat kosong",IF(NOT(ISNUMBER('PC 02'!I71)),"Tgl Dibuat harus tanggal","")),IF(AND('PC 02'!J71&lt;&gt;"",NOT(ISNUMBER('PC 02'!J71))),"Tgl Publish harus tanggal",""),IF(AND(ISNUMBER('PC 02'!I71),ISNUMBER('PC 02'!J71),'PC 02'!J71&lt;'PC 02'!I71),"Tgl Publish &lt; Tgl Dibuat",""),IF(AND('PC 02'!K71&lt;&gt;"",ISERROR(MATCH(TRIM('PC 02'!K71),{"Draft","Menunggu Review","Revisi","Terjadwal","Publish","Batal","Published"},0))),"Status di luar daftar","")))</f>
        <v>#ERROR!</v>
      </c>
      <c r="D71" s="5" t="str">
        <f>IF(C71="","OK","ADA MASALAH")</f>
        <v>#ERROR!</v>
      </c>
    </row>
    <row r="72">
      <c r="A72" s="3">
        <v>72.0</v>
      </c>
      <c r="B72" s="5" t="str">
        <f>'PC 02'!A72</f>
        <v/>
      </c>
      <c r="C72" s="5" t="str">
        <f>IF(COUNTA('PC 02'!A72:L72)=0,"",TEXTJOIN(" | ",TRUE,IF('PC 02'!A72="","Worker ID kosong",""),IF('PC 02'!B72="","Update Date kosong",IF(NOT(ISNUMBER('PC 02'!B72)),"Update Date harus tanggal","")),IF('PC 02'!D72="","Judul kosong",""),IF('PC 02'!F72="","Genre kosong",IF(ISERROR(MATCH(TRIM('PC 02'!F72),{"Pop","Rock","Dangdut","K-Pop","Electronic","Nasional","Daerah"},0)),"Genre di luar daftar","")),IF('PC 02'!G72="","Nama Channel kosong",""),IF('PC 02'!H72="","Link kosong",IF(ISERROR(FIND("youtu",LOWER('PC 02'!H72))),"Link bukan youtube","")),IF('PC 02'!I72="","Tgl Dibuat kosong",IF(NOT(ISNUMBER('PC 02'!I72)),"Tgl Dibuat harus tanggal","")),IF(AND('PC 02'!J72&lt;&gt;"",NOT(ISNUMBER('PC 02'!J72))),"Tgl Publish harus tanggal",""),IF(AND(ISNUMBER('PC 02'!I72),ISNUMBER('PC 02'!J72),'PC 02'!J72&lt;'PC 02'!I72),"Tgl Publish &lt; Tgl Dibuat",""),IF(AND('PC 02'!K72&lt;&gt;"",ISERROR(MATCH(TRIM('PC 02'!K72),{"Draft","Menunggu Review","Revisi","Terjadwal","Publish","Batal","Published"},0))),"Status di luar daftar","")))</f>
        <v>#ERROR!</v>
      </c>
      <c r="D72" s="5" t="str">
        <f>IF(C72="","OK","ADA MASALAH")</f>
        <v>#ERROR!</v>
      </c>
    </row>
    <row r="73">
      <c r="A73" s="3">
        <v>73.0</v>
      </c>
      <c r="B73" s="5" t="str">
        <f>'PC 02'!A73</f>
        <v/>
      </c>
      <c r="C73" s="5" t="str">
        <f>IF(COUNTA('PC 02'!A73:L73)=0,"",TEXTJOIN(" | ",TRUE,IF('PC 02'!A73="","Worker ID kosong",""),IF('PC 02'!B73="","Update Date kosong",IF(NOT(ISNUMBER('PC 02'!B73)),"Update Date harus tanggal","")),IF('PC 02'!D73="","Judul kosong",""),IF('PC 02'!F73="","Genre kosong",IF(ISERROR(MATCH(TRIM('PC 02'!F73),{"Pop","Rock","Dangdut","K-Pop","Electronic","Nasional","Daerah"},0)),"Genre di luar daftar","")),IF('PC 02'!G73="","Nama Channel kosong",""),IF('PC 02'!H73="","Link kosong",IF(ISERROR(FIND("youtu",LOWER('PC 02'!H73))),"Link bukan youtube","")),IF('PC 02'!I73="","Tgl Dibuat kosong",IF(NOT(ISNUMBER('PC 02'!I73)),"Tgl Dibuat harus tanggal","")),IF(AND('PC 02'!J73&lt;&gt;"",NOT(ISNUMBER('PC 02'!J73))),"Tgl Publish harus tanggal",""),IF(AND(ISNUMBER('PC 02'!I73),ISNUMBER('PC 02'!J73),'PC 02'!J73&lt;'PC 02'!I73),"Tgl Publish &lt; Tgl Dibuat",""),IF(AND('PC 02'!K73&lt;&gt;"",ISERROR(MATCH(TRIM('PC 02'!K73),{"Draft","Menunggu Review","Revisi","Terjadwal","Publish","Batal","Published"},0))),"Status di luar daftar","")))</f>
        <v>#ERROR!</v>
      </c>
      <c r="D73" s="5" t="str">
        <f>IF(C73="","OK","ADA MASALAH")</f>
        <v>#ERROR!</v>
      </c>
    </row>
    <row r="74">
      <c r="A74" s="3">
        <v>74.0</v>
      </c>
      <c r="B74" s="5" t="str">
        <f>'PC 02'!A74</f>
        <v/>
      </c>
      <c r="C74" s="5" t="str">
        <f>IF(COUNTA('PC 02'!A74:L74)=0,"",TEXTJOIN(" | ",TRUE,IF('PC 02'!A74="","Worker ID kosong",""),IF('PC 02'!B74="","Update Date kosong",IF(NOT(ISNUMBER('PC 02'!B74)),"Update Date harus tanggal","")),IF('PC 02'!D74="","Judul kosong",""),IF('PC 02'!F74="","Genre kosong",IF(ISERROR(MATCH(TRIM('PC 02'!F74),{"Pop","Rock","Dangdut","K-Pop","Electronic","Nasional","Daerah"},0)),"Genre di luar daftar","")),IF('PC 02'!G74="","Nama Channel kosong",""),IF('PC 02'!H74="","Link kosong",IF(ISERROR(FIND("youtu",LOWER('PC 02'!H74))),"Link bukan youtube","")),IF('PC 02'!I74="","Tgl Dibuat kosong",IF(NOT(ISNUMBER('PC 02'!I74)),"Tgl Dibuat harus tanggal","")),IF(AND('PC 02'!J74&lt;&gt;"",NOT(ISNUMBER('PC 02'!J74))),"Tgl Publish harus tanggal",""),IF(AND(ISNUMBER('PC 02'!I74),ISNUMBER('PC 02'!J74),'PC 02'!J74&lt;'PC 02'!I74),"Tgl Publish &lt; Tgl Dibuat",""),IF(AND('PC 02'!K74&lt;&gt;"",ISERROR(MATCH(TRIM('PC 02'!K74),{"Draft","Menunggu Review","Revisi","Terjadwal","Publish","Batal","Published"},0))),"Status di luar daftar","")))</f>
        <v>#ERROR!</v>
      </c>
      <c r="D74" s="5" t="str">
        <f>IF(C74="","OK","ADA MASALAH")</f>
        <v>#ERROR!</v>
      </c>
    </row>
    <row r="75">
      <c r="A75" s="3">
        <v>75.0</v>
      </c>
      <c r="B75" s="5" t="str">
        <f>'PC 02'!A75</f>
        <v/>
      </c>
      <c r="C75" s="5" t="str">
        <f>IF(COUNTA('PC 02'!A75:L75)=0,"",TEXTJOIN(" | ",TRUE,IF('PC 02'!A75="","Worker ID kosong",""),IF('PC 02'!B75="","Update Date kosong",IF(NOT(ISNUMBER('PC 02'!B75)),"Update Date harus tanggal","")),IF('PC 02'!D75="","Judul kosong",""),IF('PC 02'!F75="","Genre kosong",IF(ISERROR(MATCH(TRIM('PC 02'!F75),{"Pop","Rock","Dangdut","K-Pop","Electronic","Nasional","Daerah"},0)),"Genre di luar daftar","")),IF('PC 02'!G75="","Nama Channel kosong",""),IF('PC 02'!H75="","Link kosong",IF(ISERROR(FIND("youtu",LOWER('PC 02'!H75))),"Link bukan youtube","")),IF('PC 02'!I75="","Tgl Dibuat kosong",IF(NOT(ISNUMBER('PC 02'!I75)),"Tgl Dibuat harus tanggal","")),IF(AND('PC 02'!J75&lt;&gt;"",NOT(ISNUMBER('PC 02'!J75))),"Tgl Publish harus tanggal",""),IF(AND(ISNUMBER('PC 02'!I75),ISNUMBER('PC 02'!J75),'PC 02'!J75&lt;'PC 02'!I75),"Tgl Publish &lt; Tgl Dibuat",""),IF(AND('PC 02'!K75&lt;&gt;"",ISERROR(MATCH(TRIM('PC 02'!K75),{"Draft","Menunggu Review","Revisi","Terjadwal","Publish","Batal","Published"},0))),"Status di luar daftar","")))</f>
        <v>#ERROR!</v>
      </c>
      <c r="D75" s="5" t="str">
        <f>IF(C75="","OK","ADA MASALAH")</f>
        <v>#ERROR!</v>
      </c>
    </row>
    <row r="76">
      <c r="A76" s="3">
        <v>76.0</v>
      </c>
      <c r="B76" s="5" t="str">
        <f>'PC 02'!A76</f>
        <v/>
      </c>
      <c r="C76" s="5" t="str">
        <f>IF(COUNTA('PC 02'!A76:L76)=0,"",TEXTJOIN(" | ",TRUE,IF('PC 02'!A76="","Worker ID kosong",""),IF('PC 02'!B76="","Update Date kosong",IF(NOT(ISNUMBER('PC 02'!B76)),"Update Date harus tanggal","")),IF('PC 02'!D76="","Judul kosong",""),IF('PC 02'!F76="","Genre kosong",IF(ISERROR(MATCH(TRIM('PC 02'!F76),{"Pop","Rock","Dangdut","K-Pop","Electronic","Nasional","Daerah"},0)),"Genre di luar daftar","")),IF('PC 02'!G76="","Nama Channel kosong",""),IF('PC 02'!H76="","Link kosong",IF(ISERROR(FIND("youtu",LOWER('PC 02'!H76))),"Link bukan youtube","")),IF('PC 02'!I76="","Tgl Dibuat kosong",IF(NOT(ISNUMBER('PC 02'!I76)),"Tgl Dibuat harus tanggal","")),IF(AND('PC 02'!J76&lt;&gt;"",NOT(ISNUMBER('PC 02'!J76))),"Tgl Publish harus tanggal",""),IF(AND(ISNUMBER('PC 02'!I76),ISNUMBER('PC 02'!J76),'PC 02'!J76&lt;'PC 02'!I76),"Tgl Publish &lt; Tgl Dibuat",""),IF(AND('PC 02'!K76&lt;&gt;"",ISERROR(MATCH(TRIM('PC 02'!K76),{"Draft","Menunggu Review","Revisi","Terjadwal","Publish","Batal","Published"},0))),"Status di luar daftar","")))</f>
        <v>#ERROR!</v>
      </c>
      <c r="D76" s="5" t="str">
        <f>IF(C76="","OK","ADA MASALAH")</f>
        <v>#ERROR!</v>
      </c>
    </row>
    <row r="77">
      <c r="A77" s="3">
        <v>77.0</v>
      </c>
      <c r="B77" s="5" t="str">
        <f>'PC 02'!A77</f>
        <v/>
      </c>
      <c r="C77" s="5" t="str">
        <f>IF(COUNTA('PC 02'!A77:L77)=0,"",TEXTJOIN(" | ",TRUE,IF('PC 02'!A77="","Worker ID kosong",""),IF('PC 02'!B77="","Update Date kosong",IF(NOT(ISNUMBER('PC 02'!B77)),"Update Date harus tanggal","")),IF('PC 02'!D77="","Judul kosong",""),IF('PC 02'!F77="","Genre kosong",IF(ISERROR(MATCH(TRIM('PC 02'!F77),{"Pop","Rock","Dangdut","K-Pop","Electronic","Nasional","Daerah"},0)),"Genre di luar daftar","")),IF('PC 02'!G77="","Nama Channel kosong",""),IF('PC 02'!H77="","Link kosong",IF(ISERROR(FIND("youtu",LOWER('PC 02'!H77))),"Link bukan youtube","")),IF('PC 02'!I77="","Tgl Dibuat kosong",IF(NOT(ISNUMBER('PC 02'!I77)),"Tgl Dibuat harus tanggal","")),IF(AND('PC 02'!J77&lt;&gt;"",NOT(ISNUMBER('PC 02'!J77))),"Tgl Publish harus tanggal",""),IF(AND(ISNUMBER('PC 02'!I77),ISNUMBER('PC 02'!J77),'PC 02'!J77&lt;'PC 02'!I77),"Tgl Publish &lt; Tgl Dibuat",""),IF(AND('PC 02'!K77&lt;&gt;"",ISERROR(MATCH(TRIM('PC 02'!K77),{"Draft","Menunggu Review","Revisi","Terjadwal","Publish","Batal","Published"},0))),"Status di luar daftar","")))</f>
        <v>#ERROR!</v>
      </c>
      <c r="D77" s="5" t="str">
        <f>IF(C77="","OK","ADA MASALAH")</f>
        <v>#ERROR!</v>
      </c>
    </row>
    <row r="78">
      <c r="A78" s="3">
        <v>78.0</v>
      </c>
      <c r="B78" s="5" t="str">
        <f>'PC 02'!A78</f>
        <v/>
      </c>
      <c r="C78" s="5" t="str">
        <f>IF(COUNTA('PC 02'!A78:L78)=0,"",TEXTJOIN(" | ",TRUE,IF('PC 02'!A78="","Worker ID kosong",""),IF('PC 02'!B78="","Update Date kosong",IF(NOT(ISNUMBER('PC 02'!B78)),"Update Date harus tanggal","")),IF('PC 02'!D78="","Judul kosong",""),IF('PC 02'!F78="","Genre kosong",IF(ISERROR(MATCH(TRIM('PC 02'!F78),{"Pop","Rock","Dangdut","K-Pop","Electronic","Nasional","Daerah"},0)),"Genre di luar daftar","")),IF('PC 02'!G78="","Nama Channel kosong",""),IF('PC 02'!H78="","Link kosong",IF(ISERROR(FIND("youtu",LOWER('PC 02'!H78))),"Link bukan youtube","")),IF('PC 02'!I78="","Tgl Dibuat kosong",IF(NOT(ISNUMBER('PC 02'!I78)),"Tgl Dibuat harus tanggal","")),IF(AND('PC 02'!J78&lt;&gt;"",NOT(ISNUMBER('PC 02'!J78))),"Tgl Publish harus tanggal",""),IF(AND(ISNUMBER('PC 02'!I78),ISNUMBER('PC 02'!J78),'PC 02'!J78&lt;'PC 02'!I78),"Tgl Publish &lt; Tgl Dibuat",""),IF(AND('PC 02'!K78&lt;&gt;"",ISERROR(MATCH(TRIM('PC 02'!K78),{"Draft","Menunggu Review","Revisi","Terjadwal","Publish","Batal","Published"},0))),"Status di luar daftar","")))</f>
        <v>#ERROR!</v>
      </c>
      <c r="D78" s="5" t="str">
        <f>IF(C78="","OK","ADA MASALAH")</f>
        <v>#ERROR!</v>
      </c>
    </row>
    <row r="79">
      <c r="A79" s="3">
        <v>79.0</v>
      </c>
      <c r="B79" s="5" t="str">
        <f>'PC 02'!A79</f>
        <v/>
      </c>
      <c r="C79" s="5" t="str">
        <f>IF(COUNTA('PC 02'!A79:L79)=0,"",TEXTJOIN(" | ",TRUE,IF('PC 02'!A79="","Worker ID kosong",""),IF('PC 02'!B79="","Update Date kosong",IF(NOT(ISNUMBER('PC 02'!B79)),"Update Date harus tanggal","")),IF('PC 02'!D79="","Judul kosong",""),IF('PC 02'!F79="","Genre kosong",IF(ISERROR(MATCH(TRIM('PC 02'!F79),{"Pop","Rock","Dangdut","K-Pop","Electronic","Nasional","Daerah"},0)),"Genre di luar daftar","")),IF('PC 02'!G79="","Nama Channel kosong",""),IF('PC 02'!H79="","Link kosong",IF(ISERROR(FIND("youtu",LOWER('PC 02'!H79))),"Link bukan youtube","")),IF('PC 02'!I79="","Tgl Dibuat kosong",IF(NOT(ISNUMBER('PC 02'!I79)),"Tgl Dibuat harus tanggal","")),IF(AND('PC 02'!J79&lt;&gt;"",NOT(ISNUMBER('PC 02'!J79))),"Tgl Publish harus tanggal",""),IF(AND(ISNUMBER('PC 02'!I79),ISNUMBER('PC 02'!J79),'PC 02'!J79&lt;'PC 02'!I79),"Tgl Publish &lt; Tgl Dibuat",""),IF(AND('PC 02'!K79&lt;&gt;"",ISERROR(MATCH(TRIM('PC 02'!K79),{"Draft","Menunggu Review","Revisi","Terjadwal","Publish","Batal","Published"},0))),"Status di luar daftar","")))</f>
        <v>#ERROR!</v>
      </c>
      <c r="D79" s="5" t="str">
        <f>IF(C79="","OK","ADA MASALAH")</f>
        <v>#ERROR!</v>
      </c>
    </row>
    <row r="80">
      <c r="A80" s="3">
        <v>80.0</v>
      </c>
      <c r="B80" s="5" t="str">
        <f>'PC 02'!A80</f>
        <v/>
      </c>
      <c r="C80" s="5" t="str">
        <f>IF(COUNTA('PC 02'!A80:L80)=0,"",TEXTJOIN(" | ",TRUE,IF('PC 02'!A80="","Worker ID kosong",""),IF('PC 02'!B80="","Update Date kosong",IF(NOT(ISNUMBER('PC 02'!B80)),"Update Date harus tanggal","")),IF('PC 02'!D80="","Judul kosong",""),IF('PC 02'!F80="","Genre kosong",IF(ISERROR(MATCH(TRIM('PC 02'!F80),{"Pop","Rock","Dangdut","K-Pop","Electronic","Nasional","Daerah"},0)),"Genre di luar daftar","")),IF('PC 02'!G80="","Nama Channel kosong",""),IF('PC 02'!H80="","Link kosong",IF(ISERROR(FIND("youtu",LOWER('PC 02'!H80))),"Link bukan youtube","")),IF('PC 02'!I80="","Tgl Dibuat kosong",IF(NOT(ISNUMBER('PC 02'!I80)),"Tgl Dibuat harus tanggal","")),IF(AND('PC 02'!J80&lt;&gt;"",NOT(ISNUMBER('PC 02'!J80))),"Tgl Publish harus tanggal",""),IF(AND(ISNUMBER('PC 02'!I80),ISNUMBER('PC 02'!J80),'PC 02'!J80&lt;'PC 02'!I80),"Tgl Publish &lt; Tgl Dibuat",""),IF(AND('PC 02'!K80&lt;&gt;"",ISERROR(MATCH(TRIM('PC 02'!K80),{"Draft","Menunggu Review","Revisi","Terjadwal","Publish","Batal","Published"},0))),"Status di luar daftar","")))</f>
        <v>#ERROR!</v>
      </c>
      <c r="D80" s="5" t="str">
        <f>IF(C80="","OK","ADA MASALAH")</f>
        <v>#ERROR!</v>
      </c>
    </row>
    <row r="81">
      <c r="A81" s="3">
        <v>81.0</v>
      </c>
      <c r="B81" s="5" t="str">
        <f>'PC 02'!A81</f>
        <v/>
      </c>
      <c r="C81" s="5" t="str">
        <f>IF(COUNTA('PC 02'!A81:L81)=0,"",TEXTJOIN(" | ",TRUE,IF('PC 02'!A81="","Worker ID kosong",""),IF('PC 02'!B81="","Update Date kosong",IF(NOT(ISNUMBER('PC 02'!B81)),"Update Date harus tanggal","")),IF('PC 02'!D81="","Judul kosong",""),IF('PC 02'!F81="","Genre kosong",IF(ISERROR(MATCH(TRIM('PC 02'!F81),{"Pop","Rock","Dangdut","K-Pop","Electronic","Nasional","Daerah"},0)),"Genre di luar daftar","")),IF('PC 02'!G81="","Nama Channel kosong",""),IF('PC 02'!H81="","Link kosong",IF(ISERROR(FIND("youtu",LOWER('PC 02'!H81))),"Link bukan youtube","")),IF('PC 02'!I81="","Tgl Dibuat kosong",IF(NOT(ISNUMBER('PC 02'!I81)),"Tgl Dibuat harus tanggal","")),IF(AND('PC 02'!J81&lt;&gt;"",NOT(ISNUMBER('PC 02'!J81))),"Tgl Publish harus tanggal",""),IF(AND(ISNUMBER('PC 02'!I81),ISNUMBER('PC 02'!J81),'PC 02'!J81&lt;'PC 02'!I81),"Tgl Publish &lt; Tgl Dibuat",""),IF(AND('PC 02'!K81&lt;&gt;"",ISERROR(MATCH(TRIM('PC 02'!K81),{"Draft","Menunggu Review","Revisi","Terjadwal","Publish","Batal","Published"},0))),"Status di luar daftar","")))</f>
        <v>#ERROR!</v>
      </c>
      <c r="D81" s="5" t="str">
        <f>IF(C81="","OK","ADA MASALAH")</f>
        <v>#ERROR!</v>
      </c>
    </row>
    <row r="82">
      <c r="A82" s="3">
        <v>82.0</v>
      </c>
      <c r="B82" s="5" t="str">
        <f>'PC 02'!A82</f>
        <v/>
      </c>
      <c r="C82" s="5" t="str">
        <f>IF(COUNTA('PC 02'!A82:L82)=0,"",TEXTJOIN(" | ",TRUE,IF('PC 02'!A82="","Worker ID kosong",""),IF('PC 02'!B82="","Update Date kosong",IF(NOT(ISNUMBER('PC 02'!B82)),"Update Date harus tanggal","")),IF('PC 02'!D82="","Judul kosong",""),IF('PC 02'!F82="","Genre kosong",IF(ISERROR(MATCH(TRIM('PC 02'!F82),{"Pop","Rock","Dangdut","K-Pop","Electronic","Nasional","Daerah"},0)),"Genre di luar daftar","")),IF('PC 02'!G82="","Nama Channel kosong",""),IF('PC 02'!H82="","Link kosong",IF(ISERROR(FIND("youtu",LOWER('PC 02'!H82))),"Link bukan youtube","")),IF('PC 02'!I82="","Tgl Dibuat kosong",IF(NOT(ISNUMBER('PC 02'!I82)),"Tgl Dibuat harus tanggal","")),IF(AND('PC 02'!J82&lt;&gt;"",NOT(ISNUMBER('PC 02'!J82))),"Tgl Publish harus tanggal",""),IF(AND(ISNUMBER('PC 02'!I82),ISNUMBER('PC 02'!J82),'PC 02'!J82&lt;'PC 02'!I82),"Tgl Publish &lt; Tgl Dibuat",""),IF(AND('PC 02'!K82&lt;&gt;"",ISERROR(MATCH(TRIM('PC 02'!K82),{"Draft","Menunggu Review","Revisi","Terjadwal","Publish","Batal","Published"},0))),"Status di luar daftar","")))</f>
        <v>#ERROR!</v>
      </c>
      <c r="D82" s="5" t="str">
        <f>IF(C82="","OK","ADA MASALAH")</f>
        <v>#ERROR!</v>
      </c>
    </row>
    <row r="83">
      <c r="A83" s="3">
        <v>83.0</v>
      </c>
      <c r="B83" s="5" t="str">
        <f>'PC 02'!A83</f>
        <v/>
      </c>
      <c r="C83" s="5" t="str">
        <f>IF(COUNTA('PC 02'!A83:L83)=0,"",TEXTJOIN(" | ",TRUE,IF('PC 02'!A83="","Worker ID kosong",""),IF('PC 02'!B83="","Update Date kosong",IF(NOT(ISNUMBER('PC 02'!B83)),"Update Date harus tanggal","")),IF('PC 02'!D83="","Judul kosong",""),IF('PC 02'!F83="","Genre kosong",IF(ISERROR(MATCH(TRIM('PC 02'!F83),{"Pop","Rock","Dangdut","K-Pop","Electronic","Nasional","Daerah"},0)),"Genre di luar daftar","")),IF('PC 02'!G83="","Nama Channel kosong",""),IF('PC 02'!H83="","Link kosong",IF(ISERROR(FIND("youtu",LOWER('PC 02'!H83))),"Link bukan youtube","")),IF('PC 02'!I83="","Tgl Dibuat kosong",IF(NOT(ISNUMBER('PC 02'!I83)),"Tgl Dibuat harus tanggal","")),IF(AND('PC 02'!J83&lt;&gt;"",NOT(ISNUMBER('PC 02'!J83))),"Tgl Publish harus tanggal",""),IF(AND(ISNUMBER('PC 02'!I83),ISNUMBER('PC 02'!J83),'PC 02'!J83&lt;'PC 02'!I83),"Tgl Publish &lt; Tgl Dibuat",""),IF(AND('PC 02'!K83&lt;&gt;"",ISERROR(MATCH(TRIM('PC 02'!K83),{"Draft","Menunggu Review","Revisi","Terjadwal","Publish","Batal","Published"},0))),"Status di luar daftar","")))</f>
        <v>#ERROR!</v>
      </c>
      <c r="D83" s="5" t="str">
        <f>IF(C83="","OK","ADA MASALAH")</f>
        <v>#ERROR!</v>
      </c>
    </row>
    <row r="84">
      <c r="A84" s="3">
        <v>84.0</v>
      </c>
      <c r="B84" s="5" t="str">
        <f>'PC 02'!A84</f>
        <v/>
      </c>
      <c r="C84" s="5" t="str">
        <f>IF(COUNTA('PC 02'!A84:L84)=0,"",TEXTJOIN(" | ",TRUE,IF('PC 02'!A84="","Worker ID kosong",""),IF('PC 02'!B84="","Update Date kosong",IF(NOT(ISNUMBER('PC 02'!B84)),"Update Date harus tanggal","")),IF('PC 02'!D84="","Judul kosong",""),IF('PC 02'!F84="","Genre kosong",IF(ISERROR(MATCH(TRIM('PC 02'!F84),{"Pop","Rock","Dangdut","K-Pop","Electronic","Nasional","Daerah"},0)),"Genre di luar daftar","")),IF('PC 02'!G84="","Nama Channel kosong",""),IF('PC 02'!H84="","Link kosong",IF(ISERROR(FIND("youtu",LOWER('PC 02'!H84))),"Link bukan youtube","")),IF('PC 02'!I84="","Tgl Dibuat kosong",IF(NOT(ISNUMBER('PC 02'!I84)),"Tgl Dibuat harus tanggal","")),IF(AND('PC 02'!J84&lt;&gt;"",NOT(ISNUMBER('PC 02'!J84))),"Tgl Publish harus tanggal",""),IF(AND(ISNUMBER('PC 02'!I84),ISNUMBER('PC 02'!J84),'PC 02'!J84&lt;'PC 02'!I84),"Tgl Publish &lt; Tgl Dibuat",""),IF(AND('PC 02'!K84&lt;&gt;"",ISERROR(MATCH(TRIM('PC 02'!K84),{"Draft","Menunggu Review","Revisi","Terjadwal","Publish","Batal","Published"},0))),"Status di luar daftar","")))</f>
        <v>#ERROR!</v>
      </c>
      <c r="D84" s="5" t="str">
        <f>IF(C84="","OK","ADA MASALAH")</f>
        <v>#ERROR!</v>
      </c>
    </row>
    <row r="85">
      <c r="A85" s="3">
        <v>85.0</v>
      </c>
      <c r="B85" s="5" t="str">
        <f>'PC 02'!A85</f>
        <v/>
      </c>
      <c r="C85" s="5" t="str">
        <f>IF(COUNTA('PC 02'!A85:L85)=0,"",TEXTJOIN(" | ",TRUE,IF('PC 02'!A85="","Worker ID kosong",""),IF('PC 02'!B85="","Update Date kosong",IF(NOT(ISNUMBER('PC 02'!B85)),"Update Date harus tanggal","")),IF('PC 02'!D85="","Judul kosong",""),IF('PC 02'!F85="","Genre kosong",IF(ISERROR(MATCH(TRIM('PC 02'!F85),{"Pop","Rock","Dangdut","K-Pop","Electronic","Nasional","Daerah"},0)),"Genre di luar daftar","")),IF('PC 02'!G85="","Nama Channel kosong",""),IF('PC 02'!H85="","Link kosong",IF(ISERROR(FIND("youtu",LOWER('PC 02'!H85))),"Link bukan youtube","")),IF('PC 02'!I85="","Tgl Dibuat kosong",IF(NOT(ISNUMBER('PC 02'!I85)),"Tgl Dibuat harus tanggal","")),IF(AND('PC 02'!J85&lt;&gt;"",NOT(ISNUMBER('PC 02'!J85))),"Tgl Publish harus tanggal",""),IF(AND(ISNUMBER('PC 02'!I85),ISNUMBER('PC 02'!J85),'PC 02'!J85&lt;'PC 02'!I85),"Tgl Publish &lt; Tgl Dibuat",""),IF(AND('PC 02'!K85&lt;&gt;"",ISERROR(MATCH(TRIM('PC 02'!K85),{"Draft","Menunggu Review","Revisi","Terjadwal","Publish","Batal","Published"},0))),"Status di luar daftar","")))</f>
        <v>#ERROR!</v>
      </c>
      <c r="D85" s="5" t="str">
        <f>IF(C85="","OK","ADA MASALAH")</f>
        <v>#ERROR!</v>
      </c>
    </row>
    <row r="86">
      <c r="A86" s="3">
        <v>86.0</v>
      </c>
      <c r="B86" s="5" t="str">
        <f>'PC 02'!A86</f>
        <v/>
      </c>
      <c r="C86" s="5" t="str">
        <f>IF(COUNTA('PC 02'!A86:L86)=0,"",TEXTJOIN(" | ",TRUE,IF('PC 02'!A86="","Worker ID kosong",""),IF('PC 02'!B86="","Update Date kosong",IF(NOT(ISNUMBER('PC 02'!B86)),"Update Date harus tanggal","")),IF('PC 02'!D86="","Judul kosong",""),IF('PC 02'!F86="","Genre kosong",IF(ISERROR(MATCH(TRIM('PC 02'!F86),{"Pop","Rock","Dangdut","K-Pop","Electronic","Nasional","Daerah"},0)),"Genre di luar daftar","")),IF('PC 02'!G86="","Nama Channel kosong",""),IF('PC 02'!H86="","Link kosong",IF(ISERROR(FIND("youtu",LOWER('PC 02'!H86))),"Link bukan youtube","")),IF('PC 02'!I86="","Tgl Dibuat kosong",IF(NOT(ISNUMBER('PC 02'!I86)),"Tgl Dibuat harus tanggal","")),IF(AND('PC 02'!J86&lt;&gt;"",NOT(ISNUMBER('PC 02'!J86))),"Tgl Publish harus tanggal",""),IF(AND(ISNUMBER('PC 02'!I86),ISNUMBER('PC 02'!J86),'PC 02'!J86&lt;'PC 02'!I86),"Tgl Publish &lt; Tgl Dibuat",""),IF(AND('PC 02'!K86&lt;&gt;"",ISERROR(MATCH(TRIM('PC 02'!K86),{"Draft","Menunggu Review","Revisi","Terjadwal","Publish","Batal","Published"},0))),"Status di luar daftar","")))</f>
        <v>#ERROR!</v>
      </c>
      <c r="D86" s="5" t="str">
        <f>IF(C86="","OK","ADA MASALAH")</f>
        <v>#ERROR!</v>
      </c>
    </row>
    <row r="87">
      <c r="A87" s="3">
        <v>87.0</v>
      </c>
      <c r="B87" s="5" t="str">
        <f>'PC 02'!A87</f>
        <v/>
      </c>
      <c r="C87" s="5" t="str">
        <f>IF(COUNTA('PC 02'!A87:L87)=0,"",TEXTJOIN(" | ",TRUE,IF('PC 02'!A87="","Worker ID kosong",""),IF('PC 02'!B87="","Update Date kosong",IF(NOT(ISNUMBER('PC 02'!B87)),"Update Date harus tanggal","")),IF('PC 02'!D87="","Judul kosong",""),IF('PC 02'!F87="","Genre kosong",IF(ISERROR(MATCH(TRIM('PC 02'!F87),{"Pop","Rock","Dangdut","K-Pop","Electronic","Nasional","Daerah"},0)),"Genre di luar daftar","")),IF('PC 02'!G87="","Nama Channel kosong",""),IF('PC 02'!H87="","Link kosong",IF(ISERROR(FIND("youtu",LOWER('PC 02'!H87))),"Link bukan youtube","")),IF('PC 02'!I87="","Tgl Dibuat kosong",IF(NOT(ISNUMBER('PC 02'!I87)),"Tgl Dibuat harus tanggal","")),IF(AND('PC 02'!J87&lt;&gt;"",NOT(ISNUMBER('PC 02'!J87))),"Tgl Publish harus tanggal",""),IF(AND(ISNUMBER('PC 02'!I87),ISNUMBER('PC 02'!J87),'PC 02'!J87&lt;'PC 02'!I87),"Tgl Publish &lt; Tgl Dibuat",""),IF(AND('PC 02'!K87&lt;&gt;"",ISERROR(MATCH(TRIM('PC 02'!K87),{"Draft","Menunggu Review","Revisi","Terjadwal","Publish","Batal","Published"},0))),"Status di luar daftar","")))</f>
        <v>#ERROR!</v>
      </c>
      <c r="D87" s="5" t="str">
        <f>IF(C87="","OK","ADA MASALAH")</f>
        <v>#ERROR!</v>
      </c>
    </row>
    <row r="88">
      <c r="A88" s="3">
        <v>88.0</v>
      </c>
      <c r="B88" s="5" t="str">
        <f>'PC 02'!A88</f>
        <v/>
      </c>
      <c r="C88" s="5" t="str">
        <f>IF(COUNTA('PC 02'!A88:L88)=0,"",TEXTJOIN(" | ",TRUE,IF('PC 02'!A88="","Worker ID kosong",""),IF('PC 02'!B88="","Update Date kosong",IF(NOT(ISNUMBER('PC 02'!B88)),"Update Date harus tanggal","")),IF('PC 02'!D88="","Judul kosong",""),IF('PC 02'!F88="","Genre kosong",IF(ISERROR(MATCH(TRIM('PC 02'!F88),{"Pop","Rock","Dangdut","K-Pop","Electronic","Nasional","Daerah"},0)),"Genre di luar daftar","")),IF('PC 02'!G88="","Nama Channel kosong",""),IF('PC 02'!H88="","Link kosong",IF(ISERROR(FIND("youtu",LOWER('PC 02'!H88))),"Link bukan youtube","")),IF('PC 02'!I88="","Tgl Dibuat kosong",IF(NOT(ISNUMBER('PC 02'!I88)),"Tgl Dibuat harus tanggal","")),IF(AND('PC 02'!J88&lt;&gt;"",NOT(ISNUMBER('PC 02'!J88))),"Tgl Publish harus tanggal",""),IF(AND(ISNUMBER('PC 02'!I88),ISNUMBER('PC 02'!J88),'PC 02'!J88&lt;'PC 02'!I88),"Tgl Publish &lt; Tgl Dibuat",""),IF(AND('PC 02'!K88&lt;&gt;"",ISERROR(MATCH(TRIM('PC 02'!K88),{"Draft","Menunggu Review","Revisi","Terjadwal","Publish","Batal","Published"},0))),"Status di luar daftar","")))</f>
        <v>#ERROR!</v>
      </c>
      <c r="D88" s="5" t="str">
        <f>IF(C88="","OK","ADA MASALAH")</f>
        <v>#ERROR!</v>
      </c>
    </row>
    <row r="89">
      <c r="A89" s="3">
        <v>89.0</v>
      </c>
      <c r="B89" s="5" t="str">
        <f>'PC 02'!A89</f>
        <v/>
      </c>
      <c r="C89" s="5" t="str">
        <f>IF(COUNTA('PC 02'!A89:L89)=0,"",TEXTJOIN(" | ",TRUE,IF('PC 02'!A89="","Worker ID kosong",""),IF('PC 02'!B89="","Update Date kosong",IF(NOT(ISNUMBER('PC 02'!B89)),"Update Date harus tanggal","")),IF('PC 02'!D89="","Judul kosong",""),IF('PC 02'!F89="","Genre kosong",IF(ISERROR(MATCH(TRIM('PC 02'!F89),{"Pop","Rock","Dangdut","K-Pop","Electronic","Nasional","Daerah"},0)),"Genre di luar daftar","")),IF('PC 02'!G89="","Nama Channel kosong",""),IF('PC 02'!H89="","Link kosong",IF(ISERROR(FIND("youtu",LOWER('PC 02'!H89))),"Link bukan youtube","")),IF('PC 02'!I89="","Tgl Dibuat kosong",IF(NOT(ISNUMBER('PC 02'!I89)),"Tgl Dibuat harus tanggal","")),IF(AND('PC 02'!J89&lt;&gt;"",NOT(ISNUMBER('PC 02'!J89))),"Tgl Publish harus tanggal",""),IF(AND(ISNUMBER('PC 02'!I89),ISNUMBER('PC 02'!J89),'PC 02'!J89&lt;'PC 02'!I89),"Tgl Publish &lt; Tgl Dibuat",""),IF(AND('PC 02'!K89&lt;&gt;"",ISERROR(MATCH(TRIM('PC 02'!K89),{"Draft","Menunggu Review","Revisi","Terjadwal","Publish","Batal","Published"},0))),"Status di luar daftar","")))</f>
        <v>#ERROR!</v>
      </c>
      <c r="D89" s="5" t="str">
        <f>IF(C89="","OK","ADA MASALAH")</f>
        <v>#ERROR!</v>
      </c>
    </row>
    <row r="90">
      <c r="A90" s="3">
        <v>90.0</v>
      </c>
      <c r="B90" s="5" t="str">
        <f>'PC 02'!A90</f>
        <v/>
      </c>
      <c r="C90" s="5" t="str">
        <f>IF(COUNTA('PC 02'!A90:L90)=0,"",TEXTJOIN(" | ",TRUE,IF('PC 02'!A90="","Worker ID kosong",""),IF('PC 02'!B90="","Update Date kosong",IF(NOT(ISNUMBER('PC 02'!B90)),"Update Date harus tanggal","")),IF('PC 02'!D90="","Judul kosong",""),IF('PC 02'!F90="","Genre kosong",IF(ISERROR(MATCH(TRIM('PC 02'!F90),{"Pop","Rock","Dangdut","K-Pop","Electronic","Nasional","Daerah"},0)),"Genre di luar daftar","")),IF('PC 02'!G90="","Nama Channel kosong",""),IF('PC 02'!H90="","Link kosong",IF(ISERROR(FIND("youtu",LOWER('PC 02'!H90))),"Link bukan youtube","")),IF('PC 02'!I90="","Tgl Dibuat kosong",IF(NOT(ISNUMBER('PC 02'!I90)),"Tgl Dibuat harus tanggal","")),IF(AND('PC 02'!J90&lt;&gt;"",NOT(ISNUMBER('PC 02'!J90))),"Tgl Publish harus tanggal",""),IF(AND(ISNUMBER('PC 02'!I90),ISNUMBER('PC 02'!J90),'PC 02'!J90&lt;'PC 02'!I90),"Tgl Publish &lt; Tgl Dibuat",""),IF(AND('PC 02'!K90&lt;&gt;"",ISERROR(MATCH(TRIM('PC 02'!K90),{"Draft","Menunggu Review","Revisi","Terjadwal","Publish","Batal","Published"},0))),"Status di luar daftar","")))</f>
        <v>#ERROR!</v>
      </c>
      <c r="D90" s="5" t="str">
        <f>IF(C90="","OK","ADA MASALAH")</f>
        <v>#ERROR!</v>
      </c>
    </row>
    <row r="91">
      <c r="A91" s="3">
        <v>91.0</v>
      </c>
      <c r="B91" s="5" t="str">
        <f>'PC 02'!A91</f>
        <v/>
      </c>
      <c r="C91" s="5" t="str">
        <f>IF(COUNTA('PC 02'!A91:L91)=0,"",TEXTJOIN(" | ",TRUE,IF('PC 02'!A91="","Worker ID kosong",""),IF('PC 02'!B91="","Update Date kosong",IF(NOT(ISNUMBER('PC 02'!B91)),"Update Date harus tanggal","")),IF('PC 02'!D91="","Judul kosong",""),IF('PC 02'!F91="","Genre kosong",IF(ISERROR(MATCH(TRIM('PC 02'!F91),{"Pop","Rock","Dangdut","K-Pop","Electronic","Nasional","Daerah"},0)),"Genre di luar daftar","")),IF('PC 02'!G91="","Nama Channel kosong",""),IF('PC 02'!H91="","Link kosong",IF(ISERROR(FIND("youtu",LOWER('PC 02'!H91))),"Link bukan youtube","")),IF('PC 02'!I91="","Tgl Dibuat kosong",IF(NOT(ISNUMBER('PC 02'!I91)),"Tgl Dibuat harus tanggal","")),IF(AND('PC 02'!J91&lt;&gt;"",NOT(ISNUMBER('PC 02'!J91))),"Tgl Publish harus tanggal",""),IF(AND(ISNUMBER('PC 02'!I91),ISNUMBER('PC 02'!J91),'PC 02'!J91&lt;'PC 02'!I91),"Tgl Publish &lt; Tgl Dibuat",""),IF(AND('PC 02'!K91&lt;&gt;"",ISERROR(MATCH(TRIM('PC 02'!K91),{"Draft","Menunggu Review","Revisi","Terjadwal","Publish","Batal","Published"},0))),"Status di luar daftar","")))</f>
        <v>#ERROR!</v>
      </c>
      <c r="D91" s="5" t="str">
        <f>IF(C91="","OK","ADA MASALAH")</f>
        <v>#ERROR!</v>
      </c>
    </row>
    <row r="92">
      <c r="A92" s="3">
        <v>92.0</v>
      </c>
      <c r="B92" s="5" t="str">
        <f>'PC 02'!A92</f>
        <v/>
      </c>
      <c r="C92" s="5" t="str">
        <f>IF(COUNTA('PC 02'!A92:L92)=0,"",TEXTJOIN(" | ",TRUE,IF('PC 02'!A92="","Worker ID kosong",""),IF('PC 02'!B92="","Update Date kosong",IF(NOT(ISNUMBER('PC 02'!B92)),"Update Date harus tanggal","")),IF('PC 02'!D92="","Judul kosong",""),IF('PC 02'!F92="","Genre kosong",IF(ISERROR(MATCH(TRIM('PC 02'!F92),{"Pop","Rock","Dangdut","K-Pop","Electronic","Nasional","Daerah"},0)),"Genre di luar daftar","")),IF('PC 02'!G92="","Nama Channel kosong",""),IF('PC 02'!H92="","Link kosong",IF(ISERROR(FIND("youtu",LOWER('PC 02'!H92))),"Link bukan youtube","")),IF('PC 02'!I92="","Tgl Dibuat kosong",IF(NOT(ISNUMBER('PC 02'!I92)),"Tgl Dibuat harus tanggal","")),IF(AND('PC 02'!J92&lt;&gt;"",NOT(ISNUMBER('PC 02'!J92))),"Tgl Publish harus tanggal",""),IF(AND(ISNUMBER('PC 02'!I92),ISNUMBER('PC 02'!J92),'PC 02'!J92&lt;'PC 02'!I92),"Tgl Publish &lt; Tgl Dibuat",""),IF(AND('PC 02'!K92&lt;&gt;"",ISERROR(MATCH(TRIM('PC 02'!K92),{"Draft","Menunggu Review","Revisi","Terjadwal","Publish","Batal","Published"},0))),"Status di luar daftar","")))</f>
        <v>#ERROR!</v>
      </c>
      <c r="D92" s="5" t="str">
        <f>IF(C92="","OK","ADA MASALAH")</f>
        <v>#ERROR!</v>
      </c>
    </row>
    <row r="93">
      <c r="A93" s="3">
        <v>93.0</v>
      </c>
      <c r="B93" s="5" t="str">
        <f>'PC 02'!A93</f>
        <v/>
      </c>
      <c r="C93" s="5" t="str">
        <f>IF(COUNTA('PC 02'!A93:L93)=0,"",TEXTJOIN(" | ",TRUE,IF('PC 02'!A93="","Worker ID kosong",""),IF('PC 02'!B93="","Update Date kosong",IF(NOT(ISNUMBER('PC 02'!B93)),"Update Date harus tanggal","")),IF('PC 02'!D93="","Judul kosong",""),IF('PC 02'!F93="","Genre kosong",IF(ISERROR(MATCH(TRIM('PC 02'!F93),{"Pop","Rock","Dangdut","K-Pop","Electronic","Nasional","Daerah"},0)),"Genre di luar daftar","")),IF('PC 02'!G93="","Nama Channel kosong",""),IF('PC 02'!H93="","Link kosong",IF(ISERROR(FIND("youtu",LOWER('PC 02'!H93))),"Link bukan youtube","")),IF('PC 02'!I93="","Tgl Dibuat kosong",IF(NOT(ISNUMBER('PC 02'!I93)),"Tgl Dibuat harus tanggal","")),IF(AND('PC 02'!J93&lt;&gt;"",NOT(ISNUMBER('PC 02'!J93))),"Tgl Publish harus tanggal",""),IF(AND(ISNUMBER('PC 02'!I93),ISNUMBER('PC 02'!J93),'PC 02'!J93&lt;'PC 02'!I93),"Tgl Publish &lt; Tgl Dibuat",""),IF(AND('PC 02'!K93&lt;&gt;"",ISERROR(MATCH(TRIM('PC 02'!K93),{"Draft","Menunggu Review","Revisi","Terjadwal","Publish","Batal","Published"},0))),"Status di luar daftar","")))</f>
        <v>#ERROR!</v>
      </c>
      <c r="D93" s="5" t="str">
        <f>IF(C93="","OK","ADA MASALAH")</f>
        <v>#ERROR!</v>
      </c>
    </row>
    <row r="94">
      <c r="A94" s="3">
        <v>94.0</v>
      </c>
      <c r="B94" s="5" t="str">
        <f>'PC 02'!A94</f>
        <v/>
      </c>
      <c r="C94" s="5" t="str">
        <f>IF(COUNTA('PC 02'!A94:L94)=0,"",TEXTJOIN(" | ",TRUE,IF('PC 02'!A94="","Worker ID kosong",""),IF('PC 02'!B94="","Update Date kosong",IF(NOT(ISNUMBER('PC 02'!B94)),"Update Date harus tanggal","")),IF('PC 02'!D94="","Judul kosong",""),IF('PC 02'!F94="","Genre kosong",IF(ISERROR(MATCH(TRIM('PC 02'!F94),{"Pop","Rock","Dangdut","K-Pop","Electronic","Nasional","Daerah"},0)),"Genre di luar daftar","")),IF('PC 02'!G94="","Nama Channel kosong",""),IF('PC 02'!H94="","Link kosong",IF(ISERROR(FIND("youtu",LOWER('PC 02'!H94))),"Link bukan youtube","")),IF('PC 02'!I94="","Tgl Dibuat kosong",IF(NOT(ISNUMBER('PC 02'!I94)),"Tgl Dibuat harus tanggal","")),IF(AND('PC 02'!J94&lt;&gt;"",NOT(ISNUMBER('PC 02'!J94))),"Tgl Publish harus tanggal",""),IF(AND(ISNUMBER('PC 02'!I94),ISNUMBER('PC 02'!J94),'PC 02'!J94&lt;'PC 02'!I94),"Tgl Publish &lt; Tgl Dibuat",""),IF(AND('PC 02'!K94&lt;&gt;"",ISERROR(MATCH(TRIM('PC 02'!K94),{"Draft","Menunggu Review","Revisi","Terjadwal","Publish","Batal","Published"},0))),"Status di luar daftar","")))</f>
        <v>#ERROR!</v>
      </c>
      <c r="D94" s="5" t="str">
        <f>IF(C94="","OK","ADA MASALAH")</f>
        <v>#ERROR!</v>
      </c>
    </row>
    <row r="95">
      <c r="A95" s="3">
        <v>95.0</v>
      </c>
      <c r="B95" s="5" t="str">
        <f>'PC 02'!A95</f>
        <v/>
      </c>
      <c r="C95" s="5" t="str">
        <f>IF(COUNTA('PC 02'!A95:L95)=0,"",TEXTJOIN(" | ",TRUE,IF('PC 02'!A95="","Worker ID kosong",""),IF('PC 02'!B95="","Update Date kosong",IF(NOT(ISNUMBER('PC 02'!B95)),"Update Date harus tanggal","")),IF('PC 02'!D95="","Judul kosong",""),IF('PC 02'!F95="","Genre kosong",IF(ISERROR(MATCH(TRIM('PC 02'!F95),{"Pop","Rock","Dangdut","K-Pop","Electronic","Nasional","Daerah"},0)),"Genre di luar daftar","")),IF('PC 02'!G95="","Nama Channel kosong",""),IF('PC 02'!H95="","Link kosong",IF(ISERROR(FIND("youtu",LOWER('PC 02'!H95))),"Link bukan youtube","")),IF('PC 02'!I95="","Tgl Dibuat kosong",IF(NOT(ISNUMBER('PC 02'!I95)),"Tgl Dibuat harus tanggal","")),IF(AND('PC 02'!J95&lt;&gt;"",NOT(ISNUMBER('PC 02'!J95))),"Tgl Publish harus tanggal",""),IF(AND(ISNUMBER('PC 02'!I95),ISNUMBER('PC 02'!J95),'PC 02'!J95&lt;'PC 02'!I95),"Tgl Publish &lt; Tgl Dibuat",""),IF(AND('PC 02'!K95&lt;&gt;"",ISERROR(MATCH(TRIM('PC 02'!K95),{"Draft","Menunggu Review","Revisi","Terjadwal","Publish","Batal","Published"},0))),"Status di luar daftar","")))</f>
        <v>#ERROR!</v>
      </c>
      <c r="D95" s="5" t="str">
        <f>IF(C95="","OK","ADA MASALAH")</f>
        <v>#ERROR!</v>
      </c>
    </row>
    <row r="96">
      <c r="A96" s="3">
        <v>96.0</v>
      </c>
      <c r="B96" s="5" t="str">
        <f>'PC 02'!A96</f>
        <v/>
      </c>
      <c r="C96" s="5" t="str">
        <f>IF(COUNTA('PC 02'!A96:L96)=0,"",TEXTJOIN(" | ",TRUE,IF('PC 02'!A96="","Worker ID kosong",""),IF('PC 02'!B96="","Update Date kosong",IF(NOT(ISNUMBER('PC 02'!B96)),"Update Date harus tanggal","")),IF('PC 02'!D96="","Judul kosong",""),IF('PC 02'!F96="","Genre kosong",IF(ISERROR(MATCH(TRIM('PC 02'!F96),{"Pop","Rock","Dangdut","K-Pop","Electronic","Nasional","Daerah"},0)),"Genre di luar daftar","")),IF('PC 02'!G96="","Nama Channel kosong",""),IF('PC 02'!H96="","Link kosong",IF(ISERROR(FIND("youtu",LOWER('PC 02'!H96))),"Link bukan youtube","")),IF('PC 02'!I96="","Tgl Dibuat kosong",IF(NOT(ISNUMBER('PC 02'!I96)),"Tgl Dibuat harus tanggal","")),IF(AND('PC 02'!J96&lt;&gt;"",NOT(ISNUMBER('PC 02'!J96))),"Tgl Publish harus tanggal",""),IF(AND(ISNUMBER('PC 02'!I96),ISNUMBER('PC 02'!J96),'PC 02'!J96&lt;'PC 02'!I96),"Tgl Publish &lt; Tgl Dibuat",""),IF(AND('PC 02'!K96&lt;&gt;"",ISERROR(MATCH(TRIM('PC 02'!K96),{"Draft","Menunggu Review","Revisi","Terjadwal","Publish","Batal","Published"},0))),"Status di luar daftar","")))</f>
        <v>#ERROR!</v>
      </c>
      <c r="D96" s="5" t="str">
        <f>IF(C96="","OK","ADA MASALAH")</f>
        <v>#ERROR!</v>
      </c>
    </row>
    <row r="97">
      <c r="A97" s="3">
        <v>97.0</v>
      </c>
      <c r="B97" s="5" t="str">
        <f>'PC 02'!A97</f>
        <v/>
      </c>
      <c r="C97" s="5" t="str">
        <f>IF(COUNTA('PC 02'!A97:L97)=0,"",TEXTJOIN(" | ",TRUE,IF('PC 02'!A97="","Worker ID kosong",""),IF('PC 02'!B97="","Update Date kosong",IF(NOT(ISNUMBER('PC 02'!B97)),"Update Date harus tanggal","")),IF('PC 02'!D97="","Judul kosong",""),IF('PC 02'!F97="","Genre kosong",IF(ISERROR(MATCH(TRIM('PC 02'!F97),{"Pop","Rock","Dangdut","K-Pop","Electronic","Nasional","Daerah"},0)),"Genre di luar daftar","")),IF('PC 02'!G97="","Nama Channel kosong",""),IF('PC 02'!H97="","Link kosong",IF(ISERROR(FIND("youtu",LOWER('PC 02'!H97))),"Link bukan youtube","")),IF('PC 02'!I97="","Tgl Dibuat kosong",IF(NOT(ISNUMBER('PC 02'!I97)),"Tgl Dibuat harus tanggal","")),IF(AND('PC 02'!J97&lt;&gt;"",NOT(ISNUMBER('PC 02'!J97))),"Tgl Publish harus tanggal",""),IF(AND(ISNUMBER('PC 02'!I97),ISNUMBER('PC 02'!J97),'PC 02'!J97&lt;'PC 02'!I97),"Tgl Publish &lt; Tgl Dibuat",""),IF(AND('PC 02'!K97&lt;&gt;"",ISERROR(MATCH(TRIM('PC 02'!K97),{"Draft","Menunggu Review","Revisi","Terjadwal","Publish","Batal","Published"},0))),"Status di luar daftar","")))</f>
        <v>#ERROR!</v>
      </c>
      <c r="D97" s="5" t="str">
        <f>IF(C97="","OK","ADA MASALAH")</f>
        <v>#ERROR!</v>
      </c>
    </row>
    <row r="98">
      <c r="A98" s="3">
        <v>98.0</v>
      </c>
      <c r="B98" s="5" t="str">
        <f>'PC 02'!A98</f>
        <v/>
      </c>
      <c r="C98" s="5" t="str">
        <f>IF(COUNTA('PC 02'!A98:L98)=0,"",TEXTJOIN(" | ",TRUE,IF('PC 02'!A98="","Worker ID kosong",""),IF('PC 02'!B98="","Update Date kosong",IF(NOT(ISNUMBER('PC 02'!B98)),"Update Date harus tanggal","")),IF('PC 02'!D98="","Judul kosong",""),IF('PC 02'!F98="","Genre kosong",IF(ISERROR(MATCH(TRIM('PC 02'!F98),{"Pop","Rock","Dangdut","K-Pop","Electronic","Nasional","Daerah"},0)),"Genre di luar daftar","")),IF('PC 02'!G98="","Nama Channel kosong",""),IF('PC 02'!H98="","Link kosong",IF(ISERROR(FIND("youtu",LOWER('PC 02'!H98))),"Link bukan youtube","")),IF('PC 02'!I98="","Tgl Dibuat kosong",IF(NOT(ISNUMBER('PC 02'!I98)),"Tgl Dibuat harus tanggal","")),IF(AND('PC 02'!J98&lt;&gt;"",NOT(ISNUMBER('PC 02'!J98))),"Tgl Publish harus tanggal",""),IF(AND(ISNUMBER('PC 02'!I98),ISNUMBER('PC 02'!J98),'PC 02'!J98&lt;'PC 02'!I98),"Tgl Publish &lt; Tgl Dibuat",""),IF(AND('PC 02'!K98&lt;&gt;"",ISERROR(MATCH(TRIM('PC 02'!K98),{"Draft","Menunggu Review","Revisi","Terjadwal","Publish","Batal","Published"},0))),"Status di luar daftar","")))</f>
        <v>#ERROR!</v>
      </c>
      <c r="D98" s="5" t="str">
        <f>IF(C98="","OK","ADA MASALAH")</f>
        <v>#ERROR!</v>
      </c>
    </row>
    <row r="99">
      <c r="A99" s="3">
        <v>99.0</v>
      </c>
      <c r="B99" s="5" t="str">
        <f>'PC 02'!A99</f>
        <v/>
      </c>
      <c r="C99" s="5" t="str">
        <f>IF(COUNTA('PC 02'!A99:L99)=0,"",TEXTJOIN(" | ",TRUE,IF('PC 02'!A99="","Worker ID kosong",""),IF('PC 02'!B99="","Update Date kosong",IF(NOT(ISNUMBER('PC 02'!B99)),"Update Date harus tanggal","")),IF('PC 02'!D99="","Judul kosong",""),IF('PC 02'!F99="","Genre kosong",IF(ISERROR(MATCH(TRIM('PC 02'!F99),{"Pop","Rock","Dangdut","K-Pop","Electronic","Nasional","Daerah"},0)),"Genre di luar daftar","")),IF('PC 02'!G99="","Nama Channel kosong",""),IF('PC 02'!H99="","Link kosong",IF(ISERROR(FIND("youtu",LOWER('PC 02'!H99))),"Link bukan youtube","")),IF('PC 02'!I99="","Tgl Dibuat kosong",IF(NOT(ISNUMBER('PC 02'!I99)),"Tgl Dibuat harus tanggal","")),IF(AND('PC 02'!J99&lt;&gt;"",NOT(ISNUMBER('PC 02'!J99))),"Tgl Publish harus tanggal",""),IF(AND(ISNUMBER('PC 02'!I99),ISNUMBER('PC 02'!J99),'PC 02'!J99&lt;'PC 02'!I99),"Tgl Publish &lt; Tgl Dibuat",""),IF(AND('PC 02'!K99&lt;&gt;"",ISERROR(MATCH(TRIM('PC 02'!K99),{"Draft","Menunggu Review","Revisi","Terjadwal","Publish","Batal","Published"},0))),"Status di luar daftar","")))</f>
        <v>#ERROR!</v>
      </c>
      <c r="D99" s="5" t="str">
        <f>IF(C99="","OK","ADA MASALAH")</f>
        <v>#ERROR!</v>
      </c>
    </row>
    <row r="100">
      <c r="A100" s="3">
        <v>100.0</v>
      </c>
      <c r="B100" s="5" t="str">
        <f>'PC 02'!A100</f>
        <v/>
      </c>
      <c r="C100" s="5" t="str">
        <f>IF(COUNTA('PC 02'!A100:L100)=0,"",TEXTJOIN(" | ",TRUE,IF('PC 02'!A100="","Worker ID kosong",""),IF('PC 02'!B100="","Update Date kosong",IF(NOT(ISNUMBER('PC 02'!B100)),"Update Date harus tanggal","")),IF('PC 02'!D100="","Judul kosong",""),IF('PC 02'!F100="","Genre kosong",IF(ISERROR(MATCH(TRIM('PC 02'!F100),{"Pop","Rock","Dangdut","K-Pop","Electronic","Nasional","Daerah"},0)),"Genre di luar daftar","")),IF('PC 02'!G100="","Nama Channel kosong",""),IF('PC 02'!H100="","Link kosong",IF(ISERROR(FIND("youtu",LOWER('PC 02'!H100))),"Link bukan youtube","")),IF('PC 02'!I100="","Tgl Dibuat kosong",IF(NOT(ISNUMBER('PC 02'!I100)),"Tgl Dibuat harus tanggal","")),IF(AND('PC 02'!J100&lt;&gt;"",NOT(ISNUMBER('PC 02'!J100))),"Tgl Publish harus tanggal",""),IF(AND(ISNUMBER('PC 02'!I100),ISNUMBER('PC 02'!J100),'PC 02'!J100&lt;'PC 02'!I100),"Tgl Publish &lt; Tgl Dibuat",""),IF(AND('PC 02'!K100&lt;&gt;"",ISERROR(MATCH(TRIM('PC 02'!K100),{"Draft","Menunggu Review","Revisi","Terjadwal","Publish","Batal","Published"},0))),"Status di luar daftar","")))</f>
        <v>#ERROR!</v>
      </c>
      <c r="D100" s="5" t="str">
        <f>IF(C100="","OK","ADA MASALAH")</f>
        <v>#ERROR!</v>
      </c>
    </row>
    <row r="101">
      <c r="A101" s="3">
        <v>101.0</v>
      </c>
      <c r="B101" s="5" t="str">
        <f>'PC 02'!A101</f>
        <v/>
      </c>
      <c r="C101" s="5" t="str">
        <f>IF(COUNTA('PC 02'!A101:L101)=0,"",TEXTJOIN(" | ",TRUE,IF('PC 02'!A101="","Worker ID kosong",""),IF('PC 02'!B101="","Update Date kosong",IF(NOT(ISNUMBER('PC 02'!B101)),"Update Date harus tanggal","")),IF('PC 02'!D101="","Judul kosong",""),IF('PC 02'!F101="","Genre kosong",IF(ISERROR(MATCH(TRIM('PC 02'!F101),{"Pop","Rock","Dangdut","K-Pop","Electronic","Nasional","Daerah"},0)),"Genre di luar daftar","")),IF('PC 02'!G101="","Nama Channel kosong",""),IF('PC 02'!H101="","Link kosong",IF(ISERROR(FIND("youtu",LOWER('PC 02'!H101))),"Link bukan youtube","")),IF('PC 02'!I101="","Tgl Dibuat kosong",IF(NOT(ISNUMBER('PC 02'!I101)),"Tgl Dibuat harus tanggal","")),IF(AND('PC 02'!J101&lt;&gt;"",NOT(ISNUMBER('PC 02'!J101))),"Tgl Publish harus tanggal",""),IF(AND(ISNUMBER('PC 02'!I101),ISNUMBER('PC 02'!J101),'PC 02'!J101&lt;'PC 02'!I101),"Tgl Publish &lt; Tgl Dibuat",""),IF(AND('PC 02'!K101&lt;&gt;"",ISERROR(MATCH(TRIM('PC 02'!K101),{"Draft","Menunggu Review","Revisi","Terjadwal","Publish","Batal","Published"},0))),"Status di luar daftar","")))</f>
        <v>#ERROR!</v>
      </c>
      <c r="D101" s="5" t="str">
        <f>IF(C101="","OK","ADA MASALAH")</f>
        <v>#ERROR!</v>
      </c>
    </row>
    <row r="102">
      <c r="A102" s="3">
        <v>102.0</v>
      </c>
      <c r="B102" s="5" t="str">
        <f>'PC 02'!A102</f>
        <v/>
      </c>
      <c r="C102" s="5" t="str">
        <f>IF(COUNTA('PC 02'!A102:L102)=0,"",TEXTJOIN(" | ",TRUE,IF('PC 02'!A102="","Worker ID kosong",""),IF('PC 02'!B102="","Update Date kosong",IF(NOT(ISNUMBER('PC 02'!B102)),"Update Date harus tanggal","")),IF('PC 02'!D102="","Judul kosong",""),IF('PC 02'!F102="","Genre kosong",IF(ISERROR(MATCH(TRIM('PC 02'!F102),{"Pop","Rock","Dangdut","K-Pop","Electronic","Nasional","Daerah"},0)),"Genre di luar daftar","")),IF('PC 02'!G102="","Nama Channel kosong",""),IF('PC 02'!H102="","Link kosong",IF(ISERROR(FIND("youtu",LOWER('PC 02'!H102))),"Link bukan youtube","")),IF('PC 02'!I102="","Tgl Dibuat kosong",IF(NOT(ISNUMBER('PC 02'!I102)),"Tgl Dibuat harus tanggal","")),IF(AND('PC 02'!J102&lt;&gt;"",NOT(ISNUMBER('PC 02'!J102))),"Tgl Publish harus tanggal",""),IF(AND(ISNUMBER('PC 02'!I102),ISNUMBER('PC 02'!J102),'PC 02'!J102&lt;'PC 02'!I102),"Tgl Publish &lt; Tgl Dibuat",""),IF(AND('PC 02'!K102&lt;&gt;"",ISERROR(MATCH(TRIM('PC 02'!K102),{"Draft","Menunggu Review","Revisi","Terjadwal","Publish","Batal","Published"},0))),"Status di luar daftar","")))</f>
        <v>#ERROR!</v>
      </c>
      <c r="D102" s="5" t="str">
        <f>IF(C102="","OK","ADA MASALAH")</f>
        <v>#ERROR!</v>
      </c>
    </row>
    <row r="103">
      <c r="A103" s="3">
        <v>103.0</v>
      </c>
      <c r="B103" s="5" t="str">
        <f>'PC 02'!A103</f>
        <v/>
      </c>
      <c r="C103" s="5" t="str">
        <f>IF(COUNTA('PC 02'!A103:L103)=0,"",TEXTJOIN(" | ",TRUE,IF('PC 02'!A103="","Worker ID kosong",""),IF('PC 02'!B103="","Update Date kosong",IF(NOT(ISNUMBER('PC 02'!B103)),"Update Date harus tanggal","")),IF('PC 02'!D103="","Judul kosong",""),IF('PC 02'!F103="","Genre kosong",IF(ISERROR(MATCH(TRIM('PC 02'!F103),{"Pop","Rock","Dangdut","K-Pop","Electronic","Nasional","Daerah"},0)),"Genre di luar daftar","")),IF('PC 02'!G103="","Nama Channel kosong",""),IF('PC 02'!H103="","Link kosong",IF(ISERROR(FIND("youtu",LOWER('PC 02'!H103))),"Link bukan youtube","")),IF('PC 02'!I103="","Tgl Dibuat kosong",IF(NOT(ISNUMBER('PC 02'!I103)),"Tgl Dibuat harus tanggal","")),IF(AND('PC 02'!J103&lt;&gt;"",NOT(ISNUMBER('PC 02'!J103))),"Tgl Publish harus tanggal",""),IF(AND(ISNUMBER('PC 02'!I103),ISNUMBER('PC 02'!J103),'PC 02'!J103&lt;'PC 02'!I103),"Tgl Publish &lt; Tgl Dibuat",""),IF(AND('PC 02'!K103&lt;&gt;"",ISERROR(MATCH(TRIM('PC 02'!K103),{"Draft","Menunggu Review","Revisi","Terjadwal","Publish","Batal","Published"},0))),"Status di luar daftar","")))</f>
        <v>#ERROR!</v>
      </c>
      <c r="D103" s="5" t="str">
        <f>IF(C103="","OK","ADA MASALAH")</f>
        <v>#ERROR!</v>
      </c>
    </row>
    <row r="104">
      <c r="A104" s="3">
        <v>104.0</v>
      </c>
      <c r="B104" s="5" t="str">
        <f>'PC 02'!A104</f>
        <v/>
      </c>
      <c r="C104" s="5" t="str">
        <f>IF(COUNTA('PC 02'!A104:L104)=0,"",TEXTJOIN(" | ",TRUE,IF('PC 02'!A104="","Worker ID kosong",""),IF('PC 02'!B104="","Update Date kosong",IF(NOT(ISNUMBER('PC 02'!B104)),"Update Date harus tanggal","")),IF('PC 02'!D104="","Judul kosong",""),IF('PC 02'!F104="","Genre kosong",IF(ISERROR(MATCH(TRIM('PC 02'!F104),{"Pop","Rock","Dangdut","K-Pop","Electronic","Nasional","Daerah"},0)),"Genre di luar daftar","")),IF('PC 02'!G104="","Nama Channel kosong",""),IF('PC 02'!H104="","Link kosong",IF(ISERROR(FIND("youtu",LOWER('PC 02'!H104))),"Link bukan youtube","")),IF('PC 02'!I104="","Tgl Dibuat kosong",IF(NOT(ISNUMBER('PC 02'!I104)),"Tgl Dibuat harus tanggal","")),IF(AND('PC 02'!J104&lt;&gt;"",NOT(ISNUMBER('PC 02'!J104))),"Tgl Publish harus tanggal",""),IF(AND(ISNUMBER('PC 02'!I104),ISNUMBER('PC 02'!J104),'PC 02'!J104&lt;'PC 02'!I104),"Tgl Publish &lt; Tgl Dibuat",""),IF(AND('PC 02'!K104&lt;&gt;"",ISERROR(MATCH(TRIM('PC 02'!K104),{"Draft","Menunggu Review","Revisi","Terjadwal","Publish","Batal","Published"},0))),"Status di luar daftar","")))</f>
        <v>#ERROR!</v>
      </c>
      <c r="D104" s="5" t="str">
        <f>IF(C104="","OK","ADA MASALAH")</f>
        <v>#ERROR!</v>
      </c>
    </row>
    <row r="105">
      <c r="A105" s="3">
        <v>105.0</v>
      </c>
      <c r="B105" s="5" t="str">
        <f>'PC 02'!A105</f>
        <v/>
      </c>
      <c r="C105" s="5" t="str">
        <f>IF(COUNTA('PC 02'!A105:L105)=0,"",TEXTJOIN(" | ",TRUE,IF('PC 02'!A105="","Worker ID kosong",""),IF('PC 02'!B105="","Update Date kosong",IF(NOT(ISNUMBER('PC 02'!B105)),"Update Date harus tanggal","")),IF('PC 02'!D105="","Judul kosong",""),IF('PC 02'!F105="","Genre kosong",IF(ISERROR(MATCH(TRIM('PC 02'!F105),{"Pop","Rock","Dangdut","K-Pop","Electronic","Nasional","Daerah"},0)),"Genre di luar daftar","")),IF('PC 02'!G105="","Nama Channel kosong",""),IF('PC 02'!H105="","Link kosong",IF(ISERROR(FIND("youtu",LOWER('PC 02'!H105))),"Link bukan youtube","")),IF('PC 02'!I105="","Tgl Dibuat kosong",IF(NOT(ISNUMBER('PC 02'!I105)),"Tgl Dibuat harus tanggal","")),IF(AND('PC 02'!J105&lt;&gt;"",NOT(ISNUMBER('PC 02'!J105))),"Tgl Publish harus tanggal",""),IF(AND(ISNUMBER('PC 02'!I105),ISNUMBER('PC 02'!J105),'PC 02'!J105&lt;'PC 02'!I105),"Tgl Publish &lt; Tgl Dibuat",""),IF(AND('PC 02'!K105&lt;&gt;"",ISERROR(MATCH(TRIM('PC 02'!K105),{"Draft","Menunggu Review","Revisi","Terjadwal","Publish","Batal","Published"},0))),"Status di luar daftar","")))</f>
        <v>#ERROR!</v>
      </c>
      <c r="D105" s="5" t="str">
        <f>IF(C105="","OK","ADA MASALAH")</f>
        <v>#ERROR!</v>
      </c>
    </row>
    <row r="106">
      <c r="A106" s="3">
        <v>106.0</v>
      </c>
      <c r="B106" s="5" t="str">
        <f>'PC 02'!A106</f>
        <v/>
      </c>
      <c r="C106" s="5" t="str">
        <f>IF(COUNTA('PC 02'!A106:L106)=0,"",TEXTJOIN(" | ",TRUE,IF('PC 02'!A106="","Worker ID kosong",""),IF('PC 02'!B106="","Update Date kosong",IF(NOT(ISNUMBER('PC 02'!B106)),"Update Date harus tanggal","")),IF('PC 02'!D106="","Judul kosong",""),IF('PC 02'!F106="","Genre kosong",IF(ISERROR(MATCH(TRIM('PC 02'!F106),{"Pop","Rock","Dangdut","K-Pop","Electronic","Nasional","Daerah"},0)),"Genre di luar daftar","")),IF('PC 02'!G106="","Nama Channel kosong",""),IF('PC 02'!H106="","Link kosong",IF(ISERROR(FIND("youtu",LOWER('PC 02'!H106))),"Link bukan youtube","")),IF('PC 02'!I106="","Tgl Dibuat kosong",IF(NOT(ISNUMBER('PC 02'!I106)),"Tgl Dibuat harus tanggal","")),IF(AND('PC 02'!J106&lt;&gt;"",NOT(ISNUMBER('PC 02'!J106))),"Tgl Publish harus tanggal",""),IF(AND(ISNUMBER('PC 02'!I106),ISNUMBER('PC 02'!J106),'PC 02'!J106&lt;'PC 02'!I106),"Tgl Publish &lt; Tgl Dibuat",""),IF(AND('PC 02'!K106&lt;&gt;"",ISERROR(MATCH(TRIM('PC 02'!K106),{"Draft","Menunggu Review","Revisi","Terjadwal","Publish","Batal","Published"},0))),"Status di luar daftar","")))</f>
        <v>#ERROR!</v>
      </c>
      <c r="D106" s="5" t="str">
        <f>IF(C106="","OK","ADA MASALAH")</f>
        <v>#ERROR!</v>
      </c>
    </row>
    <row r="107">
      <c r="A107" s="3">
        <v>107.0</v>
      </c>
      <c r="B107" s="5" t="str">
        <f>'PC 02'!A107</f>
        <v/>
      </c>
      <c r="C107" s="5" t="str">
        <f>IF(COUNTA('PC 02'!A107:L107)=0,"",TEXTJOIN(" | ",TRUE,IF('PC 02'!A107="","Worker ID kosong",""),IF('PC 02'!B107="","Update Date kosong",IF(NOT(ISNUMBER('PC 02'!B107)),"Update Date harus tanggal","")),IF('PC 02'!D107="","Judul kosong",""),IF('PC 02'!F107="","Genre kosong",IF(ISERROR(MATCH(TRIM('PC 02'!F107),{"Pop","Rock","Dangdut","K-Pop","Electronic","Nasional","Daerah"},0)),"Genre di luar daftar","")),IF('PC 02'!G107="","Nama Channel kosong",""),IF('PC 02'!H107="","Link kosong",IF(ISERROR(FIND("youtu",LOWER('PC 02'!H107))),"Link bukan youtube","")),IF('PC 02'!I107="","Tgl Dibuat kosong",IF(NOT(ISNUMBER('PC 02'!I107)),"Tgl Dibuat harus tanggal","")),IF(AND('PC 02'!J107&lt;&gt;"",NOT(ISNUMBER('PC 02'!J107))),"Tgl Publish harus tanggal",""),IF(AND(ISNUMBER('PC 02'!I107),ISNUMBER('PC 02'!J107),'PC 02'!J107&lt;'PC 02'!I107),"Tgl Publish &lt; Tgl Dibuat",""),IF(AND('PC 02'!K107&lt;&gt;"",ISERROR(MATCH(TRIM('PC 02'!K107),{"Draft","Menunggu Review","Revisi","Terjadwal","Publish","Batal","Published"},0))),"Status di luar daftar","")))</f>
        <v>#ERROR!</v>
      </c>
      <c r="D107" s="5" t="str">
        <f>IF(C107="","OK","ADA MASALAH")</f>
        <v>#ERROR!</v>
      </c>
    </row>
    <row r="108">
      <c r="A108" s="3">
        <v>108.0</v>
      </c>
      <c r="B108" s="5" t="str">
        <f>'PC 02'!A108</f>
        <v/>
      </c>
      <c r="C108" s="5" t="str">
        <f>IF(COUNTA('PC 02'!A108:L108)=0,"",TEXTJOIN(" | ",TRUE,IF('PC 02'!A108="","Worker ID kosong",""),IF('PC 02'!B108="","Update Date kosong",IF(NOT(ISNUMBER('PC 02'!B108)),"Update Date harus tanggal","")),IF('PC 02'!D108="","Judul kosong",""),IF('PC 02'!F108="","Genre kosong",IF(ISERROR(MATCH(TRIM('PC 02'!F108),{"Pop","Rock","Dangdut","K-Pop","Electronic","Nasional","Daerah"},0)),"Genre di luar daftar","")),IF('PC 02'!G108="","Nama Channel kosong",""),IF('PC 02'!H108="","Link kosong",IF(ISERROR(FIND("youtu",LOWER('PC 02'!H108))),"Link bukan youtube","")),IF('PC 02'!I108="","Tgl Dibuat kosong",IF(NOT(ISNUMBER('PC 02'!I108)),"Tgl Dibuat harus tanggal","")),IF(AND('PC 02'!J108&lt;&gt;"",NOT(ISNUMBER('PC 02'!J108))),"Tgl Publish harus tanggal",""),IF(AND(ISNUMBER('PC 02'!I108),ISNUMBER('PC 02'!J108),'PC 02'!J108&lt;'PC 02'!I108),"Tgl Publish &lt; Tgl Dibuat",""),IF(AND('PC 02'!K108&lt;&gt;"",ISERROR(MATCH(TRIM('PC 02'!K108),{"Draft","Menunggu Review","Revisi","Terjadwal","Publish","Batal","Published"},0))),"Status di luar daftar","")))</f>
        <v>#ERROR!</v>
      </c>
      <c r="D108" s="5" t="str">
        <f>IF(C108="","OK","ADA MASALAH")</f>
        <v>#ERROR!</v>
      </c>
    </row>
    <row r="109">
      <c r="A109" s="3">
        <v>109.0</v>
      </c>
      <c r="B109" s="5" t="str">
        <f>'PC 02'!A109</f>
        <v/>
      </c>
      <c r="C109" s="5" t="str">
        <f>IF(COUNTA('PC 02'!A109:L109)=0,"",TEXTJOIN(" | ",TRUE,IF('PC 02'!A109="","Worker ID kosong",""),IF('PC 02'!B109="","Update Date kosong",IF(NOT(ISNUMBER('PC 02'!B109)),"Update Date harus tanggal","")),IF('PC 02'!D109="","Judul kosong",""),IF('PC 02'!F109="","Genre kosong",IF(ISERROR(MATCH(TRIM('PC 02'!F109),{"Pop","Rock","Dangdut","K-Pop","Electronic","Nasional","Daerah"},0)),"Genre di luar daftar","")),IF('PC 02'!G109="","Nama Channel kosong",""),IF('PC 02'!H109="","Link kosong",IF(ISERROR(FIND("youtu",LOWER('PC 02'!H109))),"Link bukan youtube","")),IF('PC 02'!I109="","Tgl Dibuat kosong",IF(NOT(ISNUMBER('PC 02'!I109)),"Tgl Dibuat harus tanggal","")),IF(AND('PC 02'!J109&lt;&gt;"",NOT(ISNUMBER('PC 02'!J109))),"Tgl Publish harus tanggal",""),IF(AND(ISNUMBER('PC 02'!I109),ISNUMBER('PC 02'!J109),'PC 02'!J109&lt;'PC 02'!I109),"Tgl Publish &lt; Tgl Dibuat",""),IF(AND('PC 02'!K109&lt;&gt;"",ISERROR(MATCH(TRIM('PC 02'!K109),{"Draft","Menunggu Review","Revisi","Terjadwal","Publish","Batal","Published"},0))),"Status di luar daftar","")))</f>
        <v>#ERROR!</v>
      </c>
      <c r="D109" s="5" t="str">
        <f>IF(C109="","OK","ADA MASALAH")</f>
        <v>#ERROR!</v>
      </c>
    </row>
    <row r="110">
      <c r="A110" s="3">
        <v>110.0</v>
      </c>
      <c r="B110" s="5" t="str">
        <f>'PC 02'!A110</f>
        <v/>
      </c>
      <c r="C110" s="5" t="str">
        <f>IF(COUNTA('PC 02'!A110:L110)=0,"",TEXTJOIN(" | ",TRUE,IF('PC 02'!A110="","Worker ID kosong",""),IF('PC 02'!B110="","Update Date kosong",IF(NOT(ISNUMBER('PC 02'!B110)),"Update Date harus tanggal","")),IF('PC 02'!D110="","Judul kosong",""),IF('PC 02'!F110="","Genre kosong",IF(ISERROR(MATCH(TRIM('PC 02'!F110),{"Pop","Rock","Dangdut","K-Pop","Electronic","Nasional","Daerah"},0)),"Genre di luar daftar","")),IF('PC 02'!G110="","Nama Channel kosong",""),IF('PC 02'!H110="","Link kosong",IF(ISERROR(FIND("youtu",LOWER('PC 02'!H110))),"Link bukan youtube","")),IF('PC 02'!I110="","Tgl Dibuat kosong",IF(NOT(ISNUMBER('PC 02'!I110)),"Tgl Dibuat harus tanggal","")),IF(AND('PC 02'!J110&lt;&gt;"",NOT(ISNUMBER('PC 02'!J110))),"Tgl Publish harus tanggal",""),IF(AND(ISNUMBER('PC 02'!I110),ISNUMBER('PC 02'!J110),'PC 02'!J110&lt;'PC 02'!I110),"Tgl Publish &lt; Tgl Dibuat",""),IF(AND('PC 02'!K110&lt;&gt;"",ISERROR(MATCH(TRIM('PC 02'!K110),{"Draft","Menunggu Review","Revisi","Terjadwal","Publish","Batal","Published"},0))),"Status di luar daftar","")))</f>
        <v>#ERROR!</v>
      </c>
      <c r="D110" s="5" t="str">
        <f>IF(C110="","OK","ADA MASALAH")</f>
        <v>#ERROR!</v>
      </c>
    </row>
    <row r="111">
      <c r="A111" s="3">
        <v>111.0</v>
      </c>
      <c r="B111" s="5" t="str">
        <f>'PC 02'!A111</f>
        <v/>
      </c>
      <c r="C111" s="5" t="str">
        <f>IF(COUNTA('PC 02'!A111:L111)=0,"",TEXTJOIN(" | ",TRUE,IF('PC 02'!A111="","Worker ID kosong",""),IF('PC 02'!B111="","Update Date kosong",IF(NOT(ISNUMBER('PC 02'!B111)),"Update Date harus tanggal","")),IF('PC 02'!D111="","Judul kosong",""),IF('PC 02'!F111="","Genre kosong",IF(ISERROR(MATCH(TRIM('PC 02'!F111),{"Pop","Rock","Dangdut","K-Pop","Electronic","Nasional","Daerah"},0)),"Genre di luar daftar","")),IF('PC 02'!G111="","Nama Channel kosong",""),IF('PC 02'!H111="","Link kosong",IF(ISERROR(FIND("youtu",LOWER('PC 02'!H111))),"Link bukan youtube","")),IF('PC 02'!I111="","Tgl Dibuat kosong",IF(NOT(ISNUMBER('PC 02'!I111)),"Tgl Dibuat harus tanggal","")),IF(AND('PC 02'!J111&lt;&gt;"",NOT(ISNUMBER('PC 02'!J111))),"Tgl Publish harus tanggal",""),IF(AND(ISNUMBER('PC 02'!I111),ISNUMBER('PC 02'!J111),'PC 02'!J111&lt;'PC 02'!I111),"Tgl Publish &lt; Tgl Dibuat",""),IF(AND('PC 02'!K111&lt;&gt;"",ISERROR(MATCH(TRIM('PC 02'!K111),{"Draft","Menunggu Review","Revisi","Terjadwal","Publish","Batal","Published"},0))),"Status di luar daftar","")))</f>
        <v>#ERROR!</v>
      </c>
      <c r="D111" s="5" t="str">
        <f>IF(C111="","OK","ADA MASALAH")</f>
        <v>#ERROR!</v>
      </c>
    </row>
    <row r="112">
      <c r="A112" s="3">
        <v>112.0</v>
      </c>
      <c r="B112" s="5" t="str">
        <f>'PC 02'!A112</f>
        <v/>
      </c>
      <c r="C112" s="5" t="str">
        <f>IF(COUNTA('PC 02'!A112:L112)=0,"",TEXTJOIN(" | ",TRUE,IF('PC 02'!A112="","Worker ID kosong",""),IF('PC 02'!B112="","Update Date kosong",IF(NOT(ISNUMBER('PC 02'!B112)),"Update Date harus tanggal","")),IF('PC 02'!D112="","Judul kosong",""),IF('PC 02'!F112="","Genre kosong",IF(ISERROR(MATCH(TRIM('PC 02'!F112),{"Pop","Rock","Dangdut","K-Pop","Electronic","Nasional","Daerah"},0)),"Genre di luar daftar","")),IF('PC 02'!G112="","Nama Channel kosong",""),IF('PC 02'!H112="","Link kosong",IF(ISERROR(FIND("youtu",LOWER('PC 02'!H112))),"Link bukan youtube","")),IF('PC 02'!I112="","Tgl Dibuat kosong",IF(NOT(ISNUMBER('PC 02'!I112)),"Tgl Dibuat harus tanggal","")),IF(AND('PC 02'!J112&lt;&gt;"",NOT(ISNUMBER('PC 02'!J112))),"Tgl Publish harus tanggal",""),IF(AND(ISNUMBER('PC 02'!I112),ISNUMBER('PC 02'!J112),'PC 02'!J112&lt;'PC 02'!I112),"Tgl Publish &lt; Tgl Dibuat",""),IF(AND('PC 02'!K112&lt;&gt;"",ISERROR(MATCH(TRIM('PC 02'!K112),{"Draft","Menunggu Review","Revisi","Terjadwal","Publish","Batal","Published"},0))),"Status di luar daftar","")))</f>
        <v>#ERROR!</v>
      </c>
      <c r="D112" s="5" t="str">
        <f>IF(C112="","OK","ADA MASALAH")</f>
        <v>#ERROR!</v>
      </c>
    </row>
    <row r="113">
      <c r="A113" s="3">
        <v>113.0</v>
      </c>
      <c r="B113" s="5" t="str">
        <f>'PC 02'!A113</f>
        <v/>
      </c>
      <c r="C113" s="5" t="str">
        <f>IF(COUNTA('PC 02'!A113:L113)=0,"",TEXTJOIN(" | ",TRUE,IF('PC 02'!A113="","Worker ID kosong",""),IF('PC 02'!B113="","Update Date kosong",IF(NOT(ISNUMBER('PC 02'!B113)),"Update Date harus tanggal","")),IF('PC 02'!D113="","Judul kosong",""),IF('PC 02'!F113="","Genre kosong",IF(ISERROR(MATCH(TRIM('PC 02'!F113),{"Pop","Rock","Dangdut","K-Pop","Electronic","Nasional","Daerah"},0)),"Genre di luar daftar","")),IF('PC 02'!G113="","Nama Channel kosong",""),IF('PC 02'!H113="","Link kosong",IF(ISERROR(FIND("youtu",LOWER('PC 02'!H113))),"Link bukan youtube","")),IF('PC 02'!I113="","Tgl Dibuat kosong",IF(NOT(ISNUMBER('PC 02'!I113)),"Tgl Dibuat harus tanggal","")),IF(AND('PC 02'!J113&lt;&gt;"",NOT(ISNUMBER('PC 02'!J113))),"Tgl Publish harus tanggal",""),IF(AND(ISNUMBER('PC 02'!I113),ISNUMBER('PC 02'!J113),'PC 02'!J113&lt;'PC 02'!I113),"Tgl Publish &lt; Tgl Dibuat",""),IF(AND('PC 02'!K113&lt;&gt;"",ISERROR(MATCH(TRIM('PC 02'!K113),{"Draft","Menunggu Review","Revisi","Terjadwal","Publish","Batal","Published"},0))),"Status di luar daftar","")))</f>
        <v>#ERROR!</v>
      </c>
      <c r="D113" s="5" t="str">
        <f>IF(C113="","OK","ADA MASALAH")</f>
        <v>#ERROR!</v>
      </c>
    </row>
    <row r="114">
      <c r="A114" s="3">
        <v>114.0</v>
      </c>
      <c r="B114" s="5" t="str">
        <f>'PC 02'!A114</f>
        <v/>
      </c>
      <c r="C114" s="5" t="str">
        <f>IF(COUNTA('PC 02'!A114:L114)=0,"",TEXTJOIN(" | ",TRUE,IF('PC 02'!A114="","Worker ID kosong",""),IF('PC 02'!B114="","Update Date kosong",IF(NOT(ISNUMBER('PC 02'!B114)),"Update Date harus tanggal","")),IF('PC 02'!D114="","Judul kosong",""),IF('PC 02'!F114="","Genre kosong",IF(ISERROR(MATCH(TRIM('PC 02'!F114),{"Pop","Rock","Dangdut","K-Pop","Electronic","Nasional","Daerah"},0)),"Genre di luar daftar","")),IF('PC 02'!G114="","Nama Channel kosong",""),IF('PC 02'!H114="","Link kosong",IF(ISERROR(FIND("youtu",LOWER('PC 02'!H114))),"Link bukan youtube","")),IF('PC 02'!I114="","Tgl Dibuat kosong",IF(NOT(ISNUMBER('PC 02'!I114)),"Tgl Dibuat harus tanggal","")),IF(AND('PC 02'!J114&lt;&gt;"",NOT(ISNUMBER('PC 02'!J114))),"Tgl Publish harus tanggal",""),IF(AND(ISNUMBER('PC 02'!I114),ISNUMBER('PC 02'!J114),'PC 02'!J114&lt;'PC 02'!I114),"Tgl Publish &lt; Tgl Dibuat",""),IF(AND('PC 02'!K114&lt;&gt;"",ISERROR(MATCH(TRIM('PC 02'!K114),{"Draft","Menunggu Review","Revisi","Terjadwal","Publish","Batal","Published"},0))),"Status di luar daftar","")))</f>
        <v>#ERROR!</v>
      </c>
      <c r="D114" s="5" t="str">
        <f>IF(C114="","OK","ADA MASALAH")</f>
        <v>#ERROR!</v>
      </c>
    </row>
    <row r="115">
      <c r="A115" s="3">
        <v>115.0</v>
      </c>
      <c r="B115" s="5" t="str">
        <f>'PC 02'!A115</f>
        <v/>
      </c>
      <c r="C115" s="5" t="str">
        <f>IF(COUNTA('PC 02'!A115:L115)=0,"",TEXTJOIN(" | ",TRUE,IF('PC 02'!A115="","Worker ID kosong",""),IF('PC 02'!B115="","Update Date kosong",IF(NOT(ISNUMBER('PC 02'!B115)),"Update Date harus tanggal","")),IF('PC 02'!D115="","Judul kosong",""),IF('PC 02'!F115="","Genre kosong",IF(ISERROR(MATCH(TRIM('PC 02'!F115),{"Pop","Rock","Dangdut","K-Pop","Electronic","Nasional","Daerah"},0)),"Genre di luar daftar","")),IF('PC 02'!G115="","Nama Channel kosong",""),IF('PC 02'!H115="","Link kosong",IF(ISERROR(FIND("youtu",LOWER('PC 02'!H115))),"Link bukan youtube","")),IF('PC 02'!I115="","Tgl Dibuat kosong",IF(NOT(ISNUMBER('PC 02'!I115)),"Tgl Dibuat harus tanggal","")),IF(AND('PC 02'!J115&lt;&gt;"",NOT(ISNUMBER('PC 02'!J115))),"Tgl Publish harus tanggal",""),IF(AND(ISNUMBER('PC 02'!I115),ISNUMBER('PC 02'!J115),'PC 02'!J115&lt;'PC 02'!I115),"Tgl Publish &lt; Tgl Dibuat",""),IF(AND('PC 02'!K115&lt;&gt;"",ISERROR(MATCH(TRIM('PC 02'!K115),{"Draft","Menunggu Review","Revisi","Terjadwal","Publish","Batal","Published"},0))),"Status di luar daftar","")))</f>
        <v>#ERROR!</v>
      </c>
      <c r="D115" s="5" t="str">
        <f>IF(C115="","OK","ADA MASALAH")</f>
        <v>#ERROR!</v>
      </c>
    </row>
    <row r="116">
      <c r="A116" s="3">
        <v>116.0</v>
      </c>
      <c r="B116" s="5" t="str">
        <f>'PC 02'!A116</f>
        <v/>
      </c>
      <c r="C116" s="5" t="str">
        <f>IF(COUNTA('PC 02'!A116:L116)=0,"",TEXTJOIN(" | ",TRUE,IF('PC 02'!A116="","Worker ID kosong",""),IF('PC 02'!B116="","Update Date kosong",IF(NOT(ISNUMBER('PC 02'!B116)),"Update Date harus tanggal","")),IF('PC 02'!D116="","Judul kosong",""),IF('PC 02'!F116="","Genre kosong",IF(ISERROR(MATCH(TRIM('PC 02'!F116),{"Pop","Rock","Dangdut","K-Pop","Electronic","Nasional","Daerah"},0)),"Genre di luar daftar","")),IF('PC 02'!G116="","Nama Channel kosong",""),IF('PC 02'!H116="","Link kosong",IF(ISERROR(FIND("youtu",LOWER('PC 02'!H116))),"Link bukan youtube","")),IF('PC 02'!I116="","Tgl Dibuat kosong",IF(NOT(ISNUMBER('PC 02'!I116)),"Tgl Dibuat harus tanggal","")),IF(AND('PC 02'!J116&lt;&gt;"",NOT(ISNUMBER('PC 02'!J116))),"Tgl Publish harus tanggal",""),IF(AND(ISNUMBER('PC 02'!I116),ISNUMBER('PC 02'!J116),'PC 02'!J116&lt;'PC 02'!I116),"Tgl Publish &lt; Tgl Dibuat",""),IF(AND('PC 02'!K116&lt;&gt;"",ISERROR(MATCH(TRIM('PC 02'!K116),{"Draft","Menunggu Review","Revisi","Terjadwal","Publish","Batal","Published"},0))),"Status di luar daftar","")))</f>
        <v>#ERROR!</v>
      </c>
      <c r="D116" s="5" t="str">
        <f>IF(C116="","OK","ADA MASALAH")</f>
        <v>#ERROR!</v>
      </c>
    </row>
    <row r="117">
      <c r="A117" s="3">
        <v>117.0</v>
      </c>
      <c r="B117" s="5" t="str">
        <f>'PC 02'!A117</f>
        <v/>
      </c>
      <c r="C117" s="5" t="str">
        <f>IF(COUNTA('PC 02'!A117:L117)=0,"",TEXTJOIN(" | ",TRUE,IF('PC 02'!A117="","Worker ID kosong",""),IF('PC 02'!B117="","Update Date kosong",IF(NOT(ISNUMBER('PC 02'!B117)),"Update Date harus tanggal","")),IF('PC 02'!D117="","Judul kosong",""),IF('PC 02'!F117="","Genre kosong",IF(ISERROR(MATCH(TRIM('PC 02'!F117),{"Pop","Rock","Dangdut","K-Pop","Electronic","Nasional","Daerah"},0)),"Genre di luar daftar","")),IF('PC 02'!G117="","Nama Channel kosong",""),IF('PC 02'!H117="","Link kosong",IF(ISERROR(FIND("youtu",LOWER('PC 02'!H117))),"Link bukan youtube","")),IF('PC 02'!I117="","Tgl Dibuat kosong",IF(NOT(ISNUMBER('PC 02'!I117)),"Tgl Dibuat harus tanggal","")),IF(AND('PC 02'!J117&lt;&gt;"",NOT(ISNUMBER('PC 02'!J117))),"Tgl Publish harus tanggal",""),IF(AND(ISNUMBER('PC 02'!I117),ISNUMBER('PC 02'!J117),'PC 02'!J117&lt;'PC 02'!I117),"Tgl Publish &lt; Tgl Dibuat",""),IF(AND('PC 02'!K117&lt;&gt;"",ISERROR(MATCH(TRIM('PC 02'!K117),{"Draft","Menunggu Review","Revisi","Terjadwal","Publish","Batal","Published"},0))),"Status di luar daftar","")))</f>
        <v>#ERROR!</v>
      </c>
      <c r="D117" s="5" t="str">
        <f>IF(C117="","OK","ADA MASALAH")</f>
        <v>#ERROR!</v>
      </c>
    </row>
    <row r="118">
      <c r="A118" s="3">
        <v>118.0</v>
      </c>
      <c r="B118" s="5" t="str">
        <f>'PC 02'!A118</f>
        <v/>
      </c>
      <c r="C118" s="5" t="str">
        <f>IF(COUNTA('PC 02'!A118:L118)=0,"",TEXTJOIN(" | ",TRUE,IF('PC 02'!A118="","Worker ID kosong",""),IF('PC 02'!B118="","Update Date kosong",IF(NOT(ISNUMBER('PC 02'!B118)),"Update Date harus tanggal","")),IF('PC 02'!D118="","Judul kosong",""),IF('PC 02'!F118="","Genre kosong",IF(ISERROR(MATCH(TRIM('PC 02'!F118),{"Pop","Rock","Dangdut","K-Pop","Electronic","Nasional","Daerah"},0)),"Genre di luar daftar","")),IF('PC 02'!G118="","Nama Channel kosong",""),IF('PC 02'!H118="","Link kosong",IF(ISERROR(FIND("youtu",LOWER('PC 02'!H118))),"Link bukan youtube","")),IF('PC 02'!I118="","Tgl Dibuat kosong",IF(NOT(ISNUMBER('PC 02'!I118)),"Tgl Dibuat harus tanggal","")),IF(AND('PC 02'!J118&lt;&gt;"",NOT(ISNUMBER('PC 02'!J118))),"Tgl Publish harus tanggal",""),IF(AND(ISNUMBER('PC 02'!I118),ISNUMBER('PC 02'!J118),'PC 02'!J118&lt;'PC 02'!I118),"Tgl Publish &lt; Tgl Dibuat",""),IF(AND('PC 02'!K118&lt;&gt;"",ISERROR(MATCH(TRIM('PC 02'!K118),{"Draft","Menunggu Review","Revisi","Terjadwal","Publish","Batal","Published"},0))),"Status di luar daftar","")))</f>
        <v>#ERROR!</v>
      </c>
      <c r="D118" s="5" t="str">
        <f>IF(C118="","OK","ADA MASALAH")</f>
        <v>#ERROR!</v>
      </c>
    </row>
    <row r="119">
      <c r="A119" s="3">
        <v>119.0</v>
      </c>
      <c r="B119" s="5" t="str">
        <f>'PC 02'!A119</f>
        <v/>
      </c>
      <c r="C119" s="5" t="str">
        <f>IF(COUNTA('PC 02'!A119:L119)=0,"",TEXTJOIN(" | ",TRUE,IF('PC 02'!A119="","Worker ID kosong",""),IF('PC 02'!B119="","Update Date kosong",IF(NOT(ISNUMBER('PC 02'!B119)),"Update Date harus tanggal","")),IF('PC 02'!D119="","Judul kosong",""),IF('PC 02'!F119="","Genre kosong",IF(ISERROR(MATCH(TRIM('PC 02'!F119),{"Pop","Rock","Dangdut","K-Pop","Electronic","Nasional","Daerah"},0)),"Genre di luar daftar","")),IF('PC 02'!G119="","Nama Channel kosong",""),IF('PC 02'!H119="","Link kosong",IF(ISERROR(FIND("youtu",LOWER('PC 02'!H119))),"Link bukan youtube","")),IF('PC 02'!I119="","Tgl Dibuat kosong",IF(NOT(ISNUMBER('PC 02'!I119)),"Tgl Dibuat harus tanggal","")),IF(AND('PC 02'!J119&lt;&gt;"",NOT(ISNUMBER('PC 02'!J119))),"Tgl Publish harus tanggal",""),IF(AND(ISNUMBER('PC 02'!I119),ISNUMBER('PC 02'!J119),'PC 02'!J119&lt;'PC 02'!I119),"Tgl Publish &lt; Tgl Dibuat",""),IF(AND('PC 02'!K119&lt;&gt;"",ISERROR(MATCH(TRIM('PC 02'!K119),{"Draft","Menunggu Review","Revisi","Terjadwal","Publish","Batal","Published"},0))),"Status di luar daftar","")))</f>
        <v>#ERROR!</v>
      </c>
      <c r="D119" s="5" t="str">
        <f>IF(C119="","OK","ADA MASALAH")</f>
        <v>#ERROR!</v>
      </c>
    </row>
    <row r="120">
      <c r="A120" s="3">
        <v>120.0</v>
      </c>
      <c r="B120" s="5" t="str">
        <f>'PC 02'!A120</f>
        <v/>
      </c>
      <c r="C120" s="5" t="str">
        <f>IF(COUNTA('PC 02'!A120:L120)=0,"",TEXTJOIN(" | ",TRUE,IF('PC 02'!A120="","Worker ID kosong",""),IF('PC 02'!B120="","Update Date kosong",IF(NOT(ISNUMBER('PC 02'!B120)),"Update Date harus tanggal","")),IF('PC 02'!D120="","Judul kosong",""),IF('PC 02'!F120="","Genre kosong",IF(ISERROR(MATCH(TRIM('PC 02'!F120),{"Pop","Rock","Dangdut","K-Pop","Electronic","Nasional","Daerah"},0)),"Genre di luar daftar","")),IF('PC 02'!G120="","Nama Channel kosong",""),IF('PC 02'!H120="","Link kosong",IF(ISERROR(FIND("youtu",LOWER('PC 02'!H120))),"Link bukan youtube","")),IF('PC 02'!I120="","Tgl Dibuat kosong",IF(NOT(ISNUMBER('PC 02'!I120)),"Tgl Dibuat harus tanggal","")),IF(AND('PC 02'!J120&lt;&gt;"",NOT(ISNUMBER('PC 02'!J120))),"Tgl Publish harus tanggal",""),IF(AND(ISNUMBER('PC 02'!I120),ISNUMBER('PC 02'!J120),'PC 02'!J120&lt;'PC 02'!I120),"Tgl Publish &lt; Tgl Dibuat",""),IF(AND('PC 02'!K120&lt;&gt;"",ISERROR(MATCH(TRIM('PC 02'!K120),{"Draft","Menunggu Review","Revisi","Terjadwal","Publish","Batal","Published"},0))),"Status di luar daftar","")))</f>
        <v>#ERROR!</v>
      </c>
      <c r="D120" s="5" t="str">
        <f>IF(C120="","OK","ADA MASALAH")</f>
        <v>#ERROR!</v>
      </c>
    </row>
    <row r="121">
      <c r="A121" s="3">
        <v>121.0</v>
      </c>
      <c r="B121" s="5" t="str">
        <f>'PC 02'!A121</f>
        <v/>
      </c>
      <c r="C121" s="5" t="str">
        <f>IF(COUNTA('PC 02'!A121:L121)=0,"",TEXTJOIN(" | ",TRUE,IF('PC 02'!A121="","Worker ID kosong",""),IF('PC 02'!B121="","Update Date kosong",IF(NOT(ISNUMBER('PC 02'!B121)),"Update Date harus tanggal","")),IF('PC 02'!D121="","Judul kosong",""),IF('PC 02'!F121="","Genre kosong",IF(ISERROR(MATCH(TRIM('PC 02'!F121),{"Pop","Rock","Dangdut","K-Pop","Electronic","Nasional","Daerah"},0)),"Genre di luar daftar","")),IF('PC 02'!G121="","Nama Channel kosong",""),IF('PC 02'!H121="","Link kosong",IF(ISERROR(FIND("youtu",LOWER('PC 02'!H121))),"Link bukan youtube","")),IF('PC 02'!I121="","Tgl Dibuat kosong",IF(NOT(ISNUMBER('PC 02'!I121)),"Tgl Dibuat harus tanggal","")),IF(AND('PC 02'!J121&lt;&gt;"",NOT(ISNUMBER('PC 02'!J121))),"Tgl Publish harus tanggal",""),IF(AND(ISNUMBER('PC 02'!I121),ISNUMBER('PC 02'!J121),'PC 02'!J121&lt;'PC 02'!I121),"Tgl Publish &lt; Tgl Dibuat",""),IF(AND('PC 02'!K121&lt;&gt;"",ISERROR(MATCH(TRIM('PC 02'!K121),{"Draft","Menunggu Review","Revisi","Terjadwal","Publish","Batal","Published"},0))),"Status di luar daftar","")))</f>
        <v>#ERROR!</v>
      </c>
      <c r="D121" s="5" t="str">
        <f>IF(C121="","OK","ADA MASALAH")</f>
        <v>#ERROR!</v>
      </c>
    </row>
    <row r="122">
      <c r="A122" s="3">
        <v>122.0</v>
      </c>
      <c r="B122" s="5" t="str">
        <f>'PC 02'!A122</f>
        <v/>
      </c>
      <c r="C122" s="5" t="str">
        <f>IF(COUNTA('PC 02'!A122:L122)=0,"",TEXTJOIN(" | ",TRUE,IF('PC 02'!A122="","Worker ID kosong",""),IF('PC 02'!B122="","Update Date kosong",IF(NOT(ISNUMBER('PC 02'!B122)),"Update Date harus tanggal","")),IF('PC 02'!D122="","Judul kosong",""),IF('PC 02'!F122="","Genre kosong",IF(ISERROR(MATCH(TRIM('PC 02'!F122),{"Pop","Rock","Dangdut","K-Pop","Electronic","Nasional","Daerah"},0)),"Genre di luar daftar","")),IF('PC 02'!G122="","Nama Channel kosong",""),IF('PC 02'!H122="","Link kosong",IF(ISERROR(FIND("youtu",LOWER('PC 02'!H122))),"Link bukan youtube","")),IF('PC 02'!I122="","Tgl Dibuat kosong",IF(NOT(ISNUMBER('PC 02'!I122)),"Tgl Dibuat harus tanggal","")),IF(AND('PC 02'!J122&lt;&gt;"",NOT(ISNUMBER('PC 02'!J122))),"Tgl Publish harus tanggal",""),IF(AND(ISNUMBER('PC 02'!I122),ISNUMBER('PC 02'!J122),'PC 02'!J122&lt;'PC 02'!I122),"Tgl Publish &lt; Tgl Dibuat",""),IF(AND('PC 02'!K122&lt;&gt;"",ISERROR(MATCH(TRIM('PC 02'!K122),{"Draft","Menunggu Review","Revisi","Terjadwal","Publish","Batal","Published"},0))),"Status di luar daftar","")))</f>
        <v>#ERROR!</v>
      </c>
      <c r="D122" s="5" t="str">
        <f>IF(C122="","OK","ADA MASALAH")</f>
        <v>#ERROR!</v>
      </c>
    </row>
    <row r="123">
      <c r="A123" s="3">
        <v>123.0</v>
      </c>
      <c r="B123" s="5" t="str">
        <f>'PC 02'!A123</f>
        <v/>
      </c>
      <c r="C123" s="5" t="str">
        <f>IF(COUNTA('PC 02'!A123:L123)=0,"",TEXTJOIN(" | ",TRUE,IF('PC 02'!A123="","Worker ID kosong",""),IF('PC 02'!B123="","Update Date kosong",IF(NOT(ISNUMBER('PC 02'!B123)),"Update Date harus tanggal","")),IF('PC 02'!D123="","Judul kosong",""),IF('PC 02'!F123="","Genre kosong",IF(ISERROR(MATCH(TRIM('PC 02'!F123),{"Pop","Rock","Dangdut","K-Pop","Electronic","Nasional","Daerah"},0)),"Genre di luar daftar","")),IF('PC 02'!G123="","Nama Channel kosong",""),IF('PC 02'!H123="","Link kosong",IF(ISERROR(FIND("youtu",LOWER('PC 02'!H123))),"Link bukan youtube","")),IF('PC 02'!I123="","Tgl Dibuat kosong",IF(NOT(ISNUMBER('PC 02'!I123)),"Tgl Dibuat harus tanggal","")),IF(AND('PC 02'!J123&lt;&gt;"",NOT(ISNUMBER('PC 02'!J123))),"Tgl Publish harus tanggal",""),IF(AND(ISNUMBER('PC 02'!I123),ISNUMBER('PC 02'!J123),'PC 02'!J123&lt;'PC 02'!I123),"Tgl Publish &lt; Tgl Dibuat",""),IF(AND('PC 02'!K123&lt;&gt;"",ISERROR(MATCH(TRIM('PC 02'!K123),{"Draft","Menunggu Review","Revisi","Terjadwal","Publish","Batal","Published"},0))),"Status di luar daftar","")))</f>
        <v>#ERROR!</v>
      </c>
      <c r="D123" s="5" t="str">
        <f>IF(C123="","OK","ADA MASALAH")</f>
        <v>#ERROR!</v>
      </c>
    </row>
    <row r="124">
      <c r="A124" s="3">
        <v>124.0</v>
      </c>
      <c r="B124" s="5" t="str">
        <f>'PC 02'!A124</f>
        <v/>
      </c>
      <c r="C124" s="5" t="str">
        <f>IF(COUNTA('PC 02'!A124:L124)=0,"",TEXTJOIN(" | ",TRUE,IF('PC 02'!A124="","Worker ID kosong",""),IF('PC 02'!B124="","Update Date kosong",IF(NOT(ISNUMBER('PC 02'!B124)),"Update Date harus tanggal","")),IF('PC 02'!D124="","Judul kosong",""),IF('PC 02'!F124="","Genre kosong",IF(ISERROR(MATCH(TRIM('PC 02'!F124),{"Pop","Rock","Dangdut","K-Pop","Electronic","Nasional","Daerah"},0)),"Genre di luar daftar","")),IF('PC 02'!G124="","Nama Channel kosong",""),IF('PC 02'!H124="","Link kosong",IF(ISERROR(FIND("youtu",LOWER('PC 02'!H124))),"Link bukan youtube","")),IF('PC 02'!I124="","Tgl Dibuat kosong",IF(NOT(ISNUMBER('PC 02'!I124)),"Tgl Dibuat harus tanggal","")),IF(AND('PC 02'!J124&lt;&gt;"",NOT(ISNUMBER('PC 02'!J124))),"Tgl Publish harus tanggal",""),IF(AND(ISNUMBER('PC 02'!I124),ISNUMBER('PC 02'!J124),'PC 02'!J124&lt;'PC 02'!I124),"Tgl Publish &lt; Tgl Dibuat",""),IF(AND('PC 02'!K124&lt;&gt;"",ISERROR(MATCH(TRIM('PC 02'!K124),{"Draft","Menunggu Review","Revisi","Terjadwal","Publish","Batal","Published"},0))),"Status di luar daftar","")))</f>
        <v>#ERROR!</v>
      </c>
      <c r="D124" s="5" t="str">
        <f>IF(C124="","OK","ADA MASALAH")</f>
        <v>#ERROR!</v>
      </c>
    </row>
    <row r="125">
      <c r="A125" s="3">
        <v>125.0</v>
      </c>
      <c r="B125" s="5" t="str">
        <f>'PC 02'!A125</f>
        <v/>
      </c>
      <c r="C125" s="5" t="str">
        <f>IF(COUNTA('PC 02'!A125:L125)=0,"",TEXTJOIN(" | ",TRUE,IF('PC 02'!A125="","Worker ID kosong",""),IF('PC 02'!B125="","Update Date kosong",IF(NOT(ISNUMBER('PC 02'!B125)),"Update Date harus tanggal","")),IF('PC 02'!D125="","Judul kosong",""),IF('PC 02'!F125="","Genre kosong",IF(ISERROR(MATCH(TRIM('PC 02'!F125),{"Pop","Rock","Dangdut","K-Pop","Electronic","Nasional","Daerah"},0)),"Genre di luar daftar","")),IF('PC 02'!G125="","Nama Channel kosong",""),IF('PC 02'!H125="","Link kosong",IF(ISERROR(FIND("youtu",LOWER('PC 02'!H125))),"Link bukan youtube","")),IF('PC 02'!I125="","Tgl Dibuat kosong",IF(NOT(ISNUMBER('PC 02'!I125)),"Tgl Dibuat harus tanggal","")),IF(AND('PC 02'!J125&lt;&gt;"",NOT(ISNUMBER('PC 02'!J125))),"Tgl Publish harus tanggal",""),IF(AND(ISNUMBER('PC 02'!I125),ISNUMBER('PC 02'!J125),'PC 02'!J125&lt;'PC 02'!I125),"Tgl Publish &lt; Tgl Dibuat",""),IF(AND('PC 02'!K125&lt;&gt;"",ISERROR(MATCH(TRIM('PC 02'!K125),{"Draft","Menunggu Review","Revisi","Terjadwal","Publish","Batal","Published"},0))),"Status di luar daftar","")))</f>
        <v>#ERROR!</v>
      </c>
      <c r="D125" s="5" t="str">
        <f>IF(C125="","OK","ADA MASALAH")</f>
        <v>#ERROR!</v>
      </c>
    </row>
    <row r="126">
      <c r="A126" s="3">
        <v>126.0</v>
      </c>
      <c r="B126" s="5" t="str">
        <f>'PC 02'!A126</f>
        <v/>
      </c>
      <c r="C126" s="5" t="str">
        <f>IF(COUNTA('PC 02'!A126:L126)=0,"",TEXTJOIN(" | ",TRUE,IF('PC 02'!A126="","Worker ID kosong",""),IF('PC 02'!B126="","Update Date kosong",IF(NOT(ISNUMBER('PC 02'!B126)),"Update Date harus tanggal","")),IF('PC 02'!D126="","Judul kosong",""),IF('PC 02'!F126="","Genre kosong",IF(ISERROR(MATCH(TRIM('PC 02'!F126),{"Pop","Rock","Dangdut","K-Pop","Electronic","Nasional","Daerah"},0)),"Genre di luar daftar","")),IF('PC 02'!G126="","Nama Channel kosong",""),IF('PC 02'!H126="","Link kosong",IF(ISERROR(FIND("youtu",LOWER('PC 02'!H126))),"Link bukan youtube","")),IF('PC 02'!I126="","Tgl Dibuat kosong",IF(NOT(ISNUMBER('PC 02'!I126)),"Tgl Dibuat harus tanggal","")),IF(AND('PC 02'!J126&lt;&gt;"",NOT(ISNUMBER('PC 02'!J126))),"Tgl Publish harus tanggal",""),IF(AND(ISNUMBER('PC 02'!I126),ISNUMBER('PC 02'!J126),'PC 02'!J126&lt;'PC 02'!I126),"Tgl Publish &lt; Tgl Dibuat",""),IF(AND('PC 02'!K126&lt;&gt;"",ISERROR(MATCH(TRIM('PC 02'!K126),{"Draft","Menunggu Review","Revisi","Terjadwal","Publish","Batal","Published"},0))),"Status di luar daftar","")))</f>
        <v>#ERROR!</v>
      </c>
      <c r="D126" s="5" t="str">
        <f>IF(C126="","OK","ADA MASALAH")</f>
        <v>#ERROR!</v>
      </c>
    </row>
    <row r="127">
      <c r="A127" s="3">
        <v>127.0</v>
      </c>
      <c r="B127" s="5" t="str">
        <f>'PC 02'!A127</f>
        <v/>
      </c>
      <c r="C127" s="5" t="str">
        <f>IF(COUNTA('PC 02'!A127:L127)=0,"",TEXTJOIN(" | ",TRUE,IF('PC 02'!A127="","Worker ID kosong",""),IF('PC 02'!B127="","Update Date kosong",IF(NOT(ISNUMBER('PC 02'!B127)),"Update Date harus tanggal","")),IF('PC 02'!D127="","Judul kosong",""),IF('PC 02'!F127="","Genre kosong",IF(ISERROR(MATCH(TRIM('PC 02'!F127),{"Pop","Rock","Dangdut","K-Pop","Electronic","Nasional","Daerah"},0)),"Genre di luar daftar","")),IF('PC 02'!G127="","Nama Channel kosong",""),IF('PC 02'!H127="","Link kosong",IF(ISERROR(FIND("youtu",LOWER('PC 02'!H127))),"Link bukan youtube","")),IF('PC 02'!I127="","Tgl Dibuat kosong",IF(NOT(ISNUMBER('PC 02'!I127)),"Tgl Dibuat harus tanggal","")),IF(AND('PC 02'!J127&lt;&gt;"",NOT(ISNUMBER('PC 02'!J127))),"Tgl Publish harus tanggal",""),IF(AND(ISNUMBER('PC 02'!I127),ISNUMBER('PC 02'!J127),'PC 02'!J127&lt;'PC 02'!I127),"Tgl Publish &lt; Tgl Dibuat",""),IF(AND('PC 02'!K127&lt;&gt;"",ISERROR(MATCH(TRIM('PC 02'!K127),{"Draft","Menunggu Review","Revisi","Terjadwal","Publish","Batal","Published"},0))),"Status di luar daftar","")))</f>
        <v>#ERROR!</v>
      </c>
      <c r="D127" s="5" t="str">
        <f>IF(C127="","OK","ADA MASALAH")</f>
        <v>#ERROR!</v>
      </c>
    </row>
    <row r="128">
      <c r="A128" s="3">
        <v>128.0</v>
      </c>
      <c r="B128" s="5" t="str">
        <f>'PC 02'!A128</f>
        <v/>
      </c>
      <c r="C128" s="5" t="str">
        <f>IF(COUNTA('PC 02'!A128:L128)=0,"",TEXTJOIN(" | ",TRUE,IF('PC 02'!A128="","Worker ID kosong",""),IF('PC 02'!B128="","Update Date kosong",IF(NOT(ISNUMBER('PC 02'!B128)),"Update Date harus tanggal","")),IF('PC 02'!D128="","Judul kosong",""),IF('PC 02'!F128="","Genre kosong",IF(ISERROR(MATCH(TRIM('PC 02'!F128),{"Pop","Rock","Dangdut","K-Pop","Electronic","Nasional","Daerah"},0)),"Genre di luar daftar","")),IF('PC 02'!G128="","Nama Channel kosong",""),IF('PC 02'!H128="","Link kosong",IF(ISERROR(FIND("youtu",LOWER('PC 02'!H128))),"Link bukan youtube","")),IF('PC 02'!I128="","Tgl Dibuat kosong",IF(NOT(ISNUMBER('PC 02'!I128)),"Tgl Dibuat harus tanggal","")),IF(AND('PC 02'!J128&lt;&gt;"",NOT(ISNUMBER('PC 02'!J128))),"Tgl Publish harus tanggal",""),IF(AND(ISNUMBER('PC 02'!I128),ISNUMBER('PC 02'!J128),'PC 02'!J128&lt;'PC 02'!I128),"Tgl Publish &lt; Tgl Dibuat",""),IF(AND('PC 02'!K128&lt;&gt;"",ISERROR(MATCH(TRIM('PC 02'!K128),{"Draft","Menunggu Review","Revisi","Terjadwal","Publish","Batal","Published"},0))),"Status di luar daftar","")))</f>
        <v>#ERROR!</v>
      </c>
      <c r="D128" s="5" t="str">
        <f>IF(C128="","OK","ADA MASALAH")</f>
        <v>#ERROR!</v>
      </c>
    </row>
    <row r="129">
      <c r="A129" s="3">
        <v>129.0</v>
      </c>
      <c r="B129" s="5" t="str">
        <f>'PC 02'!A129</f>
        <v/>
      </c>
      <c r="C129" s="5" t="str">
        <f>IF(COUNTA('PC 02'!A129:L129)=0,"",TEXTJOIN(" | ",TRUE,IF('PC 02'!A129="","Worker ID kosong",""),IF('PC 02'!B129="","Update Date kosong",IF(NOT(ISNUMBER('PC 02'!B129)),"Update Date harus tanggal","")),IF('PC 02'!D129="","Judul kosong",""),IF('PC 02'!F129="","Genre kosong",IF(ISERROR(MATCH(TRIM('PC 02'!F129),{"Pop","Rock","Dangdut","K-Pop","Electronic","Nasional","Daerah"},0)),"Genre di luar daftar","")),IF('PC 02'!G129="","Nama Channel kosong",""),IF('PC 02'!H129="","Link kosong",IF(ISERROR(FIND("youtu",LOWER('PC 02'!H129))),"Link bukan youtube","")),IF('PC 02'!I129="","Tgl Dibuat kosong",IF(NOT(ISNUMBER('PC 02'!I129)),"Tgl Dibuat harus tanggal","")),IF(AND('PC 02'!J129&lt;&gt;"",NOT(ISNUMBER('PC 02'!J129))),"Tgl Publish harus tanggal",""),IF(AND(ISNUMBER('PC 02'!I129),ISNUMBER('PC 02'!J129),'PC 02'!J129&lt;'PC 02'!I129),"Tgl Publish &lt; Tgl Dibuat",""),IF(AND('PC 02'!K129&lt;&gt;"",ISERROR(MATCH(TRIM('PC 02'!K129),{"Draft","Menunggu Review","Revisi","Terjadwal","Publish","Batal","Published"},0))),"Status di luar daftar","")))</f>
        <v>#ERROR!</v>
      </c>
      <c r="D129" s="5" t="str">
        <f>IF(C129="","OK","ADA MASALAH")</f>
        <v>#ERROR!</v>
      </c>
    </row>
    <row r="130">
      <c r="A130" s="3">
        <v>130.0</v>
      </c>
      <c r="B130" s="5" t="str">
        <f>'PC 02'!A130</f>
        <v/>
      </c>
      <c r="C130" s="5" t="str">
        <f>IF(COUNTA('PC 02'!A130:L130)=0,"",TEXTJOIN(" | ",TRUE,IF('PC 02'!A130="","Worker ID kosong",""),IF('PC 02'!B130="","Update Date kosong",IF(NOT(ISNUMBER('PC 02'!B130)),"Update Date harus tanggal","")),IF('PC 02'!D130="","Judul kosong",""),IF('PC 02'!F130="","Genre kosong",IF(ISERROR(MATCH(TRIM('PC 02'!F130),{"Pop","Rock","Dangdut","K-Pop","Electronic","Nasional","Daerah"},0)),"Genre di luar daftar","")),IF('PC 02'!G130="","Nama Channel kosong",""),IF('PC 02'!H130="","Link kosong",IF(ISERROR(FIND("youtu",LOWER('PC 02'!H130))),"Link bukan youtube","")),IF('PC 02'!I130="","Tgl Dibuat kosong",IF(NOT(ISNUMBER('PC 02'!I130)),"Tgl Dibuat harus tanggal","")),IF(AND('PC 02'!J130&lt;&gt;"",NOT(ISNUMBER('PC 02'!J130))),"Tgl Publish harus tanggal",""),IF(AND(ISNUMBER('PC 02'!I130),ISNUMBER('PC 02'!J130),'PC 02'!J130&lt;'PC 02'!I130),"Tgl Publish &lt; Tgl Dibuat",""),IF(AND('PC 02'!K130&lt;&gt;"",ISERROR(MATCH(TRIM('PC 02'!K130),{"Draft","Menunggu Review","Revisi","Terjadwal","Publish","Batal","Published"},0))),"Status di luar daftar","")))</f>
        <v>#ERROR!</v>
      </c>
      <c r="D130" s="5" t="str">
        <f>IF(C130="","OK","ADA MASALAH")</f>
        <v>#ERROR!</v>
      </c>
    </row>
    <row r="131">
      <c r="A131" s="3">
        <v>131.0</v>
      </c>
      <c r="B131" s="5" t="str">
        <f>'PC 02'!A131</f>
        <v/>
      </c>
      <c r="C131" s="5" t="str">
        <f>IF(COUNTA('PC 02'!A131:L131)=0,"",TEXTJOIN(" | ",TRUE,IF('PC 02'!A131="","Worker ID kosong",""),IF('PC 02'!B131="","Update Date kosong",IF(NOT(ISNUMBER('PC 02'!B131)),"Update Date harus tanggal","")),IF('PC 02'!D131="","Judul kosong",""),IF('PC 02'!F131="","Genre kosong",IF(ISERROR(MATCH(TRIM('PC 02'!F131),{"Pop","Rock","Dangdut","K-Pop","Electronic","Nasional","Daerah"},0)),"Genre di luar daftar","")),IF('PC 02'!G131="","Nama Channel kosong",""),IF('PC 02'!H131="","Link kosong",IF(ISERROR(FIND("youtu",LOWER('PC 02'!H131))),"Link bukan youtube","")),IF('PC 02'!I131="","Tgl Dibuat kosong",IF(NOT(ISNUMBER('PC 02'!I131)),"Tgl Dibuat harus tanggal","")),IF(AND('PC 02'!J131&lt;&gt;"",NOT(ISNUMBER('PC 02'!J131))),"Tgl Publish harus tanggal",""),IF(AND(ISNUMBER('PC 02'!I131),ISNUMBER('PC 02'!J131),'PC 02'!J131&lt;'PC 02'!I131),"Tgl Publish &lt; Tgl Dibuat",""),IF(AND('PC 02'!K131&lt;&gt;"",ISERROR(MATCH(TRIM('PC 02'!K131),{"Draft","Menunggu Review","Revisi","Terjadwal","Publish","Batal","Published"},0))),"Status di luar daftar","")))</f>
        <v>#ERROR!</v>
      </c>
      <c r="D131" s="5" t="str">
        <f>IF(C131="","OK","ADA MASALAH")</f>
        <v>#ERROR!</v>
      </c>
    </row>
    <row r="132">
      <c r="A132" s="3">
        <v>132.0</v>
      </c>
      <c r="B132" s="5" t="str">
        <f>'PC 02'!A132</f>
        <v/>
      </c>
      <c r="C132" s="5" t="str">
        <f>IF(COUNTA('PC 02'!A132:L132)=0,"",TEXTJOIN(" | ",TRUE,IF('PC 02'!A132="","Worker ID kosong",""),IF('PC 02'!B132="","Update Date kosong",IF(NOT(ISNUMBER('PC 02'!B132)),"Update Date harus tanggal","")),IF('PC 02'!D132="","Judul kosong",""),IF('PC 02'!F132="","Genre kosong",IF(ISERROR(MATCH(TRIM('PC 02'!F132),{"Pop","Rock","Dangdut","K-Pop","Electronic","Nasional","Daerah"},0)),"Genre di luar daftar","")),IF('PC 02'!G132="","Nama Channel kosong",""),IF('PC 02'!H132="","Link kosong",IF(ISERROR(FIND("youtu",LOWER('PC 02'!H132))),"Link bukan youtube","")),IF('PC 02'!I132="","Tgl Dibuat kosong",IF(NOT(ISNUMBER('PC 02'!I132)),"Tgl Dibuat harus tanggal","")),IF(AND('PC 02'!J132&lt;&gt;"",NOT(ISNUMBER('PC 02'!J132))),"Tgl Publish harus tanggal",""),IF(AND(ISNUMBER('PC 02'!I132),ISNUMBER('PC 02'!J132),'PC 02'!J132&lt;'PC 02'!I132),"Tgl Publish &lt; Tgl Dibuat",""),IF(AND('PC 02'!K132&lt;&gt;"",ISERROR(MATCH(TRIM('PC 02'!K132),{"Draft","Menunggu Review","Revisi","Terjadwal","Publish","Batal","Published"},0))),"Status di luar daftar","")))</f>
        <v>#ERROR!</v>
      </c>
      <c r="D132" s="5" t="str">
        <f>IF(C132="","OK","ADA MASALAH")</f>
        <v>#ERROR!</v>
      </c>
    </row>
    <row r="133">
      <c r="A133" s="3">
        <v>133.0</v>
      </c>
      <c r="B133" s="5" t="str">
        <f>'PC 02'!A133</f>
        <v/>
      </c>
      <c r="C133" s="5" t="str">
        <f>IF(COUNTA('PC 02'!A133:L133)=0,"",TEXTJOIN(" | ",TRUE,IF('PC 02'!A133="","Worker ID kosong",""),IF('PC 02'!B133="","Update Date kosong",IF(NOT(ISNUMBER('PC 02'!B133)),"Update Date harus tanggal","")),IF('PC 02'!D133="","Judul kosong",""),IF('PC 02'!F133="","Genre kosong",IF(ISERROR(MATCH(TRIM('PC 02'!F133),{"Pop","Rock","Dangdut","K-Pop","Electronic","Nasional","Daerah"},0)),"Genre di luar daftar","")),IF('PC 02'!G133="","Nama Channel kosong",""),IF('PC 02'!H133="","Link kosong",IF(ISERROR(FIND("youtu",LOWER('PC 02'!H133))),"Link bukan youtube","")),IF('PC 02'!I133="","Tgl Dibuat kosong",IF(NOT(ISNUMBER('PC 02'!I133)),"Tgl Dibuat harus tanggal","")),IF(AND('PC 02'!J133&lt;&gt;"",NOT(ISNUMBER('PC 02'!J133))),"Tgl Publish harus tanggal",""),IF(AND(ISNUMBER('PC 02'!I133),ISNUMBER('PC 02'!J133),'PC 02'!J133&lt;'PC 02'!I133),"Tgl Publish &lt; Tgl Dibuat",""),IF(AND('PC 02'!K133&lt;&gt;"",ISERROR(MATCH(TRIM('PC 02'!K133),{"Draft","Menunggu Review","Revisi","Terjadwal","Publish","Batal","Published"},0))),"Status di luar daftar","")))</f>
        <v>#ERROR!</v>
      </c>
      <c r="D133" s="5" t="str">
        <f>IF(C133="","OK","ADA MASALAH")</f>
        <v>#ERROR!</v>
      </c>
    </row>
    <row r="134">
      <c r="A134" s="3">
        <v>134.0</v>
      </c>
      <c r="B134" s="5" t="str">
        <f>'PC 02'!A134</f>
        <v/>
      </c>
      <c r="C134" s="5" t="str">
        <f>IF(COUNTA('PC 02'!A134:L134)=0,"",TEXTJOIN(" | ",TRUE,IF('PC 02'!A134="","Worker ID kosong",""),IF('PC 02'!B134="","Update Date kosong",IF(NOT(ISNUMBER('PC 02'!B134)),"Update Date harus tanggal","")),IF('PC 02'!D134="","Judul kosong",""),IF('PC 02'!F134="","Genre kosong",IF(ISERROR(MATCH(TRIM('PC 02'!F134),{"Pop","Rock","Dangdut","K-Pop","Electronic","Nasional","Daerah"},0)),"Genre di luar daftar","")),IF('PC 02'!G134="","Nama Channel kosong",""),IF('PC 02'!H134="","Link kosong",IF(ISERROR(FIND("youtu",LOWER('PC 02'!H134))),"Link bukan youtube","")),IF('PC 02'!I134="","Tgl Dibuat kosong",IF(NOT(ISNUMBER('PC 02'!I134)),"Tgl Dibuat harus tanggal","")),IF(AND('PC 02'!J134&lt;&gt;"",NOT(ISNUMBER('PC 02'!J134))),"Tgl Publish harus tanggal",""),IF(AND(ISNUMBER('PC 02'!I134),ISNUMBER('PC 02'!J134),'PC 02'!J134&lt;'PC 02'!I134),"Tgl Publish &lt; Tgl Dibuat",""),IF(AND('PC 02'!K134&lt;&gt;"",ISERROR(MATCH(TRIM('PC 02'!K134),{"Draft","Menunggu Review","Revisi","Terjadwal","Publish","Batal","Published"},0))),"Status di luar daftar","")))</f>
        <v>#ERROR!</v>
      </c>
      <c r="D134" s="5" t="str">
        <f>IF(C134="","OK","ADA MASALAH")</f>
        <v>#ERROR!</v>
      </c>
    </row>
    <row r="135">
      <c r="A135" s="3">
        <v>135.0</v>
      </c>
      <c r="B135" s="5" t="str">
        <f>'PC 02'!A135</f>
        <v/>
      </c>
      <c r="C135" s="5" t="str">
        <f>IF(COUNTA('PC 02'!A135:L135)=0,"",TEXTJOIN(" | ",TRUE,IF('PC 02'!A135="","Worker ID kosong",""),IF('PC 02'!B135="","Update Date kosong",IF(NOT(ISNUMBER('PC 02'!B135)),"Update Date harus tanggal","")),IF('PC 02'!D135="","Judul kosong",""),IF('PC 02'!F135="","Genre kosong",IF(ISERROR(MATCH(TRIM('PC 02'!F135),{"Pop","Rock","Dangdut","K-Pop","Electronic","Nasional","Daerah"},0)),"Genre di luar daftar","")),IF('PC 02'!G135="","Nama Channel kosong",""),IF('PC 02'!H135="","Link kosong",IF(ISERROR(FIND("youtu",LOWER('PC 02'!H135))),"Link bukan youtube","")),IF('PC 02'!I135="","Tgl Dibuat kosong",IF(NOT(ISNUMBER('PC 02'!I135)),"Tgl Dibuat harus tanggal","")),IF(AND('PC 02'!J135&lt;&gt;"",NOT(ISNUMBER('PC 02'!J135))),"Tgl Publish harus tanggal",""),IF(AND(ISNUMBER('PC 02'!I135),ISNUMBER('PC 02'!J135),'PC 02'!J135&lt;'PC 02'!I135),"Tgl Publish &lt; Tgl Dibuat",""),IF(AND('PC 02'!K135&lt;&gt;"",ISERROR(MATCH(TRIM('PC 02'!K135),{"Draft","Menunggu Review","Revisi","Terjadwal","Publish","Batal","Published"},0))),"Status di luar daftar","")))</f>
        <v>#ERROR!</v>
      </c>
      <c r="D135" s="5" t="str">
        <f>IF(C135="","OK","ADA MASALAH")</f>
        <v>#ERROR!</v>
      </c>
    </row>
    <row r="136">
      <c r="A136" s="3">
        <v>136.0</v>
      </c>
      <c r="B136" s="5" t="str">
        <f>'PC 02'!A136</f>
        <v/>
      </c>
      <c r="C136" s="5" t="str">
        <f>IF(COUNTA('PC 02'!A136:L136)=0,"",TEXTJOIN(" | ",TRUE,IF('PC 02'!A136="","Worker ID kosong",""),IF('PC 02'!B136="","Update Date kosong",IF(NOT(ISNUMBER('PC 02'!B136)),"Update Date harus tanggal","")),IF('PC 02'!D136="","Judul kosong",""),IF('PC 02'!F136="","Genre kosong",IF(ISERROR(MATCH(TRIM('PC 02'!F136),{"Pop","Rock","Dangdut","K-Pop","Electronic","Nasional","Daerah"},0)),"Genre di luar daftar","")),IF('PC 02'!G136="","Nama Channel kosong",""),IF('PC 02'!H136="","Link kosong",IF(ISERROR(FIND("youtu",LOWER('PC 02'!H136))),"Link bukan youtube","")),IF('PC 02'!I136="","Tgl Dibuat kosong",IF(NOT(ISNUMBER('PC 02'!I136)),"Tgl Dibuat harus tanggal","")),IF(AND('PC 02'!J136&lt;&gt;"",NOT(ISNUMBER('PC 02'!J136))),"Tgl Publish harus tanggal",""),IF(AND(ISNUMBER('PC 02'!I136),ISNUMBER('PC 02'!J136),'PC 02'!J136&lt;'PC 02'!I136),"Tgl Publish &lt; Tgl Dibuat",""),IF(AND('PC 02'!K136&lt;&gt;"",ISERROR(MATCH(TRIM('PC 02'!K136),{"Draft","Menunggu Review","Revisi","Terjadwal","Publish","Batal","Published"},0))),"Status di luar daftar","")))</f>
        <v>#ERROR!</v>
      </c>
      <c r="D136" s="5" t="str">
        <f>IF(C136="","OK","ADA MASALAH")</f>
        <v>#ERROR!</v>
      </c>
    </row>
    <row r="137">
      <c r="A137" s="3">
        <v>137.0</v>
      </c>
      <c r="B137" s="5" t="str">
        <f>'PC 02'!A137</f>
        <v/>
      </c>
      <c r="C137" s="5" t="str">
        <f>IF(COUNTA('PC 02'!A137:L137)=0,"",TEXTJOIN(" | ",TRUE,IF('PC 02'!A137="","Worker ID kosong",""),IF('PC 02'!B137="","Update Date kosong",IF(NOT(ISNUMBER('PC 02'!B137)),"Update Date harus tanggal","")),IF('PC 02'!D137="","Judul kosong",""),IF('PC 02'!F137="","Genre kosong",IF(ISERROR(MATCH(TRIM('PC 02'!F137),{"Pop","Rock","Dangdut","K-Pop","Electronic","Nasional","Daerah"},0)),"Genre di luar daftar","")),IF('PC 02'!G137="","Nama Channel kosong",""),IF('PC 02'!H137="","Link kosong",IF(ISERROR(FIND("youtu",LOWER('PC 02'!H137))),"Link bukan youtube","")),IF('PC 02'!I137="","Tgl Dibuat kosong",IF(NOT(ISNUMBER('PC 02'!I137)),"Tgl Dibuat harus tanggal","")),IF(AND('PC 02'!J137&lt;&gt;"",NOT(ISNUMBER('PC 02'!J137))),"Tgl Publish harus tanggal",""),IF(AND(ISNUMBER('PC 02'!I137),ISNUMBER('PC 02'!J137),'PC 02'!J137&lt;'PC 02'!I137),"Tgl Publish &lt; Tgl Dibuat",""),IF(AND('PC 02'!K137&lt;&gt;"",ISERROR(MATCH(TRIM('PC 02'!K137),{"Draft","Menunggu Review","Revisi","Terjadwal","Publish","Batal","Published"},0))),"Status di luar daftar","")))</f>
        <v>#ERROR!</v>
      </c>
      <c r="D137" s="5" t="str">
        <f>IF(C137="","OK","ADA MASALAH")</f>
        <v>#ERROR!</v>
      </c>
    </row>
    <row r="138">
      <c r="A138" s="3">
        <v>138.0</v>
      </c>
      <c r="B138" s="5" t="str">
        <f>'PC 02'!A138</f>
        <v/>
      </c>
      <c r="C138" s="5" t="str">
        <f>IF(COUNTA('PC 02'!A138:L138)=0,"",TEXTJOIN(" | ",TRUE,IF('PC 02'!A138="","Worker ID kosong",""),IF('PC 02'!B138="","Update Date kosong",IF(NOT(ISNUMBER('PC 02'!B138)),"Update Date harus tanggal","")),IF('PC 02'!D138="","Judul kosong",""),IF('PC 02'!F138="","Genre kosong",IF(ISERROR(MATCH(TRIM('PC 02'!F138),{"Pop","Rock","Dangdut","K-Pop","Electronic","Nasional","Daerah"},0)),"Genre di luar daftar","")),IF('PC 02'!G138="","Nama Channel kosong",""),IF('PC 02'!H138="","Link kosong",IF(ISERROR(FIND("youtu",LOWER('PC 02'!H138))),"Link bukan youtube","")),IF('PC 02'!I138="","Tgl Dibuat kosong",IF(NOT(ISNUMBER('PC 02'!I138)),"Tgl Dibuat harus tanggal","")),IF(AND('PC 02'!J138&lt;&gt;"",NOT(ISNUMBER('PC 02'!J138))),"Tgl Publish harus tanggal",""),IF(AND(ISNUMBER('PC 02'!I138),ISNUMBER('PC 02'!J138),'PC 02'!J138&lt;'PC 02'!I138),"Tgl Publish &lt; Tgl Dibuat",""),IF(AND('PC 02'!K138&lt;&gt;"",ISERROR(MATCH(TRIM('PC 02'!K138),{"Draft","Menunggu Review","Revisi","Terjadwal","Publish","Batal","Published"},0))),"Status di luar daftar","")))</f>
        <v>#ERROR!</v>
      </c>
      <c r="D138" s="5" t="str">
        <f>IF(C138="","OK","ADA MASALAH")</f>
        <v>#ERROR!</v>
      </c>
    </row>
    <row r="139">
      <c r="A139" s="3">
        <v>139.0</v>
      </c>
      <c r="B139" s="5" t="str">
        <f>'PC 02'!A139</f>
        <v/>
      </c>
      <c r="C139" s="5" t="str">
        <f>IF(COUNTA('PC 02'!A139:L139)=0,"",TEXTJOIN(" | ",TRUE,IF('PC 02'!A139="","Worker ID kosong",""),IF('PC 02'!B139="","Update Date kosong",IF(NOT(ISNUMBER('PC 02'!B139)),"Update Date harus tanggal","")),IF('PC 02'!D139="","Judul kosong",""),IF('PC 02'!F139="","Genre kosong",IF(ISERROR(MATCH(TRIM('PC 02'!F139),{"Pop","Rock","Dangdut","K-Pop","Electronic","Nasional","Daerah"},0)),"Genre di luar daftar","")),IF('PC 02'!G139="","Nama Channel kosong",""),IF('PC 02'!H139="","Link kosong",IF(ISERROR(FIND("youtu",LOWER('PC 02'!H139))),"Link bukan youtube","")),IF('PC 02'!I139="","Tgl Dibuat kosong",IF(NOT(ISNUMBER('PC 02'!I139)),"Tgl Dibuat harus tanggal","")),IF(AND('PC 02'!J139&lt;&gt;"",NOT(ISNUMBER('PC 02'!J139))),"Tgl Publish harus tanggal",""),IF(AND(ISNUMBER('PC 02'!I139),ISNUMBER('PC 02'!J139),'PC 02'!J139&lt;'PC 02'!I139),"Tgl Publish &lt; Tgl Dibuat",""),IF(AND('PC 02'!K139&lt;&gt;"",ISERROR(MATCH(TRIM('PC 02'!K139),{"Draft","Menunggu Review","Revisi","Terjadwal","Publish","Batal","Published"},0))),"Status di luar daftar","")))</f>
        <v>#ERROR!</v>
      </c>
      <c r="D139" s="5" t="str">
        <f>IF(C139="","OK","ADA MASALAH")</f>
        <v>#ERROR!</v>
      </c>
    </row>
    <row r="140">
      <c r="A140" s="3">
        <v>140.0</v>
      </c>
      <c r="B140" s="5" t="str">
        <f>'PC 02'!A140</f>
        <v/>
      </c>
      <c r="C140" s="5" t="str">
        <f>IF(COUNTA('PC 02'!A140:L140)=0,"",TEXTJOIN(" | ",TRUE,IF('PC 02'!A140="","Worker ID kosong",""),IF('PC 02'!B140="","Update Date kosong",IF(NOT(ISNUMBER('PC 02'!B140)),"Update Date harus tanggal","")),IF('PC 02'!D140="","Judul kosong",""),IF('PC 02'!F140="","Genre kosong",IF(ISERROR(MATCH(TRIM('PC 02'!F140),{"Pop","Rock","Dangdut","K-Pop","Electronic","Nasional","Daerah"},0)),"Genre di luar daftar","")),IF('PC 02'!G140="","Nama Channel kosong",""),IF('PC 02'!H140="","Link kosong",IF(ISERROR(FIND("youtu",LOWER('PC 02'!H140))),"Link bukan youtube","")),IF('PC 02'!I140="","Tgl Dibuat kosong",IF(NOT(ISNUMBER('PC 02'!I140)),"Tgl Dibuat harus tanggal","")),IF(AND('PC 02'!J140&lt;&gt;"",NOT(ISNUMBER('PC 02'!J140))),"Tgl Publish harus tanggal",""),IF(AND(ISNUMBER('PC 02'!I140),ISNUMBER('PC 02'!J140),'PC 02'!J140&lt;'PC 02'!I140),"Tgl Publish &lt; Tgl Dibuat",""),IF(AND('PC 02'!K140&lt;&gt;"",ISERROR(MATCH(TRIM('PC 02'!K140),{"Draft","Menunggu Review","Revisi","Terjadwal","Publish","Batal","Published"},0))),"Status di luar daftar","")))</f>
        <v>#ERROR!</v>
      </c>
      <c r="D140" s="5" t="str">
        <f>IF(C140="","OK","ADA MASALAH")</f>
        <v>#ERROR!</v>
      </c>
    </row>
    <row r="141">
      <c r="A141" s="3">
        <v>141.0</v>
      </c>
      <c r="B141" s="5" t="str">
        <f>'PC 02'!A141</f>
        <v/>
      </c>
      <c r="C141" s="5" t="str">
        <f>IF(COUNTA('PC 02'!A141:L141)=0,"",TEXTJOIN(" | ",TRUE,IF('PC 02'!A141="","Worker ID kosong",""),IF('PC 02'!B141="","Update Date kosong",IF(NOT(ISNUMBER('PC 02'!B141)),"Update Date harus tanggal","")),IF('PC 02'!D141="","Judul kosong",""),IF('PC 02'!F141="","Genre kosong",IF(ISERROR(MATCH(TRIM('PC 02'!F141),{"Pop","Rock","Dangdut","K-Pop","Electronic","Nasional","Daerah"},0)),"Genre di luar daftar","")),IF('PC 02'!G141="","Nama Channel kosong",""),IF('PC 02'!H141="","Link kosong",IF(ISERROR(FIND("youtu",LOWER('PC 02'!H141))),"Link bukan youtube","")),IF('PC 02'!I141="","Tgl Dibuat kosong",IF(NOT(ISNUMBER('PC 02'!I141)),"Tgl Dibuat harus tanggal","")),IF(AND('PC 02'!J141&lt;&gt;"",NOT(ISNUMBER('PC 02'!J141))),"Tgl Publish harus tanggal",""),IF(AND(ISNUMBER('PC 02'!I141),ISNUMBER('PC 02'!J141),'PC 02'!J141&lt;'PC 02'!I141),"Tgl Publish &lt; Tgl Dibuat",""),IF(AND('PC 02'!K141&lt;&gt;"",ISERROR(MATCH(TRIM('PC 02'!K141),{"Draft","Menunggu Review","Revisi","Terjadwal","Publish","Batal","Published"},0))),"Status di luar daftar","")))</f>
        <v>#ERROR!</v>
      </c>
      <c r="D141" s="5" t="str">
        <f>IF(C141="","OK","ADA MASALAH")</f>
        <v>#ERROR!</v>
      </c>
    </row>
    <row r="142">
      <c r="A142" s="3">
        <v>142.0</v>
      </c>
      <c r="B142" s="5" t="str">
        <f>'PC 02'!A142</f>
        <v/>
      </c>
      <c r="C142" s="5" t="str">
        <f>IF(COUNTA('PC 02'!A142:L142)=0,"",TEXTJOIN(" | ",TRUE,IF('PC 02'!A142="","Worker ID kosong",""),IF('PC 02'!B142="","Update Date kosong",IF(NOT(ISNUMBER('PC 02'!B142)),"Update Date harus tanggal","")),IF('PC 02'!D142="","Judul kosong",""),IF('PC 02'!F142="","Genre kosong",IF(ISERROR(MATCH(TRIM('PC 02'!F142),{"Pop","Rock","Dangdut","K-Pop","Electronic","Nasional","Daerah"},0)),"Genre di luar daftar","")),IF('PC 02'!G142="","Nama Channel kosong",""),IF('PC 02'!H142="","Link kosong",IF(ISERROR(FIND("youtu",LOWER('PC 02'!H142))),"Link bukan youtube","")),IF('PC 02'!I142="","Tgl Dibuat kosong",IF(NOT(ISNUMBER('PC 02'!I142)),"Tgl Dibuat harus tanggal","")),IF(AND('PC 02'!J142&lt;&gt;"",NOT(ISNUMBER('PC 02'!J142))),"Tgl Publish harus tanggal",""),IF(AND(ISNUMBER('PC 02'!I142),ISNUMBER('PC 02'!J142),'PC 02'!J142&lt;'PC 02'!I142),"Tgl Publish &lt; Tgl Dibuat",""),IF(AND('PC 02'!K142&lt;&gt;"",ISERROR(MATCH(TRIM('PC 02'!K142),{"Draft","Menunggu Review","Revisi","Terjadwal","Publish","Batal","Published"},0))),"Status di luar daftar","")))</f>
        <v>#ERROR!</v>
      </c>
      <c r="D142" s="5" t="str">
        <f>IF(C142="","OK","ADA MASALAH")</f>
        <v>#ERROR!</v>
      </c>
    </row>
    <row r="143">
      <c r="A143" s="3">
        <v>143.0</v>
      </c>
      <c r="B143" s="5" t="str">
        <f>'PC 02'!A143</f>
        <v/>
      </c>
      <c r="C143" s="5" t="str">
        <f>IF(COUNTA('PC 02'!A143:L143)=0,"",TEXTJOIN(" | ",TRUE,IF('PC 02'!A143="","Worker ID kosong",""),IF('PC 02'!B143="","Update Date kosong",IF(NOT(ISNUMBER('PC 02'!B143)),"Update Date harus tanggal","")),IF('PC 02'!D143="","Judul kosong",""),IF('PC 02'!F143="","Genre kosong",IF(ISERROR(MATCH(TRIM('PC 02'!F143),{"Pop","Rock","Dangdut","K-Pop","Electronic","Nasional","Daerah"},0)),"Genre di luar daftar","")),IF('PC 02'!G143="","Nama Channel kosong",""),IF('PC 02'!H143="","Link kosong",IF(ISERROR(FIND("youtu",LOWER('PC 02'!H143))),"Link bukan youtube","")),IF('PC 02'!I143="","Tgl Dibuat kosong",IF(NOT(ISNUMBER('PC 02'!I143)),"Tgl Dibuat harus tanggal","")),IF(AND('PC 02'!J143&lt;&gt;"",NOT(ISNUMBER('PC 02'!J143))),"Tgl Publish harus tanggal",""),IF(AND(ISNUMBER('PC 02'!I143),ISNUMBER('PC 02'!J143),'PC 02'!J143&lt;'PC 02'!I143),"Tgl Publish &lt; Tgl Dibuat",""),IF(AND('PC 02'!K143&lt;&gt;"",ISERROR(MATCH(TRIM('PC 02'!K143),{"Draft","Menunggu Review","Revisi","Terjadwal","Publish","Batal","Published"},0))),"Status di luar daftar","")))</f>
        <v>#ERROR!</v>
      </c>
      <c r="D143" s="5" t="str">
        <f>IF(C143="","OK","ADA MASALAH")</f>
        <v>#ERROR!</v>
      </c>
    </row>
    <row r="144">
      <c r="A144" s="3">
        <v>144.0</v>
      </c>
      <c r="B144" s="5" t="str">
        <f>'PC 02'!A144</f>
        <v/>
      </c>
      <c r="C144" s="5" t="str">
        <f>IF(COUNTA('PC 02'!A144:L144)=0,"",TEXTJOIN(" | ",TRUE,IF('PC 02'!A144="","Worker ID kosong",""),IF('PC 02'!B144="","Update Date kosong",IF(NOT(ISNUMBER('PC 02'!B144)),"Update Date harus tanggal","")),IF('PC 02'!D144="","Judul kosong",""),IF('PC 02'!F144="","Genre kosong",IF(ISERROR(MATCH(TRIM('PC 02'!F144),{"Pop","Rock","Dangdut","K-Pop","Electronic","Nasional","Daerah"},0)),"Genre di luar daftar","")),IF('PC 02'!G144="","Nama Channel kosong",""),IF('PC 02'!H144="","Link kosong",IF(ISERROR(FIND("youtu",LOWER('PC 02'!H144))),"Link bukan youtube","")),IF('PC 02'!I144="","Tgl Dibuat kosong",IF(NOT(ISNUMBER('PC 02'!I144)),"Tgl Dibuat harus tanggal","")),IF(AND('PC 02'!J144&lt;&gt;"",NOT(ISNUMBER('PC 02'!J144))),"Tgl Publish harus tanggal",""),IF(AND(ISNUMBER('PC 02'!I144),ISNUMBER('PC 02'!J144),'PC 02'!J144&lt;'PC 02'!I144),"Tgl Publish &lt; Tgl Dibuat",""),IF(AND('PC 02'!K144&lt;&gt;"",ISERROR(MATCH(TRIM('PC 02'!K144),{"Draft","Menunggu Review","Revisi","Terjadwal","Publish","Batal","Published"},0))),"Status di luar daftar","")))</f>
        <v>#ERROR!</v>
      </c>
      <c r="D144" s="5" t="str">
        <f>IF(C144="","OK","ADA MASALAH")</f>
        <v>#ERROR!</v>
      </c>
    </row>
    <row r="145">
      <c r="A145" s="3">
        <v>145.0</v>
      </c>
      <c r="B145" s="5" t="str">
        <f>'PC 02'!A145</f>
        <v/>
      </c>
      <c r="C145" s="5" t="str">
        <f>IF(COUNTA('PC 02'!A145:L145)=0,"",TEXTJOIN(" | ",TRUE,IF('PC 02'!A145="","Worker ID kosong",""),IF('PC 02'!B145="","Update Date kosong",IF(NOT(ISNUMBER('PC 02'!B145)),"Update Date harus tanggal","")),IF('PC 02'!D145="","Judul kosong",""),IF('PC 02'!F145="","Genre kosong",IF(ISERROR(MATCH(TRIM('PC 02'!F145),{"Pop","Rock","Dangdut","K-Pop","Electronic","Nasional","Daerah"},0)),"Genre di luar daftar","")),IF('PC 02'!G145="","Nama Channel kosong",""),IF('PC 02'!H145="","Link kosong",IF(ISERROR(FIND("youtu",LOWER('PC 02'!H145))),"Link bukan youtube","")),IF('PC 02'!I145="","Tgl Dibuat kosong",IF(NOT(ISNUMBER('PC 02'!I145)),"Tgl Dibuat harus tanggal","")),IF(AND('PC 02'!J145&lt;&gt;"",NOT(ISNUMBER('PC 02'!J145))),"Tgl Publish harus tanggal",""),IF(AND(ISNUMBER('PC 02'!I145),ISNUMBER('PC 02'!J145),'PC 02'!J145&lt;'PC 02'!I145),"Tgl Publish &lt; Tgl Dibuat",""),IF(AND('PC 02'!K145&lt;&gt;"",ISERROR(MATCH(TRIM('PC 02'!K145),{"Draft","Menunggu Review","Revisi","Terjadwal","Publish","Batal","Published"},0))),"Status di luar daftar","")))</f>
        <v>#ERROR!</v>
      </c>
      <c r="D145" s="5" t="str">
        <f>IF(C145="","OK","ADA MASALAH")</f>
        <v>#ERROR!</v>
      </c>
    </row>
    <row r="146">
      <c r="A146" s="3">
        <v>146.0</v>
      </c>
      <c r="B146" s="5" t="str">
        <f>'PC 02'!A146</f>
        <v/>
      </c>
      <c r="C146" s="5" t="str">
        <f>IF(COUNTA('PC 02'!A146:L146)=0,"",TEXTJOIN(" | ",TRUE,IF('PC 02'!A146="","Worker ID kosong",""),IF('PC 02'!B146="","Update Date kosong",IF(NOT(ISNUMBER('PC 02'!B146)),"Update Date harus tanggal","")),IF('PC 02'!D146="","Judul kosong",""),IF('PC 02'!F146="","Genre kosong",IF(ISERROR(MATCH(TRIM('PC 02'!F146),{"Pop","Rock","Dangdut","K-Pop","Electronic","Nasional","Daerah"},0)),"Genre di luar daftar","")),IF('PC 02'!G146="","Nama Channel kosong",""),IF('PC 02'!H146="","Link kosong",IF(ISERROR(FIND("youtu",LOWER('PC 02'!H146))),"Link bukan youtube","")),IF('PC 02'!I146="","Tgl Dibuat kosong",IF(NOT(ISNUMBER('PC 02'!I146)),"Tgl Dibuat harus tanggal","")),IF(AND('PC 02'!J146&lt;&gt;"",NOT(ISNUMBER('PC 02'!J146))),"Tgl Publish harus tanggal",""),IF(AND(ISNUMBER('PC 02'!I146),ISNUMBER('PC 02'!J146),'PC 02'!J146&lt;'PC 02'!I146),"Tgl Publish &lt; Tgl Dibuat",""),IF(AND('PC 02'!K146&lt;&gt;"",ISERROR(MATCH(TRIM('PC 02'!K146),{"Draft","Menunggu Review","Revisi","Terjadwal","Publish","Batal","Published"},0))),"Status di luar daftar","")))</f>
        <v>#ERROR!</v>
      </c>
      <c r="D146" s="5" t="str">
        <f>IF(C146="","OK","ADA MASALAH")</f>
        <v>#ERROR!</v>
      </c>
    </row>
    <row r="147">
      <c r="A147" s="3">
        <v>147.0</v>
      </c>
      <c r="B147" s="5" t="str">
        <f>'PC 02'!A147</f>
        <v/>
      </c>
      <c r="C147" s="5" t="str">
        <f>IF(COUNTA('PC 02'!A147:L147)=0,"",TEXTJOIN(" | ",TRUE,IF('PC 02'!A147="","Worker ID kosong",""),IF('PC 02'!B147="","Update Date kosong",IF(NOT(ISNUMBER('PC 02'!B147)),"Update Date harus tanggal","")),IF('PC 02'!D147="","Judul kosong",""),IF('PC 02'!F147="","Genre kosong",IF(ISERROR(MATCH(TRIM('PC 02'!F147),{"Pop","Rock","Dangdut","K-Pop","Electronic","Nasional","Daerah"},0)),"Genre di luar daftar","")),IF('PC 02'!G147="","Nama Channel kosong",""),IF('PC 02'!H147="","Link kosong",IF(ISERROR(FIND("youtu",LOWER('PC 02'!H147))),"Link bukan youtube","")),IF('PC 02'!I147="","Tgl Dibuat kosong",IF(NOT(ISNUMBER('PC 02'!I147)),"Tgl Dibuat harus tanggal","")),IF(AND('PC 02'!J147&lt;&gt;"",NOT(ISNUMBER('PC 02'!J147))),"Tgl Publish harus tanggal",""),IF(AND(ISNUMBER('PC 02'!I147),ISNUMBER('PC 02'!J147),'PC 02'!J147&lt;'PC 02'!I147),"Tgl Publish &lt; Tgl Dibuat",""),IF(AND('PC 02'!K147&lt;&gt;"",ISERROR(MATCH(TRIM('PC 02'!K147),{"Draft","Menunggu Review","Revisi","Terjadwal","Publish","Batal","Published"},0))),"Status di luar daftar","")))</f>
        <v>#ERROR!</v>
      </c>
      <c r="D147" s="5" t="str">
        <f>IF(C147="","OK","ADA MASALAH")</f>
        <v>#ERROR!</v>
      </c>
    </row>
    <row r="148">
      <c r="A148" s="3">
        <v>148.0</v>
      </c>
      <c r="B148" s="5" t="str">
        <f>'PC 02'!A148</f>
        <v/>
      </c>
      <c r="C148" s="5" t="str">
        <f>IF(COUNTA('PC 02'!A148:L148)=0,"",TEXTJOIN(" | ",TRUE,IF('PC 02'!A148="","Worker ID kosong",""),IF('PC 02'!B148="","Update Date kosong",IF(NOT(ISNUMBER('PC 02'!B148)),"Update Date harus tanggal","")),IF('PC 02'!D148="","Judul kosong",""),IF('PC 02'!F148="","Genre kosong",IF(ISERROR(MATCH(TRIM('PC 02'!F148),{"Pop","Rock","Dangdut","K-Pop","Electronic","Nasional","Daerah"},0)),"Genre di luar daftar","")),IF('PC 02'!G148="","Nama Channel kosong",""),IF('PC 02'!H148="","Link kosong",IF(ISERROR(FIND("youtu",LOWER('PC 02'!H148))),"Link bukan youtube","")),IF('PC 02'!I148="","Tgl Dibuat kosong",IF(NOT(ISNUMBER('PC 02'!I148)),"Tgl Dibuat harus tanggal","")),IF(AND('PC 02'!J148&lt;&gt;"",NOT(ISNUMBER('PC 02'!J148))),"Tgl Publish harus tanggal",""),IF(AND(ISNUMBER('PC 02'!I148),ISNUMBER('PC 02'!J148),'PC 02'!J148&lt;'PC 02'!I148),"Tgl Publish &lt; Tgl Dibuat",""),IF(AND('PC 02'!K148&lt;&gt;"",ISERROR(MATCH(TRIM('PC 02'!K148),{"Draft","Menunggu Review","Revisi","Terjadwal","Publish","Batal","Published"},0))),"Status di luar daftar","")))</f>
        <v>#ERROR!</v>
      </c>
      <c r="D148" s="5" t="str">
        <f>IF(C148="","OK","ADA MASALAH")</f>
        <v>#ERROR!</v>
      </c>
    </row>
    <row r="149">
      <c r="A149" s="3">
        <v>149.0</v>
      </c>
      <c r="B149" s="5" t="str">
        <f>'PC 02'!A149</f>
        <v/>
      </c>
      <c r="C149" s="5" t="str">
        <f>IF(COUNTA('PC 02'!A149:L149)=0,"",TEXTJOIN(" | ",TRUE,IF('PC 02'!A149="","Worker ID kosong",""),IF('PC 02'!B149="","Update Date kosong",IF(NOT(ISNUMBER('PC 02'!B149)),"Update Date harus tanggal","")),IF('PC 02'!D149="","Judul kosong",""),IF('PC 02'!F149="","Genre kosong",IF(ISERROR(MATCH(TRIM('PC 02'!F149),{"Pop","Rock","Dangdut","K-Pop","Electronic","Nasional","Daerah"},0)),"Genre di luar daftar","")),IF('PC 02'!G149="","Nama Channel kosong",""),IF('PC 02'!H149="","Link kosong",IF(ISERROR(FIND("youtu",LOWER('PC 02'!H149))),"Link bukan youtube","")),IF('PC 02'!I149="","Tgl Dibuat kosong",IF(NOT(ISNUMBER('PC 02'!I149)),"Tgl Dibuat harus tanggal","")),IF(AND('PC 02'!J149&lt;&gt;"",NOT(ISNUMBER('PC 02'!J149))),"Tgl Publish harus tanggal",""),IF(AND(ISNUMBER('PC 02'!I149),ISNUMBER('PC 02'!J149),'PC 02'!J149&lt;'PC 02'!I149),"Tgl Publish &lt; Tgl Dibuat",""),IF(AND('PC 02'!K149&lt;&gt;"",ISERROR(MATCH(TRIM('PC 02'!K149),{"Draft","Menunggu Review","Revisi","Terjadwal","Publish","Batal","Published"},0))),"Status di luar daftar","")))</f>
        <v>#ERROR!</v>
      </c>
      <c r="D149" s="5" t="str">
        <f>IF(C149="","OK","ADA MASALAH")</f>
        <v>#ERROR!</v>
      </c>
    </row>
    <row r="150">
      <c r="A150" s="3">
        <v>150.0</v>
      </c>
      <c r="B150" s="5" t="str">
        <f>'PC 02'!A150</f>
        <v/>
      </c>
      <c r="C150" s="5" t="str">
        <f>IF(COUNTA('PC 02'!A150:L150)=0,"",TEXTJOIN(" | ",TRUE,IF('PC 02'!A150="","Worker ID kosong",""),IF('PC 02'!B150="","Update Date kosong",IF(NOT(ISNUMBER('PC 02'!B150)),"Update Date harus tanggal","")),IF('PC 02'!D150="","Judul kosong",""),IF('PC 02'!F150="","Genre kosong",IF(ISERROR(MATCH(TRIM('PC 02'!F150),{"Pop","Rock","Dangdut","K-Pop","Electronic","Nasional","Daerah"},0)),"Genre di luar daftar","")),IF('PC 02'!G150="","Nama Channel kosong",""),IF('PC 02'!H150="","Link kosong",IF(ISERROR(FIND("youtu",LOWER('PC 02'!H150))),"Link bukan youtube","")),IF('PC 02'!I150="","Tgl Dibuat kosong",IF(NOT(ISNUMBER('PC 02'!I150)),"Tgl Dibuat harus tanggal","")),IF(AND('PC 02'!J150&lt;&gt;"",NOT(ISNUMBER('PC 02'!J150))),"Tgl Publish harus tanggal",""),IF(AND(ISNUMBER('PC 02'!I150),ISNUMBER('PC 02'!J150),'PC 02'!J150&lt;'PC 02'!I150),"Tgl Publish &lt; Tgl Dibuat",""),IF(AND('PC 02'!K150&lt;&gt;"",ISERROR(MATCH(TRIM('PC 02'!K150),{"Draft","Menunggu Review","Revisi","Terjadwal","Publish","Batal","Published"},0))),"Status di luar daftar","")))</f>
        <v>#ERROR!</v>
      </c>
      <c r="D150" s="5" t="str">
        <f>IF(C150="","OK","ADA MASALAH")</f>
        <v>#ERROR!</v>
      </c>
    </row>
    <row r="151">
      <c r="A151" s="3">
        <v>151.0</v>
      </c>
      <c r="B151" s="5" t="str">
        <f>'PC 02'!A151</f>
        <v/>
      </c>
      <c r="C151" s="5" t="str">
        <f>IF(COUNTA('PC 02'!A151:L151)=0,"",TEXTJOIN(" | ",TRUE,IF('PC 02'!A151="","Worker ID kosong",""),IF('PC 02'!B151="","Update Date kosong",IF(NOT(ISNUMBER('PC 02'!B151)),"Update Date harus tanggal","")),IF('PC 02'!D151="","Judul kosong",""),IF('PC 02'!F151="","Genre kosong",IF(ISERROR(MATCH(TRIM('PC 02'!F151),{"Pop","Rock","Dangdut","K-Pop","Electronic","Nasional","Daerah"},0)),"Genre di luar daftar","")),IF('PC 02'!G151="","Nama Channel kosong",""),IF('PC 02'!H151="","Link kosong",IF(ISERROR(FIND("youtu",LOWER('PC 02'!H151))),"Link bukan youtube","")),IF('PC 02'!I151="","Tgl Dibuat kosong",IF(NOT(ISNUMBER('PC 02'!I151)),"Tgl Dibuat harus tanggal","")),IF(AND('PC 02'!J151&lt;&gt;"",NOT(ISNUMBER('PC 02'!J151))),"Tgl Publish harus tanggal",""),IF(AND(ISNUMBER('PC 02'!I151),ISNUMBER('PC 02'!J151),'PC 02'!J151&lt;'PC 02'!I151),"Tgl Publish &lt; Tgl Dibuat",""),IF(AND('PC 02'!K151&lt;&gt;"",ISERROR(MATCH(TRIM('PC 02'!K151),{"Draft","Menunggu Review","Revisi","Terjadwal","Publish","Batal","Published"},0))),"Status di luar daftar","")))</f>
        <v>#ERROR!</v>
      </c>
      <c r="D151" s="5" t="str">
        <f>IF(C151="","OK","ADA MASALAH")</f>
        <v>#ERROR!</v>
      </c>
    </row>
    <row r="152">
      <c r="A152" s="3">
        <v>152.0</v>
      </c>
      <c r="B152" s="5" t="str">
        <f>'PC 02'!A152</f>
        <v/>
      </c>
      <c r="C152" s="5" t="str">
        <f>IF(COUNTA('PC 02'!A152:L152)=0,"",TEXTJOIN(" | ",TRUE,IF('PC 02'!A152="","Worker ID kosong",""),IF('PC 02'!B152="","Update Date kosong",IF(NOT(ISNUMBER('PC 02'!B152)),"Update Date harus tanggal","")),IF('PC 02'!D152="","Judul kosong",""),IF('PC 02'!F152="","Genre kosong",IF(ISERROR(MATCH(TRIM('PC 02'!F152),{"Pop","Rock","Dangdut","K-Pop","Electronic","Nasional","Daerah"},0)),"Genre di luar daftar","")),IF('PC 02'!G152="","Nama Channel kosong",""),IF('PC 02'!H152="","Link kosong",IF(ISERROR(FIND("youtu",LOWER('PC 02'!H152))),"Link bukan youtube","")),IF('PC 02'!I152="","Tgl Dibuat kosong",IF(NOT(ISNUMBER('PC 02'!I152)),"Tgl Dibuat harus tanggal","")),IF(AND('PC 02'!J152&lt;&gt;"",NOT(ISNUMBER('PC 02'!J152))),"Tgl Publish harus tanggal",""),IF(AND(ISNUMBER('PC 02'!I152),ISNUMBER('PC 02'!J152),'PC 02'!J152&lt;'PC 02'!I152),"Tgl Publish &lt; Tgl Dibuat",""),IF(AND('PC 02'!K152&lt;&gt;"",ISERROR(MATCH(TRIM('PC 02'!K152),{"Draft","Menunggu Review","Revisi","Terjadwal","Publish","Batal","Published"},0))),"Status di luar daftar","")))</f>
        <v>#ERROR!</v>
      </c>
      <c r="D152" s="5" t="str">
        <f>IF(C152="","OK","ADA MASALAH")</f>
        <v>#ERROR!</v>
      </c>
    </row>
    <row r="153">
      <c r="A153" s="3">
        <v>153.0</v>
      </c>
      <c r="B153" s="5" t="str">
        <f>'PC 02'!A153</f>
        <v/>
      </c>
      <c r="C153" s="5" t="str">
        <f>IF(COUNTA('PC 02'!A153:L153)=0,"",TEXTJOIN(" | ",TRUE,IF('PC 02'!A153="","Worker ID kosong",""),IF('PC 02'!B153="","Update Date kosong",IF(NOT(ISNUMBER('PC 02'!B153)),"Update Date harus tanggal","")),IF('PC 02'!D153="","Judul kosong",""),IF('PC 02'!F153="","Genre kosong",IF(ISERROR(MATCH(TRIM('PC 02'!F153),{"Pop","Rock","Dangdut","K-Pop","Electronic","Nasional","Daerah"},0)),"Genre di luar daftar","")),IF('PC 02'!G153="","Nama Channel kosong",""),IF('PC 02'!H153="","Link kosong",IF(ISERROR(FIND("youtu",LOWER('PC 02'!H153))),"Link bukan youtube","")),IF('PC 02'!I153="","Tgl Dibuat kosong",IF(NOT(ISNUMBER('PC 02'!I153)),"Tgl Dibuat harus tanggal","")),IF(AND('PC 02'!J153&lt;&gt;"",NOT(ISNUMBER('PC 02'!J153))),"Tgl Publish harus tanggal",""),IF(AND(ISNUMBER('PC 02'!I153),ISNUMBER('PC 02'!J153),'PC 02'!J153&lt;'PC 02'!I153),"Tgl Publish &lt; Tgl Dibuat",""),IF(AND('PC 02'!K153&lt;&gt;"",ISERROR(MATCH(TRIM('PC 02'!K153),{"Draft","Menunggu Review","Revisi","Terjadwal","Publish","Batal","Published"},0))),"Status di luar daftar","")))</f>
        <v>#ERROR!</v>
      </c>
      <c r="D153" s="5" t="str">
        <f>IF(C153="","OK","ADA MASALAH")</f>
        <v>#ERROR!</v>
      </c>
    </row>
    <row r="154">
      <c r="A154" s="3">
        <v>154.0</v>
      </c>
      <c r="B154" s="5" t="str">
        <f>'PC 02'!A154</f>
        <v/>
      </c>
      <c r="C154" s="5" t="str">
        <f>IF(COUNTA('PC 02'!A154:L154)=0,"",TEXTJOIN(" | ",TRUE,IF('PC 02'!A154="","Worker ID kosong",""),IF('PC 02'!B154="","Update Date kosong",IF(NOT(ISNUMBER('PC 02'!B154)),"Update Date harus tanggal","")),IF('PC 02'!D154="","Judul kosong",""),IF('PC 02'!F154="","Genre kosong",IF(ISERROR(MATCH(TRIM('PC 02'!F154),{"Pop","Rock","Dangdut","K-Pop","Electronic","Nasional","Daerah"},0)),"Genre di luar daftar","")),IF('PC 02'!G154="","Nama Channel kosong",""),IF('PC 02'!H154="","Link kosong",IF(ISERROR(FIND("youtu",LOWER('PC 02'!H154))),"Link bukan youtube","")),IF('PC 02'!I154="","Tgl Dibuat kosong",IF(NOT(ISNUMBER('PC 02'!I154)),"Tgl Dibuat harus tanggal","")),IF(AND('PC 02'!J154&lt;&gt;"",NOT(ISNUMBER('PC 02'!J154))),"Tgl Publish harus tanggal",""),IF(AND(ISNUMBER('PC 02'!I154),ISNUMBER('PC 02'!J154),'PC 02'!J154&lt;'PC 02'!I154),"Tgl Publish &lt; Tgl Dibuat",""),IF(AND('PC 02'!K154&lt;&gt;"",ISERROR(MATCH(TRIM('PC 02'!K154),{"Draft","Menunggu Review","Revisi","Terjadwal","Publish","Batal","Published"},0))),"Status di luar daftar","")))</f>
        <v>#ERROR!</v>
      </c>
      <c r="D154" s="5" t="str">
        <f>IF(C154="","OK","ADA MASALAH")</f>
        <v>#ERROR!</v>
      </c>
    </row>
    <row r="155">
      <c r="A155" s="3">
        <v>155.0</v>
      </c>
      <c r="B155" s="5" t="str">
        <f>'PC 02'!A155</f>
        <v/>
      </c>
      <c r="C155" s="5" t="str">
        <f>IF(COUNTA('PC 02'!A155:L155)=0,"",TEXTJOIN(" | ",TRUE,IF('PC 02'!A155="","Worker ID kosong",""),IF('PC 02'!B155="","Update Date kosong",IF(NOT(ISNUMBER('PC 02'!B155)),"Update Date harus tanggal","")),IF('PC 02'!D155="","Judul kosong",""),IF('PC 02'!F155="","Genre kosong",IF(ISERROR(MATCH(TRIM('PC 02'!F155),{"Pop","Rock","Dangdut","K-Pop","Electronic","Nasional","Daerah"},0)),"Genre di luar daftar","")),IF('PC 02'!G155="","Nama Channel kosong",""),IF('PC 02'!H155="","Link kosong",IF(ISERROR(FIND("youtu",LOWER('PC 02'!H155))),"Link bukan youtube","")),IF('PC 02'!I155="","Tgl Dibuat kosong",IF(NOT(ISNUMBER('PC 02'!I155)),"Tgl Dibuat harus tanggal","")),IF(AND('PC 02'!J155&lt;&gt;"",NOT(ISNUMBER('PC 02'!J155))),"Tgl Publish harus tanggal",""),IF(AND(ISNUMBER('PC 02'!I155),ISNUMBER('PC 02'!J155),'PC 02'!J155&lt;'PC 02'!I155),"Tgl Publish &lt; Tgl Dibuat",""),IF(AND('PC 02'!K155&lt;&gt;"",ISERROR(MATCH(TRIM('PC 02'!K155),{"Draft","Menunggu Review","Revisi","Terjadwal","Publish","Batal","Published"},0))),"Status di luar daftar","")))</f>
        <v>#ERROR!</v>
      </c>
      <c r="D155" s="5" t="str">
        <f>IF(C155="","OK","ADA MASALAH")</f>
        <v>#ERROR!</v>
      </c>
    </row>
    <row r="156">
      <c r="A156" s="3">
        <v>156.0</v>
      </c>
      <c r="B156" s="5" t="str">
        <f>'PC 02'!A156</f>
        <v/>
      </c>
      <c r="C156" s="5" t="str">
        <f>IF(COUNTA('PC 02'!A156:L156)=0,"",TEXTJOIN(" | ",TRUE,IF('PC 02'!A156="","Worker ID kosong",""),IF('PC 02'!B156="","Update Date kosong",IF(NOT(ISNUMBER('PC 02'!B156)),"Update Date harus tanggal","")),IF('PC 02'!D156="","Judul kosong",""),IF('PC 02'!F156="","Genre kosong",IF(ISERROR(MATCH(TRIM('PC 02'!F156),{"Pop","Rock","Dangdut","K-Pop","Electronic","Nasional","Daerah"},0)),"Genre di luar daftar","")),IF('PC 02'!G156="","Nama Channel kosong",""),IF('PC 02'!H156="","Link kosong",IF(ISERROR(FIND("youtu",LOWER('PC 02'!H156))),"Link bukan youtube","")),IF('PC 02'!I156="","Tgl Dibuat kosong",IF(NOT(ISNUMBER('PC 02'!I156)),"Tgl Dibuat harus tanggal","")),IF(AND('PC 02'!J156&lt;&gt;"",NOT(ISNUMBER('PC 02'!J156))),"Tgl Publish harus tanggal",""),IF(AND(ISNUMBER('PC 02'!I156),ISNUMBER('PC 02'!J156),'PC 02'!J156&lt;'PC 02'!I156),"Tgl Publish &lt; Tgl Dibuat",""),IF(AND('PC 02'!K156&lt;&gt;"",ISERROR(MATCH(TRIM('PC 02'!K156),{"Draft","Menunggu Review","Revisi","Terjadwal","Publish","Batal","Published"},0))),"Status di luar daftar","")))</f>
        <v>#ERROR!</v>
      </c>
      <c r="D156" s="5" t="str">
        <f>IF(C156="","OK","ADA MASALAH")</f>
        <v>#ERROR!</v>
      </c>
    </row>
    <row r="157">
      <c r="A157" s="3">
        <v>157.0</v>
      </c>
      <c r="B157" s="5" t="str">
        <f>'PC 02'!A157</f>
        <v/>
      </c>
      <c r="C157" s="5" t="str">
        <f>IF(COUNTA('PC 02'!A157:L157)=0,"",TEXTJOIN(" | ",TRUE,IF('PC 02'!A157="","Worker ID kosong",""),IF('PC 02'!B157="","Update Date kosong",IF(NOT(ISNUMBER('PC 02'!B157)),"Update Date harus tanggal","")),IF('PC 02'!D157="","Judul kosong",""),IF('PC 02'!F157="","Genre kosong",IF(ISERROR(MATCH(TRIM('PC 02'!F157),{"Pop","Rock","Dangdut","K-Pop","Electronic","Nasional","Daerah"},0)),"Genre di luar daftar","")),IF('PC 02'!G157="","Nama Channel kosong",""),IF('PC 02'!H157="","Link kosong",IF(ISERROR(FIND("youtu",LOWER('PC 02'!H157))),"Link bukan youtube","")),IF('PC 02'!I157="","Tgl Dibuat kosong",IF(NOT(ISNUMBER('PC 02'!I157)),"Tgl Dibuat harus tanggal","")),IF(AND('PC 02'!J157&lt;&gt;"",NOT(ISNUMBER('PC 02'!J157))),"Tgl Publish harus tanggal",""),IF(AND(ISNUMBER('PC 02'!I157),ISNUMBER('PC 02'!J157),'PC 02'!J157&lt;'PC 02'!I157),"Tgl Publish &lt; Tgl Dibuat",""),IF(AND('PC 02'!K157&lt;&gt;"",ISERROR(MATCH(TRIM('PC 02'!K157),{"Draft","Menunggu Review","Revisi","Terjadwal","Publish","Batal","Published"},0))),"Status di luar daftar","")))</f>
        <v>#ERROR!</v>
      </c>
      <c r="D157" s="5" t="str">
        <f>IF(C157="","OK","ADA MASALAH")</f>
        <v>#ERROR!</v>
      </c>
    </row>
    <row r="158">
      <c r="A158" s="3">
        <v>158.0</v>
      </c>
      <c r="B158" s="5" t="str">
        <f>'PC 02'!A158</f>
        <v/>
      </c>
      <c r="C158" s="5" t="str">
        <f>IF(COUNTA('PC 02'!A158:L158)=0,"",TEXTJOIN(" | ",TRUE,IF('PC 02'!A158="","Worker ID kosong",""),IF('PC 02'!B158="","Update Date kosong",IF(NOT(ISNUMBER('PC 02'!B158)),"Update Date harus tanggal","")),IF('PC 02'!D158="","Judul kosong",""),IF('PC 02'!F158="","Genre kosong",IF(ISERROR(MATCH(TRIM('PC 02'!F158),{"Pop","Rock","Dangdut","K-Pop","Electronic","Nasional","Daerah"},0)),"Genre di luar daftar","")),IF('PC 02'!G158="","Nama Channel kosong",""),IF('PC 02'!H158="","Link kosong",IF(ISERROR(FIND("youtu",LOWER('PC 02'!H158))),"Link bukan youtube","")),IF('PC 02'!I158="","Tgl Dibuat kosong",IF(NOT(ISNUMBER('PC 02'!I158)),"Tgl Dibuat harus tanggal","")),IF(AND('PC 02'!J158&lt;&gt;"",NOT(ISNUMBER('PC 02'!J158))),"Tgl Publish harus tanggal",""),IF(AND(ISNUMBER('PC 02'!I158),ISNUMBER('PC 02'!J158),'PC 02'!J158&lt;'PC 02'!I158),"Tgl Publish &lt; Tgl Dibuat",""),IF(AND('PC 02'!K158&lt;&gt;"",ISERROR(MATCH(TRIM('PC 02'!K158),{"Draft","Menunggu Review","Revisi","Terjadwal","Publish","Batal","Published"},0))),"Status di luar daftar","")))</f>
        <v>#ERROR!</v>
      </c>
      <c r="D158" s="5" t="str">
        <f>IF(C158="","OK","ADA MASALAH")</f>
        <v>#ERROR!</v>
      </c>
    </row>
    <row r="159">
      <c r="A159" s="3">
        <v>159.0</v>
      </c>
      <c r="B159" s="5" t="str">
        <f>'PC 02'!A159</f>
        <v/>
      </c>
      <c r="C159" s="5" t="str">
        <f>IF(COUNTA('PC 02'!A159:L159)=0,"",TEXTJOIN(" | ",TRUE,IF('PC 02'!A159="","Worker ID kosong",""),IF('PC 02'!B159="","Update Date kosong",IF(NOT(ISNUMBER('PC 02'!B159)),"Update Date harus tanggal","")),IF('PC 02'!D159="","Judul kosong",""),IF('PC 02'!F159="","Genre kosong",IF(ISERROR(MATCH(TRIM('PC 02'!F159),{"Pop","Rock","Dangdut","K-Pop","Electronic","Nasional","Daerah"},0)),"Genre di luar daftar","")),IF('PC 02'!G159="","Nama Channel kosong",""),IF('PC 02'!H159="","Link kosong",IF(ISERROR(FIND("youtu",LOWER('PC 02'!H159))),"Link bukan youtube","")),IF('PC 02'!I159="","Tgl Dibuat kosong",IF(NOT(ISNUMBER('PC 02'!I159)),"Tgl Dibuat harus tanggal","")),IF(AND('PC 02'!J159&lt;&gt;"",NOT(ISNUMBER('PC 02'!J159))),"Tgl Publish harus tanggal",""),IF(AND(ISNUMBER('PC 02'!I159),ISNUMBER('PC 02'!J159),'PC 02'!J159&lt;'PC 02'!I159),"Tgl Publish &lt; Tgl Dibuat",""),IF(AND('PC 02'!K159&lt;&gt;"",ISERROR(MATCH(TRIM('PC 02'!K159),{"Draft","Menunggu Review","Revisi","Terjadwal","Publish","Batal","Published"},0))),"Status di luar daftar","")))</f>
        <v>#ERROR!</v>
      </c>
      <c r="D159" s="5" t="str">
        <f>IF(C159="","OK","ADA MASALAH")</f>
        <v>#ERROR!</v>
      </c>
    </row>
    <row r="160">
      <c r="A160" s="3">
        <v>160.0</v>
      </c>
      <c r="B160" s="5" t="str">
        <f>'PC 02'!A160</f>
        <v/>
      </c>
      <c r="C160" s="5" t="str">
        <f>IF(COUNTA('PC 02'!A160:L160)=0,"",TEXTJOIN(" | ",TRUE,IF('PC 02'!A160="","Worker ID kosong",""),IF('PC 02'!B160="","Update Date kosong",IF(NOT(ISNUMBER('PC 02'!B160)),"Update Date harus tanggal","")),IF('PC 02'!D160="","Judul kosong",""),IF('PC 02'!F160="","Genre kosong",IF(ISERROR(MATCH(TRIM('PC 02'!F160),{"Pop","Rock","Dangdut","K-Pop","Electronic","Nasional","Daerah"},0)),"Genre di luar daftar","")),IF('PC 02'!G160="","Nama Channel kosong",""),IF('PC 02'!H160="","Link kosong",IF(ISERROR(FIND("youtu",LOWER('PC 02'!H160))),"Link bukan youtube","")),IF('PC 02'!I160="","Tgl Dibuat kosong",IF(NOT(ISNUMBER('PC 02'!I160)),"Tgl Dibuat harus tanggal","")),IF(AND('PC 02'!J160&lt;&gt;"",NOT(ISNUMBER('PC 02'!J160))),"Tgl Publish harus tanggal",""),IF(AND(ISNUMBER('PC 02'!I160),ISNUMBER('PC 02'!J160),'PC 02'!J160&lt;'PC 02'!I160),"Tgl Publish &lt; Tgl Dibuat",""),IF(AND('PC 02'!K160&lt;&gt;"",ISERROR(MATCH(TRIM('PC 02'!K160),{"Draft","Menunggu Review","Revisi","Terjadwal","Publish","Batal","Published"},0))),"Status di luar daftar","")))</f>
        <v>#ERROR!</v>
      </c>
      <c r="D160" s="5" t="str">
        <f>IF(C160="","OK","ADA MASALAH")</f>
        <v>#ERROR!</v>
      </c>
    </row>
    <row r="161">
      <c r="A161" s="3">
        <v>161.0</v>
      </c>
      <c r="B161" s="5" t="str">
        <f>'PC 02'!A161</f>
        <v/>
      </c>
      <c r="C161" s="5" t="str">
        <f>IF(COUNTA('PC 02'!A161:L161)=0,"",TEXTJOIN(" | ",TRUE,IF('PC 02'!A161="","Worker ID kosong",""),IF('PC 02'!B161="","Update Date kosong",IF(NOT(ISNUMBER('PC 02'!B161)),"Update Date harus tanggal","")),IF('PC 02'!D161="","Judul kosong",""),IF('PC 02'!F161="","Genre kosong",IF(ISERROR(MATCH(TRIM('PC 02'!F161),{"Pop","Rock","Dangdut","K-Pop","Electronic","Nasional","Daerah"},0)),"Genre di luar daftar","")),IF('PC 02'!G161="","Nama Channel kosong",""),IF('PC 02'!H161="","Link kosong",IF(ISERROR(FIND("youtu",LOWER('PC 02'!H161))),"Link bukan youtube","")),IF('PC 02'!I161="","Tgl Dibuat kosong",IF(NOT(ISNUMBER('PC 02'!I161)),"Tgl Dibuat harus tanggal","")),IF(AND('PC 02'!J161&lt;&gt;"",NOT(ISNUMBER('PC 02'!J161))),"Tgl Publish harus tanggal",""),IF(AND(ISNUMBER('PC 02'!I161),ISNUMBER('PC 02'!J161),'PC 02'!J161&lt;'PC 02'!I161),"Tgl Publish &lt; Tgl Dibuat",""),IF(AND('PC 02'!K161&lt;&gt;"",ISERROR(MATCH(TRIM('PC 02'!K161),{"Draft","Menunggu Review","Revisi","Terjadwal","Publish","Batal","Published"},0))),"Status di luar daftar","")))</f>
        <v>#ERROR!</v>
      </c>
      <c r="D161" s="5" t="str">
        <f>IF(C161="","OK","ADA MASALAH")</f>
        <v>#ERROR!</v>
      </c>
    </row>
    <row r="162">
      <c r="A162" s="3">
        <v>162.0</v>
      </c>
      <c r="B162" s="5" t="str">
        <f>'PC 02'!A162</f>
        <v/>
      </c>
      <c r="C162" s="5" t="str">
        <f>IF(COUNTA('PC 02'!A162:L162)=0,"",TEXTJOIN(" | ",TRUE,IF('PC 02'!A162="","Worker ID kosong",""),IF('PC 02'!B162="","Update Date kosong",IF(NOT(ISNUMBER('PC 02'!B162)),"Update Date harus tanggal","")),IF('PC 02'!D162="","Judul kosong",""),IF('PC 02'!F162="","Genre kosong",IF(ISERROR(MATCH(TRIM('PC 02'!F162),{"Pop","Rock","Dangdut","K-Pop","Electronic","Nasional","Daerah"},0)),"Genre di luar daftar","")),IF('PC 02'!G162="","Nama Channel kosong",""),IF('PC 02'!H162="","Link kosong",IF(ISERROR(FIND("youtu",LOWER('PC 02'!H162))),"Link bukan youtube","")),IF('PC 02'!I162="","Tgl Dibuat kosong",IF(NOT(ISNUMBER('PC 02'!I162)),"Tgl Dibuat harus tanggal","")),IF(AND('PC 02'!J162&lt;&gt;"",NOT(ISNUMBER('PC 02'!J162))),"Tgl Publish harus tanggal",""),IF(AND(ISNUMBER('PC 02'!I162),ISNUMBER('PC 02'!J162),'PC 02'!J162&lt;'PC 02'!I162),"Tgl Publish &lt; Tgl Dibuat",""),IF(AND('PC 02'!K162&lt;&gt;"",ISERROR(MATCH(TRIM('PC 02'!K162),{"Draft","Menunggu Review","Revisi","Terjadwal","Publish","Batal","Published"},0))),"Status di luar daftar","")))</f>
        <v>#ERROR!</v>
      </c>
      <c r="D162" s="5" t="str">
        <f>IF(C162="","OK","ADA MASALAH")</f>
        <v>#ERROR!</v>
      </c>
    </row>
    <row r="163">
      <c r="A163" s="3">
        <v>163.0</v>
      </c>
      <c r="B163" s="5" t="str">
        <f>'PC 02'!A163</f>
        <v/>
      </c>
      <c r="C163" s="5" t="str">
        <f>IF(COUNTA('PC 02'!A163:L163)=0,"",TEXTJOIN(" | ",TRUE,IF('PC 02'!A163="","Worker ID kosong",""),IF('PC 02'!B163="","Update Date kosong",IF(NOT(ISNUMBER('PC 02'!B163)),"Update Date harus tanggal","")),IF('PC 02'!D163="","Judul kosong",""),IF('PC 02'!F163="","Genre kosong",IF(ISERROR(MATCH(TRIM('PC 02'!F163),{"Pop","Rock","Dangdut","K-Pop","Electronic","Nasional","Daerah"},0)),"Genre di luar daftar","")),IF('PC 02'!G163="","Nama Channel kosong",""),IF('PC 02'!H163="","Link kosong",IF(ISERROR(FIND("youtu",LOWER('PC 02'!H163))),"Link bukan youtube","")),IF('PC 02'!I163="","Tgl Dibuat kosong",IF(NOT(ISNUMBER('PC 02'!I163)),"Tgl Dibuat harus tanggal","")),IF(AND('PC 02'!J163&lt;&gt;"",NOT(ISNUMBER('PC 02'!J163))),"Tgl Publish harus tanggal",""),IF(AND(ISNUMBER('PC 02'!I163),ISNUMBER('PC 02'!J163),'PC 02'!J163&lt;'PC 02'!I163),"Tgl Publish &lt; Tgl Dibuat",""),IF(AND('PC 02'!K163&lt;&gt;"",ISERROR(MATCH(TRIM('PC 02'!K163),{"Draft","Menunggu Review","Revisi","Terjadwal","Publish","Batal","Published"},0))),"Status di luar daftar","")))</f>
        <v>#ERROR!</v>
      </c>
      <c r="D163" s="5" t="str">
        <f>IF(C163="","OK","ADA MASALAH")</f>
        <v>#ERROR!</v>
      </c>
    </row>
    <row r="164">
      <c r="A164" s="3">
        <v>164.0</v>
      </c>
      <c r="B164" s="5" t="str">
        <f>'PC 02'!A164</f>
        <v/>
      </c>
      <c r="C164" s="5" t="str">
        <f>IF(COUNTA('PC 02'!A164:L164)=0,"",TEXTJOIN(" | ",TRUE,IF('PC 02'!A164="","Worker ID kosong",""),IF('PC 02'!B164="","Update Date kosong",IF(NOT(ISNUMBER('PC 02'!B164)),"Update Date harus tanggal","")),IF('PC 02'!D164="","Judul kosong",""),IF('PC 02'!F164="","Genre kosong",IF(ISERROR(MATCH(TRIM('PC 02'!F164),{"Pop","Rock","Dangdut","K-Pop","Electronic","Nasional","Daerah"},0)),"Genre di luar daftar","")),IF('PC 02'!G164="","Nama Channel kosong",""),IF('PC 02'!H164="","Link kosong",IF(ISERROR(FIND("youtu",LOWER('PC 02'!H164))),"Link bukan youtube","")),IF('PC 02'!I164="","Tgl Dibuat kosong",IF(NOT(ISNUMBER('PC 02'!I164)),"Tgl Dibuat harus tanggal","")),IF(AND('PC 02'!J164&lt;&gt;"",NOT(ISNUMBER('PC 02'!J164))),"Tgl Publish harus tanggal",""),IF(AND(ISNUMBER('PC 02'!I164),ISNUMBER('PC 02'!J164),'PC 02'!J164&lt;'PC 02'!I164),"Tgl Publish &lt; Tgl Dibuat",""),IF(AND('PC 02'!K164&lt;&gt;"",ISERROR(MATCH(TRIM('PC 02'!K164),{"Draft","Menunggu Review","Revisi","Terjadwal","Publish","Batal","Published"},0))),"Status di luar daftar","")))</f>
        <v>#ERROR!</v>
      </c>
      <c r="D164" s="5" t="str">
        <f>IF(C164="","OK","ADA MASALAH")</f>
        <v>#ERROR!</v>
      </c>
    </row>
    <row r="165">
      <c r="A165" s="3">
        <v>165.0</v>
      </c>
      <c r="B165" s="5" t="str">
        <f>'PC 02'!A165</f>
        <v/>
      </c>
      <c r="C165" s="5" t="str">
        <f>IF(COUNTA('PC 02'!A165:L165)=0,"",TEXTJOIN(" | ",TRUE,IF('PC 02'!A165="","Worker ID kosong",""),IF('PC 02'!B165="","Update Date kosong",IF(NOT(ISNUMBER('PC 02'!B165)),"Update Date harus tanggal","")),IF('PC 02'!D165="","Judul kosong",""),IF('PC 02'!F165="","Genre kosong",IF(ISERROR(MATCH(TRIM('PC 02'!F165),{"Pop","Rock","Dangdut","K-Pop","Electronic","Nasional","Daerah"},0)),"Genre di luar daftar","")),IF('PC 02'!G165="","Nama Channel kosong",""),IF('PC 02'!H165="","Link kosong",IF(ISERROR(FIND("youtu",LOWER('PC 02'!H165))),"Link bukan youtube","")),IF('PC 02'!I165="","Tgl Dibuat kosong",IF(NOT(ISNUMBER('PC 02'!I165)),"Tgl Dibuat harus tanggal","")),IF(AND('PC 02'!J165&lt;&gt;"",NOT(ISNUMBER('PC 02'!J165))),"Tgl Publish harus tanggal",""),IF(AND(ISNUMBER('PC 02'!I165),ISNUMBER('PC 02'!J165),'PC 02'!J165&lt;'PC 02'!I165),"Tgl Publish &lt; Tgl Dibuat",""),IF(AND('PC 02'!K165&lt;&gt;"",ISERROR(MATCH(TRIM('PC 02'!K165),{"Draft","Menunggu Review","Revisi","Terjadwal","Publish","Batal","Published"},0))),"Status di luar daftar","")))</f>
        <v>#ERROR!</v>
      </c>
      <c r="D165" s="5" t="str">
        <f>IF(C165="","OK","ADA MASALAH")</f>
        <v>#ERROR!</v>
      </c>
    </row>
    <row r="166">
      <c r="A166" s="3">
        <v>166.0</v>
      </c>
      <c r="B166" s="5" t="str">
        <f>'PC 02'!A166</f>
        <v/>
      </c>
      <c r="C166" s="5" t="str">
        <f>IF(COUNTA('PC 02'!A166:L166)=0,"",TEXTJOIN(" | ",TRUE,IF('PC 02'!A166="","Worker ID kosong",""),IF('PC 02'!B166="","Update Date kosong",IF(NOT(ISNUMBER('PC 02'!B166)),"Update Date harus tanggal","")),IF('PC 02'!D166="","Judul kosong",""),IF('PC 02'!F166="","Genre kosong",IF(ISERROR(MATCH(TRIM('PC 02'!F166),{"Pop","Rock","Dangdut","K-Pop","Electronic","Nasional","Daerah"},0)),"Genre di luar daftar","")),IF('PC 02'!G166="","Nama Channel kosong",""),IF('PC 02'!H166="","Link kosong",IF(ISERROR(FIND("youtu",LOWER('PC 02'!H166))),"Link bukan youtube","")),IF('PC 02'!I166="","Tgl Dibuat kosong",IF(NOT(ISNUMBER('PC 02'!I166)),"Tgl Dibuat harus tanggal","")),IF(AND('PC 02'!J166&lt;&gt;"",NOT(ISNUMBER('PC 02'!J166))),"Tgl Publish harus tanggal",""),IF(AND(ISNUMBER('PC 02'!I166),ISNUMBER('PC 02'!J166),'PC 02'!J166&lt;'PC 02'!I166),"Tgl Publish &lt; Tgl Dibuat",""),IF(AND('PC 02'!K166&lt;&gt;"",ISERROR(MATCH(TRIM('PC 02'!K166),{"Draft","Menunggu Review","Revisi","Terjadwal","Publish","Batal","Published"},0))),"Status di luar daftar","")))</f>
        <v>#ERROR!</v>
      </c>
      <c r="D166" s="5" t="str">
        <f>IF(C166="","OK","ADA MASALAH")</f>
        <v>#ERROR!</v>
      </c>
    </row>
    <row r="167">
      <c r="A167" s="3">
        <v>167.0</v>
      </c>
      <c r="B167" s="5" t="str">
        <f>'PC 02'!A167</f>
        <v/>
      </c>
      <c r="C167" s="5" t="str">
        <f>IF(COUNTA('PC 02'!A167:L167)=0,"",TEXTJOIN(" | ",TRUE,IF('PC 02'!A167="","Worker ID kosong",""),IF('PC 02'!B167="","Update Date kosong",IF(NOT(ISNUMBER('PC 02'!B167)),"Update Date harus tanggal","")),IF('PC 02'!D167="","Judul kosong",""),IF('PC 02'!F167="","Genre kosong",IF(ISERROR(MATCH(TRIM('PC 02'!F167),{"Pop","Rock","Dangdut","K-Pop","Electronic","Nasional","Daerah"},0)),"Genre di luar daftar","")),IF('PC 02'!G167="","Nama Channel kosong",""),IF('PC 02'!H167="","Link kosong",IF(ISERROR(FIND("youtu",LOWER('PC 02'!H167))),"Link bukan youtube","")),IF('PC 02'!I167="","Tgl Dibuat kosong",IF(NOT(ISNUMBER('PC 02'!I167)),"Tgl Dibuat harus tanggal","")),IF(AND('PC 02'!J167&lt;&gt;"",NOT(ISNUMBER('PC 02'!J167))),"Tgl Publish harus tanggal",""),IF(AND(ISNUMBER('PC 02'!I167),ISNUMBER('PC 02'!J167),'PC 02'!J167&lt;'PC 02'!I167),"Tgl Publish &lt; Tgl Dibuat",""),IF(AND('PC 02'!K167&lt;&gt;"",ISERROR(MATCH(TRIM('PC 02'!K167),{"Draft","Menunggu Review","Revisi","Terjadwal","Publish","Batal","Published"},0))),"Status di luar daftar","")))</f>
        <v>#ERROR!</v>
      </c>
      <c r="D167" s="5" t="str">
        <f>IF(C167="","OK","ADA MASALAH")</f>
        <v>#ERROR!</v>
      </c>
    </row>
    <row r="168">
      <c r="A168" s="3">
        <v>168.0</v>
      </c>
      <c r="B168" s="5" t="str">
        <f>'PC 02'!A168</f>
        <v/>
      </c>
      <c r="C168" s="5" t="str">
        <f>IF(COUNTA('PC 02'!A168:L168)=0,"",TEXTJOIN(" | ",TRUE,IF('PC 02'!A168="","Worker ID kosong",""),IF('PC 02'!B168="","Update Date kosong",IF(NOT(ISNUMBER('PC 02'!B168)),"Update Date harus tanggal","")),IF('PC 02'!D168="","Judul kosong",""),IF('PC 02'!F168="","Genre kosong",IF(ISERROR(MATCH(TRIM('PC 02'!F168),{"Pop","Rock","Dangdut","K-Pop","Electronic","Nasional","Daerah"},0)),"Genre di luar daftar","")),IF('PC 02'!G168="","Nama Channel kosong",""),IF('PC 02'!H168="","Link kosong",IF(ISERROR(FIND("youtu",LOWER('PC 02'!H168))),"Link bukan youtube","")),IF('PC 02'!I168="","Tgl Dibuat kosong",IF(NOT(ISNUMBER('PC 02'!I168)),"Tgl Dibuat harus tanggal","")),IF(AND('PC 02'!J168&lt;&gt;"",NOT(ISNUMBER('PC 02'!J168))),"Tgl Publish harus tanggal",""),IF(AND(ISNUMBER('PC 02'!I168),ISNUMBER('PC 02'!J168),'PC 02'!J168&lt;'PC 02'!I168),"Tgl Publish &lt; Tgl Dibuat",""),IF(AND('PC 02'!K168&lt;&gt;"",ISERROR(MATCH(TRIM('PC 02'!K168),{"Draft","Menunggu Review","Revisi","Terjadwal","Publish","Batal","Published"},0))),"Status di luar daftar","")))</f>
        <v>#ERROR!</v>
      </c>
      <c r="D168" s="5" t="str">
        <f>IF(C168="","OK","ADA MASALAH")</f>
        <v>#ERROR!</v>
      </c>
    </row>
    <row r="169">
      <c r="A169" s="3">
        <v>169.0</v>
      </c>
      <c r="B169" s="5" t="str">
        <f>'PC 02'!A169</f>
        <v/>
      </c>
      <c r="C169" s="5" t="str">
        <f>IF(COUNTA('PC 02'!A169:L169)=0,"",TEXTJOIN(" | ",TRUE,IF('PC 02'!A169="","Worker ID kosong",""),IF('PC 02'!B169="","Update Date kosong",IF(NOT(ISNUMBER('PC 02'!B169)),"Update Date harus tanggal","")),IF('PC 02'!D169="","Judul kosong",""),IF('PC 02'!F169="","Genre kosong",IF(ISERROR(MATCH(TRIM('PC 02'!F169),{"Pop","Rock","Dangdut","K-Pop","Electronic","Nasional","Daerah"},0)),"Genre di luar daftar","")),IF('PC 02'!G169="","Nama Channel kosong",""),IF('PC 02'!H169="","Link kosong",IF(ISERROR(FIND("youtu",LOWER('PC 02'!H169))),"Link bukan youtube","")),IF('PC 02'!I169="","Tgl Dibuat kosong",IF(NOT(ISNUMBER('PC 02'!I169)),"Tgl Dibuat harus tanggal","")),IF(AND('PC 02'!J169&lt;&gt;"",NOT(ISNUMBER('PC 02'!J169))),"Tgl Publish harus tanggal",""),IF(AND(ISNUMBER('PC 02'!I169),ISNUMBER('PC 02'!J169),'PC 02'!J169&lt;'PC 02'!I169),"Tgl Publish &lt; Tgl Dibuat",""),IF(AND('PC 02'!K169&lt;&gt;"",ISERROR(MATCH(TRIM('PC 02'!K169),{"Draft","Menunggu Review","Revisi","Terjadwal","Publish","Batal","Published"},0))),"Status di luar daftar","")))</f>
        <v>#ERROR!</v>
      </c>
      <c r="D169" s="5" t="str">
        <f>IF(C169="","OK","ADA MASALAH")</f>
        <v>#ERROR!</v>
      </c>
    </row>
    <row r="170">
      <c r="A170" s="3">
        <v>170.0</v>
      </c>
      <c r="B170" s="5" t="str">
        <f>'PC 02'!A170</f>
        <v/>
      </c>
      <c r="C170" s="5" t="str">
        <f>IF(COUNTA('PC 02'!A170:L170)=0,"",TEXTJOIN(" | ",TRUE,IF('PC 02'!A170="","Worker ID kosong",""),IF('PC 02'!B170="","Update Date kosong",IF(NOT(ISNUMBER('PC 02'!B170)),"Update Date harus tanggal","")),IF('PC 02'!D170="","Judul kosong",""),IF('PC 02'!F170="","Genre kosong",IF(ISERROR(MATCH(TRIM('PC 02'!F170),{"Pop","Rock","Dangdut","K-Pop","Electronic","Nasional","Daerah"},0)),"Genre di luar daftar","")),IF('PC 02'!G170="","Nama Channel kosong",""),IF('PC 02'!H170="","Link kosong",IF(ISERROR(FIND("youtu",LOWER('PC 02'!H170))),"Link bukan youtube","")),IF('PC 02'!I170="","Tgl Dibuat kosong",IF(NOT(ISNUMBER('PC 02'!I170)),"Tgl Dibuat harus tanggal","")),IF(AND('PC 02'!J170&lt;&gt;"",NOT(ISNUMBER('PC 02'!J170))),"Tgl Publish harus tanggal",""),IF(AND(ISNUMBER('PC 02'!I170),ISNUMBER('PC 02'!J170),'PC 02'!J170&lt;'PC 02'!I170),"Tgl Publish &lt; Tgl Dibuat",""),IF(AND('PC 02'!K170&lt;&gt;"",ISERROR(MATCH(TRIM('PC 02'!K170),{"Draft","Menunggu Review","Revisi","Terjadwal","Publish","Batal","Published"},0))),"Status di luar daftar","")))</f>
        <v>#ERROR!</v>
      </c>
      <c r="D170" s="5" t="str">
        <f>IF(C170="","OK","ADA MASALAH")</f>
        <v>#ERROR!</v>
      </c>
    </row>
    <row r="171">
      <c r="A171" s="3">
        <v>171.0</v>
      </c>
      <c r="B171" s="5" t="str">
        <f>'PC 02'!A171</f>
        <v/>
      </c>
      <c r="C171" s="5" t="str">
        <f>IF(COUNTA('PC 02'!A171:L171)=0,"",TEXTJOIN(" | ",TRUE,IF('PC 02'!A171="","Worker ID kosong",""),IF('PC 02'!B171="","Update Date kosong",IF(NOT(ISNUMBER('PC 02'!B171)),"Update Date harus tanggal","")),IF('PC 02'!D171="","Judul kosong",""),IF('PC 02'!F171="","Genre kosong",IF(ISERROR(MATCH(TRIM('PC 02'!F171),{"Pop","Rock","Dangdut","K-Pop","Electronic","Nasional","Daerah"},0)),"Genre di luar daftar","")),IF('PC 02'!G171="","Nama Channel kosong",""),IF('PC 02'!H171="","Link kosong",IF(ISERROR(FIND("youtu",LOWER('PC 02'!H171))),"Link bukan youtube","")),IF('PC 02'!I171="","Tgl Dibuat kosong",IF(NOT(ISNUMBER('PC 02'!I171)),"Tgl Dibuat harus tanggal","")),IF(AND('PC 02'!J171&lt;&gt;"",NOT(ISNUMBER('PC 02'!J171))),"Tgl Publish harus tanggal",""),IF(AND(ISNUMBER('PC 02'!I171),ISNUMBER('PC 02'!J171),'PC 02'!J171&lt;'PC 02'!I171),"Tgl Publish &lt; Tgl Dibuat",""),IF(AND('PC 02'!K171&lt;&gt;"",ISERROR(MATCH(TRIM('PC 02'!K171),{"Draft","Menunggu Review","Revisi","Terjadwal","Publish","Batal","Published"},0))),"Status di luar daftar","")))</f>
        <v>#ERROR!</v>
      </c>
      <c r="D171" s="5" t="str">
        <f>IF(C171="","OK","ADA MASALAH")</f>
        <v>#ERROR!</v>
      </c>
    </row>
    <row r="172">
      <c r="A172" s="3">
        <v>172.0</v>
      </c>
      <c r="B172" s="5" t="str">
        <f>'PC 02'!A172</f>
        <v/>
      </c>
      <c r="C172" s="5" t="str">
        <f>IF(COUNTA('PC 02'!A172:L172)=0,"",TEXTJOIN(" | ",TRUE,IF('PC 02'!A172="","Worker ID kosong",""),IF('PC 02'!B172="","Update Date kosong",IF(NOT(ISNUMBER('PC 02'!B172)),"Update Date harus tanggal","")),IF('PC 02'!D172="","Judul kosong",""),IF('PC 02'!F172="","Genre kosong",IF(ISERROR(MATCH(TRIM('PC 02'!F172),{"Pop","Rock","Dangdut","K-Pop","Electronic","Nasional","Daerah"},0)),"Genre di luar daftar","")),IF('PC 02'!G172="","Nama Channel kosong",""),IF('PC 02'!H172="","Link kosong",IF(ISERROR(FIND("youtu",LOWER('PC 02'!H172))),"Link bukan youtube","")),IF('PC 02'!I172="","Tgl Dibuat kosong",IF(NOT(ISNUMBER('PC 02'!I172)),"Tgl Dibuat harus tanggal","")),IF(AND('PC 02'!J172&lt;&gt;"",NOT(ISNUMBER('PC 02'!J172))),"Tgl Publish harus tanggal",""),IF(AND(ISNUMBER('PC 02'!I172),ISNUMBER('PC 02'!J172),'PC 02'!J172&lt;'PC 02'!I172),"Tgl Publish &lt; Tgl Dibuat",""),IF(AND('PC 02'!K172&lt;&gt;"",ISERROR(MATCH(TRIM('PC 02'!K172),{"Draft","Menunggu Review","Revisi","Terjadwal","Publish","Batal","Published"},0))),"Status di luar daftar","")))</f>
        <v>#ERROR!</v>
      </c>
      <c r="D172" s="5" t="str">
        <f>IF(C172="","OK","ADA MASALAH")</f>
        <v>#ERROR!</v>
      </c>
    </row>
    <row r="173">
      <c r="A173" s="3">
        <v>173.0</v>
      </c>
      <c r="B173" s="5" t="str">
        <f>'PC 02'!A173</f>
        <v/>
      </c>
      <c r="C173" s="5" t="str">
        <f>IF(COUNTA('PC 02'!A173:L173)=0,"",TEXTJOIN(" | ",TRUE,IF('PC 02'!A173="","Worker ID kosong",""),IF('PC 02'!B173="","Update Date kosong",IF(NOT(ISNUMBER('PC 02'!B173)),"Update Date harus tanggal","")),IF('PC 02'!D173="","Judul kosong",""),IF('PC 02'!F173="","Genre kosong",IF(ISERROR(MATCH(TRIM('PC 02'!F173),{"Pop","Rock","Dangdut","K-Pop","Electronic","Nasional","Daerah"},0)),"Genre di luar daftar","")),IF('PC 02'!G173="","Nama Channel kosong",""),IF('PC 02'!H173="","Link kosong",IF(ISERROR(FIND("youtu",LOWER('PC 02'!H173))),"Link bukan youtube","")),IF('PC 02'!I173="","Tgl Dibuat kosong",IF(NOT(ISNUMBER('PC 02'!I173)),"Tgl Dibuat harus tanggal","")),IF(AND('PC 02'!J173&lt;&gt;"",NOT(ISNUMBER('PC 02'!J173))),"Tgl Publish harus tanggal",""),IF(AND(ISNUMBER('PC 02'!I173),ISNUMBER('PC 02'!J173),'PC 02'!J173&lt;'PC 02'!I173),"Tgl Publish &lt; Tgl Dibuat",""),IF(AND('PC 02'!K173&lt;&gt;"",ISERROR(MATCH(TRIM('PC 02'!K173),{"Draft","Menunggu Review","Revisi","Terjadwal","Publish","Batal","Published"},0))),"Status di luar daftar","")))</f>
        <v>#ERROR!</v>
      </c>
      <c r="D173" s="5" t="str">
        <f>IF(C173="","OK","ADA MASALAH")</f>
        <v>#ERROR!</v>
      </c>
    </row>
    <row r="174">
      <c r="A174" s="3">
        <v>174.0</v>
      </c>
      <c r="B174" s="5" t="str">
        <f>'PC 02'!A174</f>
        <v/>
      </c>
      <c r="C174" s="5" t="str">
        <f>IF(COUNTA('PC 02'!A174:L174)=0,"",TEXTJOIN(" | ",TRUE,IF('PC 02'!A174="","Worker ID kosong",""),IF('PC 02'!B174="","Update Date kosong",IF(NOT(ISNUMBER('PC 02'!B174)),"Update Date harus tanggal","")),IF('PC 02'!D174="","Judul kosong",""),IF('PC 02'!F174="","Genre kosong",IF(ISERROR(MATCH(TRIM('PC 02'!F174),{"Pop","Rock","Dangdut","K-Pop","Electronic","Nasional","Daerah"},0)),"Genre di luar daftar","")),IF('PC 02'!G174="","Nama Channel kosong",""),IF('PC 02'!H174="","Link kosong",IF(ISERROR(FIND("youtu",LOWER('PC 02'!H174))),"Link bukan youtube","")),IF('PC 02'!I174="","Tgl Dibuat kosong",IF(NOT(ISNUMBER('PC 02'!I174)),"Tgl Dibuat harus tanggal","")),IF(AND('PC 02'!J174&lt;&gt;"",NOT(ISNUMBER('PC 02'!J174))),"Tgl Publish harus tanggal",""),IF(AND(ISNUMBER('PC 02'!I174),ISNUMBER('PC 02'!J174),'PC 02'!J174&lt;'PC 02'!I174),"Tgl Publish &lt; Tgl Dibuat",""),IF(AND('PC 02'!K174&lt;&gt;"",ISERROR(MATCH(TRIM('PC 02'!K174),{"Draft","Menunggu Review","Revisi","Terjadwal","Publish","Batal","Published"},0))),"Status di luar daftar","")))</f>
        <v>#ERROR!</v>
      </c>
      <c r="D174" s="5" t="str">
        <f>IF(C174="","OK","ADA MASALAH")</f>
        <v>#ERROR!</v>
      </c>
    </row>
    <row r="175">
      <c r="A175" s="3">
        <v>175.0</v>
      </c>
      <c r="B175" s="5" t="str">
        <f>'PC 02'!A175</f>
        <v/>
      </c>
      <c r="C175" s="5" t="str">
        <f>IF(COUNTA('PC 02'!A175:L175)=0,"",TEXTJOIN(" | ",TRUE,IF('PC 02'!A175="","Worker ID kosong",""),IF('PC 02'!B175="","Update Date kosong",IF(NOT(ISNUMBER('PC 02'!B175)),"Update Date harus tanggal","")),IF('PC 02'!D175="","Judul kosong",""),IF('PC 02'!F175="","Genre kosong",IF(ISERROR(MATCH(TRIM('PC 02'!F175),{"Pop","Rock","Dangdut","K-Pop","Electronic","Nasional","Daerah"},0)),"Genre di luar daftar","")),IF('PC 02'!G175="","Nama Channel kosong",""),IF('PC 02'!H175="","Link kosong",IF(ISERROR(FIND("youtu",LOWER('PC 02'!H175))),"Link bukan youtube","")),IF('PC 02'!I175="","Tgl Dibuat kosong",IF(NOT(ISNUMBER('PC 02'!I175)),"Tgl Dibuat harus tanggal","")),IF(AND('PC 02'!J175&lt;&gt;"",NOT(ISNUMBER('PC 02'!J175))),"Tgl Publish harus tanggal",""),IF(AND(ISNUMBER('PC 02'!I175),ISNUMBER('PC 02'!J175),'PC 02'!J175&lt;'PC 02'!I175),"Tgl Publish &lt; Tgl Dibuat",""),IF(AND('PC 02'!K175&lt;&gt;"",ISERROR(MATCH(TRIM('PC 02'!K175),{"Draft","Menunggu Review","Revisi","Terjadwal","Publish","Batal","Published"},0))),"Status di luar daftar","")))</f>
        <v>#ERROR!</v>
      </c>
      <c r="D175" s="5" t="str">
        <f>IF(C175="","OK","ADA MASALAH")</f>
        <v>#ERROR!</v>
      </c>
    </row>
    <row r="176">
      <c r="A176" s="3">
        <v>176.0</v>
      </c>
      <c r="B176" s="5" t="str">
        <f>'PC 02'!A176</f>
        <v/>
      </c>
      <c r="C176" s="5" t="str">
        <f>IF(COUNTA('PC 02'!A176:L176)=0,"",TEXTJOIN(" | ",TRUE,IF('PC 02'!A176="","Worker ID kosong",""),IF('PC 02'!B176="","Update Date kosong",IF(NOT(ISNUMBER('PC 02'!B176)),"Update Date harus tanggal","")),IF('PC 02'!D176="","Judul kosong",""),IF('PC 02'!F176="","Genre kosong",IF(ISERROR(MATCH(TRIM('PC 02'!F176),{"Pop","Rock","Dangdut","K-Pop","Electronic","Nasional","Daerah"},0)),"Genre di luar daftar","")),IF('PC 02'!G176="","Nama Channel kosong",""),IF('PC 02'!H176="","Link kosong",IF(ISERROR(FIND("youtu",LOWER('PC 02'!H176))),"Link bukan youtube","")),IF('PC 02'!I176="","Tgl Dibuat kosong",IF(NOT(ISNUMBER('PC 02'!I176)),"Tgl Dibuat harus tanggal","")),IF(AND('PC 02'!J176&lt;&gt;"",NOT(ISNUMBER('PC 02'!J176))),"Tgl Publish harus tanggal",""),IF(AND(ISNUMBER('PC 02'!I176),ISNUMBER('PC 02'!J176),'PC 02'!J176&lt;'PC 02'!I176),"Tgl Publish &lt; Tgl Dibuat",""),IF(AND('PC 02'!K176&lt;&gt;"",ISERROR(MATCH(TRIM('PC 02'!K176),{"Draft","Menunggu Review","Revisi","Terjadwal","Publish","Batal","Published"},0))),"Status di luar daftar","")))</f>
        <v>#ERROR!</v>
      </c>
      <c r="D176" s="5" t="str">
        <f>IF(C176="","OK","ADA MASALAH")</f>
        <v>#ERROR!</v>
      </c>
    </row>
    <row r="177">
      <c r="A177" s="3">
        <v>177.0</v>
      </c>
      <c r="B177" s="5" t="str">
        <f>'PC 02'!A177</f>
        <v/>
      </c>
      <c r="C177" s="5" t="str">
        <f>IF(COUNTA('PC 02'!A177:L177)=0,"",TEXTJOIN(" | ",TRUE,IF('PC 02'!A177="","Worker ID kosong",""),IF('PC 02'!B177="","Update Date kosong",IF(NOT(ISNUMBER('PC 02'!B177)),"Update Date harus tanggal","")),IF('PC 02'!D177="","Judul kosong",""),IF('PC 02'!F177="","Genre kosong",IF(ISERROR(MATCH(TRIM('PC 02'!F177),{"Pop","Rock","Dangdut","K-Pop","Electronic","Nasional","Daerah"},0)),"Genre di luar daftar","")),IF('PC 02'!G177="","Nama Channel kosong",""),IF('PC 02'!H177="","Link kosong",IF(ISERROR(FIND("youtu",LOWER('PC 02'!H177))),"Link bukan youtube","")),IF('PC 02'!I177="","Tgl Dibuat kosong",IF(NOT(ISNUMBER('PC 02'!I177)),"Tgl Dibuat harus tanggal","")),IF(AND('PC 02'!J177&lt;&gt;"",NOT(ISNUMBER('PC 02'!J177))),"Tgl Publish harus tanggal",""),IF(AND(ISNUMBER('PC 02'!I177),ISNUMBER('PC 02'!J177),'PC 02'!J177&lt;'PC 02'!I177),"Tgl Publish &lt; Tgl Dibuat",""),IF(AND('PC 02'!K177&lt;&gt;"",ISERROR(MATCH(TRIM('PC 02'!K177),{"Draft","Menunggu Review","Revisi","Terjadwal","Publish","Batal","Published"},0))),"Status di luar daftar","")))</f>
        <v>#ERROR!</v>
      </c>
      <c r="D177" s="5" t="str">
        <f>IF(C177="","OK","ADA MASALAH")</f>
        <v>#ERROR!</v>
      </c>
    </row>
    <row r="178">
      <c r="A178" s="3">
        <v>178.0</v>
      </c>
      <c r="B178" s="5" t="str">
        <f>'PC 02'!A178</f>
        <v/>
      </c>
      <c r="C178" s="5" t="str">
        <f>IF(COUNTA('PC 02'!A178:L178)=0,"",TEXTJOIN(" | ",TRUE,IF('PC 02'!A178="","Worker ID kosong",""),IF('PC 02'!B178="","Update Date kosong",IF(NOT(ISNUMBER('PC 02'!B178)),"Update Date harus tanggal","")),IF('PC 02'!D178="","Judul kosong",""),IF('PC 02'!F178="","Genre kosong",IF(ISERROR(MATCH(TRIM('PC 02'!F178),{"Pop","Rock","Dangdut","K-Pop","Electronic","Nasional","Daerah"},0)),"Genre di luar daftar","")),IF('PC 02'!G178="","Nama Channel kosong",""),IF('PC 02'!H178="","Link kosong",IF(ISERROR(FIND("youtu",LOWER('PC 02'!H178))),"Link bukan youtube","")),IF('PC 02'!I178="","Tgl Dibuat kosong",IF(NOT(ISNUMBER('PC 02'!I178)),"Tgl Dibuat harus tanggal","")),IF(AND('PC 02'!J178&lt;&gt;"",NOT(ISNUMBER('PC 02'!J178))),"Tgl Publish harus tanggal",""),IF(AND(ISNUMBER('PC 02'!I178),ISNUMBER('PC 02'!J178),'PC 02'!J178&lt;'PC 02'!I178),"Tgl Publish &lt; Tgl Dibuat",""),IF(AND('PC 02'!K178&lt;&gt;"",ISERROR(MATCH(TRIM('PC 02'!K178),{"Draft","Menunggu Review","Revisi","Terjadwal","Publish","Batal","Published"},0))),"Status di luar daftar","")))</f>
        <v>#ERROR!</v>
      </c>
      <c r="D178" s="5" t="str">
        <f>IF(C178="","OK","ADA MASALAH")</f>
        <v>#ERROR!</v>
      </c>
    </row>
    <row r="179">
      <c r="A179" s="3">
        <v>179.0</v>
      </c>
      <c r="B179" s="5" t="str">
        <f>'PC 02'!A179</f>
        <v/>
      </c>
      <c r="C179" s="5" t="str">
        <f>IF(COUNTA('PC 02'!A179:L179)=0,"",TEXTJOIN(" | ",TRUE,IF('PC 02'!A179="","Worker ID kosong",""),IF('PC 02'!B179="","Update Date kosong",IF(NOT(ISNUMBER('PC 02'!B179)),"Update Date harus tanggal","")),IF('PC 02'!D179="","Judul kosong",""),IF('PC 02'!F179="","Genre kosong",IF(ISERROR(MATCH(TRIM('PC 02'!F179),{"Pop","Rock","Dangdut","K-Pop","Electronic","Nasional","Daerah"},0)),"Genre di luar daftar","")),IF('PC 02'!G179="","Nama Channel kosong",""),IF('PC 02'!H179="","Link kosong",IF(ISERROR(FIND("youtu",LOWER('PC 02'!H179))),"Link bukan youtube","")),IF('PC 02'!I179="","Tgl Dibuat kosong",IF(NOT(ISNUMBER('PC 02'!I179)),"Tgl Dibuat harus tanggal","")),IF(AND('PC 02'!J179&lt;&gt;"",NOT(ISNUMBER('PC 02'!J179))),"Tgl Publish harus tanggal",""),IF(AND(ISNUMBER('PC 02'!I179),ISNUMBER('PC 02'!J179),'PC 02'!J179&lt;'PC 02'!I179),"Tgl Publish &lt; Tgl Dibuat",""),IF(AND('PC 02'!K179&lt;&gt;"",ISERROR(MATCH(TRIM('PC 02'!K179),{"Draft","Menunggu Review","Revisi","Terjadwal","Publish","Batal","Published"},0))),"Status di luar daftar","")))</f>
        <v>#ERROR!</v>
      </c>
      <c r="D179" s="5" t="str">
        <f>IF(C179="","OK","ADA MASALAH")</f>
        <v>#ERROR!</v>
      </c>
    </row>
    <row r="180">
      <c r="A180" s="3">
        <v>180.0</v>
      </c>
      <c r="B180" s="5" t="str">
        <f>'PC 02'!A180</f>
        <v/>
      </c>
      <c r="C180" s="5" t="str">
        <f>IF(COUNTA('PC 02'!A180:L180)=0,"",TEXTJOIN(" | ",TRUE,IF('PC 02'!A180="","Worker ID kosong",""),IF('PC 02'!B180="","Update Date kosong",IF(NOT(ISNUMBER('PC 02'!B180)),"Update Date harus tanggal","")),IF('PC 02'!D180="","Judul kosong",""),IF('PC 02'!F180="","Genre kosong",IF(ISERROR(MATCH(TRIM('PC 02'!F180),{"Pop","Rock","Dangdut","K-Pop","Electronic","Nasional","Daerah"},0)),"Genre di luar daftar","")),IF('PC 02'!G180="","Nama Channel kosong",""),IF('PC 02'!H180="","Link kosong",IF(ISERROR(FIND("youtu",LOWER('PC 02'!H180))),"Link bukan youtube","")),IF('PC 02'!I180="","Tgl Dibuat kosong",IF(NOT(ISNUMBER('PC 02'!I180)),"Tgl Dibuat harus tanggal","")),IF(AND('PC 02'!J180&lt;&gt;"",NOT(ISNUMBER('PC 02'!J180))),"Tgl Publish harus tanggal",""),IF(AND(ISNUMBER('PC 02'!I180),ISNUMBER('PC 02'!J180),'PC 02'!J180&lt;'PC 02'!I180),"Tgl Publish &lt; Tgl Dibuat",""),IF(AND('PC 02'!K180&lt;&gt;"",ISERROR(MATCH(TRIM('PC 02'!K180),{"Draft","Menunggu Review","Revisi","Terjadwal","Publish","Batal","Published"},0))),"Status di luar daftar","")))</f>
        <v>#ERROR!</v>
      </c>
      <c r="D180" s="5" t="str">
        <f>IF(C180="","OK","ADA MASALAH")</f>
        <v>#ERROR!</v>
      </c>
    </row>
    <row r="181">
      <c r="A181" s="3">
        <v>181.0</v>
      </c>
      <c r="B181" s="5" t="str">
        <f>'PC 02'!A181</f>
        <v/>
      </c>
      <c r="C181" s="5" t="str">
        <f>IF(COUNTA('PC 02'!A181:L181)=0,"",TEXTJOIN(" | ",TRUE,IF('PC 02'!A181="","Worker ID kosong",""),IF('PC 02'!B181="","Update Date kosong",IF(NOT(ISNUMBER('PC 02'!B181)),"Update Date harus tanggal","")),IF('PC 02'!D181="","Judul kosong",""),IF('PC 02'!F181="","Genre kosong",IF(ISERROR(MATCH(TRIM('PC 02'!F181),{"Pop","Rock","Dangdut","K-Pop","Electronic","Nasional","Daerah"},0)),"Genre di luar daftar","")),IF('PC 02'!G181="","Nama Channel kosong",""),IF('PC 02'!H181="","Link kosong",IF(ISERROR(FIND("youtu",LOWER('PC 02'!H181))),"Link bukan youtube","")),IF('PC 02'!I181="","Tgl Dibuat kosong",IF(NOT(ISNUMBER('PC 02'!I181)),"Tgl Dibuat harus tanggal","")),IF(AND('PC 02'!J181&lt;&gt;"",NOT(ISNUMBER('PC 02'!J181))),"Tgl Publish harus tanggal",""),IF(AND(ISNUMBER('PC 02'!I181),ISNUMBER('PC 02'!J181),'PC 02'!J181&lt;'PC 02'!I181),"Tgl Publish &lt; Tgl Dibuat",""),IF(AND('PC 02'!K181&lt;&gt;"",ISERROR(MATCH(TRIM('PC 02'!K181),{"Draft","Menunggu Review","Revisi","Terjadwal","Publish","Batal","Published"},0))),"Status di luar daftar","")))</f>
        <v>#ERROR!</v>
      </c>
      <c r="D181" s="5" t="str">
        <f>IF(C181="","OK","ADA MASALAH")</f>
        <v>#ERROR!</v>
      </c>
    </row>
    <row r="182">
      <c r="A182" s="3">
        <v>182.0</v>
      </c>
      <c r="B182" s="5" t="str">
        <f>'PC 02'!A182</f>
        <v/>
      </c>
      <c r="C182" s="5" t="str">
        <f>IF(COUNTA('PC 02'!A182:L182)=0,"",TEXTJOIN(" | ",TRUE,IF('PC 02'!A182="","Worker ID kosong",""),IF('PC 02'!B182="","Update Date kosong",IF(NOT(ISNUMBER('PC 02'!B182)),"Update Date harus tanggal","")),IF('PC 02'!D182="","Judul kosong",""),IF('PC 02'!F182="","Genre kosong",IF(ISERROR(MATCH(TRIM('PC 02'!F182),{"Pop","Rock","Dangdut","K-Pop","Electronic","Nasional","Daerah"},0)),"Genre di luar daftar","")),IF('PC 02'!G182="","Nama Channel kosong",""),IF('PC 02'!H182="","Link kosong",IF(ISERROR(FIND("youtu",LOWER('PC 02'!H182))),"Link bukan youtube","")),IF('PC 02'!I182="","Tgl Dibuat kosong",IF(NOT(ISNUMBER('PC 02'!I182)),"Tgl Dibuat harus tanggal","")),IF(AND('PC 02'!J182&lt;&gt;"",NOT(ISNUMBER('PC 02'!J182))),"Tgl Publish harus tanggal",""),IF(AND(ISNUMBER('PC 02'!I182),ISNUMBER('PC 02'!J182),'PC 02'!J182&lt;'PC 02'!I182),"Tgl Publish &lt; Tgl Dibuat",""),IF(AND('PC 02'!K182&lt;&gt;"",ISERROR(MATCH(TRIM('PC 02'!K182),{"Draft","Menunggu Review","Revisi","Terjadwal","Publish","Batal","Published"},0))),"Status di luar daftar","")))</f>
        <v>#ERROR!</v>
      </c>
      <c r="D182" s="5" t="str">
        <f>IF(C182="","OK","ADA MASALAH")</f>
        <v>#ERROR!</v>
      </c>
    </row>
    <row r="183">
      <c r="A183" s="3">
        <v>183.0</v>
      </c>
      <c r="B183" s="5" t="str">
        <f>'PC 02'!A183</f>
        <v/>
      </c>
      <c r="C183" s="5" t="str">
        <f>IF(COUNTA('PC 02'!A183:L183)=0,"",TEXTJOIN(" | ",TRUE,IF('PC 02'!A183="","Worker ID kosong",""),IF('PC 02'!B183="","Update Date kosong",IF(NOT(ISNUMBER('PC 02'!B183)),"Update Date harus tanggal","")),IF('PC 02'!D183="","Judul kosong",""),IF('PC 02'!F183="","Genre kosong",IF(ISERROR(MATCH(TRIM('PC 02'!F183),{"Pop","Rock","Dangdut","K-Pop","Electronic","Nasional","Daerah"},0)),"Genre di luar daftar","")),IF('PC 02'!G183="","Nama Channel kosong",""),IF('PC 02'!H183="","Link kosong",IF(ISERROR(FIND("youtu",LOWER('PC 02'!H183))),"Link bukan youtube","")),IF('PC 02'!I183="","Tgl Dibuat kosong",IF(NOT(ISNUMBER('PC 02'!I183)),"Tgl Dibuat harus tanggal","")),IF(AND('PC 02'!J183&lt;&gt;"",NOT(ISNUMBER('PC 02'!J183))),"Tgl Publish harus tanggal",""),IF(AND(ISNUMBER('PC 02'!I183),ISNUMBER('PC 02'!J183),'PC 02'!J183&lt;'PC 02'!I183),"Tgl Publish &lt; Tgl Dibuat",""),IF(AND('PC 02'!K183&lt;&gt;"",ISERROR(MATCH(TRIM('PC 02'!K183),{"Draft","Menunggu Review","Revisi","Terjadwal","Publish","Batal","Published"},0))),"Status di luar daftar","")))</f>
        <v>#ERROR!</v>
      </c>
      <c r="D183" s="5" t="str">
        <f>IF(C183="","OK","ADA MASALAH")</f>
        <v>#ERROR!</v>
      </c>
    </row>
    <row r="184">
      <c r="A184" s="3">
        <v>184.0</v>
      </c>
      <c r="B184" s="5" t="str">
        <f>'PC 02'!A184</f>
        <v/>
      </c>
      <c r="C184" s="5" t="str">
        <f>IF(COUNTA('PC 02'!A184:L184)=0,"",TEXTJOIN(" | ",TRUE,IF('PC 02'!A184="","Worker ID kosong",""),IF('PC 02'!B184="","Update Date kosong",IF(NOT(ISNUMBER('PC 02'!B184)),"Update Date harus tanggal","")),IF('PC 02'!D184="","Judul kosong",""),IF('PC 02'!F184="","Genre kosong",IF(ISERROR(MATCH(TRIM('PC 02'!F184),{"Pop","Rock","Dangdut","K-Pop","Electronic","Nasional","Daerah"},0)),"Genre di luar daftar","")),IF('PC 02'!G184="","Nama Channel kosong",""),IF('PC 02'!H184="","Link kosong",IF(ISERROR(FIND("youtu",LOWER('PC 02'!H184))),"Link bukan youtube","")),IF('PC 02'!I184="","Tgl Dibuat kosong",IF(NOT(ISNUMBER('PC 02'!I184)),"Tgl Dibuat harus tanggal","")),IF(AND('PC 02'!J184&lt;&gt;"",NOT(ISNUMBER('PC 02'!J184))),"Tgl Publish harus tanggal",""),IF(AND(ISNUMBER('PC 02'!I184),ISNUMBER('PC 02'!J184),'PC 02'!J184&lt;'PC 02'!I184),"Tgl Publish &lt; Tgl Dibuat",""),IF(AND('PC 02'!K184&lt;&gt;"",ISERROR(MATCH(TRIM('PC 02'!K184),{"Draft","Menunggu Review","Revisi","Terjadwal","Publish","Batal","Published"},0))),"Status di luar daftar","")))</f>
        <v>#ERROR!</v>
      </c>
      <c r="D184" s="5" t="str">
        <f>IF(C184="","OK","ADA MASALAH")</f>
        <v>#ERROR!</v>
      </c>
    </row>
    <row r="185">
      <c r="A185" s="3">
        <v>185.0</v>
      </c>
      <c r="B185" s="5" t="str">
        <f>'PC 02'!A185</f>
        <v/>
      </c>
      <c r="C185" s="5" t="str">
        <f>IF(COUNTA('PC 02'!A185:L185)=0,"",TEXTJOIN(" | ",TRUE,IF('PC 02'!A185="","Worker ID kosong",""),IF('PC 02'!B185="","Update Date kosong",IF(NOT(ISNUMBER('PC 02'!B185)),"Update Date harus tanggal","")),IF('PC 02'!D185="","Judul kosong",""),IF('PC 02'!F185="","Genre kosong",IF(ISERROR(MATCH(TRIM('PC 02'!F185),{"Pop","Rock","Dangdut","K-Pop","Electronic","Nasional","Daerah"},0)),"Genre di luar daftar","")),IF('PC 02'!G185="","Nama Channel kosong",""),IF('PC 02'!H185="","Link kosong",IF(ISERROR(FIND("youtu",LOWER('PC 02'!H185))),"Link bukan youtube","")),IF('PC 02'!I185="","Tgl Dibuat kosong",IF(NOT(ISNUMBER('PC 02'!I185)),"Tgl Dibuat harus tanggal","")),IF(AND('PC 02'!J185&lt;&gt;"",NOT(ISNUMBER('PC 02'!J185))),"Tgl Publish harus tanggal",""),IF(AND(ISNUMBER('PC 02'!I185),ISNUMBER('PC 02'!J185),'PC 02'!J185&lt;'PC 02'!I185),"Tgl Publish &lt; Tgl Dibuat",""),IF(AND('PC 02'!K185&lt;&gt;"",ISERROR(MATCH(TRIM('PC 02'!K185),{"Draft","Menunggu Review","Revisi","Terjadwal","Publish","Batal","Published"},0))),"Status di luar daftar","")))</f>
        <v>#ERROR!</v>
      </c>
      <c r="D185" s="5" t="str">
        <f>IF(C185="","OK","ADA MASALAH")</f>
        <v>#ERROR!</v>
      </c>
    </row>
    <row r="186">
      <c r="A186" s="3">
        <v>186.0</v>
      </c>
      <c r="B186" s="5" t="str">
        <f>'PC 02'!A186</f>
        <v/>
      </c>
      <c r="C186" s="5" t="str">
        <f>IF(COUNTA('PC 02'!A186:L186)=0,"",TEXTJOIN(" | ",TRUE,IF('PC 02'!A186="","Worker ID kosong",""),IF('PC 02'!B186="","Update Date kosong",IF(NOT(ISNUMBER('PC 02'!B186)),"Update Date harus tanggal","")),IF('PC 02'!D186="","Judul kosong",""),IF('PC 02'!F186="","Genre kosong",IF(ISERROR(MATCH(TRIM('PC 02'!F186),{"Pop","Rock","Dangdut","K-Pop","Electronic","Nasional","Daerah"},0)),"Genre di luar daftar","")),IF('PC 02'!G186="","Nama Channel kosong",""),IF('PC 02'!H186="","Link kosong",IF(ISERROR(FIND("youtu",LOWER('PC 02'!H186))),"Link bukan youtube","")),IF('PC 02'!I186="","Tgl Dibuat kosong",IF(NOT(ISNUMBER('PC 02'!I186)),"Tgl Dibuat harus tanggal","")),IF(AND('PC 02'!J186&lt;&gt;"",NOT(ISNUMBER('PC 02'!J186))),"Tgl Publish harus tanggal",""),IF(AND(ISNUMBER('PC 02'!I186),ISNUMBER('PC 02'!J186),'PC 02'!J186&lt;'PC 02'!I186),"Tgl Publish &lt; Tgl Dibuat",""),IF(AND('PC 02'!K186&lt;&gt;"",ISERROR(MATCH(TRIM('PC 02'!K186),{"Draft","Menunggu Review","Revisi","Terjadwal","Publish","Batal","Published"},0))),"Status di luar daftar","")))</f>
        <v>#ERROR!</v>
      </c>
      <c r="D186" s="5" t="str">
        <f>IF(C186="","OK","ADA MASALAH")</f>
        <v>#ERROR!</v>
      </c>
    </row>
    <row r="187">
      <c r="A187" s="3">
        <v>187.0</v>
      </c>
      <c r="B187" s="5" t="str">
        <f>'PC 02'!A187</f>
        <v/>
      </c>
      <c r="C187" s="5" t="str">
        <f>IF(COUNTA('PC 02'!A187:L187)=0,"",TEXTJOIN(" | ",TRUE,IF('PC 02'!A187="","Worker ID kosong",""),IF('PC 02'!B187="","Update Date kosong",IF(NOT(ISNUMBER('PC 02'!B187)),"Update Date harus tanggal","")),IF('PC 02'!D187="","Judul kosong",""),IF('PC 02'!F187="","Genre kosong",IF(ISERROR(MATCH(TRIM('PC 02'!F187),{"Pop","Rock","Dangdut","K-Pop","Electronic","Nasional","Daerah"},0)),"Genre di luar daftar","")),IF('PC 02'!G187="","Nama Channel kosong",""),IF('PC 02'!H187="","Link kosong",IF(ISERROR(FIND("youtu",LOWER('PC 02'!H187))),"Link bukan youtube","")),IF('PC 02'!I187="","Tgl Dibuat kosong",IF(NOT(ISNUMBER('PC 02'!I187)),"Tgl Dibuat harus tanggal","")),IF(AND('PC 02'!J187&lt;&gt;"",NOT(ISNUMBER('PC 02'!J187))),"Tgl Publish harus tanggal",""),IF(AND(ISNUMBER('PC 02'!I187),ISNUMBER('PC 02'!J187),'PC 02'!J187&lt;'PC 02'!I187),"Tgl Publish &lt; Tgl Dibuat",""),IF(AND('PC 02'!K187&lt;&gt;"",ISERROR(MATCH(TRIM('PC 02'!K187),{"Draft","Menunggu Review","Revisi","Terjadwal","Publish","Batal","Published"},0))),"Status di luar daftar","")))</f>
        <v>#ERROR!</v>
      </c>
      <c r="D187" s="5" t="str">
        <f>IF(C187="","OK","ADA MASALAH")</f>
        <v>#ERROR!</v>
      </c>
    </row>
    <row r="188">
      <c r="A188" s="3">
        <v>188.0</v>
      </c>
      <c r="B188" s="5" t="str">
        <f>'PC 02'!A188</f>
        <v/>
      </c>
      <c r="C188" s="5" t="str">
        <f>IF(COUNTA('PC 02'!A188:L188)=0,"",TEXTJOIN(" | ",TRUE,IF('PC 02'!A188="","Worker ID kosong",""),IF('PC 02'!B188="","Update Date kosong",IF(NOT(ISNUMBER('PC 02'!B188)),"Update Date harus tanggal","")),IF('PC 02'!D188="","Judul kosong",""),IF('PC 02'!F188="","Genre kosong",IF(ISERROR(MATCH(TRIM('PC 02'!F188),{"Pop","Rock","Dangdut","K-Pop","Electronic","Nasional","Daerah"},0)),"Genre di luar daftar","")),IF('PC 02'!G188="","Nama Channel kosong",""),IF('PC 02'!H188="","Link kosong",IF(ISERROR(FIND("youtu",LOWER('PC 02'!H188))),"Link bukan youtube","")),IF('PC 02'!I188="","Tgl Dibuat kosong",IF(NOT(ISNUMBER('PC 02'!I188)),"Tgl Dibuat harus tanggal","")),IF(AND('PC 02'!J188&lt;&gt;"",NOT(ISNUMBER('PC 02'!J188))),"Tgl Publish harus tanggal",""),IF(AND(ISNUMBER('PC 02'!I188),ISNUMBER('PC 02'!J188),'PC 02'!J188&lt;'PC 02'!I188),"Tgl Publish &lt; Tgl Dibuat",""),IF(AND('PC 02'!K188&lt;&gt;"",ISERROR(MATCH(TRIM('PC 02'!K188),{"Draft","Menunggu Review","Revisi","Terjadwal","Publish","Batal","Published"},0))),"Status di luar daftar","")))</f>
        <v>#ERROR!</v>
      </c>
      <c r="D188" s="5" t="str">
        <f>IF(C188="","OK","ADA MASALAH")</f>
        <v>#ERROR!</v>
      </c>
    </row>
    <row r="189">
      <c r="A189" s="3">
        <v>189.0</v>
      </c>
      <c r="B189" s="5" t="str">
        <f>'PC 02'!A189</f>
        <v/>
      </c>
      <c r="C189" s="5" t="str">
        <f>IF(COUNTA('PC 02'!A189:L189)=0,"",TEXTJOIN(" | ",TRUE,IF('PC 02'!A189="","Worker ID kosong",""),IF('PC 02'!B189="","Update Date kosong",IF(NOT(ISNUMBER('PC 02'!B189)),"Update Date harus tanggal","")),IF('PC 02'!D189="","Judul kosong",""),IF('PC 02'!F189="","Genre kosong",IF(ISERROR(MATCH(TRIM('PC 02'!F189),{"Pop","Rock","Dangdut","K-Pop","Electronic","Nasional","Daerah"},0)),"Genre di luar daftar","")),IF('PC 02'!G189="","Nama Channel kosong",""),IF('PC 02'!H189="","Link kosong",IF(ISERROR(FIND("youtu",LOWER('PC 02'!H189))),"Link bukan youtube","")),IF('PC 02'!I189="","Tgl Dibuat kosong",IF(NOT(ISNUMBER('PC 02'!I189)),"Tgl Dibuat harus tanggal","")),IF(AND('PC 02'!J189&lt;&gt;"",NOT(ISNUMBER('PC 02'!J189))),"Tgl Publish harus tanggal",""),IF(AND(ISNUMBER('PC 02'!I189),ISNUMBER('PC 02'!J189),'PC 02'!J189&lt;'PC 02'!I189),"Tgl Publish &lt; Tgl Dibuat",""),IF(AND('PC 02'!K189&lt;&gt;"",ISERROR(MATCH(TRIM('PC 02'!K189),{"Draft","Menunggu Review","Revisi","Terjadwal","Publish","Batal","Published"},0))),"Status di luar daftar","")))</f>
        <v>#ERROR!</v>
      </c>
      <c r="D189" s="5" t="str">
        <f>IF(C189="","OK","ADA MASALAH")</f>
        <v>#ERROR!</v>
      </c>
    </row>
    <row r="190">
      <c r="A190" s="3">
        <v>190.0</v>
      </c>
      <c r="B190" s="5" t="str">
        <f>'PC 02'!A190</f>
        <v/>
      </c>
      <c r="C190" s="5" t="str">
        <f>IF(COUNTA('PC 02'!A190:L190)=0,"",TEXTJOIN(" | ",TRUE,IF('PC 02'!A190="","Worker ID kosong",""),IF('PC 02'!B190="","Update Date kosong",IF(NOT(ISNUMBER('PC 02'!B190)),"Update Date harus tanggal","")),IF('PC 02'!D190="","Judul kosong",""),IF('PC 02'!F190="","Genre kosong",IF(ISERROR(MATCH(TRIM('PC 02'!F190),{"Pop","Rock","Dangdut","K-Pop","Electronic","Nasional","Daerah"},0)),"Genre di luar daftar","")),IF('PC 02'!G190="","Nama Channel kosong",""),IF('PC 02'!H190="","Link kosong",IF(ISERROR(FIND("youtu",LOWER('PC 02'!H190))),"Link bukan youtube","")),IF('PC 02'!I190="","Tgl Dibuat kosong",IF(NOT(ISNUMBER('PC 02'!I190)),"Tgl Dibuat harus tanggal","")),IF(AND('PC 02'!J190&lt;&gt;"",NOT(ISNUMBER('PC 02'!J190))),"Tgl Publish harus tanggal",""),IF(AND(ISNUMBER('PC 02'!I190),ISNUMBER('PC 02'!J190),'PC 02'!J190&lt;'PC 02'!I190),"Tgl Publish &lt; Tgl Dibuat",""),IF(AND('PC 02'!K190&lt;&gt;"",ISERROR(MATCH(TRIM('PC 02'!K190),{"Draft","Menunggu Review","Revisi","Terjadwal","Publish","Batal","Published"},0))),"Status di luar daftar","")))</f>
        <v>#ERROR!</v>
      </c>
      <c r="D190" s="5" t="str">
        <f>IF(C190="","OK","ADA MASALAH")</f>
        <v>#ERROR!</v>
      </c>
    </row>
    <row r="191">
      <c r="A191" s="3">
        <v>191.0</v>
      </c>
      <c r="B191" s="5" t="str">
        <f>'PC 02'!A191</f>
        <v/>
      </c>
      <c r="C191" s="5" t="str">
        <f>IF(COUNTA('PC 02'!A191:L191)=0,"",TEXTJOIN(" | ",TRUE,IF('PC 02'!A191="","Worker ID kosong",""),IF('PC 02'!B191="","Update Date kosong",IF(NOT(ISNUMBER('PC 02'!B191)),"Update Date harus tanggal","")),IF('PC 02'!D191="","Judul kosong",""),IF('PC 02'!F191="","Genre kosong",IF(ISERROR(MATCH(TRIM('PC 02'!F191),{"Pop","Rock","Dangdut","K-Pop","Electronic","Nasional","Daerah"},0)),"Genre di luar daftar","")),IF('PC 02'!G191="","Nama Channel kosong",""),IF('PC 02'!H191="","Link kosong",IF(ISERROR(FIND("youtu",LOWER('PC 02'!H191))),"Link bukan youtube","")),IF('PC 02'!I191="","Tgl Dibuat kosong",IF(NOT(ISNUMBER('PC 02'!I191)),"Tgl Dibuat harus tanggal","")),IF(AND('PC 02'!J191&lt;&gt;"",NOT(ISNUMBER('PC 02'!J191))),"Tgl Publish harus tanggal",""),IF(AND(ISNUMBER('PC 02'!I191),ISNUMBER('PC 02'!J191),'PC 02'!J191&lt;'PC 02'!I191),"Tgl Publish &lt; Tgl Dibuat",""),IF(AND('PC 02'!K191&lt;&gt;"",ISERROR(MATCH(TRIM('PC 02'!K191),{"Draft","Menunggu Review","Revisi","Terjadwal","Publish","Batal","Published"},0))),"Status di luar daftar","")))</f>
        <v>#ERROR!</v>
      </c>
      <c r="D191" s="5" t="str">
        <f>IF(C191="","OK","ADA MASALAH")</f>
        <v>#ERROR!</v>
      </c>
    </row>
    <row r="192">
      <c r="A192" s="3">
        <v>192.0</v>
      </c>
      <c r="B192" s="5" t="str">
        <f>'PC 02'!A192</f>
        <v/>
      </c>
      <c r="C192" s="5" t="str">
        <f>IF(COUNTA('PC 02'!A192:L192)=0,"",TEXTJOIN(" | ",TRUE,IF('PC 02'!A192="","Worker ID kosong",""),IF('PC 02'!B192="","Update Date kosong",IF(NOT(ISNUMBER('PC 02'!B192)),"Update Date harus tanggal","")),IF('PC 02'!D192="","Judul kosong",""),IF('PC 02'!F192="","Genre kosong",IF(ISERROR(MATCH(TRIM('PC 02'!F192),{"Pop","Rock","Dangdut","K-Pop","Electronic","Nasional","Daerah"},0)),"Genre di luar daftar","")),IF('PC 02'!G192="","Nama Channel kosong",""),IF('PC 02'!H192="","Link kosong",IF(ISERROR(FIND("youtu",LOWER('PC 02'!H192))),"Link bukan youtube","")),IF('PC 02'!I192="","Tgl Dibuat kosong",IF(NOT(ISNUMBER('PC 02'!I192)),"Tgl Dibuat harus tanggal","")),IF(AND('PC 02'!J192&lt;&gt;"",NOT(ISNUMBER('PC 02'!J192))),"Tgl Publish harus tanggal",""),IF(AND(ISNUMBER('PC 02'!I192),ISNUMBER('PC 02'!J192),'PC 02'!J192&lt;'PC 02'!I192),"Tgl Publish &lt; Tgl Dibuat",""),IF(AND('PC 02'!K192&lt;&gt;"",ISERROR(MATCH(TRIM('PC 02'!K192),{"Draft","Menunggu Review","Revisi","Terjadwal","Publish","Batal","Published"},0))),"Status di luar daftar","")))</f>
        <v>#ERROR!</v>
      </c>
      <c r="D192" s="5" t="str">
        <f>IF(C192="","OK","ADA MASALAH")</f>
        <v>#ERROR!</v>
      </c>
    </row>
    <row r="193">
      <c r="A193" s="3">
        <v>193.0</v>
      </c>
      <c r="B193" s="5" t="str">
        <f>'PC 02'!A193</f>
        <v/>
      </c>
      <c r="C193" s="5" t="str">
        <f>IF(COUNTA('PC 02'!A193:L193)=0,"",TEXTJOIN(" | ",TRUE,IF('PC 02'!A193="","Worker ID kosong",""),IF('PC 02'!B193="","Update Date kosong",IF(NOT(ISNUMBER('PC 02'!B193)),"Update Date harus tanggal","")),IF('PC 02'!D193="","Judul kosong",""),IF('PC 02'!F193="","Genre kosong",IF(ISERROR(MATCH(TRIM('PC 02'!F193),{"Pop","Rock","Dangdut","K-Pop","Electronic","Nasional","Daerah"},0)),"Genre di luar daftar","")),IF('PC 02'!G193="","Nama Channel kosong",""),IF('PC 02'!H193="","Link kosong",IF(ISERROR(FIND("youtu",LOWER('PC 02'!H193))),"Link bukan youtube","")),IF('PC 02'!I193="","Tgl Dibuat kosong",IF(NOT(ISNUMBER('PC 02'!I193)),"Tgl Dibuat harus tanggal","")),IF(AND('PC 02'!J193&lt;&gt;"",NOT(ISNUMBER('PC 02'!J193))),"Tgl Publish harus tanggal",""),IF(AND(ISNUMBER('PC 02'!I193),ISNUMBER('PC 02'!J193),'PC 02'!J193&lt;'PC 02'!I193),"Tgl Publish &lt; Tgl Dibuat",""),IF(AND('PC 02'!K193&lt;&gt;"",ISERROR(MATCH(TRIM('PC 02'!K193),{"Draft","Menunggu Review","Revisi","Terjadwal","Publish","Batal","Published"},0))),"Status di luar daftar","")))</f>
        <v>#ERROR!</v>
      </c>
      <c r="D193" s="5" t="str">
        <f>IF(C193="","OK","ADA MASALAH")</f>
        <v>#ERROR!</v>
      </c>
    </row>
    <row r="194">
      <c r="A194" s="3">
        <v>194.0</v>
      </c>
      <c r="B194" s="5" t="str">
        <f>'PC 02'!A194</f>
        <v/>
      </c>
      <c r="C194" s="5" t="str">
        <f>IF(COUNTA('PC 02'!A194:L194)=0,"",TEXTJOIN(" | ",TRUE,IF('PC 02'!A194="","Worker ID kosong",""),IF('PC 02'!B194="","Update Date kosong",IF(NOT(ISNUMBER('PC 02'!B194)),"Update Date harus tanggal","")),IF('PC 02'!D194="","Judul kosong",""),IF('PC 02'!F194="","Genre kosong",IF(ISERROR(MATCH(TRIM('PC 02'!F194),{"Pop","Rock","Dangdut","K-Pop","Electronic","Nasional","Daerah"},0)),"Genre di luar daftar","")),IF('PC 02'!G194="","Nama Channel kosong",""),IF('PC 02'!H194="","Link kosong",IF(ISERROR(FIND("youtu",LOWER('PC 02'!H194))),"Link bukan youtube","")),IF('PC 02'!I194="","Tgl Dibuat kosong",IF(NOT(ISNUMBER('PC 02'!I194)),"Tgl Dibuat harus tanggal","")),IF(AND('PC 02'!J194&lt;&gt;"",NOT(ISNUMBER('PC 02'!J194))),"Tgl Publish harus tanggal",""),IF(AND(ISNUMBER('PC 02'!I194),ISNUMBER('PC 02'!J194),'PC 02'!J194&lt;'PC 02'!I194),"Tgl Publish &lt; Tgl Dibuat",""),IF(AND('PC 02'!K194&lt;&gt;"",ISERROR(MATCH(TRIM('PC 02'!K194),{"Draft","Menunggu Review","Revisi","Terjadwal","Publish","Batal","Published"},0))),"Status di luar daftar","")))</f>
        <v>#ERROR!</v>
      </c>
      <c r="D194" s="5" t="str">
        <f>IF(C194="","OK","ADA MASALAH")</f>
        <v>#ERROR!</v>
      </c>
    </row>
    <row r="195">
      <c r="A195" s="3">
        <v>195.0</v>
      </c>
      <c r="B195" s="5" t="str">
        <f>'PC 02'!A195</f>
        <v/>
      </c>
      <c r="C195" s="5" t="str">
        <f>IF(COUNTA('PC 02'!A195:L195)=0,"",TEXTJOIN(" | ",TRUE,IF('PC 02'!A195="","Worker ID kosong",""),IF('PC 02'!B195="","Update Date kosong",IF(NOT(ISNUMBER('PC 02'!B195)),"Update Date harus tanggal","")),IF('PC 02'!D195="","Judul kosong",""),IF('PC 02'!F195="","Genre kosong",IF(ISERROR(MATCH(TRIM('PC 02'!F195),{"Pop","Rock","Dangdut","K-Pop","Electronic","Nasional","Daerah"},0)),"Genre di luar daftar","")),IF('PC 02'!G195="","Nama Channel kosong",""),IF('PC 02'!H195="","Link kosong",IF(ISERROR(FIND("youtu",LOWER('PC 02'!H195))),"Link bukan youtube","")),IF('PC 02'!I195="","Tgl Dibuat kosong",IF(NOT(ISNUMBER('PC 02'!I195)),"Tgl Dibuat harus tanggal","")),IF(AND('PC 02'!J195&lt;&gt;"",NOT(ISNUMBER('PC 02'!J195))),"Tgl Publish harus tanggal",""),IF(AND(ISNUMBER('PC 02'!I195),ISNUMBER('PC 02'!J195),'PC 02'!J195&lt;'PC 02'!I195),"Tgl Publish &lt; Tgl Dibuat",""),IF(AND('PC 02'!K195&lt;&gt;"",ISERROR(MATCH(TRIM('PC 02'!K195),{"Draft","Menunggu Review","Revisi","Terjadwal","Publish","Batal","Published"},0))),"Status di luar daftar","")))</f>
        <v>#ERROR!</v>
      </c>
      <c r="D195" s="5" t="str">
        <f>IF(C195="","OK","ADA MASALAH")</f>
        <v>#ERROR!</v>
      </c>
    </row>
    <row r="196">
      <c r="A196" s="3">
        <v>196.0</v>
      </c>
      <c r="B196" s="5" t="str">
        <f>'PC 02'!A196</f>
        <v/>
      </c>
      <c r="C196" s="5" t="str">
        <f>IF(COUNTA('PC 02'!A196:L196)=0,"",TEXTJOIN(" | ",TRUE,IF('PC 02'!A196="","Worker ID kosong",""),IF('PC 02'!B196="","Update Date kosong",IF(NOT(ISNUMBER('PC 02'!B196)),"Update Date harus tanggal","")),IF('PC 02'!D196="","Judul kosong",""),IF('PC 02'!F196="","Genre kosong",IF(ISERROR(MATCH(TRIM('PC 02'!F196),{"Pop","Rock","Dangdut","K-Pop","Electronic","Nasional","Daerah"},0)),"Genre di luar daftar","")),IF('PC 02'!G196="","Nama Channel kosong",""),IF('PC 02'!H196="","Link kosong",IF(ISERROR(FIND("youtu",LOWER('PC 02'!H196))),"Link bukan youtube","")),IF('PC 02'!I196="","Tgl Dibuat kosong",IF(NOT(ISNUMBER('PC 02'!I196)),"Tgl Dibuat harus tanggal","")),IF(AND('PC 02'!J196&lt;&gt;"",NOT(ISNUMBER('PC 02'!J196))),"Tgl Publish harus tanggal",""),IF(AND(ISNUMBER('PC 02'!I196),ISNUMBER('PC 02'!J196),'PC 02'!J196&lt;'PC 02'!I196),"Tgl Publish &lt; Tgl Dibuat",""),IF(AND('PC 02'!K196&lt;&gt;"",ISERROR(MATCH(TRIM('PC 02'!K196),{"Draft","Menunggu Review","Revisi","Terjadwal","Publish","Batal","Published"},0))),"Status di luar daftar","")))</f>
        <v>#ERROR!</v>
      </c>
      <c r="D196" s="5" t="str">
        <f>IF(C196="","OK","ADA MASALAH")</f>
        <v>#ERROR!</v>
      </c>
    </row>
    <row r="197">
      <c r="A197" s="3">
        <v>197.0</v>
      </c>
      <c r="B197" s="5" t="str">
        <f>'PC 02'!A197</f>
        <v/>
      </c>
      <c r="C197" s="5" t="str">
        <f>IF(COUNTA('PC 02'!A197:L197)=0,"",TEXTJOIN(" | ",TRUE,IF('PC 02'!A197="","Worker ID kosong",""),IF('PC 02'!B197="","Update Date kosong",IF(NOT(ISNUMBER('PC 02'!B197)),"Update Date harus tanggal","")),IF('PC 02'!D197="","Judul kosong",""),IF('PC 02'!F197="","Genre kosong",IF(ISERROR(MATCH(TRIM('PC 02'!F197),{"Pop","Rock","Dangdut","K-Pop","Electronic","Nasional","Daerah"},0)),"Genre di luar daftar","")),IF('PC 02'!G197="","Nama Channel kosong",""),IF('PC 02'!H197="","Link kosong",IF(ISERROR(FIND("youtu",LOWER('PC 02'!H197))),"Link bukan youtube","")),IF('PC 02'!I197="","Tgl Dibuat kosong",IF(NOT(ISNUMBER('PC 02'!I197)),"Tgl Dibuat harus tanggal","")),IF(AND('PC 02'!J197&lt;&gt;"",NOT(ISNUMBER('PC 02'!J197))),"Tgl Publish harus tanggal",""),IF(AND(ISNUMBER('PC 02'!I197),ISNUMBER('PC 02'!J197),'PC 02'!J197&lt;'PC 02'!I197),"Tgl Publish &lt; Tgl Dibuat",""),IF(AND('PC 02'!K197&lt;&gt;"",ISERROR(MATCH(TRIM('PC 02'!K197),{"Draft","Menunggu Review","Revisi","Terjadwal","Publish","Batal","Published"},0))),"Status di luar daftar","")))</f>
        <v>#ERROR!</v>
      </c>
      <c r="D197" s="5" t="str">
        <f>IF(C197="","OK","ADA MASALAH")</f>
        <v>#ERROR!</v>
      </c>
    </row>
    <row r="198">
      <c r="A198" s="3">
        <v>198.0</v>
      </c>
      <c r="B198" s="5" t="str">
        <f>'PC 02'!A198</f>
        <v/>
      </c>
      <c r="C198" s="5" t="str">
        <f>IF(COUNTA('PC 02'!A198:L198)=0,"",TEXTJOIN(" | ",TRUE,IF('PC 02'!A198="","Worker ID kosong",""),IF('PC 02'!B198="","Update Date kosong",IF(NOT(ISNUMBER('PC 02'!B198)),"Update Date harus tanggal","")),IF('PC 02'!D198="","Judul kosong",""),IF('PC 02'!F198="","Genre kosong",IF(ISERROR(MATCH(TRIM('PC 02'!F198),{"Pop","Rock","Dangdut","K-Pop","Electronic","Nasional","Daerah"},0)),"Genre di luar daftar","")),IF('PC 02'!G198="","Nama Channel kosong",""),IF('PC 02'!H198="","Link kosong",IF(ISERROR(FIND("youtu",LOWER('PC 02'!H198))),"Link bukan youtube","")),IF('PC 02'!I198="","Tgl Dibuat kosong",IF(NOT(ISNUMBER('PC 02'!I198)),"Tgl Dibuat harus tanggal","")),IF(AND('PC 02'!J198&lt;&gt;"",NOT(ISNUMBER('PC 02'!J198))),"Tgl Publish harus tanggal",""),IF(AND(ISNUMBER('PC 02'!I198),ISNUMBER('PC 02'!J198),'PC 02'!J198&lt;'PC 02'!I198),"Tgl Publish &lt; Tgl Dibuat",""),IF(AND('PC 02'!K198&lt;&gt;"",ISERROR(MATCH(TRIM('PC 02'!K198),{"Draft","Menunggu Review","Revisi","Terjadwal","Publish","Batal","Published"},0))),"Status di luar daftar","")))</f>
        <v>#ERROR!</v>
      </c>
      <c r="D198" s="5" t="str">
        <f>IF(C198="","OK","ADA MASALAH")</f>
        <v>#ERROR!</v>
      </c>
    </row>
    <row r="199">
      <c r="A199" s="3">
        <v>199.0</v>
      </c>
      <c r="B199" s="5" t="str">
        <f>'PC 02'!A199</f>
        <v/>
      </c>
      <c r="C199" s="5" t="str">
        <f>IF(COUNTA('PC 02'!A199:L199)=0,"",TEXTJOIN(" | ",TRUE,IF('PC 02'!A199="","Worker ID kosong",""),IF('PC 02'!B199="","Update Date kosong",IF(NOT(ISNUMBER('PC 02'!B199)),"Update Date harus tanggal","")),IF('PC 02'!D199="","Judul kosong",""),IF('PC 02'!F199="","Genre kosong",IF(ISERROR(MATCH(TRIM('PC 02'!F199),{"Pop","Rock","Dangdut","K-Pop","Electronic","Nasional","Daerah"},0)),"Genre di luar daftar","")),IF('PC 02'!G199="","Nama Channel kosong",""),IF('PC 02'!H199="","Link kosong",IF(ISERROR(FIND("youtu",LOWER('PC 02'!H199))),"Link bukan youtube","")),IF('PC 02'!I199="","Tgl Dibuat kosong",IF(NOT(ISNUMBER('PC 02'!I199)),"Tgl Dibuat harus tanggal","")),IF(AND('PC 02'!J199&lt;&gt;"",NOT(ISNUMBER('PC 02'!J199))),"Tgl Publish harus tanggal",""),IF(AND(ISNUMBER('PC 02'!I199),ISNUMBER('PC 02'!J199),'PC 02'!J199&lt;'PC 02'!I199),"Tgl Publish &lt; Tgl Dibuat",""),IF(AND('PC 02'!K199&lt;&gt;"",ISERROR(MATCH(TRIM('PC 02'!K199),{"Draft","Menunggu Review","Revisi","Terjadwal","Publish","Batal","Published"},0))),"Status di luar daftar","")))</f>
        <v>#ERROR!</v>
      </c>
      <c r="D199" s="5" t="str">
        <f>IF(C199="","OK","ADA MASALAH")</f>
        <v>#ERROR!</v>
      </c>
    </row>
    <row r="200">
      <c r="A200" s="3">
        <v>200.0</v>
      </c>
      <c r="B200" s="5" t="str">
        <f>'PC 02'!A200</f>
        <v/>
      </c>
      <c r="C200" s="5" t="str">
        <f>IF(COUNTA('PC 02'!A200:L200)=0,"",TEXTJOIN(" | ",TRUE,IF('PC 02'!A200="","Worker ID kosong",""),IF('PC 02'!B200="","Update Date kosong",IF(NOT(ISNUMBER('PC 02'!B200)),"Update Date harus tanggal","")),IF('PC 02'!D200="","Judul kosong",""),IF('PC 02'!F200="","Genre kosong",IF(ISERROR(MATCH(TRIM('PC 02'!F200),{"Pop","Rock","Dangdut","K-Pop","Electronic","Nasional","Daerah"},0)),"Genre di luar daftar","")),IF('PC 02'!G200="","Nama Channel kosong",""),IF('PC 02'!H200="","Link kosong",IF(ISERROR(FIND("youtu",LOWER('PC 02'!H200))),"Link bukan youtube","")),IF('PC 02'!I200="","Tgl Dibuat kosong",IF(NOT(ISNUMBER('PC 02'!I200)),"Tgl Dibuat harus tanggal","")),IF(AND('PC 02'!J200&lt;&gt;"",NOT(ISNUMBER('PC 02'!J200))),"Tgl Publish harus tanggal",""),IF(AND(ISNUMBER('PC 02'!I200),ISNUMBER('PC 02'!J200),'PC 02'!J200&lt;'PC 02'!I200),"Tgl Publish &lt; Tgl Dibuat",""),IF(AND('PC 02'!K200&lt;&gt;"",ISERROR(MATCH(TRIM('PC 02'!K200),{"Draft","Menunggu Review","Revisi","Terjadwal","Publish","Batal","Published"},0))),"Status di luar daftar","")))</f>
        <v>#ERROR!</v>
      </c>
      <c r="D200" s="5" t="str">
        <f>IF(C200="","OK","ADA MASALAH")</f>
        <v>#ERROR!</v>
      </c>
    </row>
    <row r="201">
      <c r="A201" s="3">
        <v>201.0</v>
      </c>
      <c r="B201" s="5" t="str">
        <f>'PC 02'!A201</f>
        <v/>
      </c>
      <c r="C201" s="5" t="str">
        <f>IF(COUNTA('PC 02'!A201:L201)=0,"",TEXTJOIN(" | ",TRUE,IF('PC 02'!A201="","Worker ID kosong",""),IF('PC 02'!B201="","Update Date kosong",IF(NOT(ISNUMBER('PC 02'!B201)),"Update Date harus tanggal","")),IF('PC 02'!D201="","Judul kosong",""),IF('PC 02'!F201="","Genre kosong",IF(ISERROR(MATCH(TRIM('PC 02'!F201),{"Pop","Rock","Dangdut","K-Pop","Electronic","Nasional","Daerah"},0)),"Genre di luar daftar","")),IF('PC 02'!G201="","Nama Channel kosong",""),IF('PC 02'!H201="","Link kosong",IF(ISERROR(FIND("youtu",LOWER('PC 02'!H201))),"Link bukan youtube","")),IF('PC 02'!I201="","Tgl Dibuat kosong",IF(NOT(ISNUMBER('PC 02'!I201)),"Tgl Dibuat harus tanggal","")),IF(AND('PC 02'!J201&lt;&gt;"",NOT(ISNUMBER('PC 02'!J201))),"Tgl Publish harus tanggal",""),IF(AND(ISNUMBER('PC 02'!I201),ISNUMBER('PC 02'!J201),'PC 02'!J201&lt;'PC 02'!I201),"Tgl Publish &lt; Tgl Dibuat",""),IF(AND('PC 02'!K201&lt;&gt;"",ISERROR(MATCH(TRIM('PC 02'!K201),{"Draft","Menunggu Review","Revisi","Terjadwal","Publish","Batal","Published"},0))),"Status di luar daftar","")))</f>
        <v>#ERROR!</v>
      </c>
      <c r="D201" s="5" t="str">
        <f>IF(C201="","OK","ADA MASALAH")</f>
        <v>#ERROR!</v>
      </c>
    </row>
    <row r="202">
      <c r="A202" s="3">
        <v>202.0</v>
      </c>
      <c r="B202" s="5" t="str">
        <f>'PC 02'!A202</f>
        <v/>
      </c>
      <c r="C202" s="5" t="str">
        <f>IF(COUNTA('PC 02'!A202:L202)=0,"",TEXTJOIN(" | ",TRUE,IF('PC 02'!A202="","Worker ID kosong",""),IF('PC 02'!B202="","Update Date kosong",IF(NOT(ISNUMBER('PC 02'!B202)),"Update Date harus tanggal","")),IF('PC 02'!D202="","Judul kosong",""),IF('PC 02'!F202="","Genre kosong",IF(ISERROR(MATCH(TRIM('PC 02'!F202),{"Pop","Rock","Dangdut","K-Pop","Electronic","Nasional","Daerah"},0)),"Genre di luar daftar","")),IF('PC 02'!G202="","Nama Channel kosong",""),IF('PC 02'!H202="","Link kosong",IF(ISERROR(FIND("youtu",LOWER('PC 02'!H202))),"Link bukan youtube","")),IF('PC 02'!I202="","Tgl Dibuat kosong",IF(NOT(ISNUMBER('PC 02'!I202)),"Tgl Dibuat harus tanggal","")),IF(AND('PC 02'!J202&lt;&gt;"",NOT(ISNUMBER('PC 02'!J202))),"Tgl Publish harus tanggal",""),IF(AND(ISNUMBER('PC 02'!I202),ISNUMBER('PC 02'!J202),'PC 02'!J202&lt;'PC 02'!I202),"Tgl Publish &lt; Tgl Dibuat",""),IF(AND('PC 02'!K202&lt;&gt;"",ISERROR(MATCH(TRIM('PC 02'!K202),{"Draft","Menunggu Review","Revisi","Terjadwal","Publish","Batal","Published"},0))),"Status di luar daftar","")))</f>
        <v>#ERROR!</v>
      </c>
      <c r="D202" s="5" t="str">
        <f>IF(C202="","OK","ADA MASALAH")</f>
        <v>#ERROR!</v>
      </c>
    </row>
    <row r="203">
      <c r="A203" s="3">
        <v>203.0</v>
      </c>
      <c r="B203" s="5" t="str">
        <f>'PC 02'!A203</f>
        <v/>
      </c>
      <c r="C203" s="5" t="str">
        <f>IF(COUNTA('PC 02'!A203:L203)=0,"",TEXTJOIN(" | ",TRUE,IF('PC 02'!A203="","Worker ID kosong",""),IF('PC 02'!B203="","Update Date kosong",IF(NOT(ISNUMBER('PC 02'!B203)),"Update Date harus tanggal","")),IF('PC 02'!D203="","Judul kosong",""),IF('PC 02'!F203="","Genre kosong",IF(ISERROR(MATCH(TRIM('PC 02'!F203),{"Pop","Rock","Dangdut","K-Pop","Electronic","Nasional","Daerah"},0)),"Genre di luar daftar","")),IF('PC 02'!G203="","Nama Channel kosong",""),IF('PC 02'!H203="","Link kosong",IF(ISERROR(FIND("youtu",LOWER('PC 02'!H203))),"Link bukan youtube","")),IF('PC 02'!I203="","Tgl Dibuat kosong",IF(NOT(ISNUMBER('PC 02'!I203)),"Tgl Dibuat harus tanggal","")),IF(AND('PC 02'!J203&lt;&gt;"",NOT(ISNUMBER('PC 02'!J203))),"Tgl Publish harus tanggal",""),IF(AND(ISNUMBER('PC 02'!I203),ISNUMBER('PC 02'!J203),'PC 02'!J203&lt;'PC 02'!I203),"Tgl Publish &lt; Tgl Dibuat",""),IF(AND('PC 02'!K203&lt;&gt;"",ISERROR(MATCH(TRIM('PC 02'!K203),{"Draft","Menunggu Review","Revisi","Terjadwal","Publish","Batal","Published"},0))),"Status di luar daftar","")))</f>
        <v>#ERROR!</v>
      </c>
      <c r="D203" s="5" t="str">
        <f>IF(C203="","OK","ADA MASALAH")</f>
        <v>#ERROR!</v>
      </c>
    </row>
    <row r="204">
      <c r="A204" s="3">
        <v>204.0</v>
      </c>
      <c r="B204" s="5" t="str">
        <f>'PC 02'!A204</f>
        <v/>
      </c>
      <c r="C204" s="5" t="str">
        <f>IF(COUNTA('PC 02'!A204:L204)=0,"",TEXTJOIN(" | ",TRUE,IF('PC 02'!A204="","Worker ID kosong",""),IF('PC 02'!B204="","Update Date kosong",IF(NOT(ISNUMBER('PC 02'!B204)),"Update Date harus tanggal","")),IF('PC 02'!D204="","Judul kosong",""),IF('PC 02'!F204="","Genre kosong",IF(ISERROR(MATCH(TRIM('PC 02'!F204),{"Pop","Rock","Dangdut","K-Pop","Electronic","Nasional","Daerah"},0)),"Genre di luar daftar","")),IF('PC 02'!G204="","Nama Channel kosong",""),IF('PC 02'!H204="","Link kosong",IF(ISERROR(FIND("youtu",LOWER('PC 02'!H204))),"Link bukan youtube","")),IF('PC 02'!I204="","Tgl Dibuat kosong",IF(NOT(ISNUMBER('PC 02'!I204)),"Tgl Dibuat harus tanggal","")),IF(AND('PC 02'!J204&lt;&gt;"",NOT(ISNUMBER('PC 02'!J204))),"Tgl Publish harus tanggal",""),IF(AND(ISNUMBER('PC 02'!I204),ISNUMBER('PC 02'!J204),'PC 02'!J204&lt;'PC 02'!I204),"Tgl Publish &lt; Tgl Dibuat",""),IF(AND('PC 02'!K204&lt;&gt;"",ISERROR(MATCH(TRIM('PC 02'!K204),{"Draft","Menunggu Review","Revisi","Terjadwal","Publish","Batal","Published"},0))),"Status di luar daftar","")))</f>
        <v>#ERROR!</v>
      </c>
      <c r="D204" s="5" t="str">
        <f>IF(C204="","OK","ADA MASALAH")</f>
        <v>#ERROR!</v>
      </c>
    </row>
    <row r="205">
      <c r="A205" s="3">
        <v>205.0</v>
      </c>
      <c r="B205" s="5" t="str">
        <f>'PC 02'!A205</f>
        <v/>
      </c>
      <c r="C205" s="5" t="str">
        <f>IF(COUNTA('PC 02'!A205:L205)=0,"",TEXTJOIN(" | ",TRUE,IF('PC 02'!A205="","Worker ID kosong",""),IF('PC 02'!B205="","Update Date kosong",IF(NOT(ISNUMBER('PC 02'!B205)),"Update Date harus tanggal","")),IF('PC 02'!D205="","Judul kosong",""),IF('PC 02'!F205="","Genre kosong",IF(ISERROR(MATCH(TRIM('PC 02'!F205),{"Pop","Rock","Dangdut","K-Pop","Electronic","Nasional","Daerah"},0)),"Genre di luar daftar","")),IF('PC 02'!G205="","Nama Channel kosong",""),IF('PC 02'!H205="","Link kosong",IF(ISERROR(FIND("youtu",LOWER('PC 02'!H205))),"Link bukan youtube","")),IF('PC 02'!I205="","Tgl Dibuat kosong",IF(NOT(ISNUMBER('PC 02'!I205)),"Tgl Dibuat harus tanggal","")),IF(AND('PC 02'!J205&lt;&gt;"",NOT(ISNUMBER('PC 02'!J205))),"Tgl Publish harus tanggal",""),IF(AND(ISNUMBER('PC 02'!I205),ISNUMBER('PC 02'!J205),'PC 02'!J205&lt;'PC 02'!I205),"Tgl Publish &lt; Tgl Dibuat",""),IF(AND('PC 02'!K205&lt;&gt;"",ISERROR(MATCH(TRIM('PC 02'!K205),{"Draft","Menunggu Review","Revisi","Terjadwal","Publish","Batal","Published"},0))),"Status di luar daftar","")))</f>
        <v>#ERROR!</v>
      </c>
      <c r="D205" s="5" t="str">
        <f>IF(C205="","OK","ADA MASALAH")</f>
        <v>#ERROR!</v>
      </c>
    </row>
    <row r="206">
      <c r="A206" s="3">
        <v>206.0</v>
      </c>
      <c r="B206" s="5" t="str">
        <f>'PC 02'!A206</f>
        <v/>
      </c>
      <c r="C206" s="5" t="str">
        <f>IF(COUNTA('PC 02'!A206:L206)=0,"",TEXTJOIN(" | ",TRUE,IF('PC 02'!A206="","Worker ID kosong",""),IF('PC 02'!B206="","Update Date kosong",IF(NOT(ISNUMBER('PC 02'!B206)),"Update Date harus tanggal","")),IF('PC 02'!D206="","Judul kosong",""),IF('PC 02'!F206="","Genre kosong",IF(ISERROR(MATCH(TRIM('PC 02'!F206),{"Pop","Rock","Dangdut","K-Pop","Electronic","Nasional","Daerah"},0)),"Genre di luar daftar","")),IF('PC 02'!G206="","Nama Channel kosong",""),IF('PC 02'!H206="","Link kosong",IF(ISERROR(FIND("youtu",LOWER('PC 02'!H206))),"Link bukan youtube","")),IF('PC 02'!I206="","Tgl Dibuat kosong",IF(NOT(ISNUMBER('PC 02'!I206)),"Tgl Dibuat harus tanggal","")),IF(AND('PC 02'!J206&lt;&gt;"",NOT(ISNUMBER('PC 02'!J206))),"Tgl Publish harus tanggal",""),IF(AND(ISNUMBER('PC 02'!I206),ISNUMBER('PC 02'!J206),'PC 02'!J206&lt;'PC 02'!I206),"Tgl Publish &lt; Tgl Dibuat",""),IF(AND('PC 02'!K206&lt;&gt;"",ISERROR(MATCH(TRIM('PC 02'!K206),{"Draft","Menunggu Review","Revisi","Terjadwal","Publish","Batal","Published"},0))),"Status di luar daftar","")))</f>
        <v>#ERROR!</v>
      </c>
      <c r="D206" s="5" t="str">
        <f>IF(C206="","OK","ADA MASALAH")</f>
        <v>#ERROR!</v>
      </c>
    </row>
    <row r="207">
      <c r="A207" s="3">
        <v>207.0</v>
      </c>
      <c r="B207" s="5" t="str">
        <f>'PC 02'!A207</f>
        <v/>
      </c>
      <c r="C207" s="5" t="str">
        <f>IF(COUNTA('PC 02'!A207:L207)=0,"",TEXTJOIN(" | ",TRUE,IF('PC 02'!A207="","Worker ID kosong",""),IF('PC 02'!B207="","Update Date kosong",IF(NOT(ISNUMBER('PC 02'!B207)),"Update Date harus tanggal","")),IF('PC 02'!D207="","Judul kosong",""),IF('PC 02'!F207="","Genre kosong",IF(ISERROR(MATCH(TRIM('PC 02'!F207),{"Pop","Rock","Dangdut","K-Pop","Electronic","Nasional","Daerah"},0)),"Genre di luar daftar","")),IF('PC 02'!G207="","Nama Channel kosong",""),IF('PC 02'!H207="","Link kosong",IF(ISERROR(FIND("youtu",LOWER('PC 02'!H207))),"Link bukan youtube","")),IF('PC 02'!I207="","Tgl Dibuat kosong",IF(NOT(ISNUMBER('PC 02'!I207)),"Tgl Dibuat harus tanggal","")),IF(AND('PC 02'!J207&lt;&gt;"",NOT(ISNUMBER('PC 02'!J207))),"Tgl Publish harus tanggal",""),IF(AND(ISNUMBER('PC 02'!I207),ISNUMBER('PC 02'!J207),'PC 02'!J207&lt;'PC 02'!I207),"Tgl Publish &lt; Tgl Dibuat",""),IF(AND('PC 02'!K207&lt;&gt;"",ISERROR(MATCH(TRIM('PC 02'!K207),{"Draft","Menunggu Review","Revisi","Terjadwal","Publish","Batal","Published"},0))),"Status di luar daftar","")))</f>
        <v>#ERROR!</v>
      </c>
      <c r="D207" s="5" t="str">
        <f>IF(C207="","OK","ADA MASALAH")</f>
        <v>#ERROR!</v>
      </c>
    </row>
    <row r="208">
      <c r="A208" s="3">
        <v>208.0</v>
      </c>
      <c r="B208" s="5" t="str">
        <f>'PC 02'!A208</f>
        <v/>
      </c>
      <c r="C208" s="5" t="str">
        <f>IF(COUNTA('PC 02'!A208:L208)=0,"",TEXTJOIN(" | ",TRUE,IF('PC 02'!A208="","Worker ID kosong",""),IF('PC 02'!B208="","Update Date kosong",IF(NOT(ISNUMBER('PC 02'!B208)),"Update Date harus tanggal","")),IF('PC 02'!D208="","Judul kosong",""),IF('PC 02'!F208="","Genre kosong",IF(ISERROR(MATCH(TRIM('PC 02'!F208),{"Pop","Rock","Dangdut","K-Pop","Electronic","Nasional","Daerah"},0)),"Genre di luar daftar","")),IF('PC 02'!G208="","Nama Channel kosong",""),IF('PC 02'!H208="","Link kosong",IF(ISERROR(FIND("youtu",LOWER('PC 02'!H208))),"Link bukan youtube","")),IF('PC 02'!I208="","Tgl Dibuat kosong",IF(NOT(ISNUMBER('PC 02'!I208)),"Tgl Dibuat harus tanggal","")),IF(AND('PC 02'!J208&lt;&gt;"",NOT(ISNUMBER('PC 02'!J208))),"Tgl Publish harus tanggal",""),IF(AND(ISNUMBER('PC 02'!I208),ISNUMBER('PC 02'!J208),'PC 02'!J208&lt;'PC 02'!I208),"Tgl Publish &lt; Tgl Dibuat",""),IF(AND('PC 02'!K208&lt;&gt;"",ISERROR(MATCH(TRIM('PC 02'!K208),{"Draft","Menunggu Review","Revisi","Terjadwal","Publish","Batal","Published"},0))),"Status di luar daftar","")))</f>
        <v>#ERROR!</v>
      </c>
      <c r="D208" s="5" t="str">
        <f>IF(C208="","OK","ADA MASALAH")</f>
        <v>#ERROR!</v>
      </c>
    </row>
    <row r="209">
      <c r="A209" s="3">
        <v>209.0</v>
      </c>
      <c r="B209" s="5" t="str">
        <f>'PC 02'!A209</f>
        <v/>
      </c>
      <c r="C209" s="5" t="str">
        <f>IF(COUNTA('PC 02'!A209:L209)=0,"",TEXTJOIN(" | ",TRUE,IF('PC 02'!A209="","Worker ID kosong",""),IF('PC 02'!B209="","Update Date kosong",IF(NOT(ISNUMBER('PC 02'!B209)),"Update Date harus tanggal","")),IF('PC 02'!D209="","Judul kosong",""),IF('PC 02'!F209="","Genre kosong",IF(ISERROR(MATCH(TRIM('PC 02'!F209),{"Pop","Rock","Dangdut","K-Pop","Electronic","Nasional","Daerah"},0)),"Genre di luar daftar","")),IF('PC 02'!G209="","Nama Channel kosong",""),IF('PC 02'!H209="","Link kosong",IF(ISERROR(FIND("youtu",LOWER('PC 02'!H209))),"Link bukan youtube","")),IF('PC 02'!I209="","Tgl Dibuat kosong",IF(NOT(ISNUMBER('PC 02'!I209)),"Tgl Dibuat harus tanggal","")),IF(AND('PC 02'!J209&lt;&gt;"",NOT(ISNUMBER('PC 02'!J209))),"Tgl Publish harus tanggal",""),IF(AND(ISNUMBER('PC 02'!I209),ISNUMBER('PC 02'!J209),'PC 02'!J209&lt;'PC 02'!I209),"Tgl Publish &lt; Tgl Dibuat",""),IF(AND('PC 02'!K209&lt;&gt;"",ISERROR(MATCH(TRIM('PC 02'!K209),{"Draft","Menunggu Review","Revisi","Terjadwal","Publish","Batal","Published"},0))),"Status di luar daftar","")))</f>
        <v>#ERROR!</v>
      </c>
      <c r="D209" s="5" t="str">
        <f>IF(C209="","OK","ADA MASALAH")</f>
        <v>#ERROR!</v>
      </c>
    </row>
    <row r="210">
      <c r="A210" s="3">
        <v>210.0</v>
      </c>
      <c r="B210" s="5" t="str">
        <f>'PC 02'!A210</f>
        <v/>
      </c>
      <c r="C210" s="5" t="str">
        <f>IF(COUNTA('PC 02'!A210:L210)=0,"",TEXTJOIN(" | ",TRUE,IF('PC 02'!A210="","Worker ID kosong",""),IF('PC 02'!B210="","Update Date kosong",IF(NOT(ISNUMBER('PC 02'!B210)),"Update Date harus tanggal","")),IF('PC 02'!D210="","Judul kosong",""),IF('PC 02'!F210="","Genre kosong",IF(ISERROR(MATCH(TRIM('PC 02'!F210),{"Pop","Rock","Dangdut","K-Pop","Electronic","Nasional","Daerah"},0)),"Genre di luar daftar","")),IF('PC 02'!G210="","Nama Channel kosong",""),IF('PC 02'!H210="","Link kosong",IF(ISERROR(FIND("youtu",LOWER('PC 02'!H210))),"Link bukan youtube","")),IF('PC 02'!I210="","Tgl Dibuat kosong",IF(NOT(ISNUMBER('PC 02'!I210)),"Tgl Dibuat harus tanggal","")),IF(AND('PC 02'!J210&lt;&gt;"",NOT(ISNUMBER('PC 02'!J210))),"Tgl Publish harus tanggal",""),IF(AND(ISNUMBER('PC 02'!I210),ISNUMBER('PC 02'!J210),'PC 02'!J210&lt;'PC 02'!I210),"Tgl Publish &lt; Tgl Dibuat",""),IF(AND('PC 02'!K210&lt;&gt;"",ISERROR(MATCH(TRIM('PC 02'!K210),{"Draft","Menunggu Review","Revisi","Terjadwal","Publish","Batal","Published"},0))),"Status di luar daftar","")))</f>
        <v>#ERROR!</v>
      </c>
      <c r="D210" s="5" t="str">
        <f>IF(C210="","OK","ADA MASALAH")</f>
        <v>#ERROR!</v>
      </c>
    </row>
    <row r="211">
      <c r="A211" s="3">
        <v>211.0</v>
      </c>
      <c r="B211" s="5" t="str">
        <f>'PC 02'!A211</f>
        <v/>
      </c>
      <c r="C211" s="5" t="str">
        <f>IF(COUNTA('PC 02'!A211:L211)=0,"",TEXTJOIN(" | ",TRUE,IF('PC 02'!A211="","Worker ID kosong",""),IF('PC 02'!B211="","Update Date kosong",IF(NOT(ISNUMBER('PC 02'!B211)),"Update Date harus tanggal","")),IF('PC 02'!D211="","Judul kosong",""),IF('PC 02'!F211="","Genre kosong",IF(ISERROR(MATCH(TRIM('PC 02'!F211),{"Pop","Rock","Dangdut","K-Pop","Electronic","Nasional","Daerah"},0)),"Genre di luar daftar","")),IF('PC 02'!G211="","Nama Channel kosong",""),IF('PC 02'!H211="","Link kosong",IF(ISERROR(FIND("youtu",LOWER('PC 02'!H211))),"Link bukan youtube","")),IF('PC 02'!I211="","Tgl Dibuat kosong",IF(NOT(ISNUMBER('PC 02'!I211)),"Tgl Dibuat harus tanggal","")),IF(AND('PC 02'!J211&lt;&gt;"",NOT(ISNUMBER('PC 02'!J211))),"Tgl Publish harus tanggal",""),IF(AND(ISNUMBER('PC 02'!I211),ISNUMBER('PC 02'!J211),'PC 02'!J211&lt;'PC 02'!I211),"Tgl Publish &lt; Tgl Dibuat",""),IF(AND('PC 02'!K211&lt;&gt;"",ISERROR(MATCH(TRIM('PC 02'!K211),{"Draft","Menunggu Review","Revisi","Terjadwal","Publish","Batal","Published"},0))),"Status di luar daftar","")))</f>
        <v>#ERROR!</v>
      </c>
      <c r="D211" s="5" t="str">
        <f>IF(C211="","OK","ADA MASALAH")</f>
        <v>#ERROR!</v>
      </c>
    </row>
    <row r="212">
      <c r="A212" s="3">
        <v>212.0</v>
      </c>
      <c r="B212" s="5" t="str">
        <f>'PC 02'!A212</f>
        <v/>
      </c>
      <c r="C212" s="5" t="str">
        <f>IF(COUNTA('PC 02'!A212:L212)=0,"",TEXTJOIN(" | ",TRUE,IF('PC 02'!A212="","Worker ID kosong",""),IF('PC 02'!B212="","Update Date kosong",IF(NOT(ISNUMBER('PC 02'!B212)),"Update Date harus tanggal","")),IF('PC 02'!D212="","Judul kosong",""),IF('PC 02'!F212="","Genre kosong",IF(ISERROR(MATCH(TRIM('PC 02'!F212),{"Pop","Rock","Dangdut","K-Pop","Electronic","Nasional","Daerah"},0)),"Genre di luar daftar","")),IF('PC 02'!G212="","Nama Channel kosong",""),IF('PC 02'!H212="","Link kosong",IF(ISERROR(FIND("youtu",LOWER('PC 02'!H212))),"Link bukan youtube","")),IF('PC 02'!I212="","Tgl Dibuat kosong",IF(NOT(ISNUMBER('PC 02'!I212)),"Tgl Dibuat harus tanggal","")),IF(AND('PC 02'!J212&lt;&gt;"",NOT(ISNUMBER('PC 02'!J212))),"Tgl Publish harus tanggal",""),IF(AND(ISNUMBER('PC 02'!I212),ISNUMBER('PC 02'!J212),'PC 02'!J212&lt;'PC 02'!I212),"Tgl Publish &lt; Tgl Dibuat",""),IF(AND('PC 02'!K212&lt;&gt;"",ISERROR(MATCH(TRIM('PC 02'!K212),{"Draft","Menunggu Review","Revisi","Terjadwal","Publish","Batal","Published"},0))),"Status di luar daftar","")))</f>
        <v>#ERROR!</v>
      </c>
      <c r="D212" s="5" t="str">
        <f>IF(C212="","OK","ADA MASALAH")</f>
        <v>#ERROR!</v>
      </c>
    </row>
    <row r="213">
      <c r="A213" s="3">
        <v>213.0</v>
      </c>
      <c r="B213" s="5" t="str">
        <f>'PC 02'!A213</f>
        <v/>
      </c>
      <c r="C213" s="5" t="str">
        <f>IF(COUNTA('PC 02'!A213:L213)=0,"",TEXTJOIN(" | ",TRUE,IF('PC 02'!A213="","Worker ID kosong",""),IF('PC 02'!B213="","Update Date kosong",IF(NOT(ISNUMBER('PC 02'!B213)),"Update Date harus tanggal","")),IF('PC 02'!D213="","Judul kosong",""),IF('PC 02'!F213="","Genre kosong",IF(ISERROR(MATCH(TRIM('PC 02'!F213),{"Pop","Rock","Dangdut","K-Pop","Electronic","Nasional","Daerah"},0)),"Genre di luar daftar","")),IF('PC 02'!G213="","Nama Channel kosong",""),IF('PC 02'!H213="","Link kosong",IF(ISERROR(FIND("youtu",LOWER('PC 02'!H213))),"Link bukan youtube","")),IF('PC 02'!I213="","Tgl Dibuat kosong",IF(NOT(ISNUMBER('PC 02'!I213)),"Tgl Dibuat harus tanggal","")),IF(AND('PC 02'!J213&lt;&gt;"",NOT(ISNUMBER('PC 02'!J213))),"Tgl Publish harus tanggal",""),IF(AND(ISNUMBER('PC 02'!I213),ISNUMBER('PC 02'!J213),'PC 02'!J213&lt;'PC 02'!I213),"Tgl Publish &lt; Tgl Dibuat",""),IF(AND('PC 02'!K213&lt;&gt;"",ISERROR(MATCH(TRIM('PC 02'!K213),{"Draft","Menunggu Review","Revisi","Terjadwal","Publish","Batal","Published"},0))),"Status di luar daftar","")))</f>
        <v>#ERROR!</v>
      </c>
      <c r="D213" s="5" t="str">
        <f>IF(C213="","OK","ADA MASALAH")</f>
        <v>#ERROR!</v>
      </c>
    </row>
    <row r="214">
      <c r="A214" s="3">
        <v>214.0</v>
      </c>
      <c r="B214" s="5" t="str">
        <f>'PC 02'!A214</f>
        <v/>
      </c>
      <c r="C214" s="5" t="str">
        <f>IF(COUNTA('PC 02'!A214:L214)=0,"",TEXTJOIN(" | ",TRUE,IF('PC 02'!A214="","Worker ID kosong",""),IF('PC 02'!B214="","Update Date kosong",IF(NOT(ISNUMBER('PC 02'!B214)),"Update Date harus tanggal","")),IF('PC 02'!D214="","Judul kosong",""),IF('PC 02'!F214="","Genre kosong",IF(ISERROR(MATCH(TRIM('PC 02'!F214),{"Pop","Rock","Dangdut","K-Pop","Electronic","Nasional","Daerah"},0)),"Genre di luar daftar","")),IF('PC 02'!G214="","Nama Channel kosong",""),IF('PC 02'!H214="","Link kosong",IF(ISERROR(FIND("youtu",LOWER('PC 02'!H214))),"Link bukan youtube","")),IF('PC 02'!I214="","Tgl Dibuat kosong",IF(NOT(ISNUMBER('PC 02'!I214)),"Tgl Dibuat harus tanggal","")),IF(AND('PC 02'!J214&lt;&gt;"",NOT(ISNUMBER('PC 02'!J214))),"Tgl Publish harus tanggal",""),IF(AND(ISNUMBER('PC 02'!I214),ISNUMBER('PC 02'!J214),'PC 02'!J214&lt;'PC 02'!I214),"Tgl Publish &lt; Tgl Dibuat",""),IF(AND('PC 02'!K214&lt;&gt;"",ISERROR(MATCH(TRIM('PC 02'!K214),{"Draft","Menunggu Review","Revisi","Terjadwal","Publish","Batal","Published"},0))),"Status di luar daftar","")))</f>
        <v>#ERROR!</v>
      </c>
      <c r="D214" s="5" t="str">
        <f>IF(C214="","OK","ADA MASALAH")</f>
        <v>#ERROR!</v>
      </c>
    </row>
    <row r="215">
      <c r="A215" s="3">
        <v>215.0</v>
      </c>
      <c r="B215" s="5" t="str">
        <f>'PC 02'!A215</f>
        <v/>
      </c>
      <c r="C215" s="5" t="str">
        <f>IF(COUNTA('PC 02'!A215:L215)=0,"",TEXTJOIN(" | ",TRUE,IF('PC 02'!A215="","Worker ID kosong",""),IF('PC 02'!B215="","Update Date kosong",IF(NOT(ISNUMBER('PC 02'!B215)),"Update Date harus tanggal","")),IF('PC 02'!D215="","Judul kosong",""),IF('PC 02'!F215="","Genre kosong",IF(ISERROR(MATCH(TRIM('PC 02'!F215),{"Pop","Rock","Dangdut","K-Pop","Electronic","Nasional","Daerah"},0)),"Genre di luar daftar","")),IF('PC 02'!G215="","Nama Channel kosong",""),IF('PC 02'!H215="","Link kosong",IF(ISERROR(FIND("youtu",LOWER('PC 02'!H215))),"Link bukan youtube","")),IF('PC 02'!I215="","Tgl Dibuat kosong",IF(NOT(ISNUMBER('PC 02'!I215)),"Tgl Dibuat harus tanggal","")),IF(AND('PC 02'!J215&lt;&gt;"",NOT(ISNUMBER('PC 02'!J215))),"Tgl Publish harus tanggal",""),IF(AND(ISNUMBER('PC 02'!I215),ISNUMBER('PC 02'!J215),'PC 02'!J215&lt;'PC 02'!I215),"Tgl Publish &lt; Tgl Dibuat",""),IF(AND('PC 02'!K215&lt;&gt;"",ISERROR(MATCH(TRIM('PC 02'!K215),{"Draft","Menunggu Review","Revisi","Terjadwal","Publish","Batal","Published"},0))),"Status di luar daftar","")))</f>
        <v>#ERROR!</v>
      </c>
      <c r="D215" s="5" t="str">
        <f>IF(C215="","OK","ADA MASALAH")</f>
        <v>#ERROR!</v>
      </c>
    </row>
    <row r="216">
      <c r="A216" s="3">
        <v>216.0</v>
      </c>
      <c r="B216" s="5" t="str">
        <f>'PC 02'!A216</f>
        <v/>
      </c>
      <c r="C216" s="5" t="str">
        <f>IF(COUNTA('PC 02'!A216:L216)=0,"",TEXTJOIN(" | ",TRUE,IF('PC 02'!A216="","Worker ID kosong",""),IF('PC 02'!B216="","Update Date kosong",IF(NOT(ISNUMBER('PC 02'!B216)),"Update Date harus tanggal","")),IF('PC 02'!D216="","Judul kosong",""),IF('PC 02'!F216="","Genre kosong",IF(ISERROR(MATCH(TRIM('PC 02'!F216),{"Pop","Rock","Dangdut","K-Pop","Electronic","Nasional","Daerah"},0)),"Genre di luar daftar","")),IF('PC 02'!G216="","Nama Channel kosong",""),IF('PC 02'!H216="","Link kosong",IF(ISERROR(FIND("youtu",LOWER('PC 02'!H216))),"Link bukan youtube","")),IF('PC 02'!I216="","Tgl Dibuat kosong",IF(NOT(ISNUMBER('PC 02'!I216)),"Tgl Dibuat harus tanggal","")),IF(AND('PC 02'!J216&lt;&gt;"",NOT(ISNUMBER('PC 02'!J216))),"Tgl Publish harus tanggal",""),IF(AND(ISNUMBER('PC 02'!I216),ISNUMBER('PC 02'!J216),'PC 02'!J216&lt;'PC 02'!I216),"Tgl Publish &lt; Tgl Dibuat",""),IF(AND('PC 02'!K216&lt;&gt;"",ISERROR(MATCH(TRIM('PC 02'!K216),{"Draft","Menunggu Review","Revisi","Terjadwal","Publish","Batal","Published"},0))),"Status di luar daftar","")))</f>
        <v>#ERROR!</v>
      </c>
      <c r="D216" s="5" t="str">
        <f>IF(C216="","OK","ADA MASALAH")</f>
        <v>#ERROR!</v>
      </c>
    </row>
    <row r="217">
      <c r="A217" s="3">
        <v>217.0</v>
      </c>
      <c r="B217" s="5" t="str">
        <f>'PC 02'!A217</f>
        <v/>
      </c>
      <c r="C217" s="5" t="str">
        <f>IF(COUNTA('PC 02'!A217:L217)=0,"",TEXTJOIN(" | ",TRUE,IF('PC 02'!A217="","Worker ID kosong",""),IF('PC 02'!B217="","Update Date kosong",IF(NOT(ISNUMBER('PC 02'!B217)),"Update Date harus tanggal","")),IF('PC 02'!D217="","Judul kosong",""),IF('PC 02'!F217="","Genre kosong",IF(ISERROR(MATCH(TRIM('PC 02'!F217),{"Pop","Rock","Dangdut","K-Pop","Electronic","Nasional","Daerah"},0)),"Genre di luar daftar","")),IF('PC 02'!G217="","Nama Channel kosong",""),IF('PC 02'!H217="","Link kosong",IF(ISERROR(FIND("youtu",LOWER('PC 02'!H217))),"Link bukan youtube","")),IF('PC 02'!I217="","Tgl Dibuat kosong",IF(NOT(ISNUMBER('PC 02'!I217)),"Tgl Dibuat harus tanggal","")),IF(AND('PC 02'!J217&lt;&gt;"",NOT(ISNUMBER('PC 02'!J217))),"Tgl Publish harus tanggal",""),IF(AND(ISNUMBER('PC 02'!I217),ISNUMBER('PC 02'!J217),'PC 02'!J217&lt;'PC 02'!I217),"Tgl Publish &lt; Tgl Dibuat",""),IF(AND('PC 02'!K217&lt;&gt;"",ISERROR(MATCH(TRIM('PC 02'!K217),{"Draft","Menunggu Review","Revisi","Terjadwal","Publish","Batal","Published"},0))),"Status di luar daftar","")))</f>
        <v>#ERROR!</v>
      </c>
      <c r="D217" s="5" t="str">
        <f>IF(C217="","OK","ADA MASALAH")</f>
        <v>#ERROR!</v>
      </c>
    </row>
    <row r="218">
      <c r="A218" s="3">
        <v>218.0</v>
      </c>
      <c r="B218" s="5" t="str">
        <f>'PC 02'!A218</f>
        <v/>
      </c>
      <c r="C218" s="5" t="str">
        <f>IF(COUNTA('PC 02'!A218:L218)=0,"",TEXTJOIN(" | ",TRUE,IF('PC 02'!A218="","Worker ID kosong",""),IF('PC 02'!B218="","Update Date kosong",IF(NOT(ISNUMBER('PC 02'!B218)),"Update Date harus tanggal","")),IF('PC 02'!D218="","Judul kosong",""),IF('PC 02'!F218="","Genre kosong",IF(ISERROR(MATCH(TRIM('PC 02'!F218),{"Pop","Rock","Dangdut","K-Pop","Electronic","Nasional","Daerah"},0)),"Genre di luar daftar","")),IF('PC 02'!G218="","Nama Channel kosong",""),IF('PC 02'!H218="","Link kosong",IF(ISERROR(FIND("youtu",LOWER('PC 02'!H218))),"Link bukan youtube","")),IF('PC 02'!I218="","Tgl Dibuat kosong",IF(NOT(ISNUMBER('PC 02'!I218)),"Tgl Dibuat harus tanggal","")),IF(AND('PC 02'!J218&lt;&gt;"",NOT(ISNUMBER('PC 02'!J218))),"Tgl Publish harus tanggal",""),IF(AND(ISNUMBER('PC 02'!I218),ISNUMBER('PC 02'!J218),'PC 02'!J218&lt;'PC 02'!I218),"Tgl Publish &lt; Tgl Dibuat",""),IF(AND('PC 02'!K218&lt;&gt;"",ISERROR(MATCH(TRIM('PC 02'!K218),{"Draft","Menunggu Review","Revisi","Terjadwal","Publish","Batal","Published"},0))),"Status di luar daftar","")))</f>
        <v>#ERROR!</v>
      </c>
      <c r="D218" s="5" t="str">
        <f>IF(C218="","OK","ADA MASALAH")</f>
        <v>#ERROR!</v>
      </c>
    </row>
    <row r="219">
      <c r="A219" s="3">
        <v>219.0</v>
      </c>
      <c r="B219" s="5" t="str">
        <f>'PC 02'!A219</f>
        <v/>
      </c>
      <c r="C219" s="5" t="str">
        <f>IF(COUNTA('PC 02'!A219:L219)=0,"",TEXTJOIN(" | ",TRUE,IF('PC 02'!A219="","Worker ID kosong",""),IF('PC 02'!B219="","Update Date kosong",IF(NOT(ISNUMBER('PC 02'!B219)),"Update Date harus tanggal","")),IF('PC 02'!D219="","Judul kosong",""),IF('PC 02'!F219="","Genre kosong",IF(ISERROR(MATCH(TRIM('PC 02'!F219),{"Pop","Rock","Dangdut","K-Pop","Electronic","Nasional","Daerah"},0)),"Genre di luar daftar","")),IF('PC 02'!G219="","Nama Channel kosong",""),IF('PC 02'!H219="","Link kosong",IF(ISERROR(FIND("youtu",LOWER('PC 02'!H219))),"Link bukan youtube","")),IF('PC 02'!I219="","Tgl Dibuat kosong",IF(NOT(ISNUMBER('PC 02'!I219)),"Tgl Dibuat harus tanggal","")),IF(AND('PC 02'!J219&lt;&gt;"",NOT(ISNUMBER('PC 02'!J219))),"Tgl Publish harus tanggal",""),IF(AND(ISNUMBER('PC 02'!I219),ISNUMBER('PC 02'!J219),'PC 02'!J219&lt;'PC 02'!I219),"Tgl Publish &lt; Tgl Dibuat",""),IF(AND('PC 02'!K219&lt;&gt;"",ISERROR(MATCH(TRIM('PC 02'!K219),{"Draft","Menunggu Review","Revisi","Terjadwal","Publish","Batal","Published"},0))),"Status di luar daftar","")))</f>
        <v>#ERROR!</v>
      </c>
      <c r="D219" s="5" t="str">
        <f>IF(C219="","OK","ADA MASALAH")</f>
        <v>#ERROR!</v>
      </c>
    </row>
    <row r="220">
      <c r="A220" s="3">
        <v>220.0</v>
      </c>
      <c r="B220" s="5" t="str">
        <f>'PC 02'!A220</f>
        <v/>
      </c>
      <c r="C220" s="5" t="str">
        <f>IF(COUNTA('PC 02'!A220:L220)=0,"",TEXTJOIN(" | ",TRUE,IF('PC 02'!A220="","Worker ID kosong",""),IF('PC 02'!B220="","Update Date kosong",IF(NOT(ISNUMBER('PC 02'!B220)),"Update Date harus tanggal","")),IF('PC 02'!D220="","Judul kosong",""),IF('PC 02'!F220="","Genre kosong",IF(ISERROR(MATCH(TRIM('PC 02'!F220),{"Pop","Rock","Dangdut","K-Pop","Electronic","Nasional","Daerah"},0)),"Genre di luar daftar","")),IF('PC 02'!G220="","Nama Channel kosong",""),IF('PC 02'!H220="","Link kosong",IF(ISERROR(FIND("youtu",LOWER('PC 02'!H220))),"Link bukan youtube","")),IF('PC 02'!I220="","Tgl Dibuat kosong",IF(NOT(ISNUMBER('PC 02'!I220)),"Tgl Dibuat harus tanggal","")),IF(AND('PC 02'!J220&lt;&gt;"",NOT(ISNUMBER('PC 02'!J220))),"Tgl Publish harus tanggal",""),IF(AND(ISNUMBER('PC 02'!I220),ISNUMBER('PC 02'!J220),'PC 02'!J220&lt;'PC 02'!I220),"Tgl Publish &lt; Tgl Dibuat",""),IF(AND('PC 02'!K220&lt;&gt;"",ISERROR(MATCH(TRIM('PC 02'!K220),{"Draft","Menunggu Review","Revisi","Terjadwal","Publish","Batal","Published"},0))),"Status di luar daftar","")))</f>
        <v>#ERROR!</v>
      </c>
      <c r="D220" s="5" t="str">
        <f>IF(C220="","OK","ADA MASALAH")</f>
        <v>#ERROR!</v>
      </c>
    </row>
    <row r="221">
      <c r="A221" s="3">
        <v>221.0</v>
      </c>
      <c r="B221" s="5" t="str">
        <f>'PC 02'!A221</f>
        <v/>
      </c>
      <c r="C221" s="5" t="str">
        <f>IF(COUNTA('PC 02'!A221:L221)=0,"",TEXTJOIN(" | ",TRUE,IF('PC 02'!A221="","Worker ID kosong",""),IF('PC 02'!B221="","Update Date kosong",IF(NOT(ISNUMBER('PC 02'!B221)),"Update Date harus tanggal","")),IF('PC 02'!D221="","Judul kosong",""),IF('PC 02'!F221="","Genre kosong",IF(ISERROR(MATCH(TRIM('PC 02'!F221),{"Pop","Rock","Dangdut","K-Pop","Electronic","Nasional","Daerah"},0)),"Genre di luar daftar","")),IF('PC 02'!G221="","Nama Channel kosong",""),IF('PC 02'!H221="","Link kosong",IF(ISERROR(FIND("youtu",LOWER('PC 02'!H221))),"Link bukan youtube","")),IF('PC 02'!I221="","Tgl Dibuat kosong",IF(NOT(ISNUMBER('PC 02'!I221)),"Tgl Dibuat harus tanggal","")),IF(AND('PC 02'!J221&lt;&gt;"",NOT(ISNUMBER('PC 02'!J221))),"Tgl Publish harus tanggal",""),IF(AND(ISNUMBER('PC 02'!I221),ISNUMBER('PC 02'!J221),'PC 02'!J221&lt;'PC 02'!I221),"Tgl Publish &lt; Tgl Dibuat",""),IF(AND('PC 02'!K221&lt;&gt;"",ISERROR(MATCH(TRIM('PC 02'!K221),{"Draft","Menunggu Review","Revisi","Terjadwal","Publish","Batal","Published"},0))),"Status di luar daftar","")))</f>
        <v>#ERROR!</v>
      </c>
      <c r="D221" s="5" t="str">
        <f>IF(C221="","OK","ADA MASALAH")</f>
        <v>#ERROR!</v>
      </c>
    </row>
    <row r="222">
      <c r="A222" s="3">
        <v>222.0</v>
      </c>
      <c r="B222" s="5" t="str">
        <f>'PC 02'!A222</f>
        <v/>
      </c>
      <c r="C222" s="5" t="str">
        <f>IF(COUNTA('PC 02'!A222:L222)=0,"",TEXTJOIN(" | ",TRUE,IF('PC 02'!A222="","Worker ID kosong",""),IF('PC 02'!B222="","Update Date kosong",IF(NOT(ISNUMBER('PC 02'!B222)),"Update Date harus tanggal","")),IF('PC 02'!D222="","Judul kosong",""),IF('PC 02'!F222="","Genre kosong",IF(ISERROR(MATCH(TRIM('PC 02'!F222),{"Pop","Rock","Dangdut","K-Pop","Electronic","Nasional","Daerah"},0)),"Genre di luar daftar","")),IF('PC 02'!G222="","Nama Channel kosong",""),IF('PC 02'!H222="","Link kosong",IF(ISERROR(FIND("youtu",LOWER('PC 02'!H222))),"Link bukan youtube","")),IF('PC 02'!I222="","Tgl Dibuat kosong",IF(NOT(ISNUMBER('PC 02'!I222)),"Tgl Dibuat harus tanggal","")),IF(AND('PC 02'!J222&lt;&gt;"",NOT(ISNUMBER('PC 02'!J222))),"Tgl Publish harus tanggal",""),IF(AND(ISNUMBER('PC 02'!I222),ISNUMBER('PC 02'!J222),'PC 02'!J222&lt;'PC 02'!I222),"Tgl Publish &lt; Tgl Dibuat",""),IF(AND('PC 02'!K222&lt;&gt;"",ISERROR(MATCH(TRIM('PC 02'!K222),{"Draft","Menunggu Review","Revisi","Terjadwal","Publish","Batal","Published"},0))),"Status di luar daftar","")))</f>
        <v>#ERROR!</v>
      </c>
      <c r="D222" s="5" t="str">
        <f>IF(C222="","OK","ADA MASALAH")</f>
        <v>#ERROR!</v>
      </c>
    </row>
    <row r="223">
      <c r="A223" s="3">
        <v>223.0</v>
      </c>
      <c r="B223" s="5" t="str">
        <f>'PC 02'!A223</f>
        <v/>
      </c>
      <c r="C223" s="5" t="str">
        <f>IF(COUNTA('PC 02'!A223:L223)=0,"",TEXTJOIN(" | ",TRUE,IF('PC 02'!A223="","Worker ID kosong",""),IF('PC 02'!B223="","Update Date kosong",IF(NOT(ISNUMBER('PC 02'!B223)),"Update Date harus tanggal","")),IF('PC 02'!D223="","Judul kosong",""),IF('PC 02'!F223="","Genre kosong",IF(ISERROR(MATCH(TRIM('PC 02'!F223),{"Pop","Rock","Dangdut","K-Pop","Electronic","Nasional","Daerah"},0)),"Genre di luar daftar","")),IF('PC 02'!G223="","Nama Channel kosong",""),IF('PC 02'!H223="","Link kosong",IF(ISERROR(FIND("youtu",LOWER('PC 02'!H223))),"Link bukan youtube","")),IF('PC 02'!I223="","Tgl Dibuat kosong",IF(NOT(ISNUMBER('PC 02'!I223)),"Tgl Dibuat harus tanggal","")),IF(AND('PC 02'!J223&lt;&gt;"",NOT(ISNUMBER('PC 02'!J223))),"Tgl Publish harus tanggal",""),IF(AND(ISNUMBER('PC 02'!I223),ISNUMBER('PC 02'!J223),'PC 02'!J223&lt;'PC 02'!I223),"Tgl Publish &lt; Tgl Dibuat",""),IF(AND('PC 02'!K223&lt;&gt;"",ISERROR(MATCH(TRIM('PC 02'!K223),{"Draft","Menunggu Review","Revisi","Terjadwal","Publish","Batal","Published"},0))),"Status di luar daftar","")))</f>
        <v>#ERROR!</v>
      </c>
      <c r="D223" s="5" t="str">
        <f>IF(C223="","OK","ADA MASALAH")</f>
        <v>#ERROR!</v>
      </c>
    </row>
    <row r="224">
      <c r="A224" s="3">
        <v>224.0</v>
      </c>
      <c r="B224" s="5" t="str">
        <f>'PC 02'!A224</f>
        <v/>
      </c>
      <c r="C224" s="5" t="str">
        <f>IF(COUNTA('PC 02'!A224:L224)=0,"",TEXTJOIN(" | ",TRUE,IF('PC 02'!A224="","Worker ID kosong",""),IF('PC 02'!B224="","Update Date kosong",IF(NOT(ISNUMBER('PC 02'!B224)),"Update Date harus tanggal","")),IF('PC 02'!D224="","Judul kosong",""),IF('PC 02'!F224="","Genre kosong",IF(ISERROR(MATCH(TRIM('PC 02'!F224),{"Pop","Rock","Dangdut","K-Pop","Electronic","Nasional","Daerah"},0)),"Genre di luar daftar","")),IF('PC 02'!G224="","Nama Channel kosong",""),IF('PC 02'!H224="","Link kosong",IF(ISERROR(FIND("youtu",LOWER('PC 02'!H224))),"Link bukan youtube","")),IF('PC 02'!I224="","Tgl Dibuat kosong",IF(NOT(ISNUMBER('PC 02'!I224)),"Tgl Dibuat harus tanggal","")),IF(AND('PC 02'!J224&lt;&gt;"",NOT(ISNUMBER('PC 02'!J224))),"Tgl Publish harus tanggal",""),IF(AND(ISNUMBER('PC 02'!I224),ISNUMBER('PC 02'!J224),'PC 02'!J224&lt;'PC 02'!I224),"Tgl Publish &lt; Tgl Dibuat",""),IF(AND('PC 02'!K224&lt;&gt;"",ISERROR(MATCH(TRIM('PC 02'!K224),{"Draft","Menunggu Review","Revisi","Terjadwal","Publish","Batal","Published"},0))),"Status di luar daftar","")))</f>
        <v>#ERROR!</v>
      </c>
      <c r="D224" s="5" t="str">
        <f>IF(C224="","OK","ADA MASALAH")</f>
        <v>#ERROR!</v>
      </c>
    </row>
    <row r="225">
      <c r="A225" s="3">
        <v>225.0</v>
      </c>
      <c r="B225" s="5" t="str">
        <f>'PC 02'!A225</f>
        <v/>
      </c>
      <c r="C225" s="5" t="str">
        <f>IF(COUNTA('PC 02'!A225:L225)=0,"",TEXTJOIN(" | ",TRUE,IF('PC 02'!A225="","Worker ID kosong",""),IF('PC 02'!B225="","Update Date kosong",IF(NOT(ISNUMBER('PC 02'!B225)),"Update Date harus tanggal","")),IF('PC 02'!D225="","Judul kosong",""),IF('PC 02'!F225="","Genre kosong",IF(ISERROR(MATCH(TRIM('PC 02'!F225),{"Pop","Rock","Dangdut","K-Pop","Electronic","Nasional","Daerah"},0)),"Genre di luar daftar","")),IF('PC 02'!G225="","Nama Channel kosong",""),IF('PC 02'!H225="","Link kosong",IF(ISERROR(FIND("youtu",LOWER('PC 02'!H225))),"Link bukan youtube","")),IF('PC 02'!I225="","Tgl Dibuat kosong",IF(NOT(ISNUMBER('PC 02'!I225)),"Tgl Dibuat harus tanggal","")),IF(AND('PC 02'!J225&lt;&gt;"",NOT(ISNUMBER('PC 02'!J225))),"Tgl Publish harus tanggal",""),IF(AND(ISNUMBER('PC 02'!I225),ISNUMBER('PC 02'!J225),'PC 02'!J225&lt;'PC 02'!I225),"Tgl Publish &lt; Tgl Dibuat",""),IF(AND('PC 02'!K225&lt;&gt;"",ISERROR(MATCH(TRIM('PC 02'!K225),{"Draft","Menunggu Review","Revisi","Terjadwal","Publish","Batal","Published"},0))),"Status di luar daftar","")))</f>
        <v>#ERROR!</v>
      </c>
      <c r="D225" s="5" t="str">
        <f>IF(C225="","OK","ADA MASALAH")</f>
        <v>#ERROR!</v>
      </c>
    </row>
    <row r="226">
      <c r="A226" s="3">
        <v>226.0</v>
      </c>
      <c r="B226" s="5" t="str">
        <f>'PC 02'!A226</f>
        <v/>
      </c>
      <c r="C226" s="5" t="str">
        <f>IF(COUNTA('PC 02'!A226:L226)=0,"",TEXTJOIN(" | ",TRUE,IF('PC 02'!A226="","Worker ID kosong",""),IF('PC 02'!B226="","Update Date kosong",IF(NOT(ISNUMBER('PC 02'!B226)),"Update Date harus tanggal","")),IF('PC 02'!D226="","Judul kosong",""),IF('PC 02'!F226="","Genre kosong",IF(ISERROR(MATCH(TRIM('PC 02'!F226),{"Pop","Rock","Dangdut","K-Pop","Electronic","Nasional","Daerah"},0)),"Genre di luar daftar","")),IF('PC 02'!G226="","Nama Channel kosong",""),IF('PC 02'!H226="","Link kosong",IF(ISERROR(FIND("youtu",LOWER('PC 02'!H226))),"Link bukan youtube","")),IF('PC 02'!I226="","Tgl Dibuat kosong",IF(NOT(ISNUMBER('PC 02'!I226)),"Tgl Dibuat harus tanggal","")),IF(AND('PC 02'!J226&lt;&gt;"",NOT(ISNUMBER('PC 02'!J226))),"Tgl Publish harus tanggal",""),IF(AND(ISNUMBER('PC 02'!I226),ISNUMBER('PC 02'!J226),'PC 02'!J226&lt;'PC 02'!I226),"Tgl Publish &lt; Tgl Dibuat",""),IF(AND('PC 02'!K226&lt;&gt;"",ISERROR(MATCH(TRIM('PC 02'!K226),{"Draft","Menunggu Review","Revisi","Terjadwal","Publish","Batal","Published"},0))),"Status di luar daftar","")))</f>
        <v>#ERROR!</v>
      </c>
      <c r="D226" s="5" t="str">
        <f>IF(C226="","OK","ADA MASALAH")</f>
        <v>#ERROR!</v>
      </c>
    </row>
    <row r="227">
      <c r="A227" s="3">
        <v>227.0</v>
      </c>
      <c r="B227" s="5" t="str">
        <f>'PC 02'!A227</f>
        <v/>
      </c>
      <c r="C227" s="5" t="str">
        <f>IF(COUNTA('PC 02'!A227:L227)=0,"",TEXTJOIN(" | ",TRUE,IF('PC 02'!A227="","Worker ID kosong",""),IF('PC 02'!B227="","Update Date kosong",IF(NOT(ISNUMBER('PC 02'!B227)),"Update Date harus tanggal","")),IF('PC 02'!D227="","Judul kosong",""),IF('PC 02'!F227="","Genre kosong",IF(ISERROR(MATCH(TRIM('PC 02'!F227),{"Pop","Rock","Dangdut","K-Pop","Electronic","Nasional","Daerah"},0)),"Genre di luar daftar","")),IF('PC 02'!G227="","Nama Channel kosong",""),IF('PC 02'!H227="","Link kosong",IF(ISERROR(FIND("youtu",LOWER('PC 02'!H227))),"Link bukan youtube","")),IF('PC 02'!I227="","Tgl Dibuat kosong",IF(NOT(ISNUMBER('PC 02'!I227)),"Tgl Dibuat harus tanggal","")),IF(AND('PC 02'!J227&lt;&gt;"",NOT(ISNUMBER('PC 02'!J227))),"Tgl Publish harus tanggal",""),IF(AND(ISNUMBER('PC 02'!I227),ISNUMBER('PC 02'!J227),'PC 02'!J227&lt;'PC 02'!I227),"Tgl Publish &lt; Tgl Dibuat",""),IF(AND('PC 02'!K227&lt;&gt;"",ISERROR(MATCH(TRIM('PC 02'!K227),{"Draft","Menunggu Review","Revisi","Terjadwal","Publish","Batal","Published"},0))),"Status di luar daftar","")))</f>
        <v>#ERROR!</v>
      </c>
      <c r="D227" s="5" t="str">
        <f>IF(C227="","OK","ADA MASALAH")</f>
        <v>#ERROR!</v>
      </c>
    </row>
    <row r="228">
      <c r="A228" s="3">
        <v>228.0</v>
      </c>
      <c r="B228" s="5" t="str">
        <f>'PC 02'!A228</f>
        <v/>
      </c>
      <c r="C228" s="5" t="str">
        <f>IF(COUNTA('PC 02'!A228:L228)=0,"",TEXTJOIN(" | ",TRUE,IF('PC 02'!A228="","Worker ID kosong",""),IF('PC 02'!B228="","Update Date kosong",IF(NOT(ISNUMBER('PC 02'!B228)),"Update Date harus tanggal","")),IF('PC 02'!D228="","Judul kosong",""),IF('PC 02'!F228="","Genre kosong",IF(ISERROR(MATCH(TRIM('PC 02'!F228),{"Pop","Rock","Dangdut","K-Pop","Electronic","Nasional","Daerah"},0)),"Genre di luar daftar","")),IF('PC 02'!G228="","Nama Channel kosong",""),IF('PC 02'!H228="","Link kosong",IF(ISERROR(FIND("youtu",LOWER('PC 02'!H228))),"Link bukan youtube","")),IF('PC 02'!I228="","Tgl Dibuat kosong",IF(NOT(ISNUMBER('PC 02'!I228)),"Tgl Dibuat harus tanggal","")),IF(AND('PC 02'!J228&lt;&gt;"",NOT(ISNUMBER('PC 02'!J228))),"Tgl Publish harus tanggal",""),IF(AND(ISNUMBER('PC 02'!I228),ISNUMBER('PC 02'!J228),'PC 02'!J228&lt;'PC 02'!I228),"Tgl Publish &lt; Tgl Dibuat",""),IF(AND('PC 02'!K228&lt;&gt;"",ISERROR(MATCH(TRIM('PC 02'!K228),{"Draft","Menunggu Review","Revisi","Terjadwal","Publish","Batal","Published"},0))),"Status di luar daftar","")))</f>
        <v>#ERROR!</v>
      </c>
      <c r="D228" s="5" t="str">
        <f>IF(C228="","OK","ADA MASALAH")</f>
        <v>#ERROR!</v>
      </c>
    </row>
    <row r="229">
      <c r="A229" s="3">
        <v>229.0</v>
      </c>
      <c r="B229" s="5" t="str">
        <f>'PC 02'!A229</f>
        <v/>
      </c>
      <c r="C229" s="5" t="str">
        <f>IF(COUNTA('PC 02'!A229:L229)=0,"",TEXTJOIN(" | ",TRUE,IF('PC 02'!A229="","Worker ID kosong",""),IF('PC 02'!B229="","Update Date kosong",IF(NOT(ISNUMBER('PC 02'!B229)),"Update Date harus tanggal","")),IF('PC 02'!D229="","Judul kosong",""),IF('PC 02'!F229="","Genre kosong",IF(ISERROR(MATCH(TRIM('PC 02'!F229),{"Pop","Rock","Dangdut","K-Pop","Electronic","Nasional","Daerah"},0)),"Genre di luar daftar","")),IF('PC 02'!G229="","Nama Channel kosong",""),IF('PC 02'!H229="","Link kosong",IF(ISERROR(FIND("youtu",LOWER('PC 02'!H229))),"Link bukan youtube","")),IF('PC 02'!I229="","Tgl Dibuat kosong",IF(NOT(ISNUMBER('PC 02'!I229)),"Tgl Dibuat harus tanggal","")),IF(AND('PC 02'!J229&lt;&gt;"",NOT(ISNUMBER('PC 02'!J229))),"Tgl Publish harus tanggal",""),IF(AND(ISNUMBER('PC 02'!I229),ISNUMBER('PC 02'!J229),'PC 02'!J229&lt;'PC 02'!I229),"Tgl Publish &lt; Tgl Dibuat",""),IF(AND('PC 02'!K229&lt;&gt;"",ISERROR(MATCH(TRIM('PC 02'!K229),{"Draft","Menunggu Review","Revisi","Terjadwal","Publish","Batal","Published"},0))),"Status di luar daftar","")))</f>
        <v>#ERROR!</v>
      </c>
      <c r="D229" s="5" t="str">
        <f>IF(C229="","OK","ADA MASALAH")</f>
        <v>#ERROR!</v>
      </c>
    </row>
    <row r="230">
      <c r="A230" s="3">
        <v>230.0</v>
      </c>
      <c r="B230" s="5" t="str">
        <f>'PC 02'!A230</f>
        <v/>
      </c>
      <c r="C230" s="5" t="str">
        <f>IF(COUNTA('PC 02'!A230:L230)=0,"",TEXTJOIN(" | ",TRUE,IF('PC 02'!A230="","Worker ID kosong",""),IF('PC 02'!B230="","Update Date kosong",IF(NOT(ISNUMBER('PC 02'!B230)),"Update Date harus tanggal","")),IF('PC 02'!D230="","Judul kosong",""),IF('PC 02'!F230="","Genre kosong",IF(ISERROR(MATCH(TRIM('PC 02'!F230),{"Pop","Rock","Dangdut","K-Pop","Electronic","Nasional","Daerah"},0)),"Genre di luar daftar","")),IF('PC 02'!G230="","Nama Channel kosong",""),IF('PC 02'!H230="","Link kosong",IF(ISERROR(FIND("youtu",LOWER('PC 02'!H230))),"Link bukan youtube","")),IF('PC 02'!I230="","Tgl Dibuat kosong",IF(NOT(ISNUMBER('PC 02'!I230)),"Tgl Dibuat harus tanggal","")),IF(AND('PC 02'!J230&lt;&gt;"",NOT(ISNUMBER('PC 02'!J230))),"Tgl Publish harus tanggal",""),IF(AND(ISNUMBER('PC 02'!I230),ISNUMBER('PC 02'!J230),'PC 02'!J230&lt;'PC 02'!I230),"Tgl Publish &lt; Tgl Dibuat",""),IF(AND('PC 02'!K230&lt;&gt;"",ISERROR(MATCH(TRIM('PC 02'!K230),{"Draft","Menunggu Review","Revisi","Terjadwal","Publish","Batal","Published"},0))),"Status di luar daftar","")))</f>
        <v>#ERROR!</v>
      </c>
      <c r="D230" s="5" t="str">
        <f>IF(C230="","OK","ADA MASALAH")</f>
        <v>#ERROR!</v>
      </c>
    </row>
    <row r="231">
      <c r="A231" s="3">
        <v>231.0</v>
      </c>
      <c r="B231" s="5" t="str">
        <f>'PC 02'!A231</f>
        <v/>
      </c>
      <c r="C231" s="5" t="str">
        <f>IF(COUNTA('PC 02'!A231:L231)=0,"",TEXTJOIN(" | ",TRUE,IF('PC 02'!A231="","Worker ID kosong",""),IF('PC 02'!B231="","Update Date kosong",IF(NOT(ISNUMBER('PC 02'!B231)),"Update Date harus tanggal","")),IF('PC 02'!D231="","Judul kosong",""),IF('PC 02'!F231="","Genre kosong",IF(ISERROR(MATCH(TRIM('PC 02'!F231),{"Pop","Rock","Dangdut","K-Pop","Electronic","Nasional","Daerah"},0)),"Genre di luar daftar","")),IF('PC 02'!G231="","Nama Channel kosong",""),IF('PC 02'!H231="","Link kosong",IF(ISERROR(FIND("youtu",LOWER('PC 02'!H231))),"Link bukan youtube","")),IF('PC 02'!I231="","Tgl Dibuat kosong",IF(NOT(ISNUMBER('PC 02'!I231)),"Tgl Dibuat harus tanggal","")),IF(AND('PC 02'!J231&lt;&gt;"",NOT(ISNUMBER('PC 02'!J231))),"Tgl Publish harus tanggal",""),IF(AND(ISNUMBER('PC 02'!I231),ISNUMBER('PC 02'!J231),'PC 02'!J231&lt;'PC 02'!I231),"Tgl Publish &lt; Tgl Dibuat",""),IF(AND('PC 02'!K231&lt;&gt;"",ISERROR(MATCH(TRIM('PC 02'!K231),{"Draft","Menunggu Review","Revisi","Terjadwal","Publish","Batal","Published"},0))),"Status di luar daftar","")))</f>
        <v>#ERROR!</v>
      </c>
      <c r="D231" s="5" t="str">
        <f>IF(C231="","OK","ADA MASALAH")</f>
        <v>#ERROR!</v>
      </c>
    </row>
    <row r="232">
      <c r="A232" s="3">
        <v>232.0</v>
      </c>
      <c r="B232" s="5" t="str">
        <f>'PC 02'!A232</f>
        <v/>
      </c>
      <c r="C232" s="5" t="str">
        <f>IF(COUNTA('PC 02'!A232:L232)=0,"",TEXTJOIN(" | ",TRUE,IF('PC 02'!A232="","Worker ID kosong",""),IF('PC 02'!B232="","Update Date kosong",IF(NOT(ISNUMBER('PC 02'!B232)),"Update Date harus tanggal","")),IF('PC 02'!D232="","Judul kosong",""),IF('PC 02'!F232="","Genre kosong",IF(ISERROR(MATCH(TRIM('PC 02'!F232),{"Pop","Rock","Dangdut","K-Pop","Electronic","Nasional","Daerah"},0)),"Genre di luar daftar","")),IF('PC 02'!G232="","Nama Channel kosong",""),IF('PC 02'!H232="","Link kosong",IF(ISERROR(FIND("youtu",LOWER('PC 02'!H232))),"Link bukan youtube","")),IF('PC 02'!I232="","Tgl Dibuat kosong",IF(NOT(ISNUMBER('PC 02'!I232)),"Tgl Dibuat harus tanggal","")),IF(AND('PC 02'!J232&lt;&gt;"",NOT(ISNUMBER('PC 02'!J232))),"Tgl Publish harus tanggal",""),IF(AND(ISNUMBER('PC 02'!I232),ISNUMBER('PC 02'!J232),'PC 02'!J232&lt;'PC 02'!I232),"Tgl Publish &lt; Tgl Dibuat",""),IF(AND('PC 02'!K232&lt;&gt;"",ISERROR(MATCH(TRIM('PC 02'!K232),{"Draft","Menunggu Review","Revisi","Terjadwal","Publish","Batal","Published"},0))),"Status di luar daftar","")))</f>
        <v>#ERROR!</v>
      </c>
      <c r="D232" s="5" t="str">
        <f>IF(C232="","OK","ADA MASALAH")</f>
        <v>#ERROR!</v>
      </c>
    </row>
    <row r="233">
      <c r="A233" s="3">
        <v>233.0</v>
      </c>
      <c r="B233" s="5" t="str">
        <f>'PC 02'!A233</f>
        <v/>
      </c>
      <c r="C233" s="5" t="str">
        <f>IF(COUNTA('PC 02'!A233:L233)=0,"",TEXTJOIN(" | ",TRUE,IF('PC 02'!A233="","Worker ID kosong",""),IF('PC 02'!B233="","Update Date kosong",IF(NOT(ISNUMBER('PC 02'!B233)),"Update Date harus tanggal","")),IF('PC 02'!D233="","Judul kosong",""),IF('PC 02'!F233="","Genre kosong",IF(ISERROR(MATCH(TRIM('PC 02'!F233),{"Pop","Rock","Dangdut","K-Pop","Electronic","Nasional","Daerah"},0)),"Genre di luar daftar","")),IF('PC 02'!G233="","Nama Channel kosong",""),IF('PC 02'!H233="","Link kosong",IF(ISERROR(FIND("youtu",LOWER('PC 02'!H233))),"Link bukan youtube","")),IF('PC 02'!I233="","Tgl Dibuat kosong",IF(NOT(ISNUMBER('PC 02'!I233)),"Tgl Dibuat harus tanggal","")),IF(AND('PC 02'!J233&lt;&gt;"",NOT(ISNUMBER('PC 02'!J233))),"Tgl Publish harus tanggal",""),IF(AND(ISNUMBER('PC 02'!I233),ISNUMBER('PC 02'!J233),'PC 02'!J233&lt;'PC 02'!I233),"Tgl Publish &lt; Tgl Dibuat",""),IF(AND('PC 02'!K233&lt;&gt;"",ISERROR(MATCH(TRIM('PC 02'!K233),{"Draft","Menunggu Review","Revisi","Terjadwal","Publish","Batal","Published"},0))),"Status di luar daftar","")))</f>
        <v>#ERROR!</v>
      </c>
      <c r="D233" s="5" t="str">
        <f>IF(C233="","OK","ADA MASALAH")</f>
        <v>#ERROR!</v>
      </c>
    </row>
    <row r="234">
      <c r="A234" s="3">
        <v>234.0</v>
      </c>
      <c r="B234" s="5" t="str">
        <f>'PC 02'!A234</f>
        <v/>
      </c>
      <c r="C234" s="5" t="str">
        <f>IF(COUNTA('PC 02'!A234:L234)=0,"",TEXTJOIN(" | ",TRUE,IF('PC 02'!A234="","Worker ID kosong",""),IF('PC 02'!B234="","Update Date kosong",IF(NOT(ISNUMBER('PC 02'!B234)),"Update Date harus tanggal","")),IF('PC 02'!D234="","Judul kosong",""),IF('PC 02'!F234="","Genre kosong",IF(ISERROR(MATCH(TRIM('PC 02'!F234),{"Pop","Rock","Dangdut","K-Pop","Electronic","Nasional","Daerah"},0)),"Genre di luar daftar","")),IF('PC 02'!G234="","Nama Channel kosong",""),IF('PC 02'!H234="","Link kosong",IF(ISERROR(FIND("youtu",LOWER('PC 02'!H234))),"Link bukan youtube","")),IF('PC 02'!I234="","Tgl Dibuat kosong",IF(NOT(ISNUMBER('PC 02'!I234)),"Tgl Dibuat harus tanggal","")),IF(AND('PC 02'!J234&lt;&gt;"",NOT(ISNUMBER('PC 02'!J234))),"Tgl Publish harus tanggal",""),IF(AND(ISNUMBER('PC 02'!I234),ISNUMBER('PC 02'!J234),'PC 02'!J234&lt;'PC 02'!I234),"Tgl Publish &lt; Tgl Dibuat",""),IF(AND('PC 02'!K234&lt;&gt;"",ISERROR(MATCH(TRIM('PC 02'!K234),{"Draft","Menunggu Review","Revisi","Terjadwal","Publish","Batal","Published"},0))),"Status di luar daftar","")))</f>
        <v>#ERROR!</v>
      </c>
      <c r="D234" s="5" t="str">
        <f>IF(C234="","OK","ADA MASALAH")</f>
        <v>#ERROR!</v>
      </c>
    </row>
    <row r="235">
      <c r="A235" s="3">
        <v>235.0</v>
      </c>
      <c r="B235" s="5" t="str">
        <f>'PC 02'!A235</f>
        <v/>
      </c>
      <c r="C235" s="5" t="str">
        <f>IF(COUNTA('PC 02'!A235:L235)=0,"",TEXTJOIN(" | ",TRUE,IF('PC 02'!A235="","Worker ID kosong",""),IF('PC 02'!B235="","Update Date kosong",IF(NOT(ISNUMBER('PC 02'!B235)),"Update Date harus tanggal","")),IF('PC 02'!D235="","Judul kosong",""),IF('PC 02'!F235="","Genre kosong",IF(ISERROR(MATCH(TRIM('PC 02'!F235),{"Pop","Rock","Dangdut","K-Pop","Electronic","Nasional","Daerah"},0)),"Genre di luar daftar","")),IF('PC 02'!G235="","Nama Channel kosong",""),IF('PC 02'!H235="","Link kosong",IF(ISERROR(FIND("youtu",LOWER('PC 02'!H235))),"Link bukan youtube","")),IF('PC 02'!I235="","Tgl Dibuat kosong",IF(NOT(ISNUMBER('PC 02'!I235)),"Tgl Dibuat harus tanggal","")),IF(AND('PC 02'!J235&lt;&gt;"",NOT(ISNUMBER('PC 02'!J235))),"Tgl Publish harus tanggal",""),IF(AND(ISNUMBER('PC 02'!I235),ISNUMBER('PC 02'!J235),'PC 02'!J235&lt;'PC 02'!I235),"Tgl Publish &lt; Tgl Dibuat",""),IF(AND('PC 02'!K235&lt;&gt;"",ISERROR(MATCH(TRIM('PC 02'!K235),{"Draft","Menunggu Review","Revisi","Terjadwal","Publish","Batal","Published"},0))),"Status di luar daftar","")))</f>
        <v>#ERROR!</v>
      </c>
      <c r="D235" s="5" t="str">
        <f>IF(C235="","OK","ADA MASALAH")</f>
        <v>#ERROR!</v>
      </c>
    </row>
    <row r="236">
      <c r="A236" s="3">
        <v>236.0</v>
      </c>
      <c r="B236" s="5" t="str">
        <f>'PC 02'!A236</f>
        <v/>
      </c>
      <c r="C236" s="5" t="str">
        <f>IF(COUNTA('PC 02'!A236:L236)=0,"",TEXTJOIN(" | ",TRUE,IF('PC 02'!A236="","Worker ID kosong",""),IF('PC 02'!B236="","Update Date kosong",IF(NOT(ISNUMBER('PC 02'!B236)),"Update Date harus tanggal","")),IF('PC 02'!D236="","Judul kosong",""),IF('PC 02'!F236="","Genre kosong",IF(ISERROR(MATCH(TRIM('PC 02'!F236),{"Pop","Rock","Dangdut","K-Pop","Electronic","Nasional","Daerah"},0)),"Genre di luar daftar","")),IF('PC 02'!G236="","Nama Channel kosong",""),IF('PC 02'!H236="","Link kosong",IF(ISERROR(FIND("youtu",LOWER('PC 02'!H236))),"Link bukan youtube","")),IF('PC 02'!I236="","Tgl Dibuat kosong",IF(NOT(ISNUMBER('PC 02'!I236)),"Tgl Dibuat harus tanggal","")),IF(AND('PC 02'!J236&lt;&gt;"",NOT(ISNUMBER('PC 02'!J236))),"Tgl Publish harus tanggal",""),IF(AND(ISNUMBER('PC 02'!I236),ISNUMBER('PC 02'!J236),'PC 02'!J236&lt;'PC 02'!I236),"Tgl Publish &lt; Tgl Dibuat",""),IF(AND('PC 02'!K236&lt;&gt;"",ISERROR(MATCH(TRIM('PC 02'!K236),{"Draft","Menunggu Review","Revisi","Terjadwal","Publish","Batal","Published"},0))),"Status di luar daftar","")))</f>
        <v>#ERROR!</v>
      </c>
      <c r="D236" s="5" t="str">
        <f>IF(C236="","OK","ADA MASALAH")</f>
        <v>#ERROR!</v>
      </c>
    </row>
    <row r="237">
      <c r="A237" s="3">
        <v>237.0</v>
      </c>
      <c r="B237" s="5" t="str">
        <f>'PC 02'!A237</f>
        <v/>
      </c>
      <c r="C237" s="5" t="str">
        <f>IF(COUNTA('PC 02'!A237:L237)=0,"",TEXTJOIN(" | ",TRUE,IF('PC 02'!A237="","Worker ID kosong",""),IF('PC 02'!B237="","Update Date kosong",IF(NOT(ISNUMBER('PC 02'!B237)),"Update Date harus tanggal","")),IF('PC 02'!D237="","Judul kosong",""),IF('PC 02'!F237="","Genre kosong",IF(ISERROR(MATCH(TRIM('PC 02'!F237),{"Pop","Rock","Dangdut","K-Pop","Electronic","Nasional","Daerah"},0)),"Genre di luar daftar","")),IF('PC 02'!G237="","Nama Channel kosong",""),IF('PC 02'!H237="","Link kosong",IF(ISERROR(FIND("youtu",LOWER('PC 02'!H237))),"Link bukan youtube","")),IF('PC 02'!I237="","Tgl Dibuat kosong",IF(NOT(ISNUMBER('PC 02'!I237)),"Tgl Dibuat harus tanggal","")),IF(AND('PC 02'!J237&lt;&gt;"",NOT(ISNUMBER('PC 02'!J237))),"Tgl Publish harus tanggal",""),IF(AND(ISNUMBER('PC 02'!I237),ISNUMBER('PC 02'!J237),'PC 02'!J237&lt;'PC 02'!I237),"Tgl Publish &lt; Tgl Dibuat",""),IF(AND('PC 02'!K237&lt;&gt;"",ISERROR(MATCH(TRIM('PC 02'!K237),{"Draft","Menunggu Review","Revisi","Terjadwal","Publish","Batal","Published"},0))),"Status di luar daftar","")))</f>
        <v>#ERROR!</v>
      </c>
      <c r="D237" s="5" t="str">
        <f>IF(C237="","OK","ADA MASALAH")</f>
        <v>#ERROR!</v>
      </c>
    </row>
    <row r="238">
      <c r="A238" s="3">
        <v>238.0</v>
      </c>
      <c r="B238" s="5" t="str">
        <f>'PC 02'!A238</f>
        <v/>
      </c>
      <c r="C238" s="5" t="str">
        <f>IF(COUNTA('PC 02'!A238:L238)=0,"",TEXTJOIN(" | ",TRUE,IF('PC 02'!A238="","Worker ID kosong",""),IF('PC 02'!B238="","Update Date kosong",IF(NOT(ISNUMBER('PC 02'!B238)),"Update Date harus tanggal","")),IF('PC 02'!D238="","Judul kosong",""),IF('PC 02'!F238="","Genre kosong",IF(ISERROR(MATCH(TRIM('PC 02'!F238),{"Pop","Rock","Dangdut","K-Pop","Electronic","Nasional","Daerah"},0)),"Genre di luar daftar","")),IF('PC 02'!G238="","Nama Channel kosong",""),IF('PC 02'!H238="","Link kosong",IF(ISERROR(FIND("youtu",LOWER('PC 02'!H238))),"Link bukan youtube","")),IF('PC 02'!I238="","Tgl Dibuat kosong",IF(NOT(ISNUMBER('PC 02'!I238)),"Tgl Dibuat harus tanggal","")),IF(AND('PC 02'!J238&lt;&gt;"",NOT(ISNUMBER('PC 02'!J238))),"Tgl Publish harus tanggal",""),IF(AND(ISNUMBER('PC 02'!I238),ISNUMBER('PC 02'!J238),'PC 02'!J238&lt;'PC 02'!I238),"Tgl Publish &lt; Tgl Dibuat",""),IF(AND('PC 02'!K238&lt;&gt;"",ISERROR(MATCH(TRIM('PC 02'!K238),{"Draft","Menunggu Review","Revisi","Terjadwal","Publish","Batal","Published"},0))),"Status di luar daftar","")))</f>
        <v>#ERROR!</v>
      </c>
      <c r="D238" s="5" t="str">
        <f>IF(C238="","OK","ADA MASALAH")</f>
        <v>#ERROR!</v>
      </c>
    </row>
    <row r="239">
      <c r="A239" s="3">
        <v>239.0</v>
      </c>
      <c r="B239" s="5" t="str">
        <f>'PC 02'!A239</f>
        <v/>
      </c>
      <c r="C239" s="5" t="str">
        <f>IF(COUNTA('PC 02'!A239:L239)=0,"",TEXTJOIN(" | ",TRUE,IF('PC 02'!A239="","Worker ID kosong",""),IF('PC 02'!B239="","Update Date kosong",IF(NOT(ISNUMBER('PC 02'!B239)),"Update Date harus tanggal","")),IF('PC 02'!D239="","Judul kosong",""),IF('PC 02'!F239="","Genre kosong",IF(ISERROR(MATCH(TRIM('PC 02'!F239),{"Pop","Rock","Dangdut","K-Pop","Electronic","Nasional","Daerah"},0)),"Genre di luar daftar","")),IF('PC 02'!G239="","Nama Channel kosong",""),IF('PC 02'!H239="","Link kosong",IF(ISERROR(FIND("youtu",LOWER('PC 02'!H239))),"Link bukan youtube","")),IF('PC 02'!I239="","Tgl Dibuat kosong",IF(NOT(ISNUMBER('PC 02'!I239)),"Tgl Dibuat harus tanggal","")),IF(AND('PC 02'!J239&lt;&gt;"",NOT(ISNUMBER('PC 02'!J239))),"Tgl Publish harus tanggal",""),IF(AND(ISNUMBER('PC 02'!I239),ISNUMBER('PC 02'!J239),'PC 02'!J239&lt;'PC 02'!I239),"Tgl Publish &lt; Tgl Dibuat",""),IF(AND('PC 02'!K239&lt;&gt;"",ISERROR(MATCH(TRIM('PC 02'!K239),{"Draft","Menunggu Review","Revisi","Terjadwal","Publish","Batal","Published"},0))),"Status di luar daftar","")))</f>
        <v>#ERROR!</v>
      </c>
      <c r="D239" s="5" t="str">
        <f>IF(C239="","OK","ADA MASALAH")</f>
        <v>#ERROR!</v>
      </c>
    </row>
    <row r="240">
      <c r="A240" s="3">
        <v>240.0</v>
      </c>
      <c r="B240" s="5" t="str">
        <f>'PC 02'!A240</f>
        <v/>
      </c>
      <c r="C240" s="5" t="str">
        <f>IF(COUNTA('PC 02'!A240:L240)=0,"",TEXTJOIN(" | ",TRUE,IF('PC 02'!A240="","Worker ID kosong",""),IF('PC 02'!B240="","Update Date kosong",IF(NOT(ISNUMBER('PC 02'!B240)),"Update Date harus tanggal","")),IF('PC 02'!D240="","Judul kosong",""),IF('PC 02'!F240="","Genre kosong",IF(ISERROR(MATCH(TRIM('PC 02'!F240),{"Pop","Rock","Dangdut","K-Pop","Electronic","Nasional","Daerah"},0)),"Genre di luar daftar","")),IF('PC 02'!G240="","Nama Channel kosong",""),IF('PC 02'!H240="","Link kosong",IF(ISERROR(FIND("youtu",LOWER('PC 02'!H240))),"Link bukan youtube","")),IF('PC 02'!I240="","Tgl Dibuat kosong",IF(NOT(ISNUMBER('PC 02'!I240)),"Tgl Dibuat harus tanggal","")),IF(AND('PC 02'!J240&lt;&gt;"",NOT(ISNUMBER('PC 02'!J240))),"Tgl Publish harus tanggal",""),IF(AND(ISNUMBER('PC 02'!I240),ISNUMBER('PC 02'!J240),'PC 02'!J240&lt;'PC 02'!I240),"Tgl Publish &lt; Tgl Dibuat",""),IF(AND('PC 02'!K240&lt;&gt;"",ISERROR(MATCH(TRIM('PC 02'!K240),{"Draft","Menunggu Review","Revisi","Terjadwal","Publish","Batal","Published"},0))),"Status di luar daftar","")))</f>
        <v>#ERROR!</v>
      </c>
      <c r="D240" s="5" t="str">
        <f>IF(C240="","OK","ADA MASALAH")</f>
        <v>#ERROR!</v>
      </c>
    </row>
    <row r="241">
      <c r="A241" s="3">
        <v>241.0</v>
      </c>
      <c r="B241" s="5" t="str">
        <f>'PC 02'!A241</f>
        <v/>
      </c>
      <c r="C241" s="5" t="str">
        <f>IF(COUNTA('PC 02'!A241:L241)=0,"",TEXTJOIN(" | ",TRUE,IF('PC 02'!A241="","Worker ID kosong",""),IF('PC 02'!B241="","Update Date kosong",IF(NOT(ISNUMBER('PC 02'!B241)),"Update Date harus tanggal","")),IF('PC 02'!D241="","Judul kosong",""),IF('PC 02'!F241="","Genre kosong",IF(ISERROR(MATCH(TRIM('PC 02'!F241),{"Pop","Rock","Dangdut","K-Pop","Electronic","Nasional","Daerah"},0)),"Genre di luar daftar","")),IF('PC 02'!G241="","Nama Channel kosong",""),IF('PC 02'!H241="","Link kosong",IF(ISERROR(FIND("youtu",LOWER('PC 02'!H241))),"Link bukan youtube","")),IF('PC 02'!I241="","Tgl Dibuat kosong",IF(NOT(ISNUMBER('PC 02'!I241)),"Tgl Dibuat harus tanggal","")),IF(AND('PC 02'!J241&lt;&gt;"",NOT(ISNUMBER('PC 02'!J241))),"Tgl Publish harus tanggal",""),IF(AND(ISNUMBER('PC 02'!I241),ISNUMBER('PC 02'!J241),'PC 02'!J241&lt;'PC 02'!I241),"Tgl Publish &lt; Tgl Dibuat",""),IF(AND('PC 02'!K241&lt;&gt;"",ISERROR(MATCH(TRIM('PC 02'!K241),{"Draft","Menunggu Review","Revisi","Terjadwal","Publish","Batal","Published"},0))),"Status di luar daftar","")))</f>
        <v>#ERROR!</v>
      </c>
      <c r="D241" s="5" t="str">
        <f>IF(C241="","OK","ADA MASALAH")</f>
        <v>#ERROR!</v>
      </c>
    </row>
    <row r="242">
      <c r="A242" s="3">
        <v>242.0</v>
      </c>
      <c r="B242" s="5" t="str">
        <f>'PC 02'!A242</f>
        <v/>
      </c>
      <c r="C242" s="5" t="str">
        <f>IF(COUNTA('PC 02'!A242:L242)=0,"",TEXTJOIN(" | ",TRUE,IF('PC 02'!A242="","Worker ID kosong",""),IF('PC 02'!B242="","Update Date kosong",IF(NOT(ISNUMBER('PC 02'!B242)),"Update Date harus tanggal","")),IF('PC 02'!D242="","Judul kosong",""),IF('PC 02'!F242="","Genre kosong",IF(ISERROR(MATCH(TRIM('PC 02'!F242),{"Pop","Rock","Dangdut","K-Pop","Electronic","Nasional","Daerah"},0)),"Genre di luar daftar","")),IF('PC 02'!G242="","Nama Channel kosong",""),IF('PC 02'!H242="","Link kosong",IF(ISERROR(FIND("youtu",LOWER('PC 02'!H242))),"Link bukan youtube","")),IF('PC 02'!I242="","Tgl Dibuat kosong",IF(NOT(ISNUMBER('PC 02'!I242)),"Tgl Dibuat harus tanggal","")),IF(AND('PC 02'!J242&lt;&gt;"",NOT(ISNUMBER('PC 02'!J242))),"Tgl Publish harus tanggal",""),IF(AND(ISNUMBER('PC 02'!I242),ISNUMBER('PC 02'!J242),'PC 02'!J242&lt;'PC 02'!I242),"Tgl Publish &lt; Tgl Dibuat",""),IF(AND('PC 02'!K242&lt;&gt;"",ISERROR(MATCH(TRIM('PC 02'!K242),{"Draft","Menunggu Review","Revisi","Terjadwal","Publish","Batal","Published"},0))),"Status di luar daftar","")))</f>
        <v>#ERROR!</v>
      </c>
      <c r="D242" s="5" t="str">
        <f>IF(C242="","OK","ADA MASALAH")</f>
        <v>#ERROR!</v>
      </c>
    </row>
    <row r="243">
      <c r="A243" s="3">
        <v>243.0</v>
      </c>
      <c r="B243" s="5" t="str">
        <f>'PC 02'!A243</f>
        <v/>
      </c>
      <c r="C243" s="5" t="str">
        <f>IF(COUNTA('PC 02'!A243:L243)=0,"",TEXTJOIN(" | ",TRUE,IF('PC 02'!A243="","Worker ID kosong",""),IF('PC 02'!B243="","Update Date kosong",IF(NOT(ISNUMBER('PC 02'!B243)),"Update Date harus tanggal","")),IF('PC 02'!D243="","Judul kosong",""),IF('PC 02'!F243="","Genre kosong",IF(ISERROR(MATCH(TRIM('PC 02'!F243),{"Pop","Rock","Dangdut","K-Pop","Electronic","Nasional","Daerah"},0)),"Genre di luar daftar","")),IF('PC 02'!G243="","Nama Channel kosong",""),IF('PC 02'!H243="","Link kosong",IF(ISERROR(FIND("youtu",LOWER('PC 02'!H243))),"Link bukan youtube","")),IF('PC 02'!I243="","Tgl Dibuat kosong",IF(NOT(ISNUMBER('PC 02'!I243)),"Tgl Dibuat harus tanggal","")),IF(AND('PC 02'!J243&lt;&gt;"",NOT(ISNUMBER('PC 02'!J243))),"Tgl Publish harus tanggal",""),IF(AND(ISNUMBER('PC 02'!I243),ISNUMBER('PC 02'!J243),'PC 02'!J243&lt;'PC 02'!I243),"Tgl Publish &lt; Tgl Dibuat",""),IF(AND('PC 02'!K243&lt;&gt;"",ISERROR(MATCH(TRIM('PC 02'!K243),{"Draft","Menunggu Review","Revisi","Terjadwal","Publish","Batal","Published"},0))),"Status di luar daftar","")))</f>
        <v>#ERROR!</v>
      </c>
      <c r="D243" s="5" t="str">
        <f>IF(C243="","OK","ADA MASALAH")</f>
        <v>#ERROR!</v>
      </c>
    </row>
    <row r="244">
      <c r="A244" s="3">
        <v>244.0</v>
      </c>
      <c r="B244" s="5" t="str">
        <f>'PC 02'!A244</f>
        <v/>
      </c>
      <c r="C244" s="5" t="str">
        <f>IF(COUNTA('PC 02'!A244:L244)=0,"",TEXTJOIN(" | ",TRUE,IF('PC 02'!A244="","Worker ID kosong",""),IF('PC 02'!B244="","Update Date kosong",IF(NOT(ISNUMBER('PC 02'!B244)),"Update Date harus tanggal","")),IF('PC 02'!D244="","Judul kosong",""),IF('PC 02'!F244="","Genre kosong",IF(ISERROR(MATCH(TRIM('PC 02'!F244),{"Pop","Rock","Dangdut","K-Pop","Electronic","Nasional","Daerah"},0)),"Genre di luar daftar","")),IF('PC 02'!G244="","Nama Channel kosong",""),IF('PC 02'!H244="","Link kosong",IF(ISERROR(FIND("youtu",LOWER('PC 02'!H244))),"Link bukan youtube","")),IF('PC 02'!I244="","Tgl Dibuat kosong",IF(NOT(ISNUMBER('PC 02'!I244)),"Tgl Dibuat harus tanggal","")),IF(AND('PC 02'!J244&lt;&gt;"",NOT(ISNUMBER('PC 02'!J244))),"Tgl Publish harus tanggal",""),IF(AND(ISNUMBER('PC 02'!I244),ISNUMBER('PC 02'!J244),'PC 02'!J244&lt;'PC 02'!I244),"Tgl Publish &lt; Tgl Dibuat",""),IF(AND('PC 02'!K244&lt;&gt;"",ISERROR(MATCH(TRIM('PC 02'!K244),{"Draft","Menunggu Review","Revisi","Terjadwal","Publish","Batal","Published"},0))),"Status di luar daftar","")))</f>
        <v>#ERROR!</v>
      </c>
      <c r="D244" s="5" t="str">
        <f>IF(C244="","OK","ADA MASALAH")</f>
        <v>#ERROR!</v>
      </c>
    </row>
    <row r="245">
      <c r="A245" s="3">
        <v>245.0</v>
      </c>
      <c r="B245" s="5" t="str">
        <f>'PC 02'!A245</f>
        <v/>
      </c>
      <c r="C245" s="5" t="str">
        <f>IF(COUNTA('PC 02'!A245:L245)=0,"",TEXTJOIN(" | ",TRUE,IF('PC 02'!A245="","Worker ID kosong",""),IF('PC 02'!B245="","Update Date kosong",IF(NOT(ISNUMBER('PC 02'!B245)),"Update Date harus tanggal","")),IF('PC 02'!D245="","Judul kosong",""),IF('PC 02'!F245="","Genre kosong",IF(ISERROR(MATCH(TRIM('PC 02'!F245),{"Pop","Rock","Dangdut","K-Pop","Electronic","Nasional","Daerah"},0)),"Genre di luar daftar","")),IF('PC 02'!G245="","Nama Channel kosong",""),IF('PC 02'!H245="","Link kosong",IF(ISERROR(FIND("youtu",LOWER('PC 02'!H245))),"Link bukan youtube","")),IF('PC 02'!I245="","Tgl Dibuat kosong",IF(NOT(ISNUMBER('PC 02'!I245)),"Tgl Dibuat harus tanggal","")),IF(AND('PC 02'!J245&lt;&gt;"",NOT(ISNUMBER('PC 02'!J245))),"Tgl Publish harus tanggal",""),IF(AND(ISNUMBER('PC 02'!I245),ISNUMBER('PC 02'!J245),'PC 02'!J245&lt;'PC 02'!I245),"Tgl Publish &lt; Tgl Dibuat",""),IF(AND('PC 02'!K245&lt;&gt;"",ISERROR(MATCH(TRIM('PC 02'!K245),{"Draft","Menunggu Review","Revisi","Terjadwal","Publish","Batal","Published"},0))),"Status di luar daftar","")))</f>
        <v>#ERROR!</v>
      </c>
      <c r="D245" s="5" t="str">
        <f>IF(C245="","OK","ADA MASALAH")</f>
        <v>#ERROR!</v>
      </c>
    </row>
    <row r="246">
      <c r="A246" s="3">
        <v>246.0</v>
      </c>
      <c r="B246" s="5" t="str">
        <f>'PC 02'!A246</f>
        <v/>
      </c>
      <c r="C246" s="5" t="str">
        <f>IF(COUNTA('PC 02'!A246:L246)=0,"",TEXTJOIN(" | ",TRUE,IF('PC 02'!A246="","Worker ID kosong",""),IF('PC 02'!B246="","Update Date kosong",IF(NOT(ISNUMBER('PC 02'!B246)),"Update Date harus tanggal","")),IF('PC 02'!D246="","Judul kosong",""),IF('PC 02'!F246="","Genre kosong",IF(ISERROR(MATCH(TRIM('PC 02'!F246),{"Pop","Rock","Dangdut","K-Pop","Electronic","Nasional","Daerah"},0)),"Genre di luar daftar","")),IF('PC 02'!G246="","Nama Channel kosong",""),IF('PC 02'!H246="","Link kosong",IF(ISERROR(FIND("youtu",LOWER('PC 02'!H246))),"Link bukan youtube","")),IF('PC 02'!I246="","Tgl Dibuat kosong",IF(NOT(ISNUMBER('PC 02'!I246)),"Tgl Dibuat harus tanggal","")),IF(AND('PC 02'!J246&lt;&gt;"",NOT(ISNUMBER('PC 02'!J246))),"Tgl Publish harus tanggal",""),IF(AND(ISNUMBER('PC 02'!I246),ISNUMBER('PC 02'!J246),'PC 02'!J246&lt;'PC 02'!I246),"Tgl Publish &lt; Tgl Dibuat",""),IF(AND('PC 02'!K246&lt;&gt;"",ISERROR(MATCH(TRIM('PC 02'!K246),{"Draft","Menunggu Review","Revisi","Terjadwal","Publish","Batal","Published"},0))),"Status di luar daftar","")))</f>
        <v>#ERROR!</v>
      </c>
      <c r="D246" s="5" t="str">
        <f>IF(C246="","OK","ADA MASALAH")</f>
        <v>#ERROR!</v>
      </c>
    </row>
    <row r="247">
      <c r="A247" s="3">
        <v>247.0</v>
      </c>
      <c r="B247" s="5" t="str">
        <f>'PC 02'!A247</f>
        <v/>
      </c>
      <c r="C247" s="5" t="str">
        <f>IF(COUNTA('PC 02'!A247:L247)=0,"",TEXTJOIN(" | ",TRUE,IF('PC 02'!A247="","Worker ID kosong",""),IF('PC 02'!B247="","Update Date kosong",IF(NOT(ISNUMBER('PC 02'!B247)),"Update Date harus tanggal","")),IF('PC 02'!D247="","Judul kosong",""),IF('PC 02'!F247="","Genre kosong",IF(ISERROR(MATCH(TRIM('PC 02'!F247),{"Pop","Rock","Dangdut","K-Pop","Electronic","Nasional","Daerah"},0)),"Genre di luar daftar","")),IF('PC 02'!G247="","Nama Channel kosong",""),IF('PC 02'!H247="","Link kosong",IF(ISERROR(FIND("youtu",LOWER('PC 02'!H247))),"Link bukan youtube","")),IF('PC 02'!I247="","Tgl Dibuat kosong",IF(NOT(ISNUMBER('PC 02'!I247)),"Tgl Dibuat harus tanggal","")),IF(AND('PC 02'!J247&lt;&gt;"",NOT(ISNUMBER('PC 02'!J247))),"Tgl Publish harus tanggal",""),IF(AND(ISNUMBER('PC 02'!I247),ISNUMBER('PC 02'!J247),'PC 02'!J247&lt;'PC 02'!I247),"Tgl Publish &lt; Tgl Dibuat",""),IF(AND('PC 02'!K247&lt;&gt;"",ISERROR(MATCH(TRIM('PC 02'!K247),{"Draft","Menunggu Review","Revisi","Terjadwal","Publish","Batal","Published"},0))),"Status di luar daftar","")))</f>
        <v>#ERROR!</v>
      </c>
      <c r="D247" s="5" t="str">
        <f>IF(C247="","OK","ADA MASALAH")</f>
        <v>#ERROR!</v>
      </c>
    </row>
    <row r="248">
      <c r="A248" s="3">
        <v>248.0</v>
      </c>
      <c r="B248" s="5" t="str">
        <f>'PC 02'!A248</f>
        <v/>
      </c>
      <c r="C248" s="5" t="str">
        <f>IF(COUNTA('PC 02'!A248:L248)=0,"",TEXTJOIN(" | ",TRUE,IF('PC 02'!A248="","Worker ID kosong",""),IF('PC 02'!B248="","Update Date kosong",IF(NOT(ISNUMBER('PC 02'!B248)),"Update Date harus tanggal","")),IF('PC 02'!D248="","Judul kosong",""),IF('PC 02'!F248="","Genre kosong",IF(ISERROR(MATCH(TRIM('PC 02'!F248),{"Pop","Rock","Dangdut","K-Pop","Electronic","Nasional","Daerah"},0)),"Genre di luar daftar","")),IF('PC 02'!G248="","Nama Channel kosong",""),IF('PC 02'!H248="","Link kosong",IF(ISERROR(FIND("youtu",LOWER('PC 02'!H248))),"Link bukan youtube","")),IF('PC 02'!I248="","Tgl Dibuat kosong",IF(NOT(ISNUMBER('PC 02'!I248)),"Tgl Dibuat harus tanggal","")),IF(AND('PC 02'!J248&lt;&gt;"",NOT(ISNUMBER('PC 02'!J248))),"Tgl Publish harus tanggal",""),IF(AND(ISNUMBER('PC 02'!I248),ISNUMBER('PC 02'!J248),'PC 02'!J248&lt;'PC 02'!I248),"Tgl Publish &lt; Tgl Dibuat",""),IF(AND('PC 02'!K248&lt;&gt;"",ISERROR(MATCH(TRIM('PC 02'!K248),{"Draft","Menunggu Review","Revisi","Terjadwal","Publish","Batal","Published"},0))),"Status di luar daftar","")))</f>
        <v>#ERROR!</v>
      </c>
      <c r="D248" s="5" t="str">
        <f>IF(C248="","OK","ADA MASALAH")</f>
        <v>#ERROR!</v>
      </c>
    </row>
    <row r="249">
      <c r="A249" s="3">
        <v>249.0</v>
      </c>
      <c r="B249" s="5" t="str">
        <f>'PC 02'!A249</f>
        <v/>
      </c>
      <c r="C249" s="5" t="str">
        <f>IF(COUNTA('PC 02'!A249:L249)=0,"",TEXTJOIN(" | ",TRUE,IF('PC 02'!A249="","Worker ID kosong",""),IF('PC 02'!B249="","Update Date kosong",IF(NOT(ISNUMBER('PC 02'!B249)),"Update Date harus tanggal","")),IF('PC 02'!D249="","Judul kosong",""),IF('PC 02'!F249="","Genre kosong",IF(ISERROR(MATCH(TRIM('PC 02'!F249),{"Pop","Rock","Dangdut","K-Pop","Electronic","Nasional","Daerah"},0)),"Genre di luar daftar","")),IF('PC 02'!G249="","Nama Channel kosong",""),IF('PC 02'!H249="","Link kosong",IF(ISERROR(FIND("youtu",LOWER('PC 02'!H249))),"Link bukan youtube","")),IF('PC 02'!I249="","Tgl Dibuat kosong",IF(NOT(ISNUMBER('PC 02'!I249)),"Tgl Dibuat harus tanggal","")),IF(AND('PC 02'!J249&lt;&gt;"",NOT(ISNUMBER('PC 02'!J249))),"Tgl Publish harus tanggal",""),IF(AND(ISNUMBER('PC 02'!I249),ISNUMBER('PC 02'!J249),'PC 02'!J249&lt;'PC 02'!I249),"Tgl Publish &lt; Tgl Dibuat",""),IF(AND('PC 02'!K249&lt;&gt;"",ISERROR(MATCH(TRIM('PC 02'!K249),{"Draft","Menunggu Review","Revisi","Terjadwal","Publish","Batal","Published"},0))),"Status di luar daftar","")))</f>
        <v>#ERROR!</v>
      </c>
      <c r="D249" s="5" t="str">
        <f>IF(C249="","OK","ADA MASALAH")</f>
        <v>#ERROR!</v>
      </c>
    </row>
    <row r="250">
      <c r="A250" s="3">
        <v>250.0</v>
      </c>
      <c r="B250" s="5" t="str">
        <f>'PC 02'!A250</f>
        <v/>
      </c>
      <c r="C250" s="5" t="str">
        <f>IF(COUNTA('PC 02'!A250:L250)=0,"",TEXTJOIN(" | ",TRUE,IF('PC 02'!A250="","Worker ID kosong",""),IF('PC 02'!B250="","Update Date kosong",IF(NOT(ISNUMBER('PC 02'!B250)),"Update Date harus tanggal","")),IF('PC 02'!D250="","Judul kosong",""),IF('PC 02'!F250="","Genre kosong",IF(ISERROR(MATCH(TRIM('PC 02'!F250),{"Pop","Rock","Dangdut","K-Pop","Electronic","Nasional","Daerah"},0)),"Genre di luar daftar","")),IF('PC 02'!G250="","Nama Channel kosong",""),IF('PC 02'!H250="","Link kosong",IF(ISERROR(FIND("youtu",LOWER('PC 02'!H250))),"Link bukan youtube","")),IF('PC 02'!I250="","Tgl Dibuat kosong",IF(NOT(ISNUMBER('PC 02'!I250)),"Tgl Dibuat harus tanggal","")),IF(AND('PC 02'!J250&lt;&gt;"",NOT(ISNUMBER('PC 02'!J250))),"Tgl Publish harus tanggal",""),IF(AND(ISNUMBER('PC 02'!I250),ISNUMBER('PC 02'!J250),'PC 02'!J250&lt;'PC 02'!I250),"Tgl Publish &lt; Tgl Dibuat",""),IF(AND('PC 02'!K250&lt;&gt;"",ISERROR(MATCH(TRIM('PC 02'!K250),{"Draft","Menunggu Review","Revisi","Terjadwal","Publish","Batal","Published"},0))),"Status di luar daftar","")))</f>
        <v>#ERROR!</v>
      </c>
      <c r="D250" s="5" t="str">
        <f>IF(C250="","OK","ADA MASALAH")</f>
        <v>#ERROR!</v>
      </c>
    </row>
    <row r="251">
      <c r="A251" s="3">
        <v>251.0</v>
      </c>
      <c r="B251" s="5" t="str">
        <f>'PC 02'!A251</f>
        <v/>
      </c>
      <c r="C251" s="5" t="str">
        <f>IF(COUNTA('PC 02'!A251:L251)=0,"",TEXTJOIN(" | ",TRUE,IF('PC 02'!A251="","Worker ID kosong",""),IF('PC 02'!B251="","Update Date kosong",IF(NOT(ISNUMBER('PC 02'!B251)),"Update Date harus tanggal","")),IF('PC 02'!D251="","Judul kosong",""),IF('PC 02'!F251="","Genre kosong",IF(ISERROR(MATCH(TRIM('PC 02'!F251),{"Pop","Rock","Dangdut","K-Pop","Electronic","Nasional","Daerah"},0)),"Genre di luar daftar","")),IF('PC 02'!G251="","Nama Channel kosong",""),IF('PC 02'!H251="","Link kosong",IF(ISERROR(FIND("youtu",LOWER('PC 02'!H251))),"Link bukan youtube","")),IF('PC 02'!I251="","Tgl Dibuat kosong",IF(NOT(ISNUMBER('PC 02'!I251)),"Tgl Dibuat harus tanggal","")),IF(AND('PC 02'!J251&lt;&gt;"",NOT(ISNUMBER('PC 02'!J251))),"Tgl Publish harus tanggal",""),IF(AND(ISNUMBER('PC 02'!I251),ISNUMBER('PC 02'!J251),'PC 02'!J251&lt;'PC 02'!I251),"Tgl Publish &lt; Tgl Dibuat",""),IF(AND('PC 02'!K251&lt;&gt;"",ISERROR(MATCH(TRIM('PC 02'!K251),{"Draft","Menunggu Review","Revisi","Terjadwal","Publish","Batal","Published"},0))),"Status di luar daftar","")))</f>
        <v>#ERROR!</v>
      </c>
      <c r="D251" s="5" t="str">
        <f>IF(C251="","OK","ADA MASALAH")</f>
        <v>#ERROR!</v>
      </c>
    </row>
    <row r="252">
      <c r="A252" s="3">
        <v>252.0</v>
      </c>
      <c r="B252" s="5" t="str">
        <f>'PC 02'!A252</f>
        <v/>
      </c>
      <c r="C252" s="5" t="str">
        <f>IF(COUNTA('PC 02'!A252:L252)=0,"",TEXTJOIN(" | ",TRUE,IF('PC 02'!A252="","Worker ID kosong",""),IF('PC 02'!B252="","Update Date kosong",IF(NOT(ISNUMBER('PC 02'!B252)),"Update Date harus tanggal","")),IF('PC 02'!D252="","Judul kosong",""),IF('PC 02'!F252="","Genre kosong",IF(ISERROR(MATCH(TRIM('PC 02'!F252),{"Pop","Rock","Dangdut","K-Pop","Electronic","Nasional","Daerah"},0)),"Genre di luar daftar","")),IF('PC 02'!G252="","Nama Channel kosong",""),IF('PC 02'!H252="","Link kosong",IF(ISERROR(FIND("youtu",LOWER('PC 02'!H252))),"Link bukan youtube","")),IF('PC 02'!I252="","Tgl Dibuat kosong",IF(NOT(ISNUMBER('PC 02'!I252)),"Tgl Dibuat harus tanggal","")),IF(AND('PC 02'!J252&lt;&gt;"",NOT(ISNUMBER('PC 02'!J252))),"Tgl Publish harus tanggal",""),IF(AND(ISNUMBER('PC 02'!I252),ISNUMBER('PC 02'!J252),'PC 02'!J252&lt;'PC 02'!I252),"Tgl Publish &lt; Tgl Dibuat",""),IF(AND('PC 02'!K252&lt;&gt;"",ISERROR(MATCH(TRIM('PC 02'!K252),{"Draft","Menunggu Review","Revisi","Terjadwal","Publish","Batal","Published"},0))),"Status di luar daftar","")))</f>
        <v>#ERROR!</v>
      </c>
      <c r="D252" s="5" t="str">
        <f>IF(C252="","OK","ADA MASALAH")</f>
        <v>#ERROR!</v>
      </c>
    </row>
    <row r="253">
      <c r="A253" s="3">
        <v>253.0</v>
      </c>
      <c r="B253" s="5" t="str">
        <f>'PC 02'!A253</f>
        <v/>
      </c>
      <c r="C253" s="5" t="str">
        <f>IF(COUNTA('PC 02'!A253:L253)=0,"",TEXTJOIN(" | ",TRUE,IF('PC 02'!A253="","Worker ID kosong",""),IF('PC 02'!B253="","Update Date kosong",IF(NOT(ISNUMBER('PC 02'!B253)),"Update Date harus tanggal","")),IF('PC 02'!D253="","Judul kosong",""),IF('PC 02'!F253="","Genre kosong",IF(ISERROR(MATCH(TRIM('PC 02'!F253),{"Pop","Rock","Dangdut","K-Pop","Electronic","Nasional","Daerah"},0)),"Genre di luar daftar","")),IF('PC 02'!G253="","Nama Channel kosong",""),IF('PC 02'!H253="","Link kosong",IF(ISERROR(FIND("youtu",LOWER('PC 02'!H253))),"Link bukan youtube","")),IF('PC 02'!I253="","Tgl Dibuat kosong",IF(NOT(ISNUMBER('PC 02'!I253)),"Tgl Dibuat harus tanggal","")),IF(AND('PC 02'!J253&lt;&gt;"",NOT(ISNUMBER('PC 02'!J253))),"Tgl Publish harus tanggal",""),IF(AND(ISNUMBER('PC 02'!I253),ISNUMBER('PC 02'!J253),'PC 02'!J253&lt;'PC 02'!I253),"Tgl Publish &lt; Tgl Dibuat",""),IF(AND('PC 02'!K253&lt;&gt;"",ISERROR(MATCH(TRIM('PC 02'!K253),{"Draft","Menunggu Review","Revisi","Terjadwal","Publish","Batal","Published"},0))),"Status di luar daftar","")))</f>
        <v>#ERROR!</v>
      </c>
      <c r="D253" s="5" t="str">
        <f>IF(C253="","OK","ADA MASALAH")</f>
        <v>#ERROR!</v>
      </c>
    </row>
    <row r="254">
      <c r="A254" s="3">
        <v>254.0</v>
      </c>
      <c r="B254" s="5" t="str">
        <f>'PC 02'!A254</f>
        <v/>
      </c>
      <c r="C254" s="5" t="str">
        <f>IF(COUNTA('PC 02'!A254:L254)=0,"",TEXTJOIN(" | ",TRUE,IF('PC 02'!A254="","Worker ID kosong",""),IF('PC 02'!B254="","Update Date kosong",IF(NOT(ISNUMBER('PC 02'!B254)),"Update Date harus tanggal","")),IF('PC 02'!D254="","Judul kosong",""),IF('PC 02'!F254="","Genre kosong",IF(ISERROR(MATCH(TRIM('PC 02'!F254),{"Pop","Rock","Dangdut","K-Pop","Electronic","Nasional","Daerah"},0)),"Genre di luar daftar","")),IF('PC 02'!G254="","Nama Channel kosong",""),IF('PC 02'!H254="","Link kosong",IF(ISERROR(FIND("youtu",LOWER('PC 02'!H254))),"Link bukan youtube","")),IF('PC 02'!I254="","Tgl Dibuat kosong",IF(NOT(ISNUMBER('PC 02'!I254)),"Tgl Dibuat harus tanggal","")),IF(AND('PC 02'!J254&lt;&gt;"",NOT(ISNUMBER('PC 02'!J254))),"Tgl Publish harus tanggal",""),IF(AND(ISNUMBER('PC 02'!I254),ISNUMBER('PC 02'!J254),'PC 02'!J254&lt;'PC 02'!I254),"Tgl Publish &lt; Tgl Dibuat",""),IF(AND('PC 02'!K254&lt;&gt;"",ISERROR(MATCH(TRIM('PC 02'!K254),{"Draft","Menunggu Review","Revisi","Terjadwal","Publish","Batal","Published"},0))),"Status di luar daftar","")))</f>
        <v>#ERROR!</v>
      </c>
      <c r="D254" s="5" t="str">
        <f>IF(C254="","OK","ADA MASALAH")</f>
        <v>#ERROR!</v>
      </c>
    </row>
    <row r="255">
      <c r="A255" s="3">
        <v>255.0</v>
      </c>
      <c r="B255" s="5" t="str">
        <f>'PC 02'!A255</f>
        <v/>
      </c>
      <c r="C255" s="5" t="str">
        <f>IF(COUNTA('PC 02'!A255:L255)=0,"",TEXTJOIN(" | ",TRUE,IF('PC 02'!A255="","Worker ID kosong",""),IF('PC 02'!B255="","Update Date kosong",IF(NOT(ISNUMBER('PC 02'!B255)),"Update Date harus tanggal","")),IF('PC 02'!D255="","Judul kosong",""),IF('PC 02'!F255="","Genre kosong",IF(ISERROR(MATCH(TRIM('PC 02'!F255),{"Pop","Rock","Dangdut","K-Pop","Electronic","Nasional","Daerah"},0)),"Genre di luar daftar","")),IF('PC 02'!G255="","Nama Channel kosong",""),IF('PC 02'!H255="","Link kosong",IF(ISERROR(FIND("youtu",LOWER('PC 02'!H255))),"Link bukan youtube","")),IF('PC 02'!I255="","Tgl Dibuat kosong",IF(NOT(ISNUMBER('PC 02'!I255)),"Tgl Dibuat harus tanggal","")),IF(AND('PC 02'!J255&lt;&gt;"",NOT(ISNUMBER('PC 02'!J255))),"Tgl Publish harus tanggal",""),IF(AND(ISNUMBER('PC 02'!I255),ISNUMBER('PC 02'!J255),'PC 02'!J255&lt;'PC 02'!I255),"Tgl Publish &lt; Tgl Dibuat",""),IF(AND('PC 02'!K255&lt;&gt;"",ISERROR(MATCH(TRIM('PC 02'!K255),{"Draft","Menunggu Review","Revisi","Terjadwal","Publish","Batal","Published"},0))),"Status di luar daftar","")))</f>
        <v>#ERROR!</v>
      </c>
      <c r="D255" s="5" t="str">
        <f>IF(C255="","OK","ADA MASALAH")</f>
        <v>#ERROR!</v>
      </c>
    </row>
    <row r="256">
      <c r="A256" s="3">
        <v>256.0</v>
      </c>
      <c r="B256" s="5" t="str">
        <f>'PC 02'!A256</f>
        <v/>
      </c>
      <c r="C256" s="5" t="str">
        <f>IF(COUNTA('PC 02'!A256:L256)=0,"",TEXTJOIN(" | ",TRUE,IF('PC 02'!A256="","Worker ID kosong",""),IF('PC 02'!B256="","Update Date kosong",IF(NOT(ISNUMBER('PC 02'!B256)),"Update Date harus tanggal","")),IF('PC 02'!D256="","Judul kosong",""),IF('PC 02'!F256="","Genre kosong",IF(ISERROR(MATCH(TRIM('PC 02'!F256),{"Pop","Rock","Dangdut","K-Pop","Electronic","Nasional","Daerah"},0)),"Genre di luar daftar","")),IF('PC 02'!G256="","Nama Channel kosong",""),IF('PC 02'!H256="","Link kosong",IF(ISERROR(FIND("youtu",LOWER('PC 02'!H256))),"Link bukan youtube","")),IF('PC 02'!I256="","Tgl Dibuat kosong",IF(NOT(ISNUMBER('PC 02'!I256)),"Tgl Dibuat harus tanggal","")),IF(AND('PC 02'!J256&lt;&gt;"",NOT(ISNUMBER('PC 02'!J256))),"Tgl Publish harus tanggal",""),IF(AND(ISNUMBER('PC 02'!I256),ISNUMBER('PC 02'!J256),'PC 02'!J256&lt;'PC 02'!I256),"Tgl Publish &lt; Tgl Dibuat",""),IF(AND('PC 02'!K256&lt;&gt;"",ISERROR(MATCH(TRIM('PC 02'!K256),{"Draft","Menunggu Review","Revisi","Terjadwal","Publish","Batal","Published"},0))),"Status di luar daftar","")))</f>
        <v>#ERROR!</v>
      </c>
      <c r="D256" s="5" t="str">
        <f>IF(C256="","OK","ADA MASALAH")</f>
        <v>#ERROR!</v>
      </c>
    </row>
    <row r="257">
      <c r="A257" s="3">
        <v>257.0</v>
      </c>
      <c r="B257" s="5" t="str">
        <f>'PC 02'!A257</f>
        <v/>
      </c>
      <c r="C257" s="5" t="str">
        <f>IF(COUNTA('PC 02'!A257:L257)=0,"",TEXTJOIN(" | ",TRUE,IF('PC 02'!A257="","Worker ID kosong",""),IF('PC 02'!B257="","Update Date kosong",IF(NOT(ISNUMBER('PC 02'!B257)),"Update Date harus tanggal","")),IF('PC 02'!D257="","Judul kosong",""),IF('PC 02'!F257="","Genre kosong",IF(ISERROR(MATCH(TRIM('PC 02'!F257),{"Pop","Rock","Dangdut","K-Pop","Electronic","Nasional","Daerah"},0)),"Genre di luar daftar","")),IF('PC 02'!G257="","Nama Channel kosong",""),IF('PC 02'!H257="","Link kosong",IF(ISERROR(FIND("youtu",LOWER('PC 02'!H257))),"Link bukan youtube","")),IF('PC 02'!I257="","Tgl Dibuat kosong",IF(NOT(ISNUMBER('PC 02'!I257)),"Tgl Dibuat harus tanggal","")),IF(AND('PC 02'!J257&lt;&gt;"",NOT(ISNUMBER('PC 02'!J257))),"Tgl Publish harus tanggal",""),IF(AND(ISNUMBER('PC 02'!I257),ISNUMBER('PC 02'!J257),'PC 02'!J257&lt;'PC 02'!I257),"Tgl Publish &lt; Tgl Dibuat",""),IF(AND('PC 02'!K257&lt;&gt;"",ISERROR(MATCH(TRIM('PC 02'!K257),{"Draft","Menunggu Review","Revisi","Terjadwal","Publish","Batal","Published"},0))),"Status di luar daftar","")))</f>
        <v>#ERROR!</v>
      </c>
      <c r="D257" s="5" t="str">
        <f>IF(C257="","OK","ADA MASALAH")</f>
        <v>#ERROR!</v>
      </c>
    </row>
    <row r="258">
      <c r="A258" s="3">
        <v>258.0</v>
      </c>
      <c r="B258" s="5" t="str">
        <f>'PC 02'!A258</f>
        <v/>
      </c>
      <c r="C258" s="5" t="str">
        <f>IF(COUNTA('PC 02'!A258:L258)=0,"",TEXTJOIN(" | ",TRUE,IF('PC 02'!A258="","Worker ID kosong",""),IF('PC 02'!B258="","Update Date kosong",IF(NOT(ISNUMBER('PC 02'!B258)),"Update Date harus tanggal","")),IF('PC 02'!D258="","Judul kosong",""),IF('PC 02'!F258="","Genre kosong",IF(ISERROR(MATCH(TRIM('PC 02'!F258),{"Pop","Rock","Dangdut","K-Pop","Electronic","Nasional","Daerah"},0)),"Genre di luar daftar","")),IF('PC 02'!G258="","Nama Channel kosong",""),IF('PC 02'!H258="","Link kosong",IF(ISERROR(FIND("youtu",LOWER('PC 02'!H258))),"Link bukan youtube","")),IF('PC 02'!I258="","Tgl Dibuat kosong",IF(NOT(ISNUMBER('PC 02'!I258)),"Tgl Dibuat harus tanggal","")),IF(AND('PC 02'!J258&lt;&gt;"",NOT(ISNUMBER('PC 02'!J258))),"Tgl Publish harus tanggal",""),IF(AND(ISNUMBER('PC 02'!I258),ISNUMBER('PC 02'!J258),'PC 02'!J258&lt;'PC 02'!I258),"Tgl Publish &lt; Tgl Dibuat",""),IF(AND('PC 02'!K258&lt;&gt;"",ISERROR(MATCH(TRIM('PC 02'!K258),{"Draft","Menunggu Review","Revisi","Terjadwal","Publish","Batal","Published"},0))),"Status di luar daftar","")))</f>
        <v>#ERROR!</v>
      </c>
      <c r="D258" s="5" t="str">
        <f>IF(C258="","OK","ADA MASALAH")</f>
        <v>#ERROR!</v>
      </c>
    </row>
    <row r="259">
      <c r="A259" s="3">
        <v>259.0</v>
      </c>
      <c r="B259" s="5" t="str">
        <f>'PC 02'!A259</f>
        <v/>
      </c>
      <c r="C259" s="5" t="str">
        <f>IF(COUNTA('PC 02'!A259:L259)=0,"",TEXTJOIN(" | ",TRUE,IF('PC 02'!A259="","Worker ID kosong",""),IF('PC 02'!B259="","Update Date kosong",IF(NOT(ISNUMBER('PC 02'!B259)),"Update Date harus tanggal","")),IF('PC 02'!D259="","Judul kosong",""),IF('PC 02'!F259="","Genre kosong",IF(ISERROR(MATCH(TRIM('PC 02'!F259),{"Pop","Rock","Dangdut","K-Pop","Electronic","Nasional","Daerah"},0)),"Genre di luar daftar","")),IF('PC 02'!G259="","Nama Channel kosong",""),IF('PC 02'!H259="","Link kosong",IF(ISERROR(FIND("youtu",LOWER('PC 02'!H259))),"Link bukan youtube","")),IF('PC 02'!I259="","Tgl Dibuat kosong",IF(NOT(ISNUMBER('PC 02'!I259)),"Tgl Dibuat harus tanggal","")),IF(AND('PC 02'!J259&lt;&gt;"",NOT(ISNUMBER('PC 02'!J259))),"Tgl Publish harus tanggal",""),IF(AND(ISNUMBER('PC 02'!I259),ISNUMBER('PC 02'!J259),'PC 02'!J259&lt;'PC 02'!I259),"Tgl Publish &lt; Tgl Dibuat",""),IF(AND('PC 02'!K259&lt;&gt;"",ISERROR(MATCH(TRIM('PC 02'!K259),{"Draft","Menunggu Review","Revisi","Terjadwal","Publish","Batal","Published"},0))),"Status di luar daftar","")))</f>
        <v>#ERROR!</v>
      </c>
      <c r="D259" s="5" t="str">
        <f>IF(C259="","OK","ADA MASALAH")</f>
        <v>#ERROR!</v>
      </c>
    </row>
    <row r="260">
      <c r="A260" s="3">
        <v>260.0</v>
      </c>
      <c r="B260" s="5" t="str">
        <f>'PC 02'!A260</f>
        <v/>
      </c>
      <c r="C260" s="5" t="str">
        <f>IF(COUNTA('PC 02'!A260:L260)=0,"",TEXTJOIN(" | ",TRUE,IF('PC 02'!A260="","Worker ID kosong",""),IF('PC 02'!B260="","Update Date kosong",IF(NOT(ISNUMBER('PC 02'!B260)),"Update Date harus tanggal","")),IF('PC 02'!D260="","Judul kosong",""),IF('PC 02'!F260="","Genre kosong",IF(ISERROR(MATCH(TRIM('PC 02'!F260),{"Pop","Rock","Dangdut","K-Pop","Electronic","Nasional","Daerah"},0)),"Genre di luar daftar","")),IF('PC 02'!G260="","Nama Channel kosong",""),IF('PC 02'!H260="","Link kosong",IF(ISERROR(FIND("youtu",LOWER('PC 02'!H260))),"Link bukan youtube","")),IF('PC 02'!I260="","Tgl Dibuat kosong",IF(NOT(ISNUMBER('PC 02'!I260)),"Tgl Dibuat harus tanggal","")),IF(AND('PC 02'!J260&lt;&gt;"",NOT(ISNUMBER('PC 02'!J260))),"Tgl Publish harus tanggal",""),IF(AND(ISNUMBER('PC 02'!I260),ISNUMBER('PC 02'!J260),'PC 02'!J260&lt;'PC 02'!I260),"Tgl Publish &lt; Tgl Dibuat",""),IF(AND('PC 02'!K260&lt;&gt;"",ISERROR(MATCH(TRIM('PC 02'!K260),{"Draft","Menunggu Review","Revisi","Terjadwal","Publish","Batal","Published"},0))),"Status di luar daftar","")))</f>
        <v>#ERROR!</v>
      </c>
      <c r="D260" s="5" t="str">
        <f>IF(C260="","OK","ADA MASALAH")</f>
        <v>#ERROR!</v>
      </c>
    </row>
    <row r="261">
      <c r="A261" s="3">
        <v>261.0</v>
      </c>
      <c r="B261" s="5" t="str">
        <f>'PC 02'!A261</f>
        <v/>
      </c>
      <c r="C261" s="5" t="str">
        <f>IF(COUNTA('PC 02'!A261:L261)=0,"",TEXTJOIN(" | ",TRUE,IF('PC 02'!A261="","Worker ID kosong",""),IF('PC 02'!B261="","Update Date kosong",IF(NOT(ISNUMBER('PC 02'!B261)),"Update Date harus tanggal","")),IF('PC 02'!D261="","Judul kosong",""),IF('PC 02'!F261="","Genre kosong",IF(ISERROR(MATCH(TRIM('PC 02'!F261),{"Pop","Rock","Dangdut","K-Pop","Electronic","Nasional","Daerah"},0)),"Genre di luar daftar","")),IF('PC 02'!G261="","Nama Channel kosong",""),IF('PC 02'!H261="","Link kosong",IF(ISERROR(FIND("youtu",LOWER('PC 02'!H261))),"Link bukan youtube","")),IF('PC 02'!I261="","Tgl Dibuat kosong",IF(NOT(ISNUMBER('PC 02'!I261)),"Tgl Dibuat harus tanggal","")),IF(AND('PC 02'!J261&lt;&gt;"",NOT(ISNUMBER('PC 02'!J261))),"Tgl Publish harus tanggal",""),IF(AND(ISNUMBER('PC 02'!I261),ISNUMBER('PC 02'!J261),'PC 02'!J261&lt;'PC 02'!I261),"Tgl Publish &lt; Tgl Dibuat",""),IF(AND('PC 02'!K261&lt;&gt;"",ISERROR(MATCH(TRIM('PC 02'!K261),{"Draft","Menunggu Review","Revisi","Terjadwal","Publish","Batal","Published"},0))),"Status di luar daftar","")))</f>
        <v>#ERROR!</v>
      </c>
      <c r="D261" s="5" t="str">
        <f>IF(C261="","OK","ADA MASALAH")</f>
        <v>#ERROR!</v>
      </c>
    </row>
    <row r="262">
      <c r="A262" s="3">
        <v>262.0</v>
      </c>
      <c r="B262" s="5" t="str">
        <f>'PC 02'!A262</f>
        <v/>
      </c>
      <c r="C262" s="5" t="str">
        <f>IF(COUNTA('PC 02'!A262:L262)=0,"",TEXTJOIN(" | ",TRUE,IF('PC 02'!A262="","Worker ID kosong",""),IF('PC 02'!B262="","Update Date kosong",IF(NOT(ISNUMBER('PC 02'!B262)),"Update Date harus tanggal","")),IF('PC 02'!D262="","Judul kosong",""),IF('PC 02'!F262="","Genre kosong",IF(ISERROR(MATCH(TRIM('PC 02'!F262),{"Pop","Rock","Dangdut","K-Pop","Electronic","Nasional","Daerah"},0)),"Genre di luar daftar","")),IF('PC 02'!G262="","Nama Channel kosong",""),IF('PC 02'!H262="","Link kosong",IF(ISERROR(FIND("youtu",LOWER('PC 02'!H262))),"Link bukan youtube","")),IF('PC 02'!I262="","Tgl Dibuat kosong",IF(NOT(ISNUMBER('PC 02'!I262)),"Tgl Dibuat harus tanggal","")),IF(AND('PC 02'!J262&lt;&gt;"",NOT(ISNUMBER('PC 02'!J262))),"Tgl Publish harus tanggal",""),IF(AND(ISNUMBER('PC 02'!I262),ISNUMBER('PC 02'!J262),'PC 02'!J262&lt;'PC 02'!I262),"Tgl Publish &lt; Tgl Dibuat",""),IF(AND('PC 02'!K262&lt;&gt;"",ISERROR(MATCH(TRIM('PC 02'!K262),{"Draft","Menunggu Review","Revisi","Terjadwal","Publish","Batal","Published"},0))),"Status di luar daftar","")))</f>
        <v>#ERROR!</v>
      </c>
      <c r="D262" s="5" t="str">
        <f>IF(C262="","OK","ADA MASALAH")</f>
        <v>#ERROR!</v>
      </c>
    </row>
    <row r="263">
      <c r="A263" s="3">
        <v>263.0</v>
      </c>
      <c r="B263" s="5" t="str">
        <f>'PC 02'!A263</f>
        <v/>
      </c>
      <c r="C263" s="5" t="str">
        <f>IF(COUNTA('PC 02'!A263:L263)=0,"",TEXTJOIN(" | ",TRUE,IF('PC 02'!A263="","Worker ID kosong",""),IF('PC 02'!B263="","Update Date kosong",IF(NOT(ISNUMBER('PC 02'!B263)),"Update Date harus tanggal","")),IF('PC 02'!D263="","Judul kosong",""),IF('PC 02'!F263="","Genre kosong",IF(ISERROR(MATCH(TRIM('PC 02'!F263),{"Pop","Rock","Dangdut","K-Pop","Electronic","Nasional","Daerah"},0)),"Genre di luar daftar","")),IF('PC 02'!G263="","Nama Channel kosong",""),IF('PC 02'!H263="","Link kosong",IF(ISERROR(FIND("youtu",LOWER('PC 02'!H263))),"Link bukan youtube","")),IF('PC 02'!I263="","Tgl Dibuat kosong",IF(NOT(ISNUMBER('PC 02'!I263)),"Tgl Dibuat harus tanggal","")),IF(AND('PC 02'!J263&lt;&gt;"",NOT(ISNUMBER('PC 02'!J263))),"Tgl Publish harus tanggal",""),IF(AND(ISNUMBER('PC 02'!I263),ISNUMBER('PC 02'!J263),'PC 02'!J263&lt;'PC 02'!I263),"Tgl Publish &lt; Tgl Dibuat",""),IF(AND('PC 02'!K263&lt;&gt;"",ISERROR(MATCH(TRIM('PC 02'!K263),{"Draft","Menunggu Review","Revisi","Terjadwal","Publish","Batal","Published"},0))),"Status di luar daftar","")))</f>
        <v>#ERROR!</v>
      </c>
      <c r="D263" s="5" t="str">
        <f>IF(C263="","OK","ADA MASALAH")</f>
        <v>#ERROR!</v>
      </c>
    </row>
    <row r="264">
      <c r="A264" s="3">
        <v>264.0</v>
      </c>
      <c r="B264" s="5" t="str">
        <f>'PC 02'!A264</f>
        <v/>
      </c>
      <c r="C264" s="5" t="str">
        <f>IF(COUNTA('PC 02'!A264:L264)=0,"",TEXTJOIN(" | ",TRUE,IF('PC 02'!A264="","Worker ID kosong",""),IF('PC 02'!B264="","Update Date kosong",IF(NOT(ISNUMBER('PC 02'!B264)),"Update Date harus tanggal","")),IF('PC 02'!D264="","Judul kosong",""),IF('PC 02'!F264="","Genre kosong",IF(ISERROR(MATCH(TRIM('PC 02'!F264),{"Pop","Rock","Dangdut","K-Pop","Electronic","Nasional","Daerah"},0)),"Genre di luar daftar","")),IF('PC 02'!G264="","Nama Channel kosong",""),IF('PC 02'!H264="","Link kosong",IF(ISERROR(FIND("youtu",LOWER('PC 02'!H264))),"Link bukan youtube","")),IF('PC 02'!I264="","Tgl Dibuat kosong",IF(NOT(ISNUMBER('PC 02'!I264)),"Tgl Dibuat harus tanggal","")),IF(AND('PC 02'!J264&lt;&gt;"",NOT(ISNUMBER('PC 02'!J264))),"Tgl Publish harus tanggal",""),IF(AND(ISNUMBER('PC 02'!I264),ISNUMBER('PC 02'!J264),'PC 02'!J264&lt;'PC 02'!I264),"Tgl Publish &lt; Tgl Dibuat",""),IF(AND('PC 02'!K264&lt;&gt;"",ISERROR(MATCH(TRIM('PC 02'!K264),{"Draft","Menunggu Review","Revisi","Terjadwal","Publish","Batal","Published"},0))),"Status di luar daftar","")))</f>
        <v>#ERROR!</v>
      </c>
      <c r="D264" s="5" t="str">
        <f>IF(C264="","OK","ADA MASALAH")</f>
        <v>#ERROR!</v>
      </c>
    </row>
    <row r="265">
      <c r="A265" s="3">
        <v>265.0</v>
      </c>
      <c r="B265" s="5" t="str">
        <f>'PC 02'!A265</f>
        <v/>
      </c>
      <c r="C265" s="5" t="str">
        <f>IF(COUNTA('PC 02'!A265:L265)=0,"",TEXTJOIN(" | ",TRUE,IF('PC 02'!A265="","Worker ID kosong",""),IF('PC 02'!B265="","Update Date kosong",IF(NOT(ISNUMBER('PC 02'!B265)),"Update Date harus tanggal","")),IF('PC 02'!D265="","Judul kosong",""),IF('PC 02'!F265="","Genre kosong",IF(ISERROR(MATCH(TRIM('PC 02'!F265),{"Pop","Rock","Dangdut","K-Pop","Electronic","Nasional","Daerah"},0)),"Genre di luar daftar","")),IF('PC 02'!G265="","Nama Channel kosong",""),IF('PC 02'!H265="","Link kosong",IF(ISERROR(FIND("youtu",LOWER('PC 02'!H265))),"Link bukan youtube","")),IF('PC 02'!I265="","Tgl Dibuat kosong",IF(NOT(ISNUMBER('PC 02'!I265)),"Tgl Dibuat harus tanggal","")),IF(AND('PC 02'!J265&lt;&gt;"",NOT(ISNUMBER('PC 02'!J265))),"Tgl Publish harus tanggal",""),IF(AND(ISNUMBER('PC 02'!I265),ISNUMBER('PC 02'!J265),'PC 02'!J265&lt;'PC 02'!I265),"Tgl Publish &lt; Tgl Dibuat",""),IF(AND('PC 02'!K265&lt;&gt;"",ISERROR(MATCH(TRIM('PC 02'!K265),{"Draft","Menunggu Review","Revisi","Terjadwal","Publish","Batal","Published"},0))),"Status di luar daftar","")))</f>
        <v>#ERROR!</v>
      </c>
      <c r="D265" s="5" t="str">
        <f>IF(C265="","OK","ADA MASALAH")</f>
        <v>#ERROR!</v>
      </c>
    </row>
    <row r="266">
      <c r="A266" s="3">
        <v>266.0</v>
      </c>
      <c r="B266" s="5" t="str">
        <f>'PC 02'!A266</f>
        <v/>
      </c>
      <c r="C266" s="5" t="str">
        <f>IF(COUNTA('PC 02'!A266:L266)=0,"",TEXTJOIN(" | ",TRUE,IF('PC 02'!A266="","Worker ID kosong",""),IF('PC 02'!B266="","Update Date kosong",IF(NOT(ISNUMBER('PC 02'!B266)),"Update Date harus tanggal","")),IF('PC 02'!D266="","Judul kosong",""),IF('PC 02'!F266="","Genre kosong",IF(ISERROR(MATCH(TRIM('PC 02'!F266),{"Pop","Rock","Dangdut","K-Pop","Electronic","Nasional","Daerah"},0)),"Genre di luar daftar","")),IF('PC 02'!G266="","Nama Channel kosong",""),IF('PC 02'!H266="","Link kosong",IF(ISERROR(FIND("youtu",LOWER('PC 02'!H266))),"Link bukan youtube","")),IF('PC 02'!I266="","Tgl Dibuat kosong",IF(NOT(ISNUMBER('PC 02'!I266)),"Tgl Dibuat harus tanggal","")),IF(AND('PC 02'!J266&lt;&gt;"",NOT(ISNUMBER('PC 02'!J266))),"Tgl Publish harus tanggal",""),IF(AND(ISNUMBER('PC 02'!I266),ISNUMBER('PC 02'!J266),'PC 02'!J266&lt;'PC 02'!I266),"Tgl Publish &lt; Tgl Dibuat",""),IF(AND('PC 02'!K266&lt;&gt;"",ISERROR(MATCH(TRIM('PC 02'!K266),{"Draft","Menunggu Review","Revisi","Terjadwal","Publish","Batal","Published"},0))),"Status di luar daftar","")))</f>
        <v>#ERROR!</v>
      </c>
      <c r="D266" s="5" t="str">
        <f>IF(C266="","OK","ADA MASALAH")</f>
        <v>#ERROR!</v>
      </c>
    </row>
    <row r="267">
      <c r="A267" s="3">
        <v>267.0</v>
      </c>
      <c r="B267" s="5" t="str">
        <f>'PC 02'!A267</f>
        <v/>
      </c>
      <c r="C267" s="5" t="str">
        <f>IF(COUNTA('PC 02'!A267:L267)=0,"",TEXTJOIN(" | ",TRUE,IF('PC 02'!A267="","Worker ID kosong",""),IF('PC 02'!B267="","Update Date kosong",IF(NOT(ISNUMBER('PC 02'!B267)),"Update Date harus tanggal","")),IF('PC 02'!D267="","Judul kosong",""),IF('PC 02'!F267="","Genre kosong",IF(ISERROR(MATCH(TRIM('PC 02'!F267),{"Pop","Rock","Dangdut","K-Pop","Electronic","Nasional","Daerah"},0)),"Genre di luar daftar","")),IF('PC 02'!G267="","Nama Channel kosong",""),IF('PC 02'!H267="","Link kosong",IF(ISERROR(FIND("youtu",LOWER('PC 02'!H267))),"Link bukan youtube","")),IF('PC 02'!I267="","Tgl Dibuat kosong",IF(NOT(ISNUMBER('PC 02'!I267)),"Tgl Dibuat harus tanggal","")),IF(AND('PC 02'!J267&lt;&gt;"",NOT(ISNUMBER('PC 02'!J267))),"Tgl Publish harus tanggal",""),IF(AND(ISNUMBER('PC 02'!I267),ISNUMBER('PC 02'!J267),'PC 02'!J267&lt;'PC 02'!I267),"Tgl Publish &lt; Tgl Dibuat",""),IF(AND('PC 02'!K267&lt;&gt;"",ISERROR(MATCH(TRIM('PC 02'!K267),{"Draft","Menunggu Review","Revisi","Terjadwal","Publish","Batal","Published"},0))),"Status di luar daftar","")))</f>
        <v>#ERROR!</v>
      </c>
      <c r="D267" s="5" t="str">
        <f>IF(C267="","OK","ADA MASALAH")</f>
        <v>#ERROR!</v>
      </c>
    </row>
    <row r="268">
      <c r="A268" s="3">
        <v>268.0</v>
      </c>
      <c r="B268" s="5" t="str">
        <f>'PC 02'!A268</f>
        <v/>
      </c>
      <c r="C268" s="5" t="str">
        <f>IF(COUNTA('PC 02'!A268:L268)=0,"",TEXTJOIN(" | ",TRUE,IF('PC 02'!A268="","Worker ID kosong",""),IF('PC 02'!B268="","Update Date kosong",IF(NOT(ISNUMBER('PC 02'!B268)),"Update Date harus tanggal","")),IF('PC 02'!D268="","Judul kosong",""),IF('PC 02'!F268="","Genre kosong",IF(ISERROR(MATCH(TRIM('PC 02'!F268),{"Pop","Rock","Dangdut","K-Pop","Electronic","Nasional","Daerah"},0)),"Genre di luar daftar","")),IF('PC 02'!G268="","Nama Channel kosong",""),IF('PC 02'!H268="","Link kosong",IF(ISERROR(FIND("youtu",LOWER('PC 02'!H268))),"Link bukan youtube","")),IF('PC 02'!I268="","Tgl Dibuat kosong",IF(NOT(ISNUMBER('PC 02'!I268)),"Tgl Dibuat harus tanggal","")),IF(AND('PC 02'!J268&lt;&gt;"",NOT(ISNUMBER('PC 02'!J268))),"Tgl Publish harus tanggal",""),IF(AND(ISNUMBER('PC 02'!I268),ISNUMBER('PC 02'!J268),'PC 02'!J268&lt;'PC 02'!I268),"Tgl Publish &lt; Tgl Dibuat",""),IF(AND('PC 02'!K268&lt;&gt;"",ISERROR(MATCH(TRIM('PC 02'!K268),{"Draft","Menunggu Review","Revisi","Terjadwal","Publish","Batal","Published"},0))),"Status di luar daftar","")))</f>
        <v>#ERROR!</v>
      </c>
      <c r="D268" s="5" t="str">
        <f>IF(C268="","OK","ADA MASALAH")</f>
        <v>#ERROR!</v>
      </c>
    </row>
    <row r="269">
      <c r="A269" s="3">
        <v>269.0</v>
      </c>
      <c r="B269" s="5" t="str">
        <f>'PC 02'!A269</f>
        <v/>
      </c>
      <c r="C269" s="5" t="str">
        <f>IF(COUNTA('PC 02'!A269:L269)=0,"",TEXTJOIN(" | ",TRUE,IF('PC 02'!A269="","Worker ID kosong",""),IF('PC 02'!B269="","Update Date kosong",IF(NOT(ISNUMBER('PC 02'!B269)),"Update Date harus tanggal","")),IF('PC 02'!D269="","Judul kosong",""),IF('PC 02'!F269="","Genre kosong",IF(ISERROR(MATCH(TRIM('PC 02'!F269),{"Pop","Rock","Dangdut","K-Pop","Electronic","Nasional","Daerah"},0)),"Genre di luar daftar","")),IF('PC 02'!G269="","Nama Channel kosong",""),IF('PC 02'!H269="","Link kosong",IF(ISERROR(FIND("youtu",LOWER('PC 02'!H269))),"Link bukan youtube","")),IF('PC 02'!I269="","Tgl Dibuat kosong",IF(NOT(ISNUMBER('PC 02'!I269)),"Tgl Dibuat harus tanggal","")),IF(AND('PC 02'!J269&lt;&gt;"",NOT(ISNUMBER('PC 02'!J269))),"Tgl Publish harus tanggal",""),IF(AND(ISNUMBER('PC 02'!I269),ISNUMBER('PC 02'!J269),'PC 02'!J269&lt;'PC 02'!I269),"Tgl Publish &lt; Tgl Dibuat",""),IF(AND('PC 02'!K269&lt;&gt;"",ISERROR(MATCH(TRIM('PC 02'!K269),{"Draft","Menunggu Review","Revisi","Terjadwal","Publish","Batal","Published"},0))),"Status di luar daftar","")))</f>
        <v>#ERROR!</v>
      </c>
      <c r="D269" s="5" t="str">
        <f>IF(C269="","OK","ADA MASALAH")</f>
        <v>#ERROR!</v>
      </c>
    </row>
    <row r="270">
      <c r="A270" s="3">
        <v>270.0</v>
      </c>
      <c r="B270" s="5" t="str">
        <f>'PC 02'!A270</f>
        <v/>
      </c>
      <c r="C270" s="5" t="str">
        <f>IF(COUNTA('PC 02'!A270:L270)=0,"",TEXTJOIN(" | ",TRUE,IF('PC 02'!A270="","Worker ID kosong",""),IF('PC 02'!B270="","Update Date kosong",IF(NOT(ISNUMBER('PC 02'!B270)),"Update Date harus tanggal","")),IF('PC 02'!D270="","Judul kosong",""),IF('PC 02'!F270="","Genre kosong",IF(ISERROR(MATCH(TRIM('PC 02'!F270),{"Pop","Rock","Dangdut","K-Pop","Electronic","Nasional","Daerah"},0)),"Genre di luar daftar","")),IF('PC 02'!G270="","Nama Channel kosong",""),IF('PC 02'!H270="","Link kosong",IF(ISERROR(FIND("youtu",LOWER('PC 02'!H270))),"Link bukan youtube","")),IF('PC 02'!I270="","Tgl Dibuat kosong",IF(NOT(ISNUMBER('PC 02'!I270)),"Tgl Dibuat harus tanggal","")),IF(AND('PC 02'!J270&lt;&gt;"",NOT(ISNUMBER('PC 02'!J270))),"Tgl Publish harus tanggal",""),IF(AND(ISNUMBER('PC 02'!I270),ISNUMBER('PC 02'!J270),'PC 02'!J270&lt;'PC 02'!I270),"Tgl Publish &lt; Tgl Dibuat",""),IF(AND('PC 02'!K270&lt;&gt;"",ISERROR(MATCH(TRIM('PC 02'!K270),{"Draft","Menunggu Review","Revisi","Terjadwal","Publish","Batal","Published"},0))),"Status di luar daftar","")))</f>
        <v>#ERROR!</v>
      </c>
      <c r="D270" s="5" t="str">
        <f>IF(C270="","OK","ADA MASALAH")</f>
        <v>#ERROR!</v>
      </c>
    </row>
    <row r="271">
      <c r="A271" s="3">
        <v>271.0</v>
      </c>
      <c r="B271" s="5" t="str">
        <f>'PC 02'!A271</f>
        <v/>
      </c>
      <c r="C271" s="5" t="str">
        <f>IF(COUNTA('PC 02'!A271:L271)=0,"",TEXTJOIN(" | ",TRUE,IF('PC 02'!A271="","Worker ID kosong",""),IF('PC 02'!B271="","Update Date kosong",IF(NOT(ISNUMBER('PC 02'!B271)),"Update Date harus tanggal","")),IF('PC 02'!D271="","Judul kosong",""),IF('PC 02'!F271="","Genre kosong",IF(ISERROR(MATCH(TRIM('PC 02'!F271),{"Pop","Rock","Dangdut","K-Pop","Electronic","Nasional","Daerah"},0)),"Genre di luar daftar","")),IF('PC 02'!G271="","Nama Channel kosong",""),IF('PC 02'!H271="","Link kosong",IF(ISERROR(FIND("youtu",LOWER('PC 02'!H271))),"Link bukan youtube","")),IF('PC 02'!I271="","Tgl Dibuat kosong",IF(NOT(ISNUMBER('PC 02'!I271)),"Tgl Dibuat harus tanggal","")),IF(AND('PC 02'!J271&lt;&gt;"",NOT(ISNUMBER('PC 02'!J271))),"Tgl Publish harus tanggal",""),IF(AND(ISNUMBER('PC 02'!I271),ISNUMBER('PC 02'!J271),'PC 02'!J271&lt;'PC 02'!I271),"Tgl Publish &lt; Tgl Dibuat",""),IF(AND('PC 02'!K271&lt;&gt;"",ISERROR(MATCH(TRIM('PC 02'!K271),{"Draft","Menunggu Review","Revisi","Terjadwal","Publish","Batal","Published"},0))),"Status di luar daftar","")))</f>
        <v>#ERROR!</v>
      </c>
      <c r="D271" s="5" t="str">
        <f>IF(C271="","OK","ADA MASALAH")</f>
        <v>#ERROR!</v>
      </c>
    </row>
    <row r="272">
      <c r="A272" s="3">
        <v>272.0</v>
      </c>
      <c r="B272" s="5" t="str">
        <f>'PC 02'!A272</f>
        <v/>
      </c>
      <c r="C272" s="5" t="str">
        <f>IF(COUNTA('PC 02'!A272:L272)=0,"",TEXTJOIN(" | ",TRUE,IF('PC 02'!A272="","Worker ID kosong",""),IF('PC 02'!B272="","Update Date kosong",IF(NOT(ISNUMBER('PC 02'!B272)),"Update Date harus tanggal","")),IF('PC 02'!D272="","Judul kosong",""),IF('PC 02'!F272="","Genre kosong",IF(ISERROR(MATCH(TRIM('PC 02'!F272),{"Pop","Rock","Dangdut","K-Pop","Electronic","Nasional","Daerah"},0)),"Genre di luar daftar","")),IF('PC 02'!G272="","Nama Channel kosong",""),IF('PC 02'!H272="","Link kosong",IF(ISERROR(FIND("youtu",LOWER('PC 02'!H272))),"Link bukan youtube","")),IF('PC 02'!I272="","Tgl Dibuat kosong",IF(NOT(ISNUMBER('PC 02'!I272)),"Tgl Dibuat harus tanggal","")),IF(AND('PC 02'!J272&lt;&gt;"",NOT(ISNUMBER('PC 02'!J272))),"Tgl Publish harus tanggal",""),IF(AND(ISNUMBER('PC 02'!I272),ISNUMBER('PC 02'!J272),'PC 02'!J272&lt;'PC 02'!I272),"Tgl Publish &lt; Tgl Dibuat",""),IF(AND('PC 02'!K272&lt;&gt;"",ISERROR(MATCH(TRIM('PC 02'!K272),{"Draft","Menunggu Review","Revisi","Terjadwal","Publish","Batal","Published"},0))),"Status di luar daftar","")))</f>
        <v>#ERROR!</v>
      </c>
      <c r="D272" s="5" t="str">
        <f>IF(C272="","OK","ADA MASALAH")</f>
        <v>#ERROR!</v>
      </c>
    </row>
    <row r="273">
      <c r="A273" s="3">
        <v>273.0</v>
      </c>
      <c r="B273" s="5" t="str">
        <f>'PC 02'!A273</f>
        <v/>
      </c>
      <c r="C273" s="5" t="str">
        <f>IF(COUNTA('PC 02'!A273:L273)=0,"",TEXTJOIN(" | ",TRUE,IF('PC 02'!A273="","Worker ID kosong",""),IF('PC 02'!B273="","Update Date kosong",IF(NOT(ISNUMBER('PC 02'!B273)),"Update Date harus tanggal","")),IF('PC 02'!D273="","Judul kosong",""),IF('PC 02'!F273="","Genre kosong",IF(ISERROR(MATCH(TRIM('PC 02'!F273),{"Pop","Rock","Dangdut","K-Pop","Electronic","Nasional","Daerah"},0)),"Genre di luar daftar","")),IF('PC 02'!G273="","Nama Channel kosong",""),IF('PC 02'!H273="","Link kosong",IF(ISERROR(FIND("youtu",LOWER('PC 02'!H273))),"Link bukan youtube","")),IF('PC 02'!I273="","Tgl Dibuat kosong",IF(NOT(ISNUMBER('PC 02'!I273)),"Tgl Dibuat harus tanggal","")),IF(AND('PC 02'!J273&lt;&gt;"",NOT(ISNUMBER('PC 02'!J273))),"Tgl Publish harus tanggal",""),IF(AND(ISNUMBER('PC 02'!I273),ISNUMBER('PC 02'!J273),'PC 02'!J273&lt;'PC 02'!I273),"Tgl Publish &lt; Tgl Dibuat",""),IF(AND('PC 02'!K273&lt;&gt;"",ISERROR(MATCH(TRIM('PC 02'!K273),{"Draft","Menunggu Review","Revisi","Terjadwal","Publish","Batal","Published"},0))),"Status di luar daftar","")))</f>
        <v>#ERROR!</v>
      </c>
      <c r="D273" s="5" t="str">
        <f>IF(C273="","OK","ADA MASALAH")</f>
        <v>#ERROR!</v>
      </c>
    </row>
    <row r="274">
      <c r="A274" s="3">
        <v>274.0</v>
      </c>
      <c r="B274" s="5" t="str">
        <f>'PC 02'!A274</f>
        <v/>
      </c>
      <c r="C274" s="5" t="str">
        <f>IF(COUNTA('PC 02'!A274:L274)=0,"",TEXTJOIN(" | ",TRUE,IF('PC 02'!A274="","Worker ID kosong",""),IF('PC 02'!B274="","Update Date kosong",IF(NOT(ISNUMBER('PC 02'!B274)),"Update Date harus tanggal","")),IF('PC 02'!D274="","Judul kosong",""),IF('PC 02'!F274="","Genre kosong",IF(ISERROR(MATCH(TRIM('PC 02'!F274),{"Pop","Rock","Dangdut","K-Pop","Electronic","Nasional","Daerah"},0)),"Genre di luar daftar","")),IF('PC 02'!G274="","Nama Channel kosong",""),IF('PC 02'!H274="","Link kosong",IF(ISERROR(FIND("youtu",LOWER('PC 02'!H274))),"Link bukan youtube","")),IF('PC 02'!I274="","Tgl Dibuat kosong",IF(NOT(ISNUMBER('PC 02'!I274)),"Tgl Dibuat harus tanggal","")),IF(AND('PC 02'!J274&lt;&gt;"",NOT(ISNUMBER('PC 02'!J274))),"Tgl Publish harus tanggal",""),IF(AND(ISNUMBER('PC 02'!I274),ISNUMBER('PC 02'!J274),'PC 02'!J274&lt;'PC 02'!I274),"Tgl Publish &lt; Tgl Dibuat",""),IF(AND('PC 02'!K274&lt;&gt;"",ISERROR(MATCH(TRIM('PC 02'!K274),{"Draft","Menunggu Review","Revisi","Terjadwal","Publish","Batal","Published"},0))),"Status di luar daftar","")))</f>
        <v>#ERROR!</v>
      </c>
      <c r="D274" s="5" t="str">
        <f>IF(C274="","OK","ADA MASALAH")</f>
        <v>#ERROR!</v>
      </c>
    </row>
    <row r="275">
      <c r="A275" s="3">
        <v>275.0</v>
      </c>
      <c r="B275" s="5" t="str">
        <f>'PC 02'!A275</f>
        <v/>
      </c>
      <c r="C275" s="5" t="str">
        <f>IF(COUNTA('PC 02'!A275:L275)=0,"",TEXTJOIN(" | ",TRUE,IF('PC 02'!A275="","Worker ID kosong",""),IF('PC 02'!B275="","Update Date kosong",IF(NOT(ISNUMBER('PC 02'!B275)),"Update Date harus tanggal","")),IF('PC 02'!D275="","Judul kosong",""),IF('PC 02'!F275="","Genre kosong",IF(ISERROR(MATCH(TRIM('PC 02'!F275),{"Pop","Rock","Dangdut","K-Pop","Electronic","Nasional","Daerah"},0)),"Genre di luar daftar","")),IF('PC 02'!G275="","Nama Channel kosong",""),IF('PC 02'!H275="","Link kosong",IF(ISERROR(FIND("youtu",LOWER('PC 02'!H275))),"Link bukan youtube","")),IF('PC 02'!I275="","Tgl Dibuat kosong",IF(NOT(ISNUMBER('PC 02'!I275)),"Tgl Dibuat harus tanggal","")),IF(AND('PC 02'!J275&lt;&gt;"",NOT(ISNUMBER('PC 02'!J275))),"Tgl Publish harus tanggal",""),IF(AND(ISNUMBER('PC 02'!I275),ISNUMBER('PC 02'!J275),'PC 02'!J275&lt;'PC 02'!I275),"Tgl Publish &lt; Tgl Dibuat",""),IF(AND('PC 02'!K275&lt;&gt;"",ISERROR(MATCH(TRIM('PC 02'!K275),{"Draft","Menunggu Review","Revisi","Terjadwal","Publish","Batal","Published"},0))),"Status di luar daftar","")))</f>
        <v>#ERROR!</v>
      </c>
      <c r="D275" s="5" t="str">
        <f>IF(C275="","OK","ADA MASALAH")</f>
        <v>#ERROR!</v>
      </c>
    </row>
    <row r="276">
      <c r="A276" s="3">
        <v>276.0</v>
      </c>
      <c r="B276" s="5" t="str">
        <f>'PC 02'!A276</f>
        <v/>
      </c>
      <c r="C276" s="5" t="str">
        <f>IF(COUNTA('PC 02'!A276:L276)=0,"",TEXTJOIN(" | ",TRUE,IF('PC 02'!A276="","Worker ID kosong",""),IF('PC 02'!B276="","Update Date kosong",IF(NOT(ISNUMBER('PC 02'!B276)),"Update Date harus tanggal","")),IF('PC 02'!D276="","Judul kosong",""),IF('PC 02'!F276="","Genre kosong",IF(ISERROR(MATCH(TRIM('PC 02'!F276),{"Pop","Rock","Dangdut","K-Pop","Electronic","Nasional","Daerah"},0)),"Genre di luar daftar","")),IF('PC 02'!G276="","Nama Channel kosong",""),IF('PC 02'!H276="","Link kosong",IF(ISERROR(FIND("youtu",LOWER('PC 02'!H276))),"Link bukan youtube","")),IF('PC 02'!I276="","Tgl Dibuat kosong",IF(NOT(ISNUMBER('PC 02'!I276)),"Tgl Dibuat harus tanggal","")),IF(AND('PC 02'!J276&lt;&gt;"",NOT(ISNUMBER('PC 02'!J276))),"Tgl Publish harus tanggal",""),IF(AND(ISNUMBER('PC 02'!I276),ISNUMBER('PC 02'!J276),'PC 02'!J276&lt;'PC 02'!I276),"Tgl Publish &lt; Tgl Dibuat",""),IF(AND('PC 02'!K276&lt;&gt;"",ISERROR(MATCH(TRIM('PC 02'!K276),{"Draft","Menunggu Review","Revisi","Terjadwal","Publish","Batal","Published"},0))),"Status di luar daftar","")))</f>
        <v>#ERROR!</v>
      </c>
      <c r="D276" s="5" t="str">
        <f>IF(C276="","OK","ADA MASALAH")</f>
        <v>#ERROR!</v>
      </c>
    </row>
    <row r="277">
      <c r="A277" s="3">
        <v>277.0</v>
      </c>
      <c r="B277" s="5" t="str">
        <f>'PC 02'!A277</f>
        <v/>
      </c>
      <c r="C277" s="5" t="str">
        <f>IF(COUNTA('PC 02'!A277:L277)=0,"",TEXTJOIN(" | ",TRUE,IF('PC 02'!A277="","Worker ID kosong",""),IF('PC 02'!B277="","Update Date kosong",IF(NOT(ISNUMBER('PC 02'!B277)),"Update Date harus tanggal","")),IF('PC 02'!D277="","Judul kosong",""),IF('PC 02'!F277="","Genre kosong",IF(ISERROR(MATCH(TRIM('PC 02'!F277),{"Pop","Rock","Dangdut","K-Pop","Electronic","Nasional","Daerah"},0)),"Genre di luar daftar","")),IF('PC 02'!G277="","Nama Channel kosong",""),IF('PC 02'!H277="","Link kosong",IF(ISERROR(FIND("youtu",LOWER('PC 02'!H277))),"Link bukan youtube","")),IF('PC 02'!I277="","Tgl Dibuat kosong",IF(NOT(ISNUMBER('PC 02'!I277)),"Tgl Dibuat harus tanggal","")),IF(AND('PC 02'!J277&lt;&gt;"",NOT(ISNUMBER('PC 02'!J277))),"Tgl Publish harus tanggal",""),IF(AND(ISNUMBER('PC 02'!I277),ISNUMBER('PC 02'!J277),'PC 02'!J277&lt;'PC 02'!I277),"Tgl Publish &lt; Tgl Dibuat",""),IF(AND('PC 02'!K277&lt;&gt;"",ISERROR(MATCH(TRIM('PC 02'!K277),{"Draft","Menunggu Review","Revisi","Terjadwal","Publish","Batal","Published"},0))),"Status di luar daftar","")))</f>
        <v>#ERROR!</v>
      </c>
      <c r="D277" s="5" t="str">
        <f>IF(C277="","OK","ADA MASALAH")</f>
        <v>#ERROR!</v>
      </c>
    </row>
    <row r="278">
      <c r="A278" s="3">
        <v>278.0</v>
      </c>
      <c r="B278" s="5" t="str">
        <f>'PC 02'!A278</f>
        <v/>
      </c>
      <c r="C278" s="5" t="str">
        <f>IF(COUNTA('PC 02'!A278:L278)=0,"",TEXTJOIN(" | ",TRUE,IF('PC 02'!A278="","Worker ID kosong",""),IF('PC 02'!B278="","Update Date kosong",IF(NOT(ISNUMBER('PC 02'!B278)),"Update Date harus tanggal","")),IF('PC 02'!D278="","Judul kosong",""),IF('PC 02'!F278="","Genre kosong",IF(ISERROR(MATCH(TRIM('PC 02'!F278),{"Pop","Rock","Dangdut","K-Pop","Electronic","Nasional","Daerah"},0)),"Genre di luar daftar","")),IF('PC 02'!G278="","Nama Channel kosong",""),IF('PC 02'!H278="","Link kosong",IF(ISERROR(FIND("youtu",LOWER('PC 02'!H278))),"Link bukan youtube","")),IF('PC 02'!I278="","Tgl Dibuat kosong",IF(NOT(ISNUMBER('PC 02'!I278)),"Tgl Dibuat harus tanggal","")),IF(AND('PC 02'!J278&lt;&gt;"",NOT(ISNUMBER('PC 02'!J278))),"Tgl Publish harus tanggal",""),IF(AND(ISNUMBER('PC 02'!I278),ISNUMBER('PC 02'!J278),'PC 02'!J278&lt;'PC 02'!I278),"Tgl Publish &lt; Tgl Dibuat",""),IF(AND('PC 02'!K278&lt;&gt;"",ISERROR(MATCH(TRIM('PC 02'!K278),{"Draft","Menunggu Review","Revisi","Terjadwal","Publish","Batal","Published"},0))),"Status di luar daftar","")))</f>
        <v>#ERROR!</v>
      </c>
      <c r="D278" s="5" t="str">
        <f>IF(C278="","OK","ADA MASALAH")</f>
        <v>#ERROR!</v>
      </c>
    </row>
    <row r="279">
      <c r="A279" s="3">
        <v>279.0</v>
      </c>
      <c r="B279" s="5" t="str">
        <f>'PC 02'!A279</f>
        <v/>
      </c>
      <c r="C279" s="5" t="str">
        <f>IF(COUNTA('PC 02'!A279:L279)=0,"",TEXTJOIN(" | ",TRUE,IF('PC 02'!A279="","Worker ID kosong",""),IF('PC 02'!B279="","Update Date kosong",IF(NOT(ISNUMBER('PC 02'!B279)),"Update Date harus tanggal","")),IF('PC 02'!D279="","Judul kosong",""),IF('PC 02'!F279="","Genre kosong",IF(ISERROR(MATCH(TRIM('PC 02'!F279),{"Pop","Rock","Dangdut","K-Pop","Electronic","Nasional","Daerah"},0)),"Genre di luar daftar","")),IF('PC 02'!G279="","Nama Channel kosong",""),IF('PC 02'!H279="","Link kosong",IF(ISERROR(FIND("youtu",LOWER('PC 02'!H279))),"Link bukan youtube","")),IF('PC 02'!I279="","Tgl Dibuat kosong",IF(NOT(ISNUMBER('PC 02'!I279)),"Tgl Dibuat harus tanggal","")),IF(AND('PC 02'!J279&lt;&gt;"",NOT(ISNUMBER('PC 02'!J279))),"Tgl Publish harus tanggal",""),IF(AND(ISNUMBER('PC 02'!I279),ISNUMBER('PC 02'!J279),'PC 02'!J279&lt;'PC 02'!I279),"Tgl Publish &lt; Tgl Dibuat",""),IF(AND('PC 02'!K279&lt;&gt;"",ISERROR(MATCH(TRIM('PC 02'!K279),{"Draft","Menunggu Review","Revisi","Terjadwal","Publish","Batal","Published"},0))),"Status di luar daftar","")))</f>
        <v>#ERROR!</v>
      </c>
      <c r="D279" s="5" t="str">
        <f>IF(C279="","OK","ADA MASALAH")</f>
        <v>#ERROR!</v>
      </c>
    </row>
    <row r="280">
      <c r="A280" s="3">
        <v>280.0</v>
      </c>
      <c r="B280" s="5" t="str">
        <f>'PC 02'!A280</f>
        <v/>
      </c>
      <c r="C280" s="5" t="str">
        <f>IF(COUNTA('PC 02'!A280:L280)=0,"",TEXTJOIN(" | ",TRUE,IF('PC 02'!A280="","Worker ID kosong",""),IF('PC 02'!B280="","Update Date kosong",IF(NOT(ISNUMBER('PC 02'!B280)),"Update Date harus tanggal","")),IF('PC 02'!D280="","Judul kosong",""),IF('PC 02'!F280="","Genre kosong",IF(ISERROR(MATCH(TRIM('PC 02'!F280),{"Pop","Rock","Dangdut","K-Pop","Electronic","Nasional","Daerah"},0)),"Genre di luar daftar","")),IF('PC 02'!G280="","Nama Channel kosong",""),IF('PC 02'!H280="","Link kosong",IF(ISERROR(FIND("youtu",LOWER('PC 02'!H280))),"Link bukan youtube","")),IF('PC 02'!I280="","Tgl Dibuat kosong",IF(NOT(ISNUMBER('PC 02'!I280)),"Tgl Dibuat harus tanggal","")),IF(AND('PC 02'!J280&lt;&gt;"",NOT(ISNUMBER('PC 02'!J280))),"Tgl Publish harus tanggal",""),IF(AND(ISNUMBER('PC 02'!I280),ISNUMBER('PC 02'!J280),'PC 02'!J280&lt;'PC 02'!I280),"Tgl Publish &lt; Tgl Dibuat",""),IF(AND('PC 02'!K280&lt;&gt;"",ISERROR(MATCH(TRIM('PC 02'!K280),{"Draft","Menunggu Review","Revisi","Terjadwal","Publish","Batal","Published"},0))),"Status di luar daftar","")))</f>
        <v>#ERROR!</v>
      </c>
      <c r="D280" s="5" t="str">
        <f>IF(C280="","OK","ADA MASALAH")</f>
        <v>#ERROR!</v>
      </c>
    </row>
    <row r="281">
      <c r="A281" s="3">
        <v>281.0</v>
      </c>
      <c r="B281" s="5" t="str">
        <f>'PC 02'!A281</f>
        <v/>
      </c>
      <c r="C281" s="5" t="str">
        <f>IF(COUNTA('PC 02'!A281:L281)=0,"",TEXTJOIN(" | ",TRUE,IF('PC 02'!A281="","Worker ID kosong",""),IF('PC 02'!B281="","Update Date kosong",IF(NOT(ISNUMBER('PC 02'!B281)),"Update Date harus tanggal","")),IF('PC 02'!D281="","Judul kosong",""),IF('PC 02'!F281="","Genre kosong",IF(ISERROR(MATCH(TRIM('PC 02'!F281),{"Pop","Rock","Dangdut","K-Pop","Electronic","Nasional","Daerah"},0)),"Genre di luar daftar","")),IF('PC 02'!G281="","Nama Channel kosong",""),IF('PC 02'!H281="","Link kosong",IF(ISERROR(FIND("youtu",LOWER('PC 02'!H281))),"Link bukan youtube","")),IF('PC 02'!I281="","Tgl Dibuat kosong",IF(NOT(ISNUMBER('PC 02'!I281)),"Tgl Dibuat harus tanggal","")),IF(AND('PC 02'!J281&lt;&gt;"",NOT(ISNUMBER('PC 02'!J281))),"Tgl Publish harus tanggal",""),IF(AND(ISNUMBER('PC 02'!I281),ISNUMBER('PC 02'!J281),'PC 02'!J281&lt;'PC 02'!I281),"Tgl Publish &lt; Tgl Dibuat",""),IF(AND('PC 02'!K281&lt;&gt;"",ISERROR(MATCH(TRIM('PC 02'!K281),{"Draft","Menunggu Review","Revisi","Terjadwal","Publish","Batal","Published"},0))),"Status di luar daftar","")))</f>
        <v>#ERROR!</v>
      </c>
      <c r="D281" s="5" t="str">
        <f>IF(C281="","OK","ADA MASALAH")</f>
        <v>#ERROR!</v>
      </c>
    </row>
    <row r="282">
      <c r="A282" s="3">
        <v>282.0</v>
      </c>
      <c r="B282" s="5" t="str">
        <f>'PC 02'!A282</f>
        <v/>
      </c>
      <c r="C282" s="5" t="str">
        <f>IF(COUNTA('PC 02'!A282:L282)=0,"",TEXTJOIN(" | ",TRUE,IF('PC 02'!A282="","Worker ID kosong",""),IF('PC 02'!B282="","Update Date kosong",IF(NOT(ISNUMBER('PC 02'!B282)),"Update Date harus tanggal","")),IF('PC 02'!D282="","Judul kosong",""),IF('PC 02'!F282="","Genre kosong",IF(ISERROR(MATCH(TRIM('PC 02'!F282),{"Pop","Rock","Dangdut","K-Pop","Electronic","Nasional","Daerah"},0)),"Genre di luar daftar","")),IF('PC 02'!G282="","Nama Channel kosong",""),IF('PC 02'!H282="","Link kosong",IF(ISERROR(FIND("youtu",LOWER('PC 02'!H282))),"Link bukan youtube","")),IF('PC 02'!I282="","Tgl Dibuat kosong",IF(NOT(ISNUMBER('PC 02'!I282)),"Tgl Dibuat harus tanggal","")),IF(AND('PC 02'!J282&lt;&gt;"",NOT(ISNUMBER('PC 02'!J282))),"Tgl Publish harus tanggal",""),IF(AND(ISNUMBER('PC 02'!I282),ISNUMBER('PC 02'!J282),'PC 02'!J282&lt;'PC 02'!I282),"Tgl Publish &lt; Tgl Dibuat",""),IF(AND('PC 02'!K282&lt;&gt;"",ISERROR(MATCH(TRIM('PC 02'!K282),{"Draft","Menunggu Review","Revisi","Terjadwal","Publish","Batal","Published"},0))),"Status di luar daftar","")))</f>
        <v>#ERROR!</v>
      </c>
      <c r="D282" s="5" t="str">
        <f>IF(C282="","OK","ADA MASALAH")</f>
        <v>#ERROR!</v>
      </c>
    </row>
    <row r="283">
      <c r="A283" s="3">
        <v>283.0</v>
      </c>
      <c r="B283" s="5" t="str">
        <f>'PC 02'!A283</f>
        <v/>
      </c>
      <c r="C283" s="5" t="str">
        <f>IF(COUNTA('PC 02'!A283:L283)=0,"",TEXTJOIN(" | ",TRUE,IF('PC 02'!A283="","Worker ID kosong",""),IF('PC 02'!B283="","Update Date kosong",IF(NOT(ISNUMBER('PC 02'!B283)),"Update Date harus tanggal","")),IF('PC 02'!D283="","Judul kosong",""),IF('PC 02'!F283="","Genre kosong",IF(ISERROR(MATCH(TRIM('PC 02'!F283),{"Pop","Rock","Dangdut","K-Pop","Electronic","Nasional","Daerah"},0)),"Genre di luar daftar","")),IF('PC 02'!G283="","Nama Channel kosong",""),IF('PC 02'!H283="","Link kosong",IF(ISERROR(FIND("youtu",LOWER('PC 02'!H283))),"Link bukan youtube","")),IF('PC 02'!I283="","Tgl Dibuat kosong",IF(NOT(ISNUMBER('PC 02'!I283)),"Tgl Dibuat harus tanggal","")),IF(AND('PC 02'!J283&lt;&gt;"",NOT(ISNUMBER('PC 02'!J283))),"Tgl Publish harus tanggal",""),IF(AND(ISNUMBER('PC 02'!I283),ISNUMBER('PC 02'!J283),'PC 02'!J283&lt;'PC 02'!I283),"Tgl Publish &lt; Tgl Dibuat",""),IF(AND('PC 02'!K283&lt;&gt;"",ISERROR(MATCH(TRIM('PC 02'!K283),{"Draft","Menunggu Review","Revisi","Terjadwal","Publish","Batal","Published"},0))),"Status di luar daftar","")))</f>
        <v>#ERROR!</v>
      </c>
      <c r="D283" s="5" t="str">
        <f>IF(C283="","OK","ADA MASALAH")</f>
        <v>#ERROR!</v>
      </c>
    </row>
    <row r="284">
      <c r="A284" s="3">
        <v>284.0</v>
      </c>
      <c r="B284" s="5" t="str">
        <f>'PC 02'!A284</f>
        <v/>
      </c>
      <c r="C284" s="5" t="str">
        <f>IF(COUNTA('PC 02'!A284:L284)=0,"",TEXTJOIN(" | ",TRUE,IF('PC 02'!A284="","Worker ID kosong",""),IF('PC 02'!B284="","Update Date kosong",IF(NOT(ISNUMBER('PC 02'!B284)),"Update Date harus tanggal","")),IF('PC 02'!D284="","Judul kosong",""),IF('PC 02'!F284="","Genre kosong",IF(ISERROR(MATCH(TRIM('PC 02'!F284),{"Pop","Rock","Dangdut","K-Pop","Electronic","Nasional","Daerah"},0)),"Genre di luar daftar","")),IF('PC 02'!G284="","Nama Channel kosong",""),IF('PC 02'!H284="","Link kosong",IF(ISERROR(FIND("youtu",LOWER('PC 02'!H284))),"Link bukan youtube","")),IF('PC 02'!I284="","Tgl Dibuat kosong",IF(NOT(ISNUMBER('PC 02'!I284)),"Tgl Dibuat harus tanggal","")),IF(AND('PC 02'!J284&lt;&gt;"",NOT(ISNUMBER('PC 02'!J284))),"Tgl Publish harus tanggal",""),IF(AND(ISNUMBER('PC 02'!I284),ISNUMBER('PC 02'!J284),'PC 02'!J284&lt;'PC 02'!I284),"Tgl Publish &lt; Tgl Dibuat",""),IF(AND('PC 02'!K284&lt;&gt;"",ISERROR(MATCH(TRIM('PC 02'!K284),{"Draft","Menunggu Review","Revisi","Terjadwal","Publish","Batal","Published"},0))),"Status di luar daftar","")))</f>
        <v>#ERROR!</v>
      </c>
      <c r="D284" s="5" t="str">
        <f>IF(C284="","OK","ADA MASALAH")</f>
        <v>#ERROR!</v>
      </c>
    </row>
    <row r="285">
      <c r="A285" s="3">
        <v>285.0</v>
      </c>
      <c r="B285" s="5" t="str">
        <f>'PC 02'!A285</f>
        <v/>
      </c>
      <c r="C285" s="5" t="str">
        <f>IF(COUNTA('PC 02'!A285:L285)=0,"",TEXTJOIN(" | ",TRUE,IF('PC 02'!A285="","Worker ID kosong",""),IF('PC 02'!B285="","Update Date kosong",IF(NOT(ISNUMBER('PC 02'!B285)),"Update Date harus tanggal","")),IF('PC 02'!D285="","Judul kosong",""),IF('PC 02'!F285="","Genre kosong",IF(ISERROR(MATCH(TRIM('PC 02'!F285),{"Pop","Rock","Dangdut","K-Pop","Electronic","Nasional","Daerah"},0)),"Genre di luar daftar","")),IF('PC 02'!G285="","Nama Channel kosong",""),IF('PC 02'!H285="","Link kosong",IF(ISERROR(FIND("youtu",LOWER('PC 02'!H285))),"Link bukan youtube","")),IF('PC 02'!I285="","Tgl Dibuat kosong",IF(NOT(ISNUMBER('PC 02'!I285)),"Tgl Dibuat harus tanggal","")),IF(AND('PC 02'!J285&lt;&gt;"",NOT(ISNUMBER('PC 02'!J285))),"Tgl Publish harus tanggal",""),IF(AND(ISNUMBER('PC 02'!I285),ISNUMBER('PC 02'!J285),'PC 02'!J285&lt;'PC 02'!I285),"Tgl Publish &lt; Tgl Dibuat",""),IF(AND('PC 02'!K285&lt;&gt;"",ISERROR(MATCH(TRIM('PC 02'!K285),{"Draft","Menunggu Review","Revisi","Terjadwal","Publish","Batal","Published"},0))),"Status di luar daftar","")))</f>
        <v>#ERROR!</v>
      </c>
      <c r="D285" s="5" t="str">
        <f>IF(C285="","OK","ADA MASALAH")</f>
        <v>#ERROR!</v>
      </c>
    </row>
    <row r="286">
      <c r="A286" s="3">
        <v>286.0</v>
      </c>
      <c r="B286" s="5" t="str">
        <f>'PC 02'!A286</f>
        <v/>
      </c>
      <c r="C286" s="5" t="str">
        <f>IF(COUNTA('PC 02'!A286:L286)=0,"",TEXTJOIN(" | ",TRUE,IF('PC 02'!A286="","Worker ID kosong",""),IF('PC 02'!B286="","Update Date kosong",IF(NOT(ISNUMBER('PC 02'!B286)),"Update Date harus tanggal","")),IF('PC 02'!D286="","Judul kosong",""),IF('PC 02'!F286="","Genre kosong",IF(ISERROR(MATCH(TRIM('PC 02'!F286),{"Pop","Rock","Dangdut","K-Pop","Electronic","Nasional","Daerah"},0)),"Genre di luar daftar","")),IF('PC 02'!G286="","Nama Channel kosong",""),IF('PC 02'!H286="","Link kosong",IF(ISERROR(FIND("youtu",LOWER('PC 02'!H286))),"Link bukan youtube","")),IF('PC 02'!I286="","Tgl Dibuat kosong",IF(NOT(ISNUMBER('PC 02'!I286)),"Tgl Dibuat harus tanggal","")),IF(AND('PC 02'!J286&lt;&gt;"",NOT(ISNUMBER('PC 02'!J286))),"Tgl Publish harus tanggal",""),IF(AND(ISNUMBER('PC 02'!I286),ISNUMBER('PC 02'!J286),'PC 02'!J286&lt;'PC 02'!I286),"Tgl Publish &lt; Tgl Dibuat",""),IF(AND('PC 02'!K286&lt;&gt;"",ISERROR(MATCH(TRIM('PC 02'!K286),{"Draft","Menunggu Review","Revisi","Terjadwal","Publish","Batal","Published"},0))),"Status di luar daftar","")))</f>
        <v>#ERROR!</v>
      </c>
      <c r="D286" s="5" t="str">
        <f>IF(C286="","OK","ADA MASALAH")</f>
        <v>#ERROR!</v>
      </c>
    </row>
    <row r="287">
      <c r="A287" s="3">
        <v>287.0</v>
      </c>
      <c r="B287" s="5" t="str">
        <f>'PC 02'!A287</f>
        <v/>
      </c>
      <c r="C287" s="5" t="str">
        <f>IF(COUNTA('PC 02'!A287:L287)=0,"",TEXTJOIN(" | ",TRUE,IF('PC 02'!A287="","Worker ID kosong",""),IF('PC 02'!B287="","Update Date kosong",IF(NOT(ISNUMBER('PC 02'!B287)),"Update Date harus tanggal","")),IF('PC 02'!D287="","Judul kosong",""),IF('PC 02'!F287="","Genre kosong",IF(ISERROR(MATCH(TRIM('PC 02'!F287),{"Pop","Rock","Dangdut","K-Pop","Electronic","Nasional","Daerah"},0)),"Genre di luar daftar","")),IF('PC 02'!G287="","Nama Channel kosong",""),IF('PC 02'!H287="","Link kosong",IF(ISERROR(FIND("youtu",LOWER('PC 02'!H287))),"Link bukan youtube","")),IF('PC 02'!I287="","Tgl Dibuat kosong",IF(NOT(ISNUMBER('PC 02'!I287)),"Tgl Dibuat harus tanggal","")),IF(AND('PC 02'!J287&lt;&gt;"",NOT(ISNUMBER('PC 02'!J287))),"Tgl Publish harus tanggal",""),IF(AND(ISNUMBER('PC 02'!I287),ISNUMBER('PC 02'!J287),'PC 02'!J287&lt;'PC 02'!I287),"Tgl Publish &lt; Tgl Dibuat",""),IF(AND('PC 02'!K287&lt;&gt;"",ISERROR(MATCH(TRIM('PC 02'!K287),{"Draft","Menunggu Review","Revisi","Terjadwal","Publish","Batal","Published"},0))),"Status di luar daftar","")))</f>
        <v>#ERROR!</v>
      </c>
      <c r="D287" s="5" t="str">
        <f>IF(C287="","OK","ADA MASALAH")</f>
        <v>#ERROR!</v>
      </c>
    </row>
    <row r="288">
      <c r="A288" s="3">
        <v>288.0</v>
      </c>
      <c r="B288" s="5" t="str">
        <f>'PC 02'!A288</f>
        <v/>
      </c>
      <c r="C288" s="5" t="str">
        <f>IF(COUNTA('PC 02'!A288:L288)=0,"",TEXTJOIN(" | ",TRUE,IF('PC 02'!A288="","Worker ID kosong",""),IF('PC 02'!B288="","Update Date kosong",IF(NOT(ISNUMBER('PC 02'!B288)),"Update Date harus tanggal","")),IF('PC 02'!D288="","Judul kosong",""),IF('PC 02'!F288="","Genre kosong",IF(ISERROR(MATCH(TRIM('PC 02'!F288),{"Pop","Rock","Dangdut","K-Pop","Electronic","Nasional","Daerah"},0)),"Genre di luar daftar","")),IF('PC 02'!G288="","Nama Channel kosong",""),IF('PC 02'!H288="","Link kosong",IF(ISERROR(FIND("youtu",LOWER('PC 02'!H288))),"Link bukan youtube","")),IF('PC 02'!I288="","Tgl Dibuat kosong",IF(NOT(ISNUMBER('PC 02'!I288)),"Tgl Dibuat harus tanggal","")),IF(AND('PC 02'!J288&lt;&gt;"",NOT(ISNUMBER('PC 02'!J288))),"Tgl Publish harus tanggal",""),IF(AND(ISNUMBER('PC 02'!I288),ISNUMBER('PC 02'!J288),'PC 02'!J288&lt;'PC 02'!I288),"Tgl Publish &lt; Tgl Dibuat",""),IF(AND('PC 02'!K288&lt;&gt;"",ISERROR(MATCH(TRIM('PC 02'!K288),{"Draft","Menunggu Review","Revisi","Terjadwal","Publish","Batal","Published"},0))),"Status di luar daftar","")))</f>
        <v>#ERROR!</v>
      </c>
      <c r="D288" s="5" t="str">
        <f>IF(C288="","OK","ADA MASALAH")</f>
        <v>#ERROR!</v>
      </c>
    </row>
    <row r="289">
      <c r="A289" s="3">
        <v>289.0</v>
      </c>
      <c r="B289" s="5" t="str">
        <f>'PC 02'!A289</f>
        <v/>
      </c>
      <c r="C289" s="5" t="str">
        <f>IF(COUNTA('PC 02'!A289:L289)=0,"",TEXTJOIN(" | ",TRUE,IF('PC 02'!A289="","Worker ID kosong",""),IF('PC 02'!B289="","Update Date kosong",IF(NOT(ISNUMBER('PC 02'!B289)),"Update Date harus tanggal","")),IF('PC 02'!D289="","Judul kosong",""),IF('PC 02'!F289="","Genre kosong",IF(ISERROR(MATCH(TRIM('PC 02'!F289),{"Pop","Rock","Dangdut","K-Pop","Electronic","Nasional","Daerah"},0)),"Genre di luar daftar","")),IF('PC 02'!G289="","Nama Channel kosong",""),IF('PC 02'!H289="","Link kosong",IF(ISERROR(FIND("youtu",LOWER('PC 02'!H289))),"Link bukan youtube","")),IF('PC 02'!I289="","Tgl Dibuat kosong",IF(NOT(ISNUMBER('PC 02'!I289)),"Tgl Dibuat harus tanggal","")),IF(AND('PC 02'!J289&lt;&gt;"",NOT(ISNUMBER('PC 02'!J289))),"Tgl Publish harus tanggal",""),IF(AND(ISNUMBER('PC 02'!I289),ISNUMBER('PC 02'!J289),'PC 02'!J289&lt;'PC 02'!I289),"Tgl Publish &lt; Tgl Dibuat",""),IF(AND('PC 02'!K289&lt;&gt;"",ISERROR(MATCH(TRIM('PC 02'!K289),{"Draft","Menunggu Review","Revisi","Terjadwal","Publish","Batal","Published"},0))),"Status di luar daftar","")))</f>
        <v>#ERROR!</v>
      </c>
      <c r="D289" s="5" t="str">
        <f>IF(C289="","OK","ADA MASALAH")</f>
        <v>#ERROR!</v>
      </c>
    </row>
    <row r="290">
      <c r="A290" s="3">
        <v>290.0</v>
      </c>
      <c r="B290" s="5" t="str">
        <f>'PC 02'!A290</f>
        <v/>
      </c>
      <c r="C290" s="5" t="str">
        <f>IF(COUNTA('PC 02'!A290:L290)=0,"",TEXTJOIN(" | ",TRUE,IF('PC 02'!A290="","Worker ID kosong",""),IF('PC 02'!B290="","Update Date kosong",IF(NOT(ISNUMBER('PC 02'!B290)),"Update Date harus tanggal","")),IF('PC 02'!D290="","Judul kosong",""),IF('PC 02'!F290="","Genre kosong",IF(ISERROR(MATCH(TRIM('PC 02'!F290),{"Pop","Rock","Dangdut","K-Pop","Electronic","Nasional","Daerah"},0)),"Genre di luar daftar","")),IF('PC 02'!G290="","Nama Channel kosong",""),IF('PC 02'!H290="","Link kosong",IF(ISERROR(FIND("youtu",LOWER('PC 02'!H290))),"Link bukan youtube","")),IF('PC 02'!I290="","Tgl Dibuat kosong",IF(NOT(ISNUMBER('PC 02'!I290)),"Tgl Dibuat harus tanggal","")),IF(AND('PC 02'!J290&lt;&gt;"",NOT(ISNUMBER('PC 02'!J290))),"Tgl Publish harus tanggal",""),IF(AND(ISNUMBER('PC 02'!I290),ISNUMBER('PC 02'!J290),'PC 02'!J290&lt;'PC 02'!I290),"Tgl Publish &lt; Tgl Dibuat",""),IF(AND('PC 02'!K290&lt;&gt;"",ISERROR(MATCH(TRIM('PC 02'!K290),{"Draft","Menunggu Review","Revisi","Terjadwal","Publish","Batal","Published"},0))),"Status di luar daftar","")))</f>
        <v>#ERROR!</v>
      </c>
      <c r="D290" s="5" t="str">
        <f>IF(C290="","OK","ADA MASALAH")</f>
        <v>#ERROR!</v>
      </c>
    </row>
    <row r="291">
      <c r="A291" s="3">
        <v>291.0</v>
      </c>
      <c r="B291" s="5" t="str">
        <f>'PC 02'!A291</f>
        <v/>
      </c>
      <c r="C291" s="5" t="str">
        <f>IF(COUNTA('PC 02'!A291:L291)=0,"",TEXTJOIN(" | ",TRUE,IF('PC 02'!A291="","Worker ID kosong",""),IF('PC 02'!B291="","Update Date kosong",IF(NOT(ISNUMBER('PC 02'!B291)),"Update Date harus tanggal","")),IF('PC 02'!D291="","Judul kosong",""),IF('PC 02'!F291="","Genre kosong",IF(ISERROR(MATCH(TRIM('PC 02'!F291),{"Pop","Rock","Dangdut","K-Pop","Electronic","Nasional","Daerah"},0)),"Genre di luar daftar","")),IF('PC 02'!G291="","Nama Channel kosong",""),IF('PC 02'!H291="","Link kosong",IF(ISERROR(FIND("youtu",LOWER('PC 02'!H291))),"Link bukan youtube","")),IF('PC 02'!I291="","Tgl Dibuat kosong",IF(NOT(ISNUMBER('PC 02'!I291)),"Tgl Dibuat harus tanggal","")),IF(AND('PC 02'!J291&lt;&gt;"",NOT(ISNUMBER('PC 02'!J291))),"Tgl Publish harus tanggal",""),IF(AND(ISNUMBER('PC 02'!I291),ISNUMBER('PC 02'!J291),'PC 02'!J291&lt;'PC 02'!I291),"Tgl Publish &lt; Tgl Dibuat",""),IF(AND('PC 02'!K291&lt;&gt;"",ISERROR(MATCH(TRIM('PC 02'!K291),{"Draft","Menunggu Review","Revisi","Terjadwal","Publish","Batal","Published"},0))),"Status di luar daftar","")))</f>
        <v>#ERROR!</v>
      </c>
      <c r="D291" s="5" t="str">
        <f>IF(C291="","OK","ADA MASALAH")</f>
        <v>#ERROR!</v>
      </c>
    </row>
    <row r="292">
      <c r="A292" s="3">
        <v>292.0</v>
      </c>
      <c r="B292" s="5" t="str">
        <f>'PC 02'!A292</f>
        <v/>
      </c>
      <c r="C292" s="5" t="str">
        <f>IF(COUNTA('PC 02'!A292:L292)=0,"",TEXTJOIN(" | ",TRUE,IF('PC 02'!A292="","Worker ID kosong",""),IF('PC 02'!B292="","Update Date kosong",IF(NOT(ISNUMBER('PC 02'!B292)),"Update Date harus tanggal","")),IF('PC 02'!D292="","Judul kosong",""),IF('PC 02'!F292="","Genre kosong",IF(ISERROR(MATCH(TRIM('PC 02'!F292),{"Pop","Rock","Dangdut","K-Pop","Electronic","Nasional","Daerah"},0)),"Genre di luar daftar","")),IF('PC 02'!G292="","Nama Channel kosong",""),IF('PC 02'!H292="","Link kosong",IF(ISERROR(FIND("youtu",LOWER('PC 02'!H292))),"Link bukan youtube","")),IF('PC 02'!I292="","Tgl Dibuat kosong",IF(NOT(ISNUMBER('PC 02'!I292)),"Tgl Dibuat harus tanggal","")),IF(AND('PC 02'!J292&lt;&gt;"",NOT(ISNUMBER('PC 02'!J292))),"Tgl Publish harus tanggal",""),IF(AND(ISNUMBER('PC 02'!I292),ISNUMBER('PC 02'!J292),'PC 02'!J292&lt;'PC 02'!I292),"Tgl Publish &lt; Tgl Dibuat",""),IF(AND('PC 02'!K292&lt;&gt;"",ISERROR(MATCH(TRIM('PC 02'!K292),{"Draft","Menunggu Review","Revisi","Terjadwal","Publish","Batal","Published"},0))),"Status di luar daftar","")))</f>
        <v>#ERROR!</v>
      </c>
      <c r="D292" s="5" t="str">
        <f>IF(C292="","OK","ADA MASALAH")</f>
        <v>#ERROR!</v>
      </c>
    </row>
    <row r="293">
      <c r="A293" s="3">
        <v>293.0</v>
      </c>
      <c r="B293" s="5" t="str">
        <f>'PC 02'!A293</f>
        <v/>
      </c>
      <c r="C293" s="5" t="str">
        <f>IF(COUNTA('PC 02'!A293:L293)=0,"",TEXTJOIN(" | ",TRUE,IF('PC 02'!A293="","Worker ID kosong",""),IF('PC 02'!B293="","Update Date kosong",IF(NOT(ISNUMBER('PC 02'!B293)),"Update Date harus tanggal","")),IF('PC 02'!D293="","Judul kosong",""),IF('PC 02'!F293="","Genre kosong",IF(ISERROR(MATCH(TRIM('PC 02'!F293),{"Pop","Rock","Dangdut","K-Pop","Electronic","Nasional","Daerah"},0)),"Genre di luar daftar","")),IF('PC 02'!G293="","Nama Channel kosong",""),IF('PC 02'!H293="","Link kosong",IF(ISERROR(FIND("youtu",LOWER('PC 02'!H293))),"Link bukan youtube","")),IF('PC 02'!I293="","Tgl Dibuat kosong",IF(NOT(ISNUMBER('PC 02'!I293)),"Tgl Dibuat harus tanggal","")),IF(AND('PC 02'!J293&lt;&gt;"",NOT(ISNUMBER('PC 02'!J293))),"Tgl Publish harus tanggal",""),IF(AND(ISNUMBER('PC 02'!I293),ISNUMBER('PC 02'!J293),'PC 02'!J293&lt;'PC 02'!I293),"Tgl Publish &lt; Tgl Dibuat",""),IF(AND('PC 02'!K293&lt;&gt;"",ISERROR(MATCH(TRIM('PC 02'!K293),{"Draft","Menunggu Review","Revisi","Terjadwal","Publish","Batal","Published"},0))),"Status di luar daftar","")))</f>
        <v>#ERROR!</v>
      </c>
      <c r="D293" s="5" t="str">
        <f>IF(C293="","OK","ADA MASALAH")</f>
        <v>#ERROR!</v>
      </c>
    </row>
    <row r="294">
      <c r="A294" s="3">
        <v>294.0</v>
      </c>
      <c r="B294" s="5" t="str">
        <f>'PC 02'!A294</f>
        <v/>
      </c>
      <c r="C294" s="5" t="str">
        <f>IF(COUNTA('PC 02'!A294:L294)=0,"",TEXTJOIN(" | ",TRUE,IF('PC 02'!A294="","Worker ID kosong",""),IF('PC 02'!B294="","Update Date kosong",IF(NOT(ISNUMBER('PC 02'!B294)),"Update Date harus tanggal","")),IF('PC 02'!D294="","Judul kosong",""),IF('PC 02'!F294="","Genre kosong",IF(ISERROR(MATCH(TRIM('PC 02'!F294),{"Pop","Rock","Dangdut","K-Pop","Electronic","Nasional","Daerah"},0)),"Genre di luar daftar","")),IF('PC 02'!G294="","Nama Channel kosong",""),IF('PC 02'!H294="","Link kosong",IF(ISERROR(FIND("youtu",LOWER('PC 02'!H294))),"Link bukan youtube","")),IF('PC 02'!I294="","Tgl Dibuat kosong",IF(NOT(ISNUMBER('PC 02'!I294)),"Tgl Dibuat harus tanggal","")),IF(AND('PC 02'!J294&lt;&gt;"",NOT(ISNUMBER('PC 02'!J294))),"Tgl Publish harus tanggal",""),IF(AND(ISNUMBER('PC 02'!I294),ISNUMBER('PC 02'!J294),'PC 02'!J294&lt;'PC 02'!I294),"Tgl Publish &lt; Tgl Dibuat",""),IF(AND('PC 02'!K294&lt;&gt;"",ISERROR(MATCH(TRIM('PC 02'!K294),{"Draft","Menunggu Review","Revisi","Terjadwal","Publish","Batal","Published"},0))),"Status di luar daftar","")))</f>
        <v>#ERROR!</v>
      </c>
      <c r="D294" s="5" t="str">
        <f>IF(C294="","OK","ADA MASALAH")</f>
        <v>#ERROR!</v>
      </c>
    </row>
    <row r="295">
      <c r="A295" s="3">
        <v>295.0</v>
      </c>
      <c r="B295" s="5" t="str">
        <f>'PC 02'!A295</f>
        <v/>
      </c>
      <c r="C295" s="5" t="str">
        <f>IF(COUNTA('PC 02'!A295:L295)=0,"",TEXTJOIN(" | ",TRUE,IF('PC 02'!A295="","Worker ID kosong",""),IF('PC 02'!B295="","Update Date kosong",IF(NOT(ISNUMBER('PC 02'!B295)),"Update Date harus tanggal","")),IF('PC 02'!D295="","Judul kosong",""),IF('PC 02'!F295="","Genre kosong",IF(ISERROR(MATCH(TRIM('PC 02'!F295),{"Pop","Rock","Dangdut","K-Pop","Electronic","Nasional","Daerah"},0)),"Genre di luar daftar","")),IF('PC 02'!G295="","Nama Channel kosong",""),IF('PC 02'!H295="","Link kosong",IF(ISERROR(FIND("youtu",LOWER('PC 02'!H295))),"Link bukan youtube","")),IF('PC 02'!I295="","Tgl Dibuat kosong",IF(NOT(ISNUMBER('PC 02'!I295)),"Tgl Dibuat harus tanggal","")),IF(AND('PC 02'!J295&lt;&gt;"",NOT(ISNUMBER('PC 02'!J295))),"Tgl Publish harus tanggal",""),IF(AND(ISNUMBER('PC 02'!I295),ISNUMBER('PC 02'!J295),'PC 02'!J295&lt;'PC 02'!I295),"Tgl Publish &lt; Tgl Dibuat",""),IF(AND('PC 02'!K295&lt;&gt;"",ISERROR(MATCH(TRIM('PC 02'!K295),{"Draft","Menunggu Review","Revisi","Terjadwal","Publish","Batal","Published"},0))),"Status di luar daftar","")))</f>
        <v>#ERROR!</v>
      </c>
      <c r="D295" s="5" t="str">
        <f>IF(C295="","OK","ADA MASALAH")</f>
        <v>#ERROR!</v>
      </c>
    </row>
    <row r="296">
      <c r="A296" s="3">
        <v>296.0</v>
      </c>
      <c r="B296" s="5" t="str">
        <f>'PC 02'!A296</f>
        <v/>
      </c>
      <c r="C296" s="5" t="str">
        <f>IF(COUNTA('PC 02'!A296:L296)=0,"",TEXTJOIN(" | ",TRUE,IF('PC 02'!A296="","Worker ID kosong",""),IF('PC 02'!B296="","Update Date kosong",IF(NOT(ISNUMBER('PC 02'!B296)),"Update Date harus tanggal","")),IF('PC 02'!D296="","Judul kosong",""),IF('PC 02'!F296="","Genre kosong",IF(ISERROR(MATCH(TRIM('PC 02'!F296),{"Pop","Rock","Dangdut","K-Pop","Electronic","Nasional","Daerah"},0)),"Genre di luar daftar","")),IF('PC 02'!G296="","Nama Channel kosong",""),IF('PC 02'!H296="","Link kosong",IF(ISERROR(FIND("youtu",LOWER('PC 02'!H296))),"Link bukan youtube","")),IF('PC 02'!I296="","Tgl Dibuat kosong",IF(NOT(ISNUMBER('PC 02'!I296)),"Tgl Dibuat harus tanggal","")),IF(AND('PC 02'!J296&lt;&gt;"",NOT(ISNUMBER('PC 02'!J296))),"Tgl Publish harus tanggal",""),IF(AND(ISNUMBER('PC 02'!I296),ISNUMBER('PC 02'!J296),'PC 02'!J296&lt;'PC 02'!I296),"Tgl Publish &lt; Tgl Dibuat",""),IF(AND('PC 02'!K296&lt;&gt;"",ISERROR(MATCH(TRIM('PC 02'!K296),{"Draft","Menunggu Review","Revisi","Terjadwal","Publish","Batal","Published"},0))),"Status di luar daftar","")))</f>
        <v>#ERROR!</v>
      </c>
      <c r="D296" s="5" t="str">
        <f>IF(C296="","OK","ADA MASALAH")</f>
        <v>#ERROR!</v>
      </c>
    </row>
    <row r="297">
      <c r="A297" s="3">
        <v>297.0</v>
      </c>
      <c r="B297" s="5" t="str">
        <f>'PC 02'!A297</f>
        <v/>
      </c>
      <c r="C297" s="5" t="str">
        <f>IF(COUNTA('PC 02'!A297:L297)=0,"",TEXTJOIN(" | ",TRUE,IF('PC 02'!A297="","Worker ID kosong",""),IF('PC 02'!B297="","Update Date kosong",IF(NOT(ISNUMBER('PC 02'!B297)),"Update Date harus tanggal","")),IF('PC 02'!D297="","Judul kosong",""),IF('PC 02'!F297="","Genre kosong",IF(ISERROR(MATCH(TRIM('PC 02'!F297),{"Pop","Rock","Dangdut","K-Pop","Electronic","Nasional","Daerah"},0)),"Genre di luar daftar","")),IF('PC 02'!G297="","Nama Channel kosong",""),IF('PC 02'!H297="","Link kosong",IF(ISERROR(FIND("youtu",LOWER('PC 02'!H297))),"Link bukan youtube","")),IF('PC 02'!I297="","Tgl Dibuat kosong",IF(NOT(ISNUMBER('PC 02'!I297)),"Tgl Dibuat harus tanggal","")),IF(AND('PC 02'!J297&lt;&gt;"",NOT(ISNUMBER('PC 02'!J297))),"Tgl Publish harus tanggal",""),IF(AND(ISNUMBER('PC 02'!I297),ISNUMBER('PC 02'!J297),'PC 02'!J297&lt;'PC 02'!I297),"Tgl Publish &lt; Tgl Dibuat",""),IF(AND('PC 02'!K297&lt;&gt;"",ISERROR(MATCH(TRIM('PC 02'!K297),{"Draft","Menunggu Review","Revisi","Terjadwal","Publish","Batal","Published"},0))),"Status di luar daftar","")))</f>
        <v>#ERROR!</v>
      </c>
      <c r="D297" s="5" t="str">
        <f>IF(C297="","OK","ADA MASALAH")</f>
        <v>#ERROR!</v>
      </c>
    </row>
    <row r="298">
      <c r="A298" s="3">
        <v>298.0</v>
      </c>
      <c r="B298" s="5" t="str">
        <f>'PC 02'!A298</f>
        <v/>
      </c>
      <c r="C298" s="5" t="str">
        <f>IF(COUNTA('PC 02'!A298:L298)=0,"",TEXTJOIN(" | ",TRUE,IF('PC 02'!A298="","Worker ID kosong",""),IF('PC 02'!B298="","Update Date kosong",IF(NOT(ISNUMBER('PC 02'!B298)),"Update Date harus tanggal","")),IF('PC 02'!D298="","Judul kosong",""),IF('PC 02'!F298="","Genre kosong",IF(ISERROR(MATCH(TRIM('PC 02'!F298),{"Pop","Rock","Dangdut","K-Pop","Electronic","Nasional","Daerah"},0)),"Genre di luar daftar","")),IF('PC 02'!G298="","Nama Channel kosong",""),IF('PC 02'!H298="","Link kosong",IF(ISERROR(FIND("youtu",LOWER('PC 02'!H298))),"Link bukan youtube","")),IF('PC 02'!I298="","Tgl Dibuat kosong",IF(NOT(ISNUMBER('PC 02'!I298)),"Tgl Dibuat harus tanggal","")),IF(AND('PC 02'!J298&lt;&gt;"",NOT(ISNUMBER('PC 02'!J298))),"Tgl Publish harus tanggal",""),IF(AND(ISNUMBER('PC 02'!I298),ISNUMBER('PC 02'!J298),'PC 02'!J298&lt;'PC 02'!I298),"Tgl Publish &lt; Tgl Dibuat",""),IF(AND('PC 02'!K298&lt;&gt;"",ISERROR(MATCH(TRIM('PC 02'!K298),{"Draft","Menunggu Review","Revisi","Terjadwal","Publish","Batal","Published"},0))),"Status di luar daftar","")))</f>
        <v>#ERROR!</v>
      </c>
      <c r="D298" s="5" t="str">
        <f>IF(C298="","OK","ADA MASALAH")</f>
        <v>#ERROR!</v>
      </c>
    </row>
    <row r="299">
      <c r="A299" s="3">
        <v>299.0</v>
      </c>
      <c r="B299" s="5" t="str">
        <f>'PC 02'!A299</f>
        <v/>
      </c>
      <c r="C299" s="5" t="str">
        <f>IF(COUNTA('PC 02'!A299:L299)=0,"",TEXTJOIN(" | ",TRUE,IF('PC 02'!A299="","Worker ID kosong",""),IF('PC 02'!B299="","Update Date kosong",IF(NOT(ISNUMBER('PC 02'!B299)),"Update Date harus tanggal","")),IF('PC 02'!D299="","Judul kosong",""),IF('PC 02'!F299="","Genre kosong",IF(ISERROR(MATCH(TRIM('PC 02'!F299),{"Pop","Rock","Dangdut","K-Pop","Electronic","Nasional","Daerah"},0)),"Genre di luar daftar","")),IF('PC 02'!G299="","Nama Channel kosong",""),IF('PC 02'!H299="","Link kosong",IF(ISERROR(FIND("youtu",LOWER('PC 02'!H299))),"Link bukan youtube","")),IF('PC 02'!I299="","Tgl Dibuat kosong",IF(NOT(ISNUMBER('PC 02'!I299)),"Tgl Dibuat harus tanggal","")),IF(AND('PC 02'!J299&lt;&gt;"",NOT(ISNUMBER('PC 02'!J299))),"Tgl Publish harus tanggal",""),IF(AND(ISNUMBER('PC 02'!I299),ISNUMBER('PC 02'!J299),'PC 02'!J299&lt;'PC 02'!I299),"Tgl Publish &lt; Tgl Dibuat",""),IF(AND('PC 02'!K299&lt;&gt;"",ISERROR(MATCH(TRIM('PC 02'!K299),{"Draft","Menunggu Review","Revisi","Terjadwal","Publish","Batal","Published"},0))),"Status di luar daftar","")))</f>
        <v>#ERROR!</v>
      </c>
      <c r="D299" s="5" t="str">
        <f>IF(C299="","OK","ADA MASALAH")</f>
        <v>#ERROR!</v>
      </c>
    </row>
    <row r="300">
      <c r="A300" s="3">
        <v>300.0</v>
      </c>
      <c r="B300" s="5" t="str">
        <f>'PC 02'!A300</f>
        <v/>
      </c>
      <c r="C300" s="5" t="str">
        <f>IF(COUNTA('PC 02'!A300:L300)=0,"",TEXTJOIN(" | ",TRUE,IF('PC 02'!A300="","Worker ID kosong",""),IF('PC 02'!B300="","Update Date kosong",IF(NOT(ISNUMBER('PC 02'!B300)),"Update Date harus tanggal","")),IF('PC 02'!D300="","Judul kosong",""),IF('PC 02'!F300="","Genre kosong",IF(ISERROR(MATCH(TRIM('PC 02'!F300),{"Pop","Rock","Dangdut","K-Pop","Electronic","Nasional","Daerah"},0)),"Genre di luar daftar","")),IF('PC 02'!G300="","Nama Channel kosong",""),IF('PC 02'!H300="","Link kosong",IF(ISERROR(FIND("youtu",LOWER('PC 02'!H300))),"Link bukan youtube","")),IF('PC 02'!I300="","Tgl Dibuat kosong",IF(NOT(ISNUMBER('PC 02'!I300)),"Tgl Dibuat harus tanggal","")),IF(AND('PC 02'!J300&lt;&gt;"",NOT(ISNUMBER('PC 02'!J300))),"Tgl Publish harus tanggal",""),IF(AND(ISNUMBER('PC 02'!I300),ISNUMBER('PC 02'!J300),'PC 02'!J300&lt;'PC 02'!I300),"Tgl Publish &lt; Tgl Dibuat",""),IF(AND('PC 02'!K300&lt;&gt;"",ISERROR(MATCH(TRIM('PC 02'!K300),{"Draft","Menunggu Review","Revisi","Terjadwal","Publish","Batal","Published"},0))),"Status di luar daftar","")))</f>
        <v>#ERROR!</v>
      </c>
      <c r="D300" s="5" t="str">
        <f>IF(C300="","OK","ADA MASALAH")</f>
        <v>#ERROR!</v>
      </c>
    </row>
    <row r="301">
      <c r="A301" s="3">
        <v>301.0</v>
      </c>
      <c r="B301" s="5" t="str">
        <f>'PC 02'!A301</f>
        <v/>
      </c>
      <c r="C301" s="5" t="str">
        <f>IF(COUNTA('PC 02'!A301:L301)=0,"",TEXTJOIN(" | ",TRUE,IF('PC 02'!A301="","Worker ID kosong",""),IF('PC 02'!B301="","Update Date kosong",IF(NOT(ISNUMBER('PC 02'!B301)),"Update Date harus tanggal","")),IF('PC 02'!D301="","Judul kosong",""),IF('PC 02'!F301="","Genre kosong",IF(ISERROR(MATCH(TRIM('PC 02'!F301),{"Pop","Rock","Dangdut","K-Pop","Electronic","Nasional","Daerah"},0)),"Genre di luar daftar","")),IF('PC 02'!G301="","Nama Channel kosong",""),IF('PC 02'!H301="","Link kosong",IF(ISERROR(FIND("youtu",LOWER('PC 02'!H301))),"Link bukan youtube","")),IF('PC 02'!I301="","Tgl Dibuat kosong",IF(NOT(ISNUMBER('PC 02'!I301)),"Tgl Dibuat harus tanggal","")),IF(AND('PC 02'!J301&lt;&gt;"",NOT(ISNUMBER('PC 02'!J301))),"Tgl Publish harus tanggal",""),IF(AND(ISNUMBER('PC 02'!I301),ISNUMBER('PC 02'!J301),'PC 02'!J301&lt;'PC 02'!I301),"Tgl Publish &lt; Tgl Dibuat",""),IF(AND('PC 02'!K301&lt;&gt;"",ISERROR(MATCH(TRIM('PC 02'!K301),{"Draft","Menunggu Review","Revisi","Terjadwal","Publish","Batal","Published"},0))),"Status di luar daftar","")))</f>
        <v>#ERROR!</v>
      </c>
      <c r="D301" s="5" t="str">
        <f>IF(C301="","OK","ADA MASALAH")</f>
        <v>#ERROR!</v>
      </c>
    </row>
    <row r="302">
      <c r="A302" s="3">
        <v>302.0</v>
      </c>
      <c r="B302" s="5" t="str">
        <f>'PC 02'!A302</f>
        <v/>
      </c>
      <c r="C302" s="5" t="str">
        <f>IF(COUNTA('PC 02'!A302:L302)=0,"",TEXTJOIN(" | ",TRUE,IF('PC 02'!A302="","Worker ID kosong",""),IF('PC 02'!B302="","Update Date kosong",IF(NOT(ISNUMBER('PC 02'!B302)),"Update Date harus tanggal","")),IF('PC 02'!D302="","Judul kosong",""),IF('PC 02'!F302="","Genre kosong",IF(ISERROR(MATCH(TRIM('PC 02'!F302),{"Pop","Rock","Dangdut","K-Pop","Electronic","Nasional","Daerah"},0)),"Genre di luar daftar","")),IF('PC 02'!G302="","Nama Channel kosong",""),IF('PC 02'!H302="","Link kosong",IF(ISERROR(FIND("youtu",LOWER('PC 02'!H302))),"Link bukan youtube","")),IF('PC 02'!I302="","Tgl Dibuat kosong",IF(NOT(ISNUMBER('PC 02'!I302)),"Tgl Dibuat harus tanggal","")),IF(AND('PC 02'!J302&lt;&gt;"",NOT(ISNUMBER('PC 02'!J302))),"Tgl Publish harus tanggal",""),IF(AND(ISNUMBER('PC 02'!I302),ISNUMBER('PC 02'!J302),'PC 02'!J302&lt;'PC 02'!I302),"Tgl Publish &lt; Tgl Dibuat",""),IF(AND('PC 02'!K302&lt;&gt;"",ISERROR(MATCH(TRIM('PC 02'!K302),{"Draft","Menunggu Review","Revisi","Terjadwal","Publish","Batal","Published"},0))),"Status di luar daftar","")))</f>
        <v>#ERROR!</v>
      </c>
      <c r="D302" s="5" t="str">
        <f>IF(C302="","OK","ADA MASALAH")</f>
        <v>#ERROR!</v>
      </c>
    </row>
    <row r="303">
      <c r="A303" s="3">
        <v>303.0</v>
      </c>
      <c r="B303" s="5" t="str">
        <f>'PC 02'!A303</f>
        <v/>
      </c>
      <c r="C303" s="5" t="str">
        <f>IF(COUNTA('PC 02'!A303:L303)=0,"",TEXTJOIN(" | ",TRUE,IF('PC 02'!A303="","Worker ID kosong",""),IF('PC 02'!B303="","Update Date kosong",IF(NOT(ISNUMBER('PC 02'!B303)),"Update Date harus tanggal","")),IF('PC 02'!D303="","Judul kosong",""),IF('PC 02'!F303="","Genre kosong",IF(ISERROR(MATCH(TRIM('PC 02'!F303),{"Pop","Rock","Dangdut","K-Pop","Electronic","Nasional","Daerah"},0)),"Genre di luar daftar","")),IF('PC 02'!G303="","Nama Channel kosong",""),IF('PC 02'!H303="","Link kosong",IF(ISERROR(FIND("youtu",LOWER('PC 02'!H303))),"Link bukan youtube","")),IF('PC 02'!I303="","Tgl Dibuat kosong",IF(NOT(ISNUMBER('PC 02'!I303)),"Tgl Dibuat harus tanggal","")),IF(AND('PC 02'!J303&lt;&gt;"",NOT(ISNUMBER('PC 02'!J303))),"Tgl Publish harus tanggal",""),IF(AND(ISNUMBER('PC 02'!I303),ISNUMBER('PC 02'!J303),'PC 02'!J303&lt;'PC 02'!I303),"Tgl Publish &lt; Tgl Dibuat",""),IF(AND('PC 02'!K303&lt;&gt;"",ISERROR(MATCH(TRIM('PC 02'!K303),{"Draft","Menunggu Review","Revisi","Terjadwal","Publish","Batal","Published"},0))),"Status di luar daftar","")))</f>
        <v>#ERROR!</v>
      </c>
      <c r="D303" s="5" t="str">
        <f>IF(C303="","OK","ADA MASALAH")</f>
        <v>#ERROR!</v>
      </c>
    </row>
    <row r="304">
      <c r="A304" s="3">
        <v>304.0</v>
      </c>
      <c r="B304" s="5" t="str">
        <f>'PC 02'!A304</f>
        <v/>
      </c>
      <c r="C304" s="5" t="str">
        <f>IF(COUNTA('PC 02'!A304:L304)=0,"",TEXTJOIN(" | ",TRUE,IF('PC 02'!A304="","Worker ID kosong",""),IF('PC 02'!B304="","Update Date kosong",IF(NOT(ISNUMBER('PC 02'!B304)),"Update Date harus tanggal","")),IF('PC 02'!D304="","Judul kosong",""),IF('PC 02'!F304="","Genre kosong",IF(ISERROR(MATCH(TRIM('PC 02'!F304),{"Pop","Rock","Dangdut","K-Pop","Electronic","Nasional","Daerah"},0)),"Genre di luar daftar","")),IF('PC 02'!G304="","Nama Channel kosong",""),IF('PC 02'!H304="","Link kosong",IF(ISERROR(FIND("youtu",LOWER('PC 02'!H304))),"Link bukan youtube","")),IF('PC 02'!I304="","Tgl Dibuat kosong",IF(NOT(ISNUMBER('PC 02'!I304)),"Tgl Dibuat harus tanggal","")),IF(AND('PC 02'!J304&lt;&gt;"",NOT(ISNUMBER('PC 02'!J304))),"Tgl Publish harus tanggal",""),IF(AND(ISNUMBER('PC 02'!I304),ISNUMBER('PC 02'!J304),'PC 02'!J304&lt;'PC 02'!I304),"Tgl Publish &lt; Tgl Dibuat",""),IF(AND('PC 02'!K304&lt;&gt;"",ISERROR(MATCH(TRIM('PC 02'!K304),{"Draft","Menunggu Review","Revisi","Terjadwal","Publish","Batal","Published"},0))),"Status di luar daftar","")))</f>
        <v>#ERROR!</v>
      </c>
      <c r="D304" s="5" t="str">
        <f>IF(C304="","OK","ADA MASALAH")</f>
        <v>#ERROR!</v>
      </c>
    </row>
    <row r="305">
      <c r="A305" s="3">
        <v>305.0</v>
      </c>
      <c r="B305" s="5" t="str">
        <f>'PC 02'!A305</f>
        <v/>
      </c>
      <c r="C305" s="5" t="str">
        <f>IF(COUNTA('PC 02'!A305:L305)=0,"",TEXTJOIN(" | ",TRUE,IF('PC 02'!A305="","Worker ID kosong",""),IF('PC 02'!B305="","Update Date kosong",IF(NOT(ISNUMBER('PC 02'!B305)),"Update Date harus tanggal","")),IF('PC 02'!D305="","Judul kosong",""),IF('PC 02'!F305="","Genre kosong",IF(ISERROR(MATCH(TRIM('PC 02'!F305),{"Pop","Rock","Dangdut","K-Pop","Electronic","Nasional","Daerah"},0)),"Genre di luar daftar","")),IF('PC 02'!G305="","Nama Channel kosong",""),IF('PC 02'!H305="","Link kosong",IF(ISERROR(FIND("youtu",LOWER('PC 02'!H305))),"Link bukan youtube","")),IF('PC 02'!I305="","Tgl Dibuat kosong",IF(NOT(ISNUMBER('PC 02'!I305)),"Tgl Dibuat harus tanggal","")),IF(AND('PC 02'!J305&lt;&gt;"",NOT(ISNUMBER('PC 02'!J305))),"Tgl Publish harus tanggal",""),IF(AND(ISNUMBER('PC 02'!I305),ISNUMBER('PC 02'!J305),'PC 02'!J305&lt;'PC 02'!I305),"Tgl Publish &lt; Tgl Dibuat",""),IF(AND('PC 02'!K305&lt;&gt;"",ISERROR(MATCH(TRIM('PC 02'!K305),{"Draft","Menunggu Review","Revisi","Terjadwal","Publish","Batal","Published"},0))),"Status di luar daftar","")))</f>
        <v>#ERROR!</v>
      </c>
      <c r="D305" s="5" t="str">
        <f>IF(C305="","OK","ADA MASALAH")</f>
        <v>#ERROR!</v>
      </c>
    </row>
    <row r="306">
      <c r="A306" s="3">
        <v>306.0</v>
      </c>
      <c r="B306" s="5" t="str">
        <f>'PC 02'!A306</f>
        <v/>
      </c>
      <c r="C306" s="5" t="str">
        <f>IF(COUNTA('PC 02'!A306:L306)=0,"",TEXTJOIN(" | ",TRUE,IF('PC 02'!A306="","Worker ID kosong",""),IF('PC 02'!B306="","Update Date kosong",IF(NOT(ISNUMBER('PC 02'!B306)),"Update Date harus tanggal","")),IF('PC 02'!D306="","Judul kosong",""),IF('PC 02'!F306="","Genre kosong",IF(ISERROR(MATCH(TRIM('PC 02'!F306),{"Pop","Rock","Dangdut","K-Pop","Electronic","Nasional","Daerah"},0)),"Genre di luar daftar","")),IF('PC 02'!G306="","Nama Channel kosong",""),IF('PC 02'!H306="","Link kosong",IF(ISERROR(FIND("youtu",LOWER('PC 02'!H306))),"Link bukan youtube","")),IF('PC 02'!I306="","Tgl Dibuat kosong",IF(NOT(ISNUMBER('PC 02'!I306)),"Tgl Dibuat harus tanggal","")),IF(AND('PC 02'!J306&lt;&gt;"",NOT(ISNUMBER('PC 02'!J306))),"Tgl Publish harus tanggal",""),IF(AND(ISNUMBER('PC 02'!I306),ISNUMBER('PC 02'!J306),'PC 02'!J306&lt;'PC 02'!I306),"Tgl Publish &lt; Tgl Dibuat",""),IF(AND('PC 02'!K306&lt;&gt;"",ISERROR(MATCH(TRIM('PC 02'!K306),{"Draft","Menunggu Review","Revisi","Terjadwal","Publish","Batal","Published"},0))),"Status di luar daftar","")))</f>
        <v>#ERROR!</v>
      </c>
      <c r="D306" s="5" t="str">
        <f>IF(C306="","OK","ADA MASALAH")</f>
        <v>#ERROR!</v>
      </c>
    </row>
    <row r="307">
      <c r="A307" s="3">
        <v>307.0</v>
      </c>
      <c r="B307" s="5" t="str">
        <f>'PC 02'!A307</f>
        <v/>
      </c>
      <c r="C307" s="5" t="str">
        <f>IF(COUNTA('PC 02'!A307:L307)=0,"",TEXTJOIN(" | ",TRUE,IF('PC 02'!A307="","Worker ID kosong",""),IF('PC 02'!B307="","Update Date kosong",IF(NOT(ISNUMBER('PC 02'!B307)),"Update Date harus tanggal","")),IF('PC 02'!D307="","Judul kosong",""),IF('PC 02'!F307="","Genre kosong",IF(ISERROR(MATCH(TRIM('PC 02'!F307),{"Pop","Rock","Dangdut","K-Pop","Electronic","Nasional","Daerah"},0)),"Genre di luar daftar","")),IF('PC 02'!G307="","Nama Channel kosong",""),IF('PC 02'!H307="","Link kosong",IF(ISERROR(FIND("youtu",LOWER('PC 02'!H307))),"Link bukan youtube","")),IF('PC 02'!I307="","Tgl Dibuat kosong",IF(NOT(ISNUMBER('PC 02'!I307)),"Tgl Dibuat harus tanggal","")),IF(AND('PC 02'!J307&lt;&gt;"",NOT(ISNUMBER('PC 02'!J307))),"Tgl Publish harus tanggal",""),IF(AND(ISNUMBER('PC 02'!I307),ISNUMBER('PC 02'!J307),'PC 02'!J307&lt;'PC 02'!I307),"Tgl Publish &lt; Tgl Dibuat",""),IF(AND('PC 02'!K307&lt;&gt;"",ISERROR(MATCH(TRIM('PC 02'!K307),{"Draft","Menunggu Review","Revisi","Terjadwal","Publish","Batal","Published"},0))),"Status di luar daftar","")))</f>
        <v>#ERROR!</v>
      </c>
      <c r="D307" s="5" t="str">
        <f>IF(C307="","OK","ADA MASALAH")</f>
        <v>#ERROR!</v>
      </c>
    </row>
    <row r="308">
      <c r="A308" s="3">
        <v>308.0</v>
      </c>
      <c r="B308" s="5" t="str">
        <f>'PC 02'!A308</f>
        <v/>
      </c>
      <c r="C308" s="5" t="str">
        <f>IF(COUNTA('PC 02'!A308:L308)=0,"",TEXTJOIN(" | ",TRUE,IF('PC 02'!A308="","Worker ID kosong",""),IF('PC 02'!B308="","Update Date kosong",IF(NOT(ISNUMBER('PC 02'!B308)),"Update Date harus tanggal","")),IF('PC 02'!D308="","Judul kosong",""),IF('PC 02'!F308="","Genre kosong",IF(ISERROR(MATCH(TRIM('PC 02'!F308),{"Pop","Rock","Dangdut","K-Pop","Electronic","Nasional","Daerah"},0)),"Genre di luar daftar","")),IF('PC 02'!G308="","Nama Channel kosong",""),IF('PC 02'!H308="","Link kosong",IF(ISERROR(FIND("youtu",LOWER('PC 02'!H308))),"Link bukan youtube","")),IF('PC 02'!I308="","Tgl Dibuat kosong",IF(NOT(ISNUMBER('PC 02'!I308)),"Tgl Dibuat harus tanggal","")),IF(AND('PC 02'!J308&lt;&gt;"",NOT(ISNUMBER('PC 02'!J308))),"Tgl Publish harus tanggal",""),IF(AND(ISNUMBER('PC 02'!I308),ISNUMBER('PC 02'!J308),'PC 02'!J308&lt;'PC 02'!I308),"Tgl Publish &lt; Tgl Dibuat",""),IF(AND('PC 02'!K308&lt;&gt;"",ISERROR(MATCH(TRIM('PC 02'!K308),{"Draft","Menunggu Review","Revisi","Terjadwal","Publish","Batal","Published"},0))),"Status di luar daftar","")))</f>
        <v>#ERROR!</v>
      </c>
      <c r="D308" s="5" t="str">
        <f>IF(C308="","OK","ADA MASALAH")</f>
        <v>#ERROR!</v>
      </c>
    </row>
    <row r="309">
      <c r="A309" s="3">
        <v>309.0</v>
      </c>
      <c r="B309" s="5" t="str">
        <f>'PC 02'!A309</f>
        <v/>
      </c>
      <c r="C309" s="5" t="str">
        <f>IF(COUNTA('PC 02'!A309:L309)=0,"",TEXTJOIN(" | ",TRUE,IF('PC 02'!A309="","Worker ID kosong",""),IF('PC 02'!B309="","Update Date kosong",IF(NOT(ISNUMBER('PC 02'!B309)),"Update Date harus tanggal","")),IF('PC 02'!D309="","Judul kosong",""),IF('PC 02'!F309="","Genre kosong",IF(ISERROR(MATCH(TRIM('PC 02'!F309),{"Pop","Rock","Dangdut","K-Pop","Electronic","Nasional","Daerah"},0)),"Genre di luar daftar","")),IF('PC 02'!G309="","Nama Channel kosong",""),IF('PC 02'!H309="","Link kosong",IF(ISERROR(FIND("youtu",LOWER('PC 02'!H309))),"Link bukan youtube","")),IF('PC 02'!I309="","Tgl Dibuat kosong",IF(NOT(ISNUMBER('PC 02'!I309)),"Tgl Dibuat harus tanggal","")),IF(AND('PC 02'!J309&lt;&gt;"",NOT(ISNUMBER('PC 02'!J309))),"Tgl Publish harus tanggal",""),IF(AND(ISNUMBER('PC 02'!I309),ISNUMBER('PC 02'!J309),'PC 02'!J309&lt;'PC 02'!I309),"Tgl Publish &lt; Tgl Dibuat",""),IF(AND('PC 02'!K309&lt;&gt;"",ISERROR(MATCH(TRIM('PC 02'!K309),{"Draft","Menunggu Review","Revisi","Terjadwal","Publish","Batal","Published"},0))),"Status di luar daftar","")))</f>
        <v>#ERROR!</v>
      </c>
      <c r="D309" s="5" t="str">
        <f>IF(C309="","OK","ADA MASALAH")</f>
        <v>#ERROR!</v>
      </c>
    </row>
    <row r="310">
      <c r="A310" s="3">
        <v>310.0</v>
      </c>
      <c r="B310" s="5" t="str">
        <f>'PC 02'!A310</f>
        <v/>
      </c>
      <c r="C310" s="5" t="str">
        <f>IF(COUNTA('PC 02'!A310:L310)=0,"",TEXTJOIN(" | ",TRUE,IF('PC 02'!A310="","Worker ID kosong",""),IF('PC 02'!B310="","Update Date kosong",IF(NOT(ISNUMBER('PC 02'!B310)),"Update Date harus tanggal","")),IF('PC 02'!D310="","Judul kosong",""),IF('PC 02'!F310="","Genre kosong",IF(ISERROR(MATCH(TRIM('PC 02'!F310),{"Pop","Rock","Dangdut","K-Pop","Electronic","Nasional","Daerah"},0)),"Genre di luar daftar","")),IF('PC 02'!G310="","Nama Channel kosong",""),IF('PC 02'!H310="","Link kosong",IF(ISERROR(FIND("youtu",LOWER('PC 02'!H310))),"Link bukan youtube","")),IF('PC 02'!I310="","Tgl Dibuat kosong",IF(NOT(ISNUMBER('PC 02'!I310)),"Tgl Dibuat harus tanggal","")),IF(AND('PC 02'!J310&lt;&gt;"",NOT(ISNUMBER('PC 02'!J310))),"Tgl Publish harus tanggal",""),IF(AND(ISNUMBER('PC 02'!I310),ISNUMBER('PC 02'!J310),'PC 02'!J310&lt;'PC 02'!I310),"Tgl Publish &lt; Tgl Dibuat",""),IF(AND('PC 02'!K310&lt;&gt;"",ISERROR(MATCH(TRIM('PC 02'!K310),{"Draft","Menunggu Review","Revisi","Terjadwal","Publish","Batal","Published"},0))),"Status di luar daftar","")))</f>
        <v>#ERROR!</v>
      </c>
      <c r="D310" s="5" t="str">
        <f>IF(C310="","OK","ADA MASALAH")</f>
        <v>#ERROR!</v>
      </c>
    </row>
    <row r="311">
      <c r="A311" s="3">
        <v>311.0</v>
      </c>
      <c r="B311" s="5" t="str">
        <f>'PC 02'!A311</f>
        <v/>
      </c>
      <c r="C311" s="5" t="str">
        <f>IF(COUNTA('PC 02'!A311:L311)=0,"",TEXTJOIN(" | ",TRUE,IF('PC 02'!A311="","Worker ID kosong",""),IF('PC 02'!B311="","Update Date kosong",IF(NOT(ISNUMBER('PC 02'!B311)),"Update Date harus tanggal","")),IF('PC 02'!D311="","Judul kosong",""),IF('PC 02'!F311="","Genre kosong",IF(ISERROR(MATCH(TRIM('PC 02'!F311),{"Pop","Rock","Dangdut","K-Pop","Electronic","Nasional","Daerah"},0)),"Genre di luar daftar","")),IF('PC 02'!G311="","Nama Channel kosong",""),IF('PC 02'!H311="","Link kosong",IF(ISERROR(FIND("youtu",LOWER('PC 02'!H311))),"Link bukan youtube","")),IF('PC 02'!I311="","Tgl Dibuat kosong",IF(NOT(ISNUMBER('PC 02'!I311)),"Tgl Dibuat harus tanggal","")),IF(AND('PC 02'!J311&lt;&gt;"",NOT(ISNUMBER('PC 02'!J311))),"Tgl Publish harus tanggal",""),IF(AND(ISNUMBER('PC 02'!I311),ISNUMBER('PC 02'!J311),'PC 02'!J311&lt;'PC 02'!I311),"Tgl Publish &lt; Tgl Dibuat",""),IF(AND('PC 02'!K311&lt;&gt;"",ISERROR(MATCH(TRIM('PC 02'!K311),{"Draft","Menunggu Review","Revisi","Terjadwal","Publish","Batal","Published"},0))),"Status di luar daftar","")))</f>
        <v>#ERROR!</v>
      </c>
      <c r="D311" s="5" t="str">
        <f>IF(C311="","OK","ADA MASALAH")</f>
        <v>#ERROR!</v>
      </c>
    </row>
    <row r="312">
      <c r="A312" s="3">
        <v>312.0</v>
      </c>
      <c r="B312" s="5" t="str">
        <f>'PC 02'!A312</f>
        <v/>
      </c>
      <c r="C312" s="5" t="str">
        <f>IF(COUNTA('PC 02'!A312:L312)=0,"",TEXTJOIN(" | ",TRUE,IF('PC 02'!A312="","Worker ID kosong",""),IF('PC 02'!B312="","Update Date kosong",IF(NOT(ISNUMBER('PC 02'!B312)),"Update Date harus tanggal","")),IF('PC 02'!D312="","Judul kosong",""),IF('PC 02'!F312="","Genre kosong",IF(ISERROR(MATCH(TRIM('PC 02'!F312),{"Pop","Rock","Dangdut","K-Pop","Electronic","Nasional","Daerah"},0)),"Genre di luar daftar","")),IF('PC 02'!G312="","Nama Channel kosong",""),IF('PC 02'!H312="","Link kosong",IF(ISERROR(FIND("youtu",LOWER('PC 02'!H312))),"Link bukan youtube","")),IF('PC 02'!I312="","Tgl Dibuat kosong",IF(NOT(ISNUMBER('PC 02'!I312)),"Tgl Dibuat harus tanggal","")),IF(AND('PC 02'!J312&lt;&gt;"",NOT(ISNUMBER('PC 02'!J312))),"Tgl Publish harus tanggal",""),IF(AND(ISNUMBER('PC 02'!I312),ISNUMBER('PC 02'!J312),'PC 02'!J312&lt;'PC 02'!I312),"Tgl Publish &lt; Tgl Dibuat",""),IF(AND('PC 02'!K312&lt;&gt;"",ISERROR(MATCH(TRIM('PC 02'!K312),{"Draft","Menunggu Review","Revisi","Terjadwal","Publish","Batal","Published"},0))),"Status di luar daftar","")))</f>
        <v>#ERROR!</v>
      </c>
      <c r="D312" s="5" t="str">
        <f>IF(C312="","OK","ADA MASALAH")</f>
        <v>#ERROR!</v>
      </c>
    </row>
    <row r="313">
      <c r="A313" s="3">
        <v>313.0</v>
      </c>
      <c r="B313" s="5" t="str">
        <f>'PC 02'!A313</f>
        <v/>
      </c>
      <c r="C313" s="5" t="str">
        <f>IF(COUNTA('PC 02'!A313:L313)=0,"",TEXTJOIN(" | ",TRUE,IF('PC 02'!A313="","Worker ID kosong",""),IF('PC 02'!B313="","Update Date kosong",IF(NOT(ISNUMBER('PC 02'!B313)),"Update Date harus tanggal","")),IF('PC 02'!D313="","Judul kosong",""),IF('PC 02'!F313="","Genre kosong",IF(ISERROR(MATCH(TRIM('PC 02'!F313),{"Pop","Rock","Dangdut","K-Pop","Electronic","Nasional","Daerah"},0)),"Genre di luar daftar","")),IF('PC 02'!G313="","Nama Channel kosong",""),IF('PC 02'!H313="","Link kosong",IF(ISERROR(FIND("youtu",LOWER('PC 02'!H313))),"Link bukan youtube","")),IF('PC 02'!I313="","Tgl Dibuat kosong",IF(NOT(ISNUMBER('PC 02'!I313)),"Tgl Dibuat harus tanggal","")),IF(AND('PC 02'!J313&lt;&gt;"",NOT(ISNUMBER('PC 02'!J313))),"Tgl Publish harus tanggal",""),IF(AND(ISNUMBER('PC 02'!I313),ISNUMBER('PC 02'!J313),'PC 02'!J313&lt;'PC 02'!I313),"Tgl Publish &lt; Tgl Dibuat",""),IF(AND('PC 02'!K313&lt;&gt;"",ISERROR(MATCH(TRIM('PC 02'!K313),{"Draft","Menunggu Review","Revisi","Terjadwal","Publish","Batal","Published"},0))),"Status di luar daftar","")))</f>
        <v>#ERROR!</v>
      </c>
      <c r="D313" s="5" t="str">
        <f>IF(C313="","OK","ADA MASALAH")</f>
        <v>#ERROR!</v>
      </c>
    </row>
    <row r="314">
      <c r="A314" s="3">
        <v>314.0</v>
      </c>
      <c r="B314" s="5" t="str">
        <f>'PC 02'!A314</f>
        <v/>
      </c>
      <c r="C314" s="5" t="str">
        <f>IF(COUNTA('PC 02'!A314:L314)=0,"",TEXTJOIN(" | ",TRUE,IF('PC 02'!A314="","Worker ID kosong",""),IF('PC 02'!B314="","Update Date kosong",IF(NOT(ISNUMBER('PC 02'!B314)),"Update Date harus tanggal","")),IF('PC 02'!D314="","Judul kosong",""),IF('PC 02'!F314="","Genre kosong",IF(ISERROR(MATCH(TRIM('PC 02'!F314),{"Pop","Rock","Dangdut","K-Pop","Electronic","Nasional","Daerah"},0)),"Genre di luar daftar","")),IF('PC 02'!G314="","Nama Channel kosong",""),IF('PC 02'!H314="","Link kosong",IF(ISERROR(FIND("youtu",LOWER('PC 02'!H314))),"Link bukan youtube","")),IF('PC 02'!I314="","Tgl Dibuat kosong",IF(NOT(ISNUMBER('PC 02'!I314)),"Tgl Dibuat harus tanggal","")),IF(AND('PC 02'!J314&lt;&gt;"",NOT(ISNUMBER('PC 02'!J314))),"Tgl Publish harus tanggal",""),IF(AND(ISNUMBER('PC 02'!I314),ISNUMBER('PC 02'!J314),'PC 02'!J314&lt;'PC 02'!I314),"Tgl Publish &lt; Tgl Dibuat",""),IF(AND('PC 02'!K314&lt;&gt;"",ISERROR(MATCH(TRIM('PC 02'!K314),{"Draft","Menunggu Review","Revisi","Terjadwal","Publish","Batal","Published"},0))),"Status di luar daftar","")))</f>
        <v>#ERROR!</v>
      </c>
      <c r="D314" s="5" t="str">
        <f>IF(C314="","OK","ADA MASALAH")</f>
        <v>#ERROR!</v>
      </c>
    </row>
    <row r="315">
      <c r="A315" s="3">
        <v>315.0</v>
      </c>
      <c r="B315" s="5" t="str">
        <f>'PC 02'!A315</f>
        <v/>
      </c>
      <c r="C315" s="5" t="str">
        <f>IF(COUNTA('PC 02'!A315:L315)=0,"",TEXTJOIN(" | ",TRUE,IF('PC 02'!A315="","Worker ID kosong",""),IF('PC 02'!B315="","Update Date kosong",IF(NOT(ISNUMBER('PC 02'!B315)),"Update Date harus tanggal","")),IF('PC 02'!D315="","Judul kosong",""),IF('PC 02'!F315="","Genre kosong",IF(ISERROR(MATCH(TRIM('PC 02'!F315),{"Pop","Rock","Dangdut","K-Pop","Electronic","Nasional","Daerah"},0)),"Genre di luar daftar","")),IF('PC 02'!G315="","Nama Channel kosong",""),IF('PC 02'!H315="","Link kosong",IF(ISERROR(FIND("youtu",LOWER('PC 02'!H315))),"Link bukan youtube","")),IF('PC 02'!I315="","Tgl Dibuat kosong",IF(NOT(ISNUMBER('PC 02'!I315)),"Tgl Dibuat harus tanggal","")),IF(AND('PC 02'!J315&lt;&gt;"",NOT(ISNUMBER('PC 02'!J315))),"Tgl Publish harus tanggal",""),IF(AND(ISNUMBER('PC 02'!I315),ISNUMBER('PC 02'!J315),'PC 02'!J315&lt;'PC 02'!I315),"Tgl Publish &lt; Tgl Dibuat",""),IF(AND('PC 02'!K315&lt;&gt;"",ISERROR(MATCH(TRIM('PC 02'!K315),{"Draft","Menunggu Review","Revisi","Terjadwal","Publish","Batal","Published"},0))),"Status di luar daftar","")))</f>
        <v>#ERROR!</v>
      </c>
      <c r="D315" s="5" t="str">
        <f>IF(C315="","OK","ADA MASALAH")</f>
        <v>#ERROR!</v>
      </c>
    </row>
    <row r="316">
      <c r="A316" s="3">
        <v>316.0</v>
      </c>
      <c r="B316" s="5" t="str">
        <f>'PC 02'!A316</f>
        <v/>
      </c>
      <c r="C316" s="5" t="str">
        <f>IF(COUNTA('PC 02'!A316:L316)=0,"",TEXTJOIN(" | ",TRUE,IF('PC 02'!A316="","Worker ID kosong",""),IF('PC 02'!B316="","Update Date kosong",IF(NOT(ISNUMBER('PC 02'!B316)),"Update Date harus tanggal","")),IF('PC 02'!D316="","Judul kosong",""),IF('PC 02'!F316="","Genre kosong",IF(ISERROR(MATCH(TRIM('PC 02'!F316),{"Pop","Rock","Dangdut","K-Pop","Electronic","Nasional","Daerah"},0)),"Genre di luar daftar","")),IF('PC 02'!G316="","Nama Channel kosong",""),IF('PC 02'!H316="","Link kosong",IF(ISERROR(FIND("youtu",LOWER('PC 02'!H316))),"Link bukan youtube","")),IF('PC 02'!I316="","Tgl Dibuat kosong",IF(NOT(ISNUMBER('PC 02'!I316)),"Tgl Dibuat harus tanggal","")),IF(AND('PC 02'!J316&lt;&gt;"",NOT(ISNUMBER('PC 02'!J316))),"Tgl Publish harus tanggal",""),IF(AND(ISNUMBER('PC 02'!I316),ISNUMBER('PC 02'!J316),'PC 02'!J316&lt;'PC 02'!I316),"Tgl Publish &lt; Tgl Dibuat",""),IF(AND('PC 02'!K316&lt;&gt;"",ISERROR(MATCH(TRIM('PC 02'!K316),{"Draft","Menunggu Review","Revisi","Terjadwal","Publish","Batal","Published"},0))),"Status di luar daftar","")))</f>
        <v>#ERROR!</v>
      </c>
      <c r="D316" s="5" t="str">
        <f>IF(C316="","OK","ADA MASALAH")</f>
        <v>#ERROR!</v>
      </c>
    </row>
    <row r="317">
      <c r="A317" s="3">
        <v>317.0</v>
      </c>
      <c r="B317" s="5" t="str">
        <f>'PC 02'!A317</f>
        <v/>
      </c>
      <c r="C317" s="5" t="str">
        <f>IF(COUNTA('PC 02'!A317:L317)=0,"",TEXTJOIN(" | ",TRUE,IF('PC 02'!A317="","Worker ID kosong",""),IF('PC 02'!B317="","Update Date kosong",IF(NOT(ISNUMBER('PC 02'!B317)),"Update Date harus tanggal","")),IF('PC 02'!D317="","Judul kosong",""),IF('PC 02'!F317="","Genre kosong",IF(ISERROR(MATCH(TRIM('PC 02'!F317),{"Pop","Rock","Dangdut","K-Pop","Electronic","Nasional","Daerah"},0)),"Genre di luar daftar","")),IF('PC 02'!G317="","Nama Channel kosong",""),IF('PC 02'!H317="","Link kosong",IF(ISERROR(FIND("youtu",LOWER('PC 02'!H317))),"Link bukan youtube","")),IF('PC 02'!I317="","Tgl Dibuat kosong",IF(NOT(ISNUMBER('PC 02'!I317)),"Tgl Dibuat harus tanggal","")),IF(AND('PC 02'!J317&lt;&gt;"",NOT(ISNUMBER('PC 02'!J317))),"Tgl Publish harus tanggal",""),IF(AND(ISNUMBER('PC 02'!I317),ISNUMBER('PC 02'!J317),'PC 02'!J317&lt;'PC 02'!I317),"Tgl Publish &lt; Tgl Dibuat",""),IF(AND('PC 02'!K317&lt;&gt;"",ISERROR(MATCH(TRIM('PC 02'!K317),{"Draft","Menunggu Review","Revisi","Terjadwal","Publish","Batal","Published"},0))),"Status di luar daftar","")))</f>
        <v>#ERROR!</v>
      </c>
      <c r="D317" s="5" t="str">
        <f>IF(C317="","OK","ADA MASALAH")</f>
        <v>#ERROR!</v>
      </c>
    </row>
    <row r="318">
      <c r="A318" s="3">
        <v>318.0</v>
      </c>
      <c r="B318" s="5" t="str">
        <f>'PC 02'!A318</f>
        <v/>
      </c>
      <c r="C318" s="5" t="str">
        <f>IF(COUNTA('PC 02'!A318:L318)=0,"",TEXTJOIN(" | ",TRUE,IF('PC 02'!A318="","Worker ID kosong",""),IF('PC 02'!B318="","Update Date kosong",IF(NOT(ISNUMBER('PC 02'!B318)),"Update Date harus tanggal","")),IF('PC 02'!D318="","Judul kosong",""),IF('PC 02'!F318="","Genre kosong",IF(ISERROR(MATCH(TRIM('PC 02'!F318),{"Pop","Rock","Dangdut","K-Pop","Electronic","Nasional","Daerah"},0)),"Genre di luar daftar","")),IF('PC 02'!G318="","Nama Channel kosong",""),IF('PC 02'!H318="","Link kosong",IF(ISERROR(FIND("youtu",LOWER('PC 02'!H318))),"Link bukan youtube","")),IF('PC 02'!I318="","Tgl Dibuat kosong",IF(NOT(ISNUMBER('PC 02'!I318)),"Tgl Dibuat harus tanggal","")),IF(AND('PC 02'!J318&lt;&gt;"",NOT(ISNUMBER('PC 02'!J318))),"Tgl Publish harus tanggal",""),IF(AND(ISNUMBER('PC 02'!I318),ISNUMBER('PC 02'!J318),'PC 02'!J318&lt;'PC 02'!I318),"Tgl Publish &lt; Tgl Dibuat",""),IF(AND('PC 02'!K318&lt;&gt;"",ISERROR(MATCH(TRIM('PC 02'!K318),{"Draft","Menunggu Review","Revisi","Terjadwal","Publish","Batal","Published"},0))),"Status di luar daftar","")))</f>
        <v>#ERROR!</v>
      </c>
      <c r="D318" s="5" t="str">
        <f>IF(C318="","OK","ADA MASALAH")</f>
        <v>#ERROR!</v>
      </c>
    </row>
    <row r="319">
      <c r="A319" s="3">
        <v>319.0</v>
      </c>
      <c r="B319" s="5" t="str">
        <f>'PC 02'!A319</f>
        <v/>
      </c>
      <c r="C319" s="5" t="str">
        <f>IF(COUNTA('PC 02'!A319:L319)=0,"",TEXTJOIN(" | ",TRUE,IF('PC 02'!A319="","Worker ID kosong",""),IF('PC 02'!B319="","Update Date kosong",IF(NOT(ISNUMBER('PC 02'!B319)),"Update Date harus tanggal","")),IF('PC 02'!D319="","Judul kosong",""),IF('PC 02'!F319="","Genre kosong",IF(ISERROR(MATCH(TRIM('PC 02'!F319),{"Pop","Rock","Dangdut","K-Pop","Electronic","Nasional","Daerah"},0)),"Genre di luar daftar","")),IF('PC 02'!G319="","Nama Channel kosong",""),IF('PC 02'!H319="","Link kosong",IF(ISERROR(FIND("youtu",LOWER('PC 02'!H319))),"Link bukan youtube","")),IF('PC 02'!I319="","Tgl Dibuat kosong",IF(NOT(ISNUMBER('PC 02'!I319)),"Tgl Dibuat harus tanggal","")),IF(AND('PC 02'!J319&lt;&gt;"",NOT(ISNUMBER('PC 02'!J319))),"Tgl Publish harus tanggal",""),IF(AND(ISNUMBER('PC 02'!I319),ISNUMBER('PC 02'!J319),'PC 02'!J319&lt;'PC 02'!I319),"Tgl Publish &lt; Tgl Dibuat",""),IF(AND('PC 02'!K319&lt;&gt;"",ISERROR(MATCH(TRIM('PC 02'!K319),{"Draft","Menunggu Review","Revisi","Terjadwal","Publish","Batal","Published"},0))),"Status di luar daftar","")))</f>
        <v>#ERROR!</v>
      </c>
      <c r="D319" s="5" t="str">
        <f>IF(C319="","OK","ADA MASALAH")</f>
        <v>#ERROR!</v>
      </c>
    </row>
    <row r="320">
      <c r="A320" s="3">
        <v>320.0</v>
      </c>
      <c r="B320" s="5" t="str">
        <f>'PC 02'!A320</f>
        <v/>
      </c>
      <c r="C320" s="5" t="str">
        <f>IF(COUNTA('PC 02'!A320:L320)=0,"",TEXTJOIN(" | ",TRUE,IF('PC 02'!A320="","Worker ID kosong",""),IF('PC 02'!B320="","Update Date kosong",IF(NOT(ISNUMBER('PC 02'!B320)),"Update Date harus tanggal","")),IF('PC 02'!D320="","Judul kosong",""),IF('PC 02'!F320="","Genre kosong",IF(ISERROR(MATCH(TRIM('PC 02'!F320),{"Pop","Rock","Dangdut","K-Pop","Electronic","Nasional","Daerah"},0)),"Genre di luar daftar","")),IF('PC 02'!G320="","Nama Channel kosong",""),IF('PC 02'!H320="","Link kosong",IF(ISERROR(FIND("youtu",LOWER('PC 02'!H320))),"Link bukan youtube","")),IF('PC 02'!I320="","Tgl Dibuat kosong",IF(NOT(ISNUMBER('PC 02'!I320)),"Tgl Dibuat harus tanggal","")),IF(AND('PC 02'!J320&lt;&gt;"",NOT(ISNUMBER('PC 02'!J320))),"Tgl Publish harus tanggal",""),IF(AND(ISNUMBER('PC 02'!I320),ISNUMBER('PC 02'!J320),'PC 02'!J320&lt;'PC 02'!I320),"Tgl Publish &lt; Tgl Dibuat",""),IF(AND('PC 02'!K320&lt;&gt;"",ISERROR(MATCH(TRIM('PC 02'!K320),{"Draft","Menunggu Review","Revisi","Terjadwal","Publish","Batal","Published"},0))),"Status di luar daftar","")))</f>
        <v>#ERROR!</v>
      </c>
      <c r="D320" s="5" t="str">
        <f>IF(C320="","OK","ADA MASALAH")</f>
        <v>#ERROR!</v>
      </c>
    </row>
    <row r="321">
      <c r="A321" s="3">
        <v>321.0</v>
      </c>
      <c r="B321" s="5" t="str">
        <f>'PC 02'!A321</f>
        <v/>
      </c>
      <c r="C321" s="5" t="str">
        <f>IF(COUNTA('PC 02'!A321:L321)=0,"",TEXTJOIN(" | ",TRUE,IF('PC 02'!A321="","Worker ID kosong",""),IF('PC 02'!B321="","Update Date kosong",IF(NOT(ISNUMBER('PC 02'!B321)),"Update Date harus tanggal","")),IF('PC 02'!D321="","Judul kosong",""),IF('PC 02'!F321="","Genre kosong",IF(ISERROR(MATCH(TRIM('PC 02'!F321),{"Pop","Rock","Dangdut","K-Pop","Electronic","Nasional","Daerah"},0)),"Genre di luar daftar","")),IF('PC 02'!G321="","Nama Channel kosong",""),IF('PC 02'!H321="","Link kosong",IF(ISERROR(FIND("youtu",LOWER('PC 02'!H321))),"Link bukan youtube","")),IF('PC 02'!I321="","Tgl Dibuat kosong",IF(NOT(ISNUMBER('PC 02'!I321)),"Tgl Dibuat harus tanggal","")),IF(AND('PC 02'!J321&lt;&gt;"",NOT(ISNUMBER('PC 02'!J321))),"Tgl Publish harus tanggal",""),IF(AND(ISNUMBER('PC 02'!I321),ISNUMBER('PC 02'!J321),'PC 02'!J321&lt;'PC 02'!I321),"Tgl Publish &lt; Tgl Dibuat",""),IF(AND('PC 02'!K321&lt;&gt;"",ISERROR(MATCH(TRIM('PC 02'!K321),{"Draft","Menunggu Review","Revisi","Terjadwal","Publish","Batal","Published"},0))),"Status di luar daftar","")))</f>
        <v>#ERROR!</v>
      </c>
      <c r="D321" s="5" t="str">
        <f>IF(C321="","OK","ADA MASALAH")</f>
        <v>#ERROR!</v>
      </c>
    </row>
    <row r="322">
      <c r="A322" s="3">
        <v>322.0</v>
      </c>
      <c r="B322" s="5" t="str">
        <f>'PC 02'!A322</f>
        <v/>
      </c>
      <c r="C322" s="5" t="str">
        <f>IF(COUNTA('PC 02'!A322:L322)=0,"",TEXTJOIN(" | ",TRUE,IF('PC 02'!A322="","Worker ID kosong",""),IF('PC 02'!B322="","Update Date kosong",IF(NOT(ISNUMBER('PC 02'!B322)),"Update Date harus tanggal","")),IF('PC 02'!D322="","Judul kosong",""),IF('PC 02'!F322="","Genre kosong",IF(ISERROR(MATCH(TRIM('PC 02'!F322),{"Pop","Rock","Dangdut","K-Pop","Electronic","Nasional","Daerah"},0)),"Genre di luar daftar","")),IF('PC 02'!G322="","Nama Channel kosong",""),IF('PC 02'!H322="","Link kosong",IF(ISERROR(FIND("youtu",LOWER('PC 02'!H322))),"Link bukan youtube","")),IF('PC 02'!I322="","Tgl Dibuat kosong",IF(NOT(ISNUMBER('PC 02'!I322)),"Tgl Dibuat harus tanggal","")),IF(AND('PC 02'!J322&lt;&gt;"",NOT(ISNUMBER('PC 02'!J322))),"Tgl Publish harus tanggal",""),IF(AND(ISNUMBER('PC 02'!I322),ISNUMBER('PC 02'!J322),'PC 02'!J322&lt;'PC 02'!I322),"Tgl Publish &lt; Tgl Dibuat",""),IF(AND('PC 02'!K322&lt;&gt;"",ISERROR(MATCH(TRIM('PC 02'!K322),{"Draft","Menunggu Review","Revisi","Terjadwal","Publish","Batal","Published"},0))),"Status di luar daftar","")))</f>
        <v>#ERROR!</v>
      </c>
      <c r="D322" s="5" t="str">
        <f>IF(C322="","OK","ADA MASALAH")</f>
        <v>#ERROR!</v>
      </c>
    </row>
    <row r="323">
      <c r="A323" s="3">
        <v>323.0</v>
      </c>
      <c r="B323" s="5" t="str">
        <f>'PC 02'!A323</f>
        <v/>
      </c>
      <c r="C323" s="5" t="str">
        <f>IF(COUNTA('PC 02'!A323:L323)=0,"",TEXTJOIN(" | ",TRUE,IF('PC 02'!A323="","Worker ID kosong",""),IF('PC 02'!B323="","Update Date kosong",IF(NOT(ISNUMBER('PC 02'!B323)),"Update Date harus tanggal","")),IF('PC 02'!D323="","Judul kosong",""),IF('PC 02'!F323="","Genre kosong",IF(ISERROR(MATCH(TRIM('PC 02'!F323),{"Pop","Rock","Dangdut","K-Pop","Electronic","Nasional","Daerah"},0)),"Genre di luar daftar","")),IF('PC 02'!G323="","Nama Channel kosong",""),IF('PC 02'!H323="","Link kosong",IF(ISERROR(FIND("youtu",LOWER('PC 02'!H323))),"Link bukan youtube","")),IF('PC 02'!I323="","Tgl Dibuat kosong",IF(NOT(ISNUMBER('PC 02'!I323)),"Tgl Dibuat harus tanggal","")),IF(AND('PC 02'!J323&lt;&gt;"",NOT(ISNUMBER('PC 02'!J323))),"Tgl Publish harus tanggal",""),IF(AND(ISNUMBER('PC 02'!I323),ISNUMBER('PC 02'!J323),'PC 02'!J323&lt;'PC 02'!I323),"Tgl Publish &lt; Tgl Dibuat",""),IF(AND('PC 02'!K323&lt;&gt;"",ISERROR(MATCH(TRIM('PC 02'!K323),{"Draft","Menunggu Review","Revisi","Terjadwal","Publish","Batal","Published"},0))),"Status di luar daftar","")))</f>
        <v>#ERROR!</v>
      </c>
      <c r="D323" s="5" t="str">
        <f>IF(C323="","OK","ADA MASALAH")</f>
        <v>#ERROR!</v>
      </c>
    </row>
    <row r="324">
      <c r="A324" s="3">
        <v>324.0</v>
      </c>
      <c r="B324" s="5" t="str">
        <f>'PC 02'!A324</f>
        <v/>
      </c>
      <c r="C324" s="5" t="str">
        <f>IF(COUNTA('PC 02'!A324:L324)=0,"",TEXTJOIN(" | ",TRUE,IF('PC 02'!A324="","Worker ID kosong",""),IF('PC 02'!B324="","Update Date kosong",IF(NOT(ISNUMBER('PC 02'!B324)),"Update Date harus tanggal","")),IF('PC 02'!D324="","Judul kosong",""),IF('PC 02'!F324="","Genre kosong",IF(ISERROR(MATCH(TRIM('PC 02'!F324),{"Pop","Rock","Dangdut","K-Pop","Electronic","Nasional","Daerah"},0)),"Genre di luar daftar","")),IF('PC 02'!G324="","Nama Channel kosong",""),IF('PC 02'!H324="","Link kosong",IF(ISERROR(FIND("youtu",LOWER('PC 02'!H324))),"Link bukan youtube","")),IF('PC 02'!I324="","Tgl Dibuat kosong",IF(NOT(ISNUMBER('PC 02'!I324)),"Tgl Dibuat harus tanggal","")),IF(AND('PC 02'!J324&lt;&gt;"",NOT(ISNUMBER('PC 02'!J324))),"Tgl Publish harus tanggal",""),IF(AND(ISNUMBER('PC 02'!I324),ISNUMBER('PC 02'!J324),'PC 02'!J324&lt;'PC 02'!I324),"Tgl Publish &lt; Tgl Dibuat",""),IF(AND('PC 02'!K324&lt;&gt;"",ISERROR(MATCH(TRIM('PC 02'!K324),{"Draft","Menunggu Review","Revisi","Terjadwal","Publish","Batal","Published"},0))),"Status di luar daftar","")))</f>
        <v>#ERROR!</v>
      </c>
      <c r="D324" s="5" t="str">
        <f>IF(C324="","OK","ADA MASALAH")</f>
        <v>#ERROR!</v>
      </c>
    </row>
    <row r="325">
      <c r="A325" s="3">
        <v>325.0</v>
      </c>
      <c r="B325" s="5" t="str">
        <f>'PC 02'!A325</f>
        <v/>
      </c>
      <c r="C325" s="5" t="str">
        <f>IF(COUNTA('PC 02'!A325:L325)=0,"",TEXTJOIN(" | ",TRUE,IF('PC 02'!A325="","Worker ID kosong",""),IF('PC 02'!B325="","Update Date kosong",IF(NOT(ISNUMBER('PC 02'!B325)),"Update Date harus tanggal","")),IF('PC 02'!D325="","Judul kosong",""),IF('PC 02'!F325="","Genre kosong",IF(ISERROR(MATCH(TRIM('PC 02'!F325),{"Pop","Rock","Dangdut","K-Pop","Electronic","Nasional","Daerah"},0)),"Genre di luar daftar","")),IF('PC 02'!G325="","Nama Channel kosong",""),IF('PC 02'!H325="","Link kosong",IF(ISERROR(FIND("youtu",LOWER('PC 02'!H325))),"Link bukan youtube","")),IF('PC 02'!I325="","Tgl Dibuat kosong",IF(NOT(ISNUMBER('PC 02'!I325)),"Tgl Dibuat harus tanggal","")),IF(AND('PC 02'!J325&lt;&gt;"",NOT(ISNUMBER('PC 02'!J325))),"Tgl Publish harus tanggal",""),IF(AND(ISNUMBER('PC 02'!I325),ISNUMBER('PC 02'!J325),'PC 02'!J325&lt;'PC 02'!I325),"Tgl Publish &lt; Tgl Dibuat",""),IF(AND('PC 02'!K325&lt;&gt;"",ISERROR(MATCH(TRIM('PC 02'!K325),{"Draft","Menunggu Review","Revisi","Terjadwal","Publish","Batal","Published"},0))),"Status di luar daftar","")))</f>
        <v>#ERROR!</v>
      </c>
      <c r="D325" s="5" t="str">
        <f>IF(C325="","OK","ADA MASALAH")</f>
        <v>#ERROR!</v>
      </c>
    </row>
    <row r="326">
      <c r="A326" s="3">
        <v>326.0</v>
      </c>
      <c r="B326" s="5" t="str">
        <f>'PC 02'!A326</f>
        <v/>
      </c>
      <c r="C326" s="5" t="str">
        <f>IF(COUNTA('PC 02'!A326:L326)=0,"",TEXTJOIN(" | ",TRUE,IF('PC 02'!A326="","Worker ID kosong",""),IF('PC 02'!B326="","Update Date kosong",IF(NOT(ISNUMBER('PC 02'!B326)),"Update Date harus tanggal","")),IF('PC 02'!D326="","Judul kosong",""),IF('PC 02'!F326="","Genre kosong",IF(ISERROR(MATCH(TRIM('PC 02'!F326),{"Pop","Rock","Dangdut","K-Pop","Electronic","Nasional","Daerah"},0)),"Genre di luar daftar","")),IF('PC 02'!G326="","Nama Channel kosong",""),IF('PC 02'!H326="","Link kosong",IF(ISERROR(FIND("youtu",LOWER('PC 02'!H326))),"Link bukan youtube","")),IF('PC 02'!I326="","Tgl Dibuat kosong",IF(NOT(ISNUMBER('PC 02'!I326)),"Tgl Dibuat harus tanggal","")),IF(AND('PC 02'!J326&lt;&gt;"",NOT(ISNUMBER('PC 02'!J326))),"Tgl Publish harus tanggal",""),IF(AND(ISNUMBER('PC 02'!I326),ISNUMBER('PC 02'!J326),'PC 02'!J326&lt;'PC 02'!I326),"Tgl Publish &lt; Tgl Dibuat",""),IF(AND('PC 02'!K326&lt;&gt;"",ISERROR(MATCH(TRIM('PC 02'!K326),{"Draft","Menunggu Review","Revisi","Terjadwal","Publish","Batal","Published"},0))),"Status di luar daftar","")))</f>
        <v>#ERROR!</v>
      </c>
      <c r="D326" s="5" t="str">
        <f>IF(C326="","OK","ADA MASALAH")</f>
        <v>#ERROR!</v>
      </c>
    </row>
    <row r="327">
      <c r="A327" s="3">
        <v>327.0</v>
      </c>
      <c r="B327" s="5" t="str">
        <f>'PC 02'!A327</f>
        <v/>
      </c>
      <c r="C327" s="5" t="str">
        <f>IF(COUNTA('PC 02'!A327:L327)=0,"",TEXTJOIN(" | ",TRUE,IF('PC 02'!A327="","Worker ID kosong",""),IF('PC 02'!B327="","Update Date kosong",IF(NOT(ISNUMBER('PC 02'!B327)),"Update Date harus tanggal","")),IF('PC 02'!D327="","Judul kosong",""),IF('PC 02'!F327="","Genre kosong",IF(ISERROR(MATCH(TRIM('PC 02'!F327),{"Pop","Rock","Dangdut","K-Pop","Electronic","Nasional","Daerah"},0)),"Genre di luar daftar","")),IF('PC 02'!G327="","Nama Channel kosong",""),IF('PC 02'!H327="","Link kosong",IF(ISERROR(FIND("youtu",LOWER('PC 02'!H327))),"Link bukan youtube","")),IF('PC 02'!I327="","Tgl Dibuat kosong",IF(NOT(ISNUMBER('PC 02'!I327)),"Tgl Dibuat harus tanggal","")),IF(AND('PC 02'!J327&lt;&gt;"",NOT(ISNUMBER('PC 02'!J327))),"Tgl Publish harus tanggal",""),IF(AND(ISNUMBER('PC 02'!I327),ISNUMBER('PC 02'!J327),'PC 02'!J327&lt;'PC 02'!I327),"Tgl Publish &lt; Tgl Dibuat",""),IF(AND('PC 02'!K327&lt;&gt;"",ISERROR(MATCH(TRIM('PC 02'!K327),{"Draft","Menunggu Review","Revisi","Terjadwal","Publish","Batal","Published"},0))),"Status di luar daftar","")))</f>
        <v>#ERROR!</v>
      </c>
      <c r="D327" s="5" t="str">
        <f>IF(C327="","OK","ADA MASALAH")</f>
        <v>#ERROR!</v>
      </c>
    </row>
    <row r="328">
      <c r="A328" s="3">
        <v>328.0</v>
      </c>
      <c r="B328" s="5" t="str">
        <f>'PC 02'!A328</f>
        <v/>
      </c>
      <c r="C328" s="5" t="str">
        <f>IF(COUNTA('PC 02'!A328:L328)=0,"",TEXTJOIN(" | ",TRUE,IF('PC 02'!A328="","Worker ID kosong",""),IF('PC 02'!B328="","Update Date kosong",IF(NOT(ISNUMBER('PC 02'!B328)),"Update Date harus tanggal","")),IF('PC 02'!D328="","Judul kosong",""),IF('PC 02'!F328="","Genre kosong",IF(ISERROR(MATCH(TRIM('PC 02'!F328),{"Pop","Rock","Dangdut","K-Pop","Electronic","Nasional","Daerah"},0)),"Genre di luar daftar","")),IF('PC 02'!G328="","Nama Channel kosong",""),IF('PC 02'!H328="","Link kosong",IF(ISERROR(FIND("youtu",LOWER('PC 02'!H328))),"Link bukan youtube","")),IF('PC 02'!I328="","Tgl Dibuat kosong",IF(NOT(ISNUMBER('PC 02'!I328)),"Tgl Dibuat harus tanggal","")),IF(AND('PC 02'!J328&lt;&gt;"",NOT(ISNUMBER('PC 02'!J328))),"Tgl Publish harus tanggal",""),IF(AND(ISNUMBER('PC 02'!I328),ISNUMBER('PC 02'!J328),'PC 02'!J328&lt;'PC 02'!I328),"Tgl Publish &lt; Tgl Dibuat",""),IF(AND('PC 02'!K328&lt;&gt;"",ISERROR(MATCH(TRIM('PC 02'!K328),{"Draft","Menunggu Review","Revisi","Terjadwal","Publish","Batal","Published"},0))),"Status di luar daftar","")))</f>
        <v>#ERROR!</v>
      </c>
      <c r="D328" s="5" t="str">
        <f>IF(C328="","OK","ADA MASALAH")</f>
        <v>#ERROR!</v>
      </c>
    </row>
    <row r="329">
      <c r="A329" s="3">
        <v>329.0</v>
      </c>
      <c r="B329" s="5" t="str">
        <f>'PC 02'!A329</f>
        <v/>
      </c>
      <c r="C329" s="5" t="str">
        <f>IF(COUNTA('PC 02'!A329:L329)=0,"",TEXTJOIN(" | ",TRUE,IF('PC 02'!A329="","Worker ID kosong",""),IF('PC 02'!B329="","Update Date kosong",IF(NOT(ISNUMBER('PC 02'!B329)),"Update Date harus tanggal","")),IF('PC 02'!D329="","Judul kosong",""),IF('PC 02'!F329="","Genre kosong",IF(ISERROR(MATCH(TRIM('PC 02'!F329),{"Pop","Rock","Dangdut","K-Pop","Electronic","Nasional","Daerah"},0)),"Genre di luar daftar","")),IF('PC 02'!G329="","Nama Channel kosong",""),IF('PC 02'!H329="","Link kosong",IF(ISERROR(FIND("youtu",LOWER('PC 02'!H329))),"Link bukan youtube","")),IF('PC 02'!I329="","Tgl Dibuat kosong",IF(NOT(ISNUMBER('PC 02'!I329)),"Tgl Dibuat harus tanggal","")),IF(AND('PC 02'!J329&lt;&gt;"",NOT(ISNUMBER('PC 02'!J329))),"Tgl Publish harus tanggal",""),IF(AND(ISNUMBER('PC 02'!I329),ISNUMBER('PC 02'!J329),'PC 02'!J329&lt;'PC 02'!I329),"Tgl Publish &lt; Tgl Dibuat",""),IF(AND('PC 02'!K329&lt;&gt;"",ISERROR(MATCH(TRIM('PC 02'!K329),{"Draft","Menunggu Review","Revisi","Terjadwal","Publish","Batal","Published"},0))),"Status di luar daftar","")))</f>
        <v>#ERROR!</v>
      </c>
      <c r="D329" s="5" t="str">
        <f>IF(C329="","OK","ADA MASALAH")</f>
        <v>#ERROR!</v>
      </c>
    </row>
    <row r="330">
      <c r="A330" s="3">
        <v>330.0</v>
      </c>
      <c r="B330" s="5" t="str">
        <f>'PC 02'!A330</f>
        <v/>
      </c>
      <c r="C330" s="5" t="str">
        <f>IF(COUNTA('PC 02'!A330:L330)=0,"",TEXTJOIN(" | ",TRUE,IF('PC 02'!A330="","Worker ID kosong",""),IF('PC 02'!B330="","Update Date kosong",IF(NOT(ISNUMBER('PC 02'!B330)),"Update Date harus tanggal","")),IF('PC 02'!D330="","Judul kosong",""),IF('PC 02'!F330="","Genre kosong",IF(ISERROR(MATCH(TRIM('PC 02'!F330),{"Pop","Rock","Dangdut","K-Pop","Electronic","Nasional","Daerah"},0)),"Genre di luar daftar","")),IF('PC 02'!G330="","Nama Channel kosong",""),IF('PC 02'!H330="","Link kosong",IF(ISERROR(FIND("youtu",LOWER('PC 02'!H330))),"Link bukan youtube","")),IF('PC 02'!I330="","Tgl Dibuat kosong",IF(NOT(ISNUMBER('PC 02'!I330)),"Tgl Dibuat harus tanggal","")),IF(AND('PC 02'!J330&lt;&gt;"",NOT(ISNUMBER('PC 02'!J330))),"Tgl Publish harus tanggal",""),IF(AND(ISNUMBER('PC 02'!I330),ISNUMBER('PC 02'!J330),'PC 02'!J330&lt;'PC 02'!I330),"Tgl Publish &lt; Tgl Dibuat",""),IF(AND('PC 02'!K330&lt;&gt;"",ISERROR(MATCH(TRIM('PC 02'!K330),{"Draft","Menunggu Review","Revisi","Terjadwal","Publish","Batal","Published"},0))),"Status di luar daftar","")))</f>
        <v>#ERROR!</v>
      </c>
      <c r="D330" s="5" t="str">
        <f>IF(C330="","OK","ADA MASALAH")</f>
        <v>#ERROR!</v>
      </c>
    </row>
    <row r="331">
      <c r="A331" s="3">
        <v>331.0</v>
      </c>
      <c r="B331" s="5" t="str">
        <f>'PC 02'!A331</f>
        <v/>
      </c>
      <c r="C331" s="5" t="str">
        <f>IF(COUNTA('PC 02'!A331:L331)=0,"",TEXTJOIN(" | ",TRUE,IF('PC 02'!A331="","Worker ID kosong",""),IF('PC 02'!B331="","Update Date kosong",IF(NOT(ISNUMBER('PC 02'!B331)),"Update Date harus tanggal","")),IF('PC 02'!D331="","Judul kosong",""),IF('PC 02'!F331="","Genre kosong",IF(ISERROR(MATCH(TRIM('PC 02'!F331),{"Pop","Rock","Dangdut","K-Pop","Electronic","Nasional","Daerah"},0)),"Genre di luar daftar","")),IF('PC 02'!G331="","Nama Channel kosong",""),IF('PC 02'!H331="","Link kosong",IF(ISERROR(FIND("youtu",LOWER('PC 02'!H331))),"Link bukan youtube","")),IF('PC 02'!I331="","Tgl Dibuat kosong",IF(NOT(ISNUMBER('PC 02'!I331)),"Tgl Dibuat harus tanggal","")),IF(AND('PC 02'!J331&lt;&gt;"",NOT(ISNUMBER('PC 02'!J331))),"Tgl Publish harus tanggal",""),IF(AND(ISNUMBER('PC 02'!I331),ISNUMBER('PC 02'!J331),'PC 02'!J331&lt;'PC 02'!I331),"Tgl Publish &lt; Tgl Dibuat",""),IF(AND('PC 02'!K331&lt;&gt;"",ISERROR(MATCH(TRIM('PC 02'!K331),{"Draft","Menunggu Review","Revisi","Terjadwal","Publish","Batal","Published"},0))),"Status di luar daftar","")))</f>
        <v>#ERROR!</v>
      </c>
      <c r="D331" s="5" t="str">
        <f>IF(C331="","OK","ADA MASALAH")</f>
        <v>#ERROR!</v>
      </c>
    </row>
    <row r="332">
      <c r="A332" s="3">
        <v>332.0</v>
      </c>
      <c r="B332" s="5" t="str">
        <f>'PC 02'!A332</f>
        <v/>
      </c>
      <c r="C332" s="5" t="str">
        <f>IF(COUNTA('PC 02'!A332:L332)=0,"",TEXTJOIN(" | ",TRUE,IF('PC 02'!A332="","Worker ID kosong",""),IF('PC 02'!B332="","Update Date kosong",IF(NOT(ISNUMBER('PC 02'!B332)),"Update Date harus tanggal","")),IF('PC 02'!D332="","Judul kosong",""),IF('PC 02'!F332="","Genre kosong",IF(ISERROR(MATCH(TRIM('PC 02'!F332),{"Pop","Rock","Dangdut","K-Pop","Electronic","Nasional","Daerah"},0)),"Genre di luar daftar","")),IF('PC 02'!G332="","Nama Channel kosong",""),IF('PC 02'!H332="","Link kosong",IF(ISERROR(FIND("youtu",LOWER('PC 02'!H332))),"Link bukan youtube","")),IF('PC 02'!I332="","Tgl Dibuat kosong",IF(NOT(ISNUMBER('PC 02'!I332)),"Tgl Dibuat harus tanggal","")),IF(AND('PC 02'!J332&lt;&gt;"",NOT(ISNUMBER('PC 02'!J332))),"Tgl Publish harus tanggal",""),IF(AND(ISNUMBER('PC 02'!I332),ISNUMBER('PC 02'!J332),'PC 02'!J332&lt;'PC 02'!I332),"Tgl Publish &lt; Tgl Dibuat",""),IF(AND('PC 02'!K332&lt;&gt;"",ISERROR(MATCH(TRIM('PC 02'!K332),{"Draft","Menunggu Review","Revisi","Terjadwal","Publish","Batal","Published"},0))),"Status di luar daftar","")))</f>
        <v>#ERROR!</v>
      </c>
      <c r="D332" s="5" t="str">
        <f>IF(C332="","OK","ADA MASALAH")</f>
        <v>#ERROR!</v>
      </c>
    </row>
    <row r="333">
      <c r="A333" s="3">
        <v>333.0</v>
      </c>
      <c r="B333" s="5" t="str">
        <f>'PC 02'!A333</f>
        <v/>
      </c>
      <c r="C333" s="5" t="str">
        <f>IF(COUNTA('PC 02'!A333:L333)=0,"",TEXTJOIN(" | ",TRUE,IF('PC 02'!A333="","Worker ID kosong",""),IF('PC 02'!B333="","Update Date kosong",IF(NOT(ISNUMBER('PC 02'!B333)),"Update Date harus tanggal","")),IF('PC 02'!D333="","Judul kosong",""),IF('PC 02'!F333="","Genre kosong",IF(ISERROR(MATCH(TRIM('PC 02'!F333),{"Pop","Rock","Dangdut","K-Pop","Electronic","Nasional","Daerah"},0)),"Genre di luar daftar","")),IF('PC 02'!G333="","Nama Channel kosong",""),IF('PC 02'!H333="","Link kosong",IF(ISERROR(FIND("youtu",LOWER('PC 02'!H333))),"Link bukan youtube","")),IF('PC 02'!I333="","Tgl Dibuat kosong",IF(NOT(ISNUMBER('PC 02'!I333)),"Tgl Dibuat harus tanggal","")),IF(AND('PC 02'!J333&lt;&gt;"",NOT(ISNUMBER('PC 02'!J333))),"Tgl Publish harus tanggal",""),IF(AND(ISNUMBER('PC 02'!I333),ISNUMBER('PC 02'!J333),'PC 02'!J333&lt;'PC 02'!I333),"Tgl Publish &lt; Tgl Dibuat",""),IF(AND('PC 02'!K333&lt;&gt;"",ISERROR(MATCH(TRIM('PC 02'!K333),{"Draft","Menunggu Review","Revisi","Terjadwal","Publish","Batal","Published"},0))),"Status di luar daftar","")))</f>
        <v>#ERROR!</v>
      </c>
      <c r="D333" s="5" t="str">
        <f>IF(C333="","OK","ADA MASALAH")</f>
        <v>#ERROR!</v>
      </c>
    </row>
    <row r="334">
      <c r="A334" s="3">
        <v>334.0</v>
      </c>
      <c r="B334" s="5" t="str">
        <f>'PC 02'!A334</f>
        <v/>
      </c>
      <c r="C334" s="5" t="str">
        <f>IF(COUNTA('PC 02'!A334:L334)=0,"",TEXTJOIN(" | ",TRUE,IF('PC 02'!A334="","Worker ID kosong",""),IF('PC 02'!B334="","Update Date kosong",IF(NOT(ISNUMBER('PC 02'!B334)),"Update Date harus tanggal","")),IF('PC 02'!D334="","Judul kosong",""),IF('PC 02'!F334="","Genre kosong",IF(ISERROR(MATCH(TRIM('PC 02'!F334),{"Pop","Rock","Dangdut","K-Pop","Electronic","Nasional","Daerah"},0)),"Genre di luar daftar","")),IF('PC 02'!G334="","Nama Channel kosong",""),IF('PC 02'!H334="","Link kosong",IF(ISERROR(FIND("youtu",LOWER('PC 02'!H334))),"Link bukan youtube","")),IF('PC 02'!I334="","Tgl Dibuat kosong",IF(NOT(ISNUMBER('PC 02'!I334)),"Tgl Dibuat harus tanggal","")),IF(AND('PC 02'!J334&lt;&gt;"",NOT(ISNUMBER('PC 02'!J334))),"Tgl Publish harus tanggal",""),IF(AND(ISNUMBER('PC 02'!I334),ISNUMBER('PC 02'!J334),'PC 02'!J334&lt;'PC 02'!I334),"Tgl Publish &lt; Tgl Dibuat",""),IF(AND('PC 02'!K334&lt;&gt;"",ISERROR(MATCH(TRIM('PC 02'!K334),{"Draft","Menunggu Review","Revisi","Terjadwal","Publish","Batal","Published"},0))),"Status di luar daftar","")))</f>
        <v>#ERROR!</v>
      </c>
      <c r="D334" s="5" t="str">
        <f>IF(C334="","OK","ADA MASALAH")</f>
        <v>#ERROR!</v>
      </c>
    </row>
    <row r="335">
      <c r="A335" s="3">
        <v>335.0</v>
      </c>
      <c r="B335" s="5" t="str">
        <f>'PC 02'!A335</f>
        <v/>
      </c>
      <c r="C335" s="5" t="str">
        <f>IF(COUNTA('PC 02'!A335:L335)=0,"",TEXTJOIN(" | ",TRUE,IF('PC 02'!A335="","Worker ID kosong",""),IF('PC 02'!B335="","Update Date kosong",IF(NOT(ISNUMBER('PC 02'!B335)),"Update Date harus tanggal","")),IF('PC 02'!D335="","Judul kosong",""),IF('PC 02'!F335="","Genre kosong",IF(ISERROR(MATCH(TRIM('PC 02'!F335),{"Pop","Rock","Dangdut","K-Pop","Electronic","Nasional","Daerah"},0)),"Genre di luar daftar","")),IF('PC 02'!G335="","Nama Channel kosong",""),IF('PC 02'!H335="","Link kosong",IF(ISERROR(FIND("youtu",LOWER('PC 02'!H335))),"Link bukan youtube","")),IF('PC 02'!I335="","Tgl Dibuat kosong",IF(NOT(ISNUMBER('PC 02'!I335)),"Tgl Dibuat harus tanggal","")),IF(AND('PC 02'!J335&lt;&gt;"",NOT(ISNUMBER('PC 02'!J335))),"Tgl Publish harus tanggal",""),IF(AND(ISNUMBER('PC 02'!I335),ISNUMBER('PC 02'!J335),'PC 02'!J335&lt;'PC 02'!I335),"Tgl Publish &lt; Tgl Dibuat",""),IF(AND('PC 02'!K335&lt;&gt;"",ISERROR(MATCH(TRIM('PC 02'!K335),{"Draft","Menunggu Review","Revisi","Terjadwal","Publish","Batal","Published"},0))),"Status di luar daftar","")))</f>
        <v>#ERROR!</v>
      </c>
      <c r="D335" s="5" t="str">
        <f>IF(C335="","OK","ADA MASALAH")</f>
        <v>#ERROR!</v>
      </c>
    </row>
    <row r="336">
      <c r="A336" s="3">
        <v>336.0</v>
      </c>
      <c r="B336" s="5" t="str">
        <f>'PC 02'!A336</f>
        <v/>
      </c>
      <c r="C336" s="5" t="str">
        <f>IF(COUNTA('PC 02'!A336:L336)=0,"",TEXTJOIN(" | ",TRUE,IF('PC 02'!A336="","Worker ID kosong",""),IF('PC 02'!B336="","Update Date kosong",IF(NOT(ISNUMBER('PC 02'!B336)),"Update Date harus tanggal","")),IF('PC 02'!D336="","Judul kosong",""),IF('PC 02'!F336="","Genre kosong",IF(ISERROR(MATCH(TRIM('PC 02'!F336),{"Pop","Rock","Dangdut","K-Pop","Electronic","Nasional","Daerah"},0)),"Genre di luar daftar","")),IF('PC 02'!G336="","Nama Channel kosong",""),IF('PC 02'!H336="","Link kosong",IF(ISERROR(FIND("youtu",LOWER('PC 02'!H336))),"Link bukan youtube","")),IF('PC 02'!I336="","Tgl Dibuat kosong",IF(NOT(ISNUMBER('PC 02'!I336)),"Tgl Dibuat harus tanggal","")),IF(AND('PC 02'!J336&lt;&gt;"",NOT(ISNUMBER('PC 02'!J336))),"Tgl Publish harus tanggal",""),IF(AND(ISNUMBER('PC 02'!I336),ISNUMBER('PC 02'!J336),'PC 02'!J336&lt;'PC 02'!I336),"Tgl Publish &lt; Tgl Dibuat",""),IF(AND('PC 02'!K336&lt;&gt;"",ISERROR(MATCH(TRIM('PC 02'!K336),{"Draft","Menunggu Review","Revisi","Terjadwal","Publish","Batal","Published"},0))),"Status di luar daftar","")))</f>
        <v>#ERROR!</v>
      </c>
      <c r="D336" s="5" t="str">
        <f>IF(C336="","OK","ADA MASALAH")</f>
        <v>#ERROR!</v>
      </c>
    </row>
    <row r="337">
      <c r="A337" s="3">
        <v>337.0</v>
      </c>
      <c r="B337" s="5" t="str">
        <f>'PC 02'!A337</f>
        <v/>
      </c>
      <c r="C337" s="5" t="str">
        <f>IF(COUNTA('PC 02'!A337:L337)=0,"",TEXTJOIN(" | ",TRUE,IF('PC 02'!A337="","Worker ID kosong",""),IF('PC 02'!B337="","Update Date kosong",IF(NOT(ISNUMBER('PC 02'!B337)),"Update Date harus tanggal","")),IF('PC 02'!D337="","Judul kosong",""),IF('PC 02'!F337="","Genre kosong",IF(ISERROR(MATCH(TRIM('PC 02'!F337),{"Pop","Rock","Dangdut","K-Pop","Electronic","Nasional","Daerah"},0)),"Genre di luar daftar","")),IF('PC 02'!G337="","Nama Channel kosong",""),IF('PC 02'!H337="","Link kosong",IF(ISERROR(FIND("youtu",LOWER('PC 02'!H337))),"Link bukan youtube","")),IF('PC 02'!I337="","Tgl Dibuat kosong",IF(NOT(ISNUMBER('PC 02'!I337)),"Tgl Dibuat harus tanggal","")),IF(AND('PC 02'!J337&lt;&gt;"",NOT(ISNUMBER('PC 02'!J337))),"Tgl Publish harus tanggal",""),IF(AND(ISNUMBER('PC 02'!I337),ISNUMBER('PC 02'!J337),'PC 02'!J337&lt;'PC 02'!I337),"Tgl Publish &lt; Tgl Dibuat",""),IF(AND('PC 02'!K337&lt;&gt;"",ISERROR(MATCH(TRIM('PC 02'!K337),{"Draft","Menunggu Review","Revisi","Terjadwal","Publish","Batal","Published"},0))),"Status di luar daftar","")))</f>
        <v>#ERROR!</v>
      </c>
      <c r="D337" s="5" t="str">
        <f>IF(C337="","OK","ADA MASALAH")</f>
        <v>#ERROR!</v>
      </c>
    </row>
    <row r="338">
      <c r="A338" s="3">
        <v>338.0</v>
      </c>
      <c r="B338" s="5" t="str">
        <f>'PC 02'!A338</f>
        <v/>
      </c>
      <c r="C338" s="5" t="str">
        <f>IF(COUNTA('PC 02'!A338:L338)=0,"",TEXTJOIN(" | ",TRUE,IF('PC 02'!A338="","Worker ID kosong",""),IF('PC 02'!B338="","Update Date kosong",IF(NOT(ISNUMBER('PC 02'!B338)),"Update Date harus tanggal","")),IF('PC 02'!D338="","Judul kosong",""),IF('PC 02'!F338="","Genre kosong",IF(ISERROR(MATCH(TRIM('PC 02'!F338),{"Pop","Rock","Dangdut","K-Pop","Electronic","Nasional","Daerah"},0)),"Genre di luar daftar","")),IF('PC 02'!G338="","Nama Channel kosong",""),IF('PC 02'!H338="","Link kosong",IF(ISERROR(FIND("youtu",LOWER('PC 02'!H338))),"Link bukan youtube","")),IF('PC 02'!I338="","Tgl Dibuat kosong",IF(NOT(ISNUMBER('PC 02'!I338)),"Tgl Dibuat harus tanggal","")),IF(AND('PC 02'!J338&lt;&gt;"",NOT(ISNUMBER('PC 02'!J338))),"Tgl Publish harus tanggal",""),IF(AND(ISNUMBER('PC 02'!I338),ISNUMBER('PC 02'!J338),'PC 02'!J338&lt;'PC 02'!I338),"Tgl Publish &lt; Tgl Dibuat",""),IF(AND('PC 02'!K338&lt;&gt;"",ISERROR(MATCH(TRIM('PC 02'!K338),{"Draft","Menunggu Review","Revisi","Terjadwal","Publish","Batal","Published"},0))),"Status di luar daftar","")))</f>
        <v>#ERROR!</v>
      </c>
      <c r="D338" s="5" t="str">
        <f>IF(C338="","OK","ADA MASALAH")</f>
        <v>#ERROR!</v>
      </c>
    </row>
    <row r="339">
      <c r="A339" s="3">
        <v>339.0</v>
      </c>
      <c r="B339" s="5" t="str">
        <f>'PC 02'!A339</f>
        <v/>
      </c>
      <c r="C339" s="5" t="str">
        <f>IF(COUNTA('PC 02'!A339:L339)=0,"",TEXTJOIN(" | ",TRUE,IF('PC 02'!A339="","Worker ID kosong",""),IF('PC 02'!B339="","Update Date kosong",IF(NOT(ISNUMBER('PC 02'!B339)),"Update Date harus tanggal","")),IF('PC 02'!D339="","Judul kosong",""),IF('PC 02'!F339="","Genre kosong",IF(ISERROR(MATCH(TRIM('PC 02'!F339),{"Pop","Rock","Dangdut","K-Pop","Electronic","Nasional","Daerah"},0)),"Genre di luar daftar","")),IF('PC 02'!G339="","Nama Channel kosong",""),IF('PC 02'!H339="","Link kosong",IF(ISERROR(FIND("youtu",LOWER('PC 02'!H339))),"Link bukan youtube","")),IF('PC 02'!I339="","Tgl Dibuat kosong",IF(NOT(ISNUMBER('PC 02'!I339)),"Tgl Dibuat harus tanggal","")),IF(AND('PC 02'!J339&lt;&gt;"",NOT(ISNUMBER('PC 02'!J339))),"Tgl Publish harus tanggal",""),IF(AND(ISNUMBER('PC 02'!I339),ISNUMBER('PC 02'!J339),'PC 02'!J339&lt;'PC 02'!I339),"Tgl Publish &lt; Tgl Dibuat",""),IF(AND('PC 02'!K339&lt;&gt;"",ISERROR(MATCH(TRIM('PC 02'!K339),{"Draft","Menunggu Review","Revisi","Terjadwal","Publish","Batal","Published"},0))),"Status di luar daftar","")))</f>
        <v>#ERROR!</v>
      </c>
      <c r="D339" s="5" t="str">
        <f>IF(C339="","OK","ADA MASALAH")</f>
        <v>#ERROR!</v>
      </c>
    </row>
    <row r="340">
      <c r="A340" s="3">
        <v>340.0</v>
      </c>
      <c r="B340" s="5" t="str">
        <f>'PC 02'!A340</f>
        <v/>
      </c>
      <c r="C340" s="5" t="str">
        <f>IF(COUNTA('PC 02'!A340:L340)=0,"",TEXTJOIN(" | ",TRUE,IF('PC 02'!A340="","Worker ID kosong",""),IF('PC 02'!B340="","Update Date kosong",IF(NOT(ISNUMBER('PC 02'!B340)),"Update Date harus tanggal","")),IF('PC 02'!D340="","Judul kosong",""),IF('PC 02'!F340="","Genre kosong",IF(ISERROR(MATCH(TRIM('PC 02'!F340),{"Pop","Rock","Dangdut","K-Pop","Electronic","Nasional","Daerah"},0)),"Genre di luar daftar","")),IF('PC 02'!G340="","Nama Channel kosong",""),IF('PC 02'!H340="","Link kosong",IF(ISERROR(FIND("youtu",LOWER('PC 02'!H340))),"Link bukan youtube","")),IF('PC 02'!I340="","Tgl Dibuat kosong",IF(NOT(ISNUMBER('PC 02'!I340)),"Tgl Dibuat harus tanggal","")),IF(AND('PC 02'!J340&lt;&gt;"",NOT(ISNUMBER('PC 02'!J340))),"Tgl Publish harus tanggal",""),IF(AND(ISNUMBER('PC 02'!I340),ISNUMBER('PC 02'!J340),'PC 02'!J340&lt;'PC 02'!I340),"Tgl Publish &lt; Tgl Dibuat",""),IF(AND('PC 02'!K340&lt;&gt;"",ISERROR(MATCH(TRIM('PC 02'!K340),{"Draft","Menunggu Review","Revisi","Terjadwal","Publish","Batal","Published"},0))),"Status di luar daftar","")))</f>
        <v>#ERROR!</v>
      </c>
      <c r="D340" s="5" t="str">
        <f>IF(C340="","OK","ADA MASALAH")</f>
        <v>#ERROR!</v>
      </c>
    </row>
    <row r="341">
      <c r="A341" s="3">
        <v>341.0</v>
      </c>
      <c r="B341" s="5" t="str">
        <f>'PC 02'!A341</f>
        <v/>
      </c>
      <c r="C341" s="5" t="str">
        <f>IF(COUNTA('PC 02'!A341:L341)=0,"",TEXTJOIN(" | ",TRUE,IF('PC 02'!A341="","Worker ID kosong",""),IF('PC 02'!B341="","Update Date kosong",IF(NOT(ISNUMBER('PC 02'!B341)),"Update Date harus tanggal","")),IF('PC 02'!D341="","Judul kosong",""),IF('PC 02'!F341="","Genre kosong",IF(ISERROR(MATCH(TRIM('PC 02'!F341),{"Pop","Rock","Dangdut","K-Pop","Electronic","Nasional","Daerah"},0)),"Genre di luar daftar","")),IF('PC 02'!G341="","Nama Channel kosong",""),IF('PC 02'!H341="","Link kosong",IF(ISERROR(FIND("youtu",LOWER('PC 02'!H341))),"Link bukan youtube","")),IF('PC 02'!I341="","Tgl Dibuat kosong",IF(NOT(ISNUMBER('PC 02'!I341)),"Tgl Dibuat harus tanggal","")),IF(AND('PC 02'!J341&lt;&gt;"",NOT(ISNUMBER('PC 02'!J341))),"Tgl Publish harus tanggal",""),IF(AND(ISNUMBER('PC 02'!I341),ISNUMBER('PC 02'!J341),'PC 02'!J341&lt;'PC 02'!I341),"Tgl Publish &lt; Tgl Dibuat",""),IF(AND('PC 02'!K341&lt;&gt;"",ISERROR(MATCH(TRIM('PC 02'!K341),{"Draft","Menunggu Review","Revisi","Terjadwal","Publish","Batal","Published"},0))),"Status di luar daftar","")))</f>
        <v>#ERROR!</v>
      </c>
      <c r="D341" s="5" t="str">
        <f>IF(C341="","OK","ADA MASALAH")</f>
        <v>#ERROR!</v>
      </c>
    </row>
    <row r="342">
      <c r="A342" s="3">
        <v>342.0</v>
      </c>
      <c r="B342" s="5" t="str">
        <f>'PC 02'!A342</f>
        <v/>
      </c>
      <c r="C342" s="5" t="str">
        <f>IF(COUNTA('PC 02'!A342:L342)=0,"",TEXTJOIN(" | ",TRUE,IF('PC 02'!A342="","Worker ID kosong",""),IF('PC 02'!B342="","Update Date kosong",IF(NOT(ISNUMBER('PC 02'!B342)),"Update Date harus tanggal","")),IF('PC 02'!D342="","Judul kosong",""),IF('PC 02'!F342="","Genre kosong",IF(ISERROR(MATCH(TRIM('PC 02'!F342),{"Pop","Rock","Dangdut","K-Pop","Electronic","Nasional","Daerah"},0)),"Genre di luar daftar","")),IF('PC 02'!G342="","Nama Channel kosong",""),IF('PC 02'!H342="","Link kosong",IF(ISERROR(FIND("youtu",LOWER('PC 02'!H342))),"Link bukan youtube","")),IF('PC 02'!I342="","Tgl Dibuat kosong",IF(NOT(ISNUMBER('PC 02'!I342)),"Tgl Dibuat harus tanggal","")),IF(AND('PC 02'!J342&lt;&gt;"",NOT(ISNUMBER('PC 02'!J342))),"Tgl Publish harus tanggal",""),IF(AND(ISNUMBER('PC 02'!I342),ISNUMBER('PC 02'!J342),'PC 02'!J342&lt;'PC 02'!I342),"Tgl Publish &lt; Tgl Dibuat",""),IF(AND('PC 02'!K342&lt;&gt;"",ISERROR(MATCH(TRIM('PC 02'!K342),{"Draft","Menunggu Review","Revisi","Terjadwal","Publish","Batal","Published"},0))),"Status di luar daftar","")))</f>
        <v>#ERROR!</v>
      </c>
      <c r="D342" s="5" t="str">
        <f>IF(C342="","OK","ADA MASALAH")</f>
        <v>#ERROR!</v>
      </c>
    </row>
    <row r="343">
      <c r="A343" s="3">
        <v>343.0</v>
      </c>
      <c r="B343" s="5" t="str">
        <f>'PC 02'!A343</f>
        <v/>
      </c>
      <c r="C343" s="5" t="str">
        <f>IF(COUNTA('PC 02'!A343:L343)=0,"",TEXTJOIN(" | ",TRUE,IF('PC 02'!A343="","Worker ID kosong",""),IF('PC 02'!B343="","Update Date kosong",IF(NOT(ISNUMBER('PC 02'!B343)),"Update Date harus tanggal","")),IF('PC 02'!D343="","Judul kosong",""),IF('PC 02'!F343="","Genre kosong",IF(ISERROR(MATCH(TRIM('PC 02'!F343),{"Pop","Rock","Dangdut","K-Pop","Electronic","Nasional","Daerah"},0)),"Genre di luar daftar","")),IF('PC 02'!G343="","Nama Channel kosong",""),IF('PC 02'!H343="","Link kosong",IF(ISERROR(FIND("youtu",LOWER('PC 02'!H343))),"Link bukan youtube","")),IF('PC 02'!I343="","Tgl Dibuat kosong",IF(NOT(ISNUMBER('PC 02'!I343)),"Tgl Dibuat harus tanggal","")),IF(AND('PC 02'!J343&lt;&gt;"",NOT(ISNUMBER('PC 02'!J343))),"Tgl Publish harus tanggal",""),IF(AND(ISNUMBER('PC 02'!I343),ISNUMBER('PC 02'!J343),'PC 02'!J343&lt;'PC 02'!I343),"Tgl Publish &lt; Tgl Dibuat",""),IF(AND('PC 02'!K343&lt;&gt;"",ISERROR(MATCH(TRIM('PC 02'!K343),{"Draft","Menunggu Review","Revisi","Terjadwal","Publish","Batal","Published"},0))),"Status di luar daftar","")))</f>
        <v>#ERROR!</v>
      </c>
      <c r="D343" s="5" t="str">
        <f>IF(C343="","OK","ADA MASALAH")</f>
        <v>#ERROR!</v>
      </c>
    </row>
    <row r="344">
      <c r="A344" s="3">
        <v>344.0</v>
      </c>
      <c r="B344" s="5" t="str">
        <f>'PC 02'!A344</f>
        <v/>
      </c>
      <c r="C344" s="5" t="str">
        <f>IF(COUNTA('PC 02'!A344:L344)=0,"",TEXTJOIN(" | ",TRUE,IF('PC 02'!A344="","Worker ID kosong",""),IF('PC 02'!B344="","Update Date kosong",IF(NOT(ISNUMBER('PC 02'!B344)),"Update Date harus tanggal","")),IF('PC 02'!D344="","Judul kosong",""),IF('PC 02'!F344="","Genre kosong",IF(ISERROR(MATCH(TRIM('PC 02'!F344),{"Pop","Rock","Dangdut","K-Pop","Electronic","Nasional","Daerah"},0)),"Genre di luar daftar","")),IF('PC 02'!G344="","Nama Channel kosong",""),IF('PC 02'!H344="","Link kosong",IF(ISERROR(FIND("youtu",LOWER('PC 02'!H344))),"Link bukan youtube","")),IF('PC 02'!I344="","Tgl Dibuat kosong",IF(NOT(ISNUMBER('PC 02'!I344)),"Tgl Dibuat harus tanggal","")),IF(AND('PC 02'!J344&lt;&gt;"",NOT(ISNUMBER('PC 02'!J344))),"Tgl Publish harus tanggal",""),IF(AND(ISNUMBER('PC 02'!I344),ISNUMBER('PC 02'!J344),'PC 02'!J344&lt;'PC 02'!I344),"Tgl Publish &lt; Tgl Dibuat",""),IF(AND('PC 02'!K344&lt;&gt;"",ISERROR(MATCH(TRIM('PC 02'!K344),{"Draft","Menunggu Review","Revisi","Terjadwal","Publish","Batal","Published"},0))),"Status di luar daftar","")))</f>
        <v>#ERROR!</v>
      </c>
      <c r="D344" s="5" t="str">
        <f>IF(C344="","OK","ADA MASALAH")</f>
        <v>#ERROR!</v>
      </c>
    </row>
    <row r="345">
      <c r="A345" s="3">
        <v>345.0</v>
      </c>
      <c r="B345" s="5" t="str">
        <f>'PC 02'!A345</f>
        <v/>
      </c>
      <c r="C345" s="5" t="str">
        <f>IF(COUNTA('PC 02'!A345:L345)=0,"",TEXTJOIN(" | ",TRUE,IF('PC 02'!A345="","Worker ID kosong",""),IF('PC 02'!B345="","Update Date kosong",IF(NOT(ISNUMBER('PC 02'!B345)),"Update Date harus tanggal","")),IF('PC 02'!D345="","Judul kosong",""),IF('PC 02'!F345="","Genre kosong",IF(ISERROR(MATCH(TRIM('PC 02'!F345),{"Pop","Rock","Dangdut","K-Pop","Electronic","Nasional","Daerah"},0)),"Genre di luar daftar","")),IF('PC 02'!G345="","Nama Channel kosong",""),IF('PC 02'!H345="","Link kosong",IF(ISERROR(FIND("youtu",LOWER('PC 02'!H345))),"Link bukan youtube","")),IF('PC 02'!I345="","Tgl Dibuat kosong",IF(NOT(ISNUMBER('PC 02'!I345)),"Tgl Dibuat harus tanggal","")),IF(AND('PC 02'!J345&lt;&gt;"",NOT(ISNUMBER('PC 02'!J345))),"Tgl Publish harus tanggal",""),IF(AND(ISNUMBER('PC 02'!I345),ISNUMBER('PC 02'!J345),'PC 02'!J345&lt;'PC 02'!I345),"Tgl Publish &lt; Tgl Dibuat",""),IF(AND('PC 02'!K345&lt;&gt;"",ISERROR(MATCH(TRIM('PC 02'!K345),{"Draft","Menunggu Review","Revisi","Terjadwal","Publish","Batal","Published"},0))),"Status di luar daftar","")))</f>
        <v>#ERROR!</v>
      </c>
      <c r="D345" s="5" t="str">
        <f>IF(C345="","OK","ADA MASALAH")</f>
        <v>#ERROR!</v>
      </c>
    </row>
    <row r="346">
      <c r="A346" s="3">
        <v>346.0</v>
      </c>
      <c r="B346" s="5" t="str">
        <f>'PC 02'!A346</f>
        <v/>
      </c>
      <c r="C346" s="5" t="str">
        <f>IF(COUNTA('PC 02'!A346:L346)=0,"",TEXTJOIN(" | ",TRUE,IF('PC 02'!A346="","Worker ID kosong",""),IF('PC 02'!B346="","Update Date kosong",IF(NOT(ISNUMBER('PC 02'!B346)),"Update Date harus tanggal","")),IF('PC 02'!D346="","Judul kosong",""),IF('PC 02'!F346="","Genre kosong",IF(ISERROR(MATCH(TRIM('PC 02'!F346),{"Pop","Rock","Dangdut","K-Pop","Electronic","Nasional","Daerah"},0)),"Genre di luar daftar","")),IF('PC 02'!G346="","Nama Channel kosong",""),IF('PC 02'!H346="","Link kosong",IF(ISERROR(FIND("youtu",LOWER('PC 02'!H346))),"Link bukan youtube","")),IF('PC 02'!I346="","Tgl Dibuat kosong",IF(NOT(ISNUMBER('PC 02'!I346)),"Tgl Dibuat harus tanggal","")),IF(AND('PC 02'!J346&lt;&gt;"",NOT(ISNUMBER('PC 02'!J346))),"Tgl Publish harus tanggal",""),IF(AND(ISNUMBER('PC 02'!I346),ISNUMBER('PC 02'!J346),'PC 02'!J346&lt;'PC 02'!I346),"Tgl Publish &lt; Tgl Dibuat",""),IF(AND('PC 02'!K346&lt;&gt;"",ISERROR(MATCH(TRIM('PC 02'!K346),{"Draft","Menunggu Review","Revisi","Terjadwal","Publish","Batal","Published"},0))),"Status di luar daftar","")))</f>
        <v>#ERROR!</v>
      </c>
      <c r="D346" s="5" t="str">
        <f>IF(C346="","OK","ADA MASALAH")</f>
        <v>#ERROR!</v>
      </c>
    </row>
    <row r="347">
      <c r="A347" s="3">
        <v>347.0</v>
      </c>
      <c r="B347" s="5" t="str">
        <f>'PC 02'!A347</f>
        <v/>
      </c>
      <c r="C347" s="5" t="str">
        <f>IF(COUNTA('PC 02'!A347:L347)=0,"",TEXTJOIN(" | ",TRUE,IF('PC 02'!A347="","Worker ID kosong",""),IF('PC 02'!B347="","Update Date kosong",IF(NOT(ISNUMBER('PC 02'!B347)),"Update Date harus tanggal","")),IF('PC 02'!D347="","Judul kosong",""),IF('PC 02'!F347="","Genre kosong",IF(ISERROR(MATCH(TRIM('PC 02'!F347),{"Pop","Rock","Dangdut","K-Pop","Electronic","Nasional","Daerah"},0)),"Genre di luar daftar","")),IF('PC 02'!G347="","Nama Channel kosong",""),IF('PC 02'!H347="","Link kosong",IF(ISERROR(FIND("youtu",LOWER('PC 02'!H347))),"Link bukan youtube","")),IF('PC 02'!I347="","Tgl Dibuat kosong",IF(NOT(ISNUMBER('PC 02'!I347)),"Tgl Dibuat harus tanggal","")),IF(AND('PC 02'!J347&lt;&gt;"",NOT(ISNUMBER('PC 02'!J347))),"Tgl Publish harus tanggal",""),IF(AND(ISNUMBER('PC 02'!I347),ISNUMBER('PC 02'!J347),'PC 02'!J347&lt;'PC 02'!I347),"Tgl Publish &lt; Tgl Dibuat",""),IF(AND('PC 02'!K347&lt;&gt;"",ISERROR(MATCH(TRIM('PC 02'!K347),{"Draft","Menunggu Review","Revisi","Terjadwal","Publish","Batal","Published"},0))),"Status di luar daftar","")))</f>
        <v>#ERROR!</v>
      </c>
      <c r="D347" s="5" t="str">
        <f>IF(C347="","OK","ADA MASALAH")</f>
        <v>#ERROR!</v>
      </c>
    </row>
    <row r="348">
      <c r="A348" s="3">
        <v>348.0</v>
      </c>
      <c r="B348" s="5" t="str">
        <f>'PC 02'!A348</f>
        <v/>
      </c>
      <c r="C348" s="5" t="str">
        <f>IF(COUNTA('PC 02'!A348:L348)=0,"",TEXTJOIN(" | ",TRUE,IF('PC 02'!A348="","Worker ID kosong",""),IF('PC 02'!B348="","Update Date kosong",IF(NOT(ISNUMBER('PC 02'!B348)),"Update Date harus tanggal","")),IF('PC 02'!D348="","Judul kosong",""),IF('PC 02'!F348="","Genre kosong",IF(ISERROR(MATCH(TRIM('PC 02'!F348),{"Pop","Rock","Dangdut","K-Pop","Electronic","Nasional","Daerah"},0)),"Genre di luar daftar","")),IF('PC 02'!G348="","Nama Channel kosong",""),IF('PC 02'!H348="","Link kosong",IF(ISERROR(FIND("youtu",LOWER('PC 02'!H348))),"Link bukan youtube","")),IF('PC 02'!I348="","Tgl Dibuat kosong",IF(NOT(ISNUMBER('PC 02'!I348)),"Tgl Dibuat harus tanggal","")),IF(AND('PC 02'!J348&lt;&gt;"",NOT(ISNUMBER('PC 02'!J348))),"Tgl Publish harus tanggal",""),IF(AND(ISNUMBER('PC 02'!I348),ISNUMBER('PC 02'!J348),'PC 02'!J348&lt;'PC 02'!I348),"Tgl Publish &lt; Tgl Dibuat",""),IF(AND('PC 02'!K348&lt;&gt;"",ISERROR(MATCH(TRIM('PC 02'!K348),{"Draft","Menunggu Review","Revisi","Terjadwal","Publish","Batal","Published"},0))),"Status di luar daftar","")))</f>
        <v>#ERROR!</v>
      </c>
      <c r="D348" s="5" t="str">
        <f>IF(C348="","OK","ADA MASALAH")</f>
        <v>#ERROR!</v>
      </c>
    </row>
    <row r="349">
      <c r="A349" s="3">
        <v>349.0</v>
      </c>
      <c r="B349" s="5" t="str">
        <f>'PC 02'!A349</f>
        <v/>
      </c>
      <c r="C349" s="5" t="str">
        <f>IF(COUNTA('PC 02'!A349:L349)=0,"",TEXTJOIN(" | ",TRUE,IF('PC 02'!A349="","Worker ID kosong",""),IF('PC 02'!B349="","Update Date kosong",IF(NOT(ISNUMBER('PC 02'!B349)),"Update Date harus tanggal","")),IF('PC 02'!D349="","Judul kosong",""),IF('PC 02'!F349="","Genre kosong",IF(ISERROR(MATCH(TRIM('PC 02'!F349),{"Pop","Rock","Dangdut","K-Pop","Electronic","Nasional","Daerah"},0)),"Genre di luar daftar","")),IF('PC 02'!G349="","Nama Channel kosong",""),IF('PC 02'!H349="","Link kosong",IF(ISERROR(FIND("youtu",LOWER('PC 02'!H349))),"Link bukan youtube","")),IF('PC 02'!I349="","Tgl Dibuat kosong",IF(NOT(ISNUMBER('PC 02'!I349)),"Tgl Dibuat harus tanggal","")),IF(AND('PC 02'!J349&lt;&gt;"",NOT(ISNUMBER('PC 02'!J349))),"Tgl Publish harus tanggal",""),IF(AND(ISNUMBER('PC 02'!I349),ISNUMBER('PC 02'!J349),'PC 02'!J349&lt;'PC 02'!I349),"Tgl Publish &lt; Tgl Dibuat",""),IF(AND('PC 02'!K349&lt;&gt;"",ISERROR(MATCH(TRIM('PC 02'!K349),{"Draft","Menunggu Review","Revisi","Terjadwal","Publish","Batal","Published"},0))),"Status di luar daftar","")))</f>
        <v>#ERROR!</v>
      </c>
      <c r="D349" s="5" t="str">
        <f>IF(C349="","OK","ADA MASALAH")</f>
        <v>#ERROR!</v>
      </c>
    </row>
    <row r="350">
      <c r="A350" s="3">
        <v>350.0</v>
      </c>
      <c r="B350" s="5" t="str">
        <f>'PC 02'!A350</f>
        <v/>
      </c>
      <c r="C350" s="5" t="str">
        <f>IF(COUNTA('PC 02'!A350:L350)=0,"",TEXTJOIN(" | ",TRUE,IF('PC 02'!A350="","Worker ID kosong",""),IF('PC 02'!B350="","Update Date kosong",IF(NOT(ISNUMBER('PC 02'!B350)),"Update Date harus tanggal","")),IF('PC 02'!D350="","Judul kosong",""),IF('PC 02'!F350="","Genre kosong",IF(ISERROR(MATCH(TRIM('PC 02'!F350),{"Pop","Rock","Dangdut","K-Pop","Electronic","Nasional","Daerah"},0)),"Genre di luar daftar","")),IF('PC 02'!G350="","Nama Channel kosong",""),IF('PC 02'!H350="","Link kosong",IF(ISERROR(FIND("youtu",LOWER('PC 02'!H350))),"Link bukan youtube","")),IF('PC 02'!I350="","Tgl Dibuat kosong",IF(NOT(ISNUMBER('PC 02'!I350)),"Tgl Dibuat harus tanggal","")),IF(AND('PC 02'!J350&lt;&gt;"",NOT(ISNUMBER('PC 02'!J350))),"Tgl Publish harus tanggal",""),IF(AND(ISNUMBER('PC 02'!I350),ISNUMBER('PC 02'!J350),'PC 02'!J350&lt;'PC 02'!I350),"Tgl Publish &lt; Tgl Dibuat",""),IF(AND('PC 02'!K350&lt;&gt;"",ISERROR(MATCH(TRIM('PC 02'!K350),{"Draft","Menunggu Review","Revisi","Terjadwal","Publish","Batal","Published"},0))),"Status di luar daftar","")))</f>
        <v>#ERROR!</v>
      </c>
      <c r="D350" s="5" t="str">
        <f>IF(C350="","OK","ADA MASALAH")</f>
        <v>#ERROR!</v>
      </c>
    </row>
    <row r="351">
      <c r="A351" s="3">
        <v>351.0</v>
      </c>
      <c r="B351" s="5" t="str">
        <f>'PC 02'!A351</f>
        <v/>
      </c>
      <c r="C351" s="5" t="str">
        <f>IF(COUNTA('PC 02'!A351:L351)=0,"",TEXTJOIN(" | ",TRUE,IF('PC 02'!A351="","Worker ID kosong",""),IF('PC 02'!B351="","Update Date kosong",IF(NOT(ISNUMBER('PC 02'!B351)),"Update Date harus tanggal","")),IF('PC 02'!D351="","Judul kosong",""),IF('PC 02'!F351="","Genre kosong",IF(ISERROR(MATCH(TRIM('PC 02'!F351),{"Pop","Rock","Dangdut","K-Pop","Electronic","Nasional","Daerah"},0)),"Genre di luar daftar","")),IF('PC 02'!G351="","Nama Channel kosong",""),IF('PC 02'!H351="","Link kosong",IF(ISERROR(FIND("youtu",LOWER('PC 02'!H351))),"Link bukan youtube","")),IF('PC 02'!I351="","Tgl Dibuat kosong",IF(NOT(ISNUMBER('PC 02'!I351)),"Tgl Dibuat harus tanggal","")),IF(AND('PC 02'!J351&lt;&gt;"",NOT(ISNUMBER('PC 02'!J351))),"Tgl Publish harus tanggal",""),IF(AND(ISNUMBER('PC 02'!I351),ISNUMBER('PC 02'!J351),'PC 02'!J351&lt;'PC 02'!I351),"Tgl Publish &lt; Tgl Dibuat",""),IF(AND('PC 02'!K351&lt;&gt;"",ISERROR(MATCH(TRIM('PC 02'!K351),{"Draft","Menunggu Review","Revisi","Terjadwal","Publish","Batal","Published"},0))),"Status di luar daftar","")))</f>
        <v>#ERROR!</v>
      </c>
      <c r="D351" s="5" t="str">
        <f>IF(C351="","OK","ADA MASALAH")</f>
        <v>#ERROR!</v>
      </c>
    </row>
    <row r="352">
      <c r="A352" s="3">
        <v>352.0</v>
      </c>
      <c r="B352" s="5" t="str">
        <f>'PC 02'!A352</f>
        <v/>
      </c>
      <c r="C352" s="5" t="str">
        <f>IF(COUNTA('PC 02'!A352:L352)=0,"",TEXTJOIN(" | ",TRUE,IF('PC 02'!A352="","Worker ID kosong",""),IF('PC 02'!B352="","Update Date kosong",IF(NOT(ISNUMBER('PC 02'!B352)),"Update Date harus tanggal","")),IF('PC 02'!D352="","Judul kosong",""),IF('PC 02'!F352="","Genre kosong",IF(ISERROR(MATCH(TRIM('PC 02'!F352),{"Pop","Rock","Dangdut","K-Pop","Electronic","Nasional","Daerah"},0)),"Genre di luar daftar","")),IF('PC 02'!G352="","Nama Channel kosong",""),IF('PC 02'!H352="","Link kosong",IF(ISERROR(FIND("youtu",LOWER('PC 02'!H352))),"Link bukan youtube","")),IF('PC 02'!I352="","Tgl Dibuat kosong",IF(NOT(ISNUMBER('PC 02'!I352)),"Tgl Dibuat harus tanggal","")),IF(AND('PC 02'!J352&lt;&gt;"",NOT(ISNUMBER('PC 02'!J352))),"Tgl Publish harus tanggal",""),IF(AND(ISNUMBER('PC 02'!I352),ISNUMBER('PC 02'!J352),'PC 02'!J352&lt;'PC 02'!I352),"Tgl Publish &lt; Tgl Dibuat",""),IF(AND('PC 02'!K352&lt;&gt;"",ISERROR(MATCH(TRIM('PC 02'!K352),{"Draft","Menunggu Review","Revisi","Terjadwal","Publish","Batal","Published"},0))),"Status di luar daftar","")))</f>
        <v>#ERROR!</v>
      </c>
      <c r="D352" s="5" t="str">
        <f>IF(C352="","OK","ADA MASALAH")</f>
        <v>#ERROR!</v>
      </c>
    </row>
    <row r="353">
      <c r="A353" s="3">
        <v>353.0</v>
      </c>
      <c r="B353" s="5" t="str">
        <f>'PC 02'!A353</f>
        <v/>
      </c>
      <c r="C353" s="5" t="str">
        <f>IF(COUNTA('PC 02'!A353:L353)=0,"",TEXTJOIN(" | ",TRUE,IF('PC 02'!A353="","Worker ID kosong",""),IF('PC 02'!B353="","Update Date kosong",IF(NOT(ISNUMBER('PC 02'!B353)),"Update Date harus tanggal","")),IF('PC 02'!D353="","Judul kosong",""),IF('PC 02'!F353="","Genre kosong",IF(ISERROR(MATCH(TRIM('PC 02'!F353),{"Pop","Rock","Dangdut","K-Pop","Electronic","Nasional","Daerah"},0)),"Genre di luar daftar","")),IF('PC 02'!G353="","Nama Channel kosong",""),IF('PC 02'!H353="","Link kosong",IF(ISERROR(FIND("youtu",LOWER('PC 02'!H353))),"Link bukan youtube","")),IF('PC 02'!I353="","Tgl Dibuat kosong",IF(NOT(ISNUMBER('PC 02'!I353)),"Tgl Dibuat harus tanggal","")),IF(AND('PC 02'!J353&lt;&gt;"",NOT(ISNUMBER('PC 02'!J353))),"Tgl Publish harus tanggal",""),IF(AND(ISNUMBER('PC 02'!I353),ISNUMBER('PC 02'!J353),'PC 02'!J353&lt;'PC 02'!I353),"Tgl Publish &lt; Tgl Dibuat",""),IF(AND('PC 02'!K353&lt;&gt;"",ISERROR(MATCH(TRIM('PC 02'!K353),{"Draft","Menunggu Review","Revisi","Terjadwal","Publish","Batal","Published"},0))),"Status di luar daftar","")))</f>
        <v>#ERROR!</v>
      </c>
      <c r="D353" s="5" t="str">
        <f>IF(C353="","OK","ADA MASALAH")</f>
        <v>#ERROR!</v>
      </c>
    </row>
    <row r="354">
      <c r="A354" s="3">
        <v>354.0</v>
      </c>
      <c r="B354" s="5" t="str">
        <f>'PC 02'!A354</f>
        <v/>
      </c>
      <c r="C354" s="5" t="str">
        <f>IF(COUNTA('PC 02'!A354:L354)=0,"",TEXTJOIN(" | ",TRUE,IF('PC 02'!A354="","Worker ID kosong",""),IF('PC 02'!B354="","Update Date kosong",IF(NOT(ISNUMBER('PC 02'!B354)),"Update Date harus tanggal","")),IF('PC 02'!D354="","Judul kosong",""),IF('PC 02'!F354="","Genre kosong",IF(ISERROR(MATCH(TRIM('PC 02'!F354),{"Pop","Rock","Dangdut","K-Pop","Electronic","Nasional","Daerah"},0)),"Genre di luar daftar","")),IF('PC 02'!G354="","Nama Channel kosong",""),IF('PC 02'!H354="","Link kosong",IF(ISERROR(FIND("youtu",LOWER('PC 02'!H354))),"Link bukan youtube","")),IF('PC 02'!I354="","Tgl Dibuat kosong",IF(NOT(ISNUMBER('PC 02'!I354)),"Tgl Dibuat harus tanggal","")),IF(AND('PC 02'!J354&lt;&gt;"",NOT(ISNUMBER('PC 02'!J354))),"Tgl Publish harus tanggal",""),IF(AND(ISNUMBER('PC 02'!I354),ISNUMBER('PC 02'!J354),'PC 02'!J354&lt;'PC 02'!I354),"Tgl Publish &lt; Tgl Dibuat",""),IF(AND('PC 02'!K354&lt;&gt;"",ISERROR(MATCH(TRIM('PC 02'!K354),{"Draft","Menunggu Review","Revisi","Terjadwal","Publish","Batal","Published"},0))),"Status di luar daftar","")))</f>
        <v>#ERROR!</v>
      </c>
      <c r="D354" s="5" t="str">
        <f>IF(C354="","OK","ADA MASALAH")</f>
        <v>#ERROR!</v>
      </c>
    </row>
    <row r="355">
      <c r="A355" s="3">
        <v>355.0</v>
      </c>
      <c r="B355" s="5" t="str">
        <f>'PC 02'!A355</f>
        <v/>
      </c>
      <c r="C355" s="5" t="str">
        <f>IF(COUNTA('PC 02'!A355:L355)=0,"",TEXTJOIN(" | ",TRUE,IF('PC 02'!A355="","Worker ID kosong",""),IF('PC 02'!B355="","Update Date kosong",IF(NOT(ISNUMBER('PC 02'!B355)),"Update Date harus tanggal","")),IF('PC 02'!D355="","Judul kosong",""),IF('PC 02'!F355="","Genre kosong",IF(ISERROR(MATCH(TRIM('PC 02'!F355),{"Pop","Rock","Dangdut","K-Pop","Electronic","Nasional","Daerah"},0)),"Genre di luar daftar","")),IF('PC 02'!G355="","Nama Channel kosong",""),IF('PC 02'!H355="","Link kosong",IF(ISERROR(FIND("youtu",LOWER('PC 02'!H355))),"Link bukan youtube","")),IF('PC 02'!I355="","Tgl Dibuat kosong",IF(NOT(ISNUMBER('PC 02'!I355)),"Tgl Dibuat harus tanggal","")),IF(AND('PC 02'!J355&lt;&gt;"",NOT(ISNUMBER('PC 02'!J355))),"Tgl Publish harus tanggal",""),IF(AND(ISNUMBER('PC 02'!I355),ISNUMBER('PC 02'!J355),'PC 02'!J355&lt;'PC 02'!I355),"Tgl Publish &lt; Tgl Dibuat",""),IF(AND('PC 02'!K355&lt;&gt;"",ISERROR(MATCH(TRIM('PC 02'!K355),{"Draft","Menunggu Review","Revisi","Terjadwal","Publish","Batal","Published"},0))),"Status di luar daftar","")))</f>
        <v>#ERROR!</v>
      </c>
      <c r="D355" s="5" t="str">
        <f>IF(C355="","OK","ADA MASALAH")</f>
        <v>#ERROR!</v>
      </c>
    </row>
    <row r="356">
      <c r="A356" s="3">
        <v>356.0</v>
      </c>
      <c r="B356" s="5" t="str">
        <f>'PC 02'!A356</f>
        <v/>
      </c>
      <c r="C356" s="5" t="str">
        <f>IF(COUNTA('PC 02'!A356:L356)=0,"",TEXTJOIN(" | ",TRUE,IF('PC 02'!A356="","Worker ID kosong",""),IF('PC 02'!B356="","Update Date kosong",IF(NOT(ISNUMBER('PC 02'!B356)),"Update Date harus tanggal","")),IF('PC 02'!D356="","Judul kosong",""),IF('PC 02'!F356="","Genre kosong",IF(ISERROR(MATCH(TRIM('PC 02'!F356),{"Pop","Rock","Dangdut","K-Pop","Electronic","Nasional","Daerah"},0)),"Genre di luar daftar","")),IF('PC 02'!G356="","Nama Channel kosong",""),IF('PC 02'!H356="","Link kosong",IF(ISERROR(FIND("youtu",LOWER('PC 02'!H356))),"Link bukan youtube","")),IF('PC 02'!I356="","Tgl Dibuat kosong",IF(NOT(ISNUMBER('PC 02'!I356)),"Tgl Dibuat harus tanggal","")),IF(AND('PC 02'!J356&lt;&gt;"",NOT(ISNUMBER('PC 02'!J356))),"Tgl Publish harus tanggal",""),IF(AND(ISNUMBER('PC 02'!I356),ISNUMBER('PC 02'!J356),'PC 02'!J356&lt;'PC 02'!I356),"Tgl Publish &lt; Tgl Dibuat",""),IF(AND('PC 02'!K356&lt;&gt;"",ISERROR(MATCH(TRIM('PC 02'!K356),{"Draft","Menunggu Review","Revisi","Terjadwal","Publish","Batal","Published"},0))),"Status di luar daftar","")))</f>
        <v>#ERROR!</v>
      </c>
      <c r="D356" s="5" t="str">
        <f>IF(C356="","OK","ADA MASALAH")</f>
        <v>#ERROR!</v>
      </c>
    </row>
    <row r="357">
      <c r="A357" s="3">
        <v>357.0</v>
      </c>
      <c r="B357" s="5" t="str">
        <f>'PC 02'!A357</f>
        <v/>
      </c>
      <c r="C357" s="5" t="str">
        <f>IF(COUNTA('PC 02'!A357:L357)=0,"",TEXTJOIN(" | ",TRUE,IF('PC 02'!A357="","Worker ID kosong",""),IF('PC 02'!B357="","Update Date kosong",IF(NOT(ISNUMBER('PC 02'!B357)),"Update Date harus tanggal","")),IF('PC 02'!D357="","Judul kosong",""),IF('PC 02'!F357="","Genre kosong",IF(ISERROR(MATCH(TRIM('PC 02'!F357),{"Pop","Rock","Dangdut","K-Pop","Electronic","Nasional","Daerah"},0)),"Genre di luar daftar","")),IF('PC 02'!G357="","Nama Channel kosong",""),IF('PC 02'!H357="","Link kosong",IF(ISERROR(FIND("youtu",LOWER('PC 02'!H357))),"Link bukan youtube","")),IF('PC 02'!I357="","Tgl Dibuat kosong",IF(NOT(ISNUMBER('PC 02'!I357)),"Tgl Dibuat harus tanggal","")),IF(AND('PC 02'!J357&lt;&gt;"",NOT(ISNUMBER('PC 02'!J357))),"Tgl Publish harus tanggal",""),IF(AND(ISNUMBER('PC 02'!I357),ISNUMBER('PC 02'!J357),'PC 02'!J357&lt;'PC 02'!I357),"Tgl Publish &lt; Tgl Dibuat",""),IF(AND('PC 02'!K357&lt;&gt;"",ISERROR(MATCH(TRIM('PC 02'!K357),{"Draft","Menunggu Review","Revisi","Terjadwal","Publish","Batal","Published"},0))),"Status di luar daftar","")))</f>
        <v>#ERROR!</v>
      </c>
      <c r="D357" s="5" t="str">
        <f>IF(C357="","OK","ADA MASALAH")</f>
        <v>#ERROR!</v>
      </c>
    </row>
    <row r="358">
      <c r="A358" s="3">
        <v>358.0</v>
      </c>
      <c r="B358" s="5" t="str">
        <f>'PC 02'!A358</f>
        <v/>
      </c>
      <c r="C358" s="5" t="str">
        <f>IF(COUNTA('PC 02'!A358:L358)=0,"",TEXTJOIN(" | ",TRUE,IF('PC 02'!A358="","Worker ID kosong",""),IF('PC 02'!B358="","Update Date kosong",IF(NOT(ISNUMBER('PC 02'!B358)),"Update Date harus tanggal","")),IF('PC 02'!D358="","Judul kosong",""),IF('PC 02'!F358="","Genre kosong",IF(ISERROR(MATCH(TRIM('PC 02'!F358),{"Pop","Rock","Dangdut","K-Pop","Electronic","Nasional","Daerah"},0)),"Genre di luar daftar","")),IF('PC 02'!G358="","Nama Channel kosong",""),IF('PC 02'!H358="","Link kosong",IF(ISERROR(FIND("youtu",LOWER('PC 02'!H358))),"Link bukan youtube","")),IF('PC 02'!I358="","Tgl Dibuat kosong",IF(NOT(ISNUMBER('PC 02'!I358)),"Tgl Dibuat harus tanggal","")),IF(AND('PC 02'!J358&lt;&gt;"",NOT(ISNUMBER('PC 02'!J358))),"Tgl Publish harus tanggal",""),IF(AND(ISNUMBER('PC 02'!I358),ISNUMBER('PC 02'!J358),'PC 02'!J358&lt;'PC 02'!I358),"Tgl Publish &lt; Tgl Dibuat",""),IF(AND('PC 02'!K358&lt;&gt;"",ISERROR(MATCH(TRIM('PC 02'!K358),{"Draft","Menunggu Review","Revisi","Terjadwal","Publish","Batal","Published"},0))),"Status di luar daftar","")))</f>
        <v>#ERROR!</v>
      </c>
      <c r="D358" s="5" t="str">
        <f>IF(C358="","OK","ADA MASALAH")</f>
        <v>#ERROR!</v>
      </c>
    </row>
    <row r="359">
      <c r="A359" s="3">
        <v>359.0</v>
      </c>
      <c r="B359" s="5" t="str">
        <f>'PC 02'!A359</f>
        <v/>
      </c>
      <c r="C359" s="5" t="str">
        <f>IF(COUNTA('PC 02'!A359:L359)=0,"",TEXTJOIN(" | ",TRUE,IF('PC 02'!A359="","Worker ID kosong",""),IF('PC 02'!B359="","Update Date kosong",IF(NOT(ISNUMBER('PC 02'!B359)),"Update Date harus tanggal","")),IF('PC 02'!D359="","Judul kosong",""),IF('PC 02'!F359="","Genre kosong",IF(ISERROR(MATCH(TRIM('PC 02'!F359),{"Pop","Rock","Dangdut","K-Pop","Electronic","Nasional","Daerah"},0)),"Genre di luar daftar","")),IF('PC 02'!G359="","Nama Channel kosong",""),IF('PC 02'!H359="","Link kosong",IF(ISERROR(FIND("youtu",LOWER('PC 02'!H359))),"Link bukan youtube","")),IF('PC 02'!I359="","Tgl Dibuat kosong",IF(NOT(ISNUMBER('PC 02'!I359)),"Tgl Dibuat harus tanggal","")),IF(AND('PC 02'!J359&lt;&gt;"",NOT(ISNUMBER('PC 02'!J359))),"Tgl Publish harus tanggal",""),IF(AND(ISNUMBER('PC 02'!I359),ISNUMBER('PC 02'!J359),'PC 02'!J359&lt;'PC 02'!I359),"Tgl Publish &lt; Tgl Dibuat",""),IF(AND('PC 02'!K359&lt;&gt;"",ISERROR(MATCH(TRIM('PC 02'!K359),{"Draft","Menunggu Review","Revisi","Terjadwal","Publish","Batal","Published"},0))),"Status di luar daftar","")))</f>
        <v>#ERROR!</v>
      </c>
      <c r="D359" s="5" t="str">
        <f>IF(C359="","OK","ADA MASALAH")</f>
        <v>#ERROR!</v>
      </c>
    </row>
    <row r="360">
      <c r="A360" s="3">
        <v>360.0</v>
      </c>
      <c r="B360" s="5" t="str">
        <f>'PC 02'!A360</f>
        <v/>
      </c>
      <c r="C360" s="5" t="str">
        <f>IF(COUNTA('PC 02'!A360:L360)=0,"",TEXTJOIN(" | ",TRUE,IF('PC 02'!A360="","Worker ID kosong",""),IF('PC 02'!B360="","Update Date kosong",IF(NOT(ISNUMBER('PC 02'!B360)),"Update Date harus tanggal","")),IF('PC 02'!D360="","Judul kosong",""),IF('PC 02'!F360="","Genre kosong",IF(ISERROR(MATCH(TRIM('PC 02'!F360),{"Pop","Rock","Dangdut","K-Pop","Electronic","Nasional","Daerah"},0)),"Genre di luar daftar","")),IF('PC 02'!G360="","Nama Channel kosong",""),IF('PC 02'!H360="","Link kosong",IF(ISERROR(FIND("youtu",LOWER('PC 02'!H360))),"Link bukan youtube","")),IF('PC 02'!I360="","Tgl Dibuat kosong",IF(NOT(ISNUMBER('PC 02'!I360)),"Tgl Dibuat harus tanggal","")),IF(AND('PC 02'!J360&lt;&gt;"",NOT(ISNUMBER('PC 02'!J360))),"Tgl Publish harus tanggal",""),IF(AND(ISNUMBER('PC 02'!I360),ISNUMBER('PC 02'!J360),'PC 02'!J360&lt;'PC 02'!I360),"Tgl Publish &lt; Tgl Dibuat",""),IF(AND('PC 02'!K360&lt;&gt;"",ISERROR(MATCH(TRIM('PC 02'!K360),{"Draft","Menunggu Review","Revisi","Terjadwal","Publish","Batal","Published"},0))),"Status di luar daftar","")))</f>
        <v>#ERROR!</v>
      </c>
      <c r="D360" s="5" t="str">
        <f>IF(C360="","OK","ADA MASALAH")</f>
        <v>#ERROR!</v>
      </c>
    </row>
    <row r="361">
      <c r="A361" s="3">
        <v>361.0</v>
      </c>
      <c r="B361" s="5" t="str">
        <f>'PC 02'!A361</f>
        <v/>
      </c>
      <c r="C361" s="5" t="str">
        <f>IF(COUNTA('PC 02'!A361:L361)=0,"",TEXTJOIN(" | ",TRUE,IF('PC 02'!A361="","Worker ID kosong",""),IF('PC 02'!B361="","Update Date kosong",IF(NOT(ISNUMBER('PC 02'!B361)),"Update Date harus tanggal","")),IF('PC 02'!D361="","Judul kosong",""),IF('PC 02'!F361="","Genre kosong",IF(ISERROR(MATCH(TRIM('PC 02'!F361),{"Pop","Rock","Dangdut","K-Pop","Electronic","Nasional","Daerah"},0)),"Genre di luar daftar","")),IF('PC 02'!G361="","Nama Channel kosong",""),IF('PC 02'!H361="","Link kosong",IF(ISERROR(FIND("youtu",LOWER('PC 02'!H361))),"Link bukan youtube","")),IF('PC 02'!I361="","Tgl Dibuat kosong",IF(NOT(ISNUMBER('PC 02'!I361)),"Tgl Dibuat harus tanggal","")),IF(AND('PC 02'!J361&lt;&gt;"",NOT(ISNUMBER('PC 02'!J361))),"Tgl Publish harus tanggal",""),IF(AND(ISNUMBER('PC 02'!I361),ISNUMBER('PC 02'!J361),'PC 02'!J361&lt;'PC 02'!I361),"Tgl Publish &lt; Tgl Dibuat",""),IF(AND('PC 02'!K361&lt;&gt;"",ISERROR(MATCH(TRIM('PC 02'!K361),{"Draft","Menunggu Review","Revisi","Terjadwal","Publish","Batal","Published"},0))),"Status di luar daftar","")))</f>
        <v>#ERROR!</v>
      </c>
      <c r="D361" s="5" t="str">
        <f>IF(C361="","OK","ADA MASALAH")</f>
        <v>#ERROR!</v>
      </c>
    </row>
    <row r="362">
      <c r="A362" s="3">
        <v>362.0</v>
      </c>
      <c r="B362" s="5" t="str">
        <f>'PC 02'!A362</f>
        <v/>
      </c>
      <c r="C362" s="5" t="str">
        <f>IF(COUNTA('PC 02'!A362:L362)=0,"",TEXTJOIN(" | ",TRUE,IF('PC 02'!A362="","Worker ID kosong",""),IF('PC 02'!B362="","Update Date kosong",IF(NOT(ISNUMBER('PC 02'!B362)),"Update Date harus tanggal","")),IF('PC 02'!D362="","Judul kosong",""),IF('PC 02'!F362="","Genre kosong",IF(ISERROR(MATCH(TRIM('PC 02'!F362),{"Pop","Rock","Dangdut","K-Pop","Electronic","Nasional","Daerah"},0)),"Genre di luar daftar","")),IF('PC 02'!G362="","Nama Channel kosong",""),IF('PC 02'!H362="","Link kosong",IF(ISERROR(FIND("youtu",LOWER('PC 02'!H362))),"Link bukan youtube","")),IF('PC 02'!I362="","Tgl Dibuat kosong",IF(NOT(ISNUMBER('PC 02'!I362)),"Tgl Dibuat harus tanggal","")),IF(AND('PC 02'!J362&lt;&gt;"",NOT(ISNUMBER('PC 02'!J362))),"Tgl Publish harus tanggal",""),IF(AND(ISNUMBER('PC 02'!I362),ISNUMBER('PC 02'!J362),'PC 02'!J362&lt;'PC 02'!I362),"Tgl Publish &lt; Tgl Dibuat",""),IF(AND('PC 02'!K362&lt;&gt;"",ISERROR(MATCH(TRIM('PC 02'!K362),{"Draft","Menunggu Review","Revisi","Terjadwal","Publish","Batal","Published"},0))),"Status di luar daftar","")))</f>
        <v>#ERROR!</v>
      </c>
      <c r="D362" s="5" t="str">
        <f>IF(C362="","OK","ADA MASALAH")</f>
        <v>#ERROR!</v>
      </c>
    </row>
    <row r="363">
      <c r="A363" s="3">
        <v>363.0</v>
      </c>
      <c r="B363" s="5" t="str">
        <f>'PC 02'!A363</f>
        <v/>
      </c>
      <c r="C363" s="5" t="str">
        <f>IF(COUNTA('PC 02'!A363:L363)=0,"",TEXTJOIN(" | ",TRUE,IF('PC 02'!A363="","Worker ID kosong",""),IF('PC 02'!B363="","Update Date kosong",IF(NOT(ISNUMBER('PC 02'!B363)),"Update Date harus tanggal","")),IF('PC 02'!D363="","Judul kosong",""),IF('PC 02'!F363="","Genre kosong",IF(ISERROR(MATCH(TRIM('PC 02'!F363),{"Pop","Rock","Dangdut","K-Pop","Electronic","Nasional","Daerah"},0)),"Genre di luar daftar","")),IF('PC 02'!G363="","Nama Channel kosong",""),IF('PC 02'!H363="","Link kosong",IF(ISERROR(FIND("youtu",LOWER('PC 02'!H363))),"Link bukan youtube","")),IF('PC 02'!I363="","Tgl Dibuat kosong",IF(NOT(ISNUMBER('PC 02'!I363)),"Tgl Dibuat harus tanggal","")),IF(AND('PC 02'!J363&lt;&gt;"",NOT(ISNUMBER('PC 02'!J363))),"Tgl Publish harus tanggal",""),IF(AND(ISNUMBER('PC 02'!I363),ISNUMBER('PC 02'!J363),'PC 02'!J363&lt;'PC 02'!I363),"Tgl Publish &lt; Tgl Dibuat",""),IF(AND('PC 02'!K363&lt;&gt;"",ISERROR(MATCH(TRIM('PC 02'!K363),{"Draft","Menunggu Review","Revisi","Terjadwal","Publish","Batal","Published"},0))),"Status di luar daftar","")))</f>
        <v>#ERROR!</v>
      </c>
      <c r="D363" s="5" t="str">
        <f>IF(C363="","OK","ADA MASALAH")</f>
        <v>#ERROR!</v>
      </c>
    </row>
    <row r="364">
      <c r="A364" s="3">
        <v>364.0</v>
      </c>
      <c r="B364" s="5" t="str">
        <f>'PC 02'!A364</f>
        <v/>
      </c>
      <c r="C364" s="5" t="str">
        <f>IF(COUNTA('PC 02'!A364:L364)=0,"",TEXTJOIN(" | ",TRUE,IF('PC 02'!A364="","Worker ID kosong",""),IF('PC 02'!B364="","Update Date kosong",IF(NOT(ISNUMBER('PC 02'!B364)),"Update Date harus tanggal","")),IF('PC 02'!D364="","Judul kosong",""),IF('PC 02'!F364="","Genre kosong",IF(ISERROR(MATCH(TRIM('PC 02'!F364),{"Pop","Rock","Dangdut","K-Pop","Electronic","Nasional","Daerah"},0)),"Genre di luar daftar","")),IF('PC 02'!G364="","Nama Channel kosong",""),IF('PC 02'!H364="","Link kosong",IF(ISERROR(FIND("youtu",LOWER('PC 02'!H364))),"Link bukan youtube","")),IF('PC 02'!I364="","Tgl Dibuat kosong",IF(NOT(ISNUMBER('PC 02'!I364)),"Tgl Dibuat harus tanggal","")),IF(AND('PC 02'!J364&lt;&gt;"",NOT(ISNUMBER('PC 02'!J364))),"Tgl Publish harus tanggal",""),IF(AND(ISNUMBER('PC 02'!I364),ISNUMBER('PC 02'!J364),'PC 02'!J364&lt;'PC 02'!I364),"Tgl Publish &lt; Tgl Dibuat",""),IF(AND('PC 02'!K364&lt;&gt;"",ISERROR(MATCH(TRIM('PC 02'!K364),{"Draft","Menunggu Review","Revisi","Terjadwal","Publish","Batal","Published"},0))),"Status di luar daftar","")))</f>
        <v>#ERROR!</v>
      </c>
      <c r="D364" s="5" t="str">
        <f>IF(C364="","OK","ADA MASALAH")</f>
        <v>#ERROR!</v>
      </c>
    </row>
    <row r="365">
      <c r="A365" s="3">
        <v>365.0</v>
      </c>
      <c r="B365" s="5" t="str">
        <f>'PC 02'!A365</f>
        <v/>
      </c>
      <c r="C365" s="5" t="str">
        <f>IF(COUNTA('PC 02'!A365:L365)=0,"",TEXTJOIN(" | ",TRUE,IF('PC 02'!A365="","Worker ID kosong",""),IF('PC 02'!B365="","Update Date kosong",IF(NOT(ISNUMBER('PC 02'!B365)),"Update Date harus tanggal","")),IF('PC 02'!D365="","Judul kosong",""),IF('PC 02'!F365="","Genre kosong",IF(ISERROR(MATCH(TRIM('PC 02'!F365),{"Pop","Rock","Dangdut","K-Pop","Electronic","Nasional","Daerah"},0)),"Genre di luar daftar","")),IF('PC 02'!G365="","Nama Channel kosong",""),IF('PC 02'!H365="","Link kosong",IF(ISERROR(FIND("youtu",LOWER('PC 02'!H365))),"Link bukan youtube","")),IF('PC 02'!I365="","Tgl Dibuat kosong",IF(NOT(ISNUMBER('PC 02'!I365)),"Tgl Dibuat harus tanggal","")),IF(AND('PC 02'!J365&lt;&gt;"",NOT(ISNUMBER('PC 02'!J365))),"Tgl Publish harus tanggal",""),IF(AND(ISNUMBER('PC 02'!I365),ISNUMBER('PC 02'!J365),'PC 02'!J365&lt;'PC 02'!I365),"Tgl Publish &lt; Tgl Dibuat",""),IF(AND('PC 02'!K365&lt;&gt;"",ISERROR(MATCH(TRIM('PC 02'!K365),{"Draft","Menunggu Review","Revisi","Terjadwal","Publish","Batal","Published"},0))),"Status di luar daftar","")))</f>
        <v>#ERROR!</v>
      </c>
      <c r="D365" s="5" t="str">
        <f>IF(C365="","OK","ADA MASALAH")</f>
        <v>#ERROR!</v>
      </c>
    </row>
    <row r="366">
      <c r="A366" s="3">
        <v>366.0</v>
      </c>
      <c r="B366" s="5" t="str">
        <f>'PC 02'!A366</f>
        <v/>
      </c>
      <c r="C366" s="5" t="str">
        <f>IF(COUNTA('PC 02'!A366:L366)=0,"",TEXTJOIN(" | ",TRUE,IF('PC 02'!A366="","Worker ID kosong",""),IF('PC 02'!B366="","Update Date kosong",IF(NOT(ISNUMBER('PC 02'!B366)),"Update Date harus tanggal","")),IF('PC 02'!D366="","Judul kosong",""),IF('PC 02'!F366="","Genre kosong",IF(ISERROR(MATCH(TRIM('PC 02'!F366),{"Pop","Rock","Dangdut","K-Pop","Electronic","Nasional","Daerah"},0)),"Genre di luar daftar","")),IF('PC 02'!G366="","Nama Channel kosong",""),IF('PC 02'!H366="","Link kosong",IF(ISERROR(FIND("youtu",LOWER('PC 02'!H366))),"Link bukan youtube","")),IF('PC 02'!I366="","Tgl Dibuat kosong",IF(NOT(ISNUMBER('PC 02'!I366)),"Tgl Dibuat harus tanggal","")),IF(AND('PC 02'!J366&lt;&gt;"",NOT(ISNUMBER('PC 02'!J366))),"Tgl Publish harus tanggal",""),IF(AND(ISNUMBER('PC 02'!I366),ISNUMBER('PC 02'!J366),'PC 02'!J366&lt;'PC 02'!I366),"Tgl Publish &lt; Tgl Dibuat",""),IF(AND('PC 02'!K366&lt;&gt;"",ISERROR(MATCH(TRIM('PC 02'!K366),{"Draft","Menunggu Review","Revisi","Terjadwal","Publish","Batal","Published"},0))),"Status di luar daftar","")))</f>
        <v>#ERROR!</v>
      </c>
      <c r="D366" s="5" t="str">
        <f>IF(C366="","OK","ADA MASALAH")</f>
        <v>#ERROR!</v>
      </c>
    </row>
    <row r="367">
      <c r="A367" s="3">
        <v>367.0</v>
      </c>
      <c r="B367" s="5" t="str">
        <f>'PC 02'!A367</f>
        <v/>
      </c>
      <c r="C367" s="5" t="str">
        <f>IF(COUNTA('PC 02'!A367:L367)=0,"",TEXTJOIN(" | ",TRUE,IF('PC 02'!A367="","Worker ID kosong",""),IF('PC 02'!B367="","Update Date kosong",IF(NOT(ISNUMBER('PC 02'!B367)),"Update Date harus tanggal","")),IF('PC 02'!D367="","Judul kosong",""),IF('PC 02'!F367="","Genre kosong",IF(ISERROR(MATCH(TRIM('PC 02'!F367),{"Pop","Rock","Dangdut","K-Pop","Electronic","Nasional","Daerah"},0)),"Genre di luar daftar","")),IF('PC 02'!G367="","Nama Channel kosong",""),IF('PC 02'!H367="","Link kosong",IF(ISERROR(FIND("youtu",LOWER('PC 02'!H367))),"Link bukan youtube","")),IF('PC 02'!I367="","Tgl Dibuat kosong",IF(NOT(ISNUMBER('PC 02'!I367)),"Tgl Dibuat harus tanggal","")),IF(AND('PC 02'!J367&lt;&gt;"",NOT(ISNUMBER('PC 02'!J367))),"Tgl Publish harus tanggal",""),IF(AND(ISNUMBER('PC 02'!I367),ISNUMBER('PC 02'!J367),'PC 02'!J367&lt;'PC 02'!I367),"Tgl Publish &lt; Tgl Dibuat",""),IF(AND('PC 02'!K367&lt;&gt;"",ISERROR(MATCH(TRIM('PC 02'!K367),{"Draft","Menunggu Review","Revisi","Terjadwal","Publish","Batal","Published"},0))),"Status di luar daftar","")))</f>
        <v>#ERROR!</v>
      </c>
      <c r="D367" s="5" t="str">
        <f>IF(C367="","OK","ADA MASALAH")</f>
        <v>#ERROR!</v>
      </c>
    </row>
    <row r="368">
      <c r="A368" s="3">
        <v>368.0</v>
      </c>
      <c r="B368" s="5" t="str">
        <f>'PC 02'!A368</f>
        <v/>
      </c>
      <c r="C368" s="5" t="str">
        <f>IF(COUNTA('PC 02'!A368:L368)=0,"",TEXTJOIN(" | ",TRUE,IF('PC 02'!A368="","Worker ID kosong",""),IF('PC 02'!B368="","Update Date kosong",IF(NOT(ISNUMBER('PC 02'!B368)),"Update Date harus tanggal","")),IF('PC 02'!D368="","Judul kosong",""),IF('PC 02'!F368="","Genre kosong",IF(ISERROR(MATCH(TRIM('PC 02'!F368),{"Pop","Rock","Dangdut","K-Pop","Electronic","Nasional","Daerah"},0)),"Genre di luar daftar","")),IF('PC 02'!G368="","Nama Channel kosong",""),IF('PC 02'!H368="","Link kosong",IF(ISERROR(FIND("youtu",LOWER('PC 02'!H368))),"Link bukan youtube","")),IF('PC 02'!I368="","Tgl Dibuat kosong",IF(NOT(ISNUMBER('PC 02'!I368)),"Tgl Dibuat harus tanggal","")),IF(AND('PC 02'!J368&lt;&gt;"",NOT(ISNUMBER('PC 02'!J368))),"Tgl Publish harus tanggal",""),IF(AND(ISNUMBER('PC 02'!I368),ISNUMBER('PC 02'!J368),'PC 02'!J368&lt;'PC 02'!I368),"Tgl Publish &lt; Tgl Dibuat",""),IF(AND('PC 02'!K368&lt;&gt;"",ISERROR(MATCH(TRIM('PC 02'!K368),{"Draft","Menunggu Review","Revisi","Terjadwal","Publish","Batal","Published"},0))),"Status di luar daftar","")))</f>
        <v>#ERROR!</v>
      </c>
      <c r="D368" s="5" t="str">
        <f>IF(C368="","OK","ADA MASALAH")</f>
        <v>#ERROR!</v>
      </c>
    </row>
    <row r="369">
      <c r="A369" s="3">
        <v>369.0</v>
      </c>
      <c r="B369" s="5" t="str">
        <f>'PC 02'!A369</f>
        <v/>
      </c>
      <c r="C369" s="5" t="str">
        <f>IF(COUNTA('PC 02'!A369:L369)=0,"",TEXTJOIN(" | ",TRUE,IF('PC 02'!A369="","Worker ID kosong",""),IF('PC 02'!B369="","Update Date kosong",IF(NOT(ISNUMBER('PC 02'!B369)),"Update Date harus tanggal","")),IF('PC 02'!D369="","Judul kosong",""),IF('PC 02'!F369="","Genre kosong",IF(ISERROR(MATCH(TRIM('PC 02'!F369),{"Pop","Rock","Dangdut","K-Pop","Electronic","Nasional","Daerah"},0)),"Genre di luar daftar","")),IF('PC 02'!G369="","Nama Channel kosong",""),IF('PC 02'!H369="","Link kosong",IF(ISERROR(FIND("youtu",LOWER('PC 02'!H369))),"Link bukan youtube","")),IF('PC 02'!I369="","Tgl Dibuat kosong",IF(NOT(ISNUMBER('PC 02'!I369)),"Tgl Dibuat harus tanggal","")),IF(AND('PC 02'!J369&lt;&gt;"",NOT(ISNUMBER('PC 02'!J369))),"Tgl Publish harus tanggal",""),IF(AND(ISNUMBER('PC 02'!I369),ISNUMBER('PC 02'!J369),'PC 02'!J369&lt;'PC 02'!I369),"Tgl Publish &lt; Tgl Dibuat",""),IF(AND('PC 02'!K369&lt;&gt;"",ISERROR(MATCH(TRIM('PC 02'!K369),{"Draft","Menunggu Review","Revisi","Terjadwal","Publish","Batal","Published"},0))),"Status di luar daftar","")))</f>
        <v>#ERROR!</v>
      </c>
      <c r="D369" s="5" t="str">
        <f>IF(C369="","OK","ADA MASALAH")</f>
        <v>#ERROR!</v>
      </c>
    </row>
    <row r="370">
      <c r="A370" s="3">
        <v>370.0</v>
      </c>
      <c r="B370" s="5" t="str">
        <f>'PC 02'!A370</f>
        <v/>
      </c>
      <c r="C370" s="5" t="str">
        <f>IF(COUNTA('PC 02'!A370:L370)=0,"",TEXTJOIN(" | ",TRUE,IF('PC 02'!A370="","Worker ID kosong",""),IF('PC 02'!B370="","Update Date kosong",IF(NOT(ISNUMBER('PC 02'!B370)),"Update Date harus tanggal","")),IF('PC 02'!D370="","Judul kosong",""),IF('PC 02'!F370="","Genre kosong",IF(ISERROR(MATCH(TRIM('PC 02'!F370),{"Pop","Rock","Dangdut","K-Pop","Electronic","Nasional","Daerah"},0)),"Genre di luar daftar","")),IF('PC 02'!G370="","Nama Channel kosong",""),IF('PC 02'!H370="","Link kosong",IF(ISERROR(FIND("youtu",LOWER('PC 02'!H370))),"Link bukan youtube","")),IF('PC 02'!I370="","Tgl Dibuat kosong",IF(NOT(ISNUMBER('PC 02'!I370)),"Tgl Dibuat harus tanggal","")),IF(AND('PC 02'!J370&lt;&gt;"",NOT(ISNUMBER('PC 02'!J370))),"Tgl Publish harus tanggal",""),IF(AND(ISNUMBER('PC 02'!I370),ISNUMBER('PC 02'!J370),'PC 02'!J370&lt;'PC 02'!I370),"Tgl Publish &lt; Tgl Dibuat",""),IF(AND('PC 02'!K370&lt;&gt;"",ISERROR(MATCH(TRIM('PC 02'!K370),{"Draft","Menunggu Review","Revisi","Terjadwal","Publish","Batal","Published"},0))),"Status di luar daftar","")))</f>
        <v>#ERROR!</v>
      </c>
      <c r="D370" s="5" t="str">
        <f>IF(C370="","OK","ADA MASALAH")</f>
        <v>#ERROR!</v>
      </c>
    </row>
    <row r="371">
      <c r="A371" s="3">
        <v>371.0</v>
      </c>
      <c r="B371" s="5" t="str">
        <f>'PC 02'!A371</f>
        <v/>
      </c>
      <c r="C371" s="5" t="str">
        <f>IF(COUNTA('PC 02'!A371:L371)=0,"",TEXTJOIN(" | ",TRUE,IF('PC 02'!A371="","Worker ID kosong",""),IF('PC 02'!B371="","Update Date kosong",IF(NOT(ISNUMBER('PC 02'!B371)),"Update Date harus tanggal","")),IF('PC 02'!D371="","Judul kosong",""),IF('PC 02'!F371="","Genre kosong",IF(ISERROR(MATCH(TRIM('PC 02'!F371),{"Pop","Rock","Dangdut","K-Pop","Electronic","Nasional","Daerah"},0)),"Genre di luar daftar","")),IF('PC 02'!G371="","Nama Channel kosong",""),IF('PC 02'!H371="","Link kosong",IF(ISERROR(FIND("youtu",LOWER('PC 02'!H371))),"Link bukan youtube","")),IF('PC 02'!I371="","Tgl Dibuat kosong",IF(NOT(ISNUMBER('PC 02'!I371)),"Tgl Dibuat harus tanggal","")),IF(AND('PC 02'!J371&lt;&gt;"",NOT(ISNUMBER('PC 02'!J371))),"Tgl Publish harus tanggal",""),IF(AND(ISNUMBER('PC 02'!I371),ISNUMBER('PC 02'!J371),'PC 02'!J371&lt;'PC 02'!I371),"Tgl Publish &lt; Tgl Dibuat",""),IF(AND('PC 02'!K371&lt;&gt;"",ISERROR(MATCH(TRIM('PC 02'!K371),{"Draft","Menunggu Review","Revisi","Terjadwal","Publish","Batal","Published"},0))),"Status di luar daftar","")))</f>
        <v>#ERROR!</v>
      </c>
      <c r="D371" s="5" t="str">
        <f>IF(C371="","OK","ADA MASALAH")</f>
        <v>#ERROR!</v>
      </c>
    </row>
    <row r="372">
      <c r="A372" s="3">
        <v>372.0</v>
      </c>
      <c r="B372" s="5" t="str">
        <f>'PC 02'!A372</f>
        <v/>
      </c>
      <c r="C372" s="5" t="str">
        <f>IF(COUNTA('PC 02'!A372:L372)=0,"",TEXTJOIN(" | ",TRUE,IF('PC 02'!A372="","Worker ID kosong",""),IF('PC 02'!B372="","Update Date kosong",IF(NOT(ISNUMBER('PC 02'!B372)),"Update Date harus tanggal","")),IF('PC 02'!D372="","Judul kosong",""),IF('PC 02'!F372="","Genre kosong",IF(ISERROR(MATCH(TRIM('PC 02'!F372),{"Pop","Rock","Dangdut","K-Pop","Electronic","Nasional","Daerah"},0)),"Genre di luar daftar","")),IF('PC 02'!G372="","Nama Channel kosong",""),IF('PC 02'!H372="","Link kosong",IF(ISERROR(FIND("youtu",LOWER('PC 02'!H372))),"Link bukan youtube","")),IF('PC 02'!I372="","Tgl Dibuat kosong",IF(NOT(ISNUMBER('PC 02'!I372)),"Tgl Dibuat harus tanggal","")),IF(AND('PC 02'!J372&lt;&gt;"",NOT(ISNUMBER('PC 02'!J372))),"Tgl Publish harus tanggal",""),IF(AND(ISNUMBER('PC 02'!I372),ISNUMBER('PC 02'!J372),'PC 02'!J372&lt;'PC 02'!I372),"Tgl Publish &lt; Tgl Dibuat",""),IF(AND('PC 02'!K372&lt;&gt;"",ISERROR(MATCH(TRIM('PC 02'!K372),{"Draft","Menunggu Review","Revisi","Terjadwal","Publish","Batal","Published"},0))),"Status di luar daftar","")))</f>
        <v>#ERROR!</v>
      </c>
      <c r="D372" s="5" t="str">
        <f>IF(C372="","OK","ADA MASALAH")</f>
        <v>#ERROR!</v>
      </c>
    </row>
    <row r="373">
      <c r="A373" s="3">
        <v>373.0</v>
      </c>
      <c r="B373" s="5" t="str">
        <f>'PC 02'!A373</f>
        <v/>
      </c>
      <c r="C373" s="5" t="str">
        <f>IF(COUNTA('PC 02'!A373:L373)=0,"",TEXTJOIN(" | ",TRUE,IF('PC 02'!A373="","Worker ID kosong",""),IF('PC 02'!B373="","Update Date kosong",IF(NOT(ISNUMBER('PC 02'!B373)),"Update Date harus tanggal","")),IF('PC 02'!D373="","Judul kosong",""),IF('PC 02'!F373="","Genre kosong",IF(ISERROR(MATCH(TRIM('PC 02'!F373),{"Pop","Rock","Dangdut","K-Pop","Electronic","Nasional","Daerah"},0)),"Genre di luar daftar","")),IF('PC 02'!G373="","Nama Channel kosong",""),IF('PC 02'!H373="","Link kosong",IF(ISERROR(FIND("youtu",LOWER('PC 02'!H373))),"Link bukan youtube","")),IF('PC 02'!I373="","Tgl Dibuat kosong",IF(NOT(ISNUMBER('PC 02'!I373)),"Tgl Dibuat harus tanggal","")),IF(AND('PC 02'!J373&lt;&gt;"",NOT(ISNUMBER('PC 02'!J373))),"Tgl Publish harus tanggal",""),IF(AND(ISNUMBER('PC 02'!I373),ISNUMBER('PC 02'!J373),'PC 02'!J373&lt;'PC 02'!I373),"Tgl Publish &lt; Tgl Dibuat",""),IF(AND('PC 02'!K373&lt;&gt;"",ISERROR(MATCH(TRIM('PC 02'!K373),{"Draft","Menunggu Review","Revisi","Terjadwal","Publish","Batal","Published"},0))),"Status di luar daftar","")))</f>
        <v>#ERROR!</v>
      </c>
      <c r="D373" s="5" t="str">
        <f>IF(C373="","OK","ADA MASALAH")</f>
        <v>#ERROR!</v>
      </c>
    </row>
    <row r="374">
      <c r="A374" s="3">
        <v>374.0</v>
      </c>
      <c r="B374" s="5" t="str">
        <f>'PC 02'!A374</f>
        <v/>
      </c>
      <c r="C374" s="5" t="str">
        <f>IF(COUNTA('PC 02'!A374:L374)=0,"",TEXTJOIN(" | ",TRUE,IF('PC 02'!A374="","Worker ID kosong",""),IF('PC 02'!B374="","Update Date kosong",IF(NOT(ISNUMBER('PC 02'!B374)),"Update Date harus tanggal","")),IF('PC 02'!D374="","Judul kosong",""),IF('PC 02'!F374="","Genre kosong",IF(ISERROR(MATCH(TRIM('PC 02'!F374),{"Pop","Rock","Dangdut","K-Pop","Electronic","Nasional","Daerah"},0)),"Genre di luar daftar","")),IF('PC 02'!G374="","Nama Channel kosong",""),IF('PC 02'!H374="","Link kosong",IF(ISERROR(FIND("youtu",LOWER('PC 02'!H374))),"Link bukan youtube","")),IF('PC 02'!I374="","Tgl Dibuat kosong",IF(NOT(ISNUMBER('PC 02'!I374)),"Tgl Dibuat harus tanggal","")),IF(AND('PC 02'!J374&lt;&gt;"",NOT(ISNUMBER('PC 02'!J374))),"Tgl Publish harus tanggal",""),IF(AND(ISNUMBER('PC 02'!I374),ISNUMBER('PC 02'!J374),'PC 02'!J374&lt;'PC 02'!I374),"Tgl Publish &lt; Tgl Dibuat",""),IF(AND('PC 02'!K374&lt;&gt;"",ISERROR(MATCH(TRIM('PC 02'!K374),{"Draft","Menunggu Review","Revisi","Terjadwal","Publish","Batal","Published"},0))),"Status di luar daftar","")))</f>
        <v>#ERROR!</v>
      </c>
      <c r="D374" s="5" t="str">
        <f>IF(C374="","OK","ADA MASALAH")</f>
        <v>#ERROR!</v>
      </c>
    </row>
    <row r="375">
      <c r="A375" s="3">
        <v>375.0</v>
      </c>
      <c r="B375" s="5" t="str">
        <f>'PC 02'!A375</f>
        <v/>
      </c>
      <c r="C375" s="5" t="str">
        <f>IF(COUNTA('PC 02'!A375:L375)=0,"",TEXTJOIN(" | ",TRUE,IF('PC 02'!A375="","Worker ID kosong",""),IF('PC 02'!B375="","Update Date kosong",IF(NOT(ISNUMBER('PC 02'!B375)),"Update Date harus tanggal","")),IF('PC 02'!D375="","Judul kosong",""),IF('PC 02'!F375="","Genre kosong",IF(ISERROR(MATCH(TRIM('PC 02'!F375),{"Pop","Rock","Dangdut","K-Pop","Electronic","Nasional","Daerah"},0)),"Genre di luar daftar","")),IF('PC 02'!G375="","Nama Channel kosong",""),IF('PC 02'!H375="","Link kosong",IF(ISERROR(FIND("youtu",LOWER('PC 02'!H375))),"Link bukan youtube","")),IF('PC 02'!I375="","Tgl Dibuat kosong",IF(NOT(ISNUMBER('PC 02'!I375)),"Tgl Dibuat harus tanggal","")),IF(AND('PC 02'!J375&lt;&gt;"",NOT(ISNUMBER('PC 02'!J375))),"Tgl Publish harus tanggal",""),IF(AND(ISNUMBER('PC 02'!I375),ISNUMBER('PC 02'!J375),'PC 02'!J375&lt;'PC 02'!I375),"Tgl Publish &lt; Tgl Dibuat",""),IF(AND('PC 02'!K375&lt;&gt;"",ISERROR(MATCH(TRIM('PC 02'!K375),{"Draft","Menunggu Review","Revisi","Terjadwal","Publish","Batal","Published"},0))),"Status di luar daftar","")))</f>
        <v>#ERROR!</v>
      </c>
      <c r="D375" s="5" t="str">
        <f>IF(C375="","OK","ADA MASALAH")</f>
        <v>#ERROR!</v>
      </c>
    </row>
    <row r="376">
      <c r="A376" s="3">
        <v>376.0</v>
      </c>
      <c r="B376" s="5" t="str">
        <f>'PC 02'!A376</f>
        <v/>
      </c>
      <c r="C376" s="5" t="str">
        <f>IF(COUNTA('PC 02'!A376:L376)=0,"",TEXTJOIN(" | ",TRUE,IF('PC 02'!A376="","Worker ID kosong",""),IF('PC 02'!B376="","Update Date kosong",IF(NOT(ISNUMBER('PC 02'!B376)),"Update Date harus tanggal","")),IF('PC 02'!D376="","Judul kosong",""),IF('PC 02'!F376="","Genre kosong",IF(ISERROR(MATCH(TRIM('PC 02'!F376),{"Pop","Rock","Dangdut","K-Pop","Electronic","Nasional","Daerah"},0)),"Genre di luar daftar","")),IF('PC 02'!G376="","Nama Channel kosong",""),IF('PC 02'!H376="","Link kosong",IF(ISERROR(FIND("youtu",LOWER('PC 02'!H376))),"Link bukan youtube","")),IF('PC 02'!I376="","Tgl Dibuat kosong",IF(NOT(ISNUMBER('PC 02'!I376)),"Tgl Dibuat harus tanggal","")),IF(AND('PC 02'!J376&lt;&gt;"",NOT(ISNUMBER('PC 02'!J376))),"Tgl Publish harus tanggal",""),IF(AND(ISNUMBER('PC 02'!I376),ISNUMBER('PC 02'!J376),'PC 02'!J376&lt;'PC 02'!I376),"Tgl Publish &lt; Tgl Dibuat",""),IF(AND('PC 02'!K376&lt;&gt;"",ISERROR(MATCH(TRIM('PC 02'!K376),{"Draft","Menunggu Review","Revisi","Terjadwal","Publish","Batal","Published"},0))),"Status di luar daftar","")))</f>
        <v>#ERROR!</v>
      </c>
      <c r="D376" s="5" t="str">
        <f>IF(C376="","OK","ADA MASALAH")</f>
        <v>#ERROR!</v>
      </c>
    </row>
    <row r="377">
      <c r="A377" s="3">
        <v>377.0</v>
      </c>
      <c r="B377" s="5" t="str">
        <f>'PC 02'!A377</f>
        <v/>
      </c>
      <c r="C377" s="5" t="str">
        <f>IF(COUNTA('PC 02'!A377:L377)=0,"",TEXTJOIN(" | ",TRUE,IF('PC 02'!A377="","Worker ID kosong",""),IF('PC 02'!B377="","Update Date kosong",IF(NOT(ISNUMBER('PC 02'!B377)),"Update Date harus tanggal","")),IF('PC 02'!D377="","Judul kosong",""),IF('PC 02'!F377="","Genre kosong",IF(ISERROR(MATCH(TRIM('PC 02'!F377),{"Pop","Rock","Dangdut","K-Pop","Electronic","Nasional","Daerah"},0)),"Genre di luar daftar","")),IF('PC 02'!G377="","Nama Channel kosong",""),IF('PC 02'!H377="","Link kosong",IF(ISERROR(FIND("youtu",LOWER('PC 02'!H377))),"Link bukan youtube","")),IF('PC 02'!I377="","Tgl Dibuat kosong",IF(NOT(ISNUMBER('PC 02'!I377)),"Tgl Dibuat harus tanggal","")),IF(AND('PC 02'!J377&lt;&gt;"",NOT(ISNUMBER('PC 02'!J377))),"Tgl Publish harus tanggal",""),IF(AND(ISNUMBER('PC 02'!I377),ISNUMBER('PC 02'!J377),'PC 02'!J377&lt;'PC 02'!I377),"Tgl Publish &lt; Tgl Dibuat",""),IF(AND('PC 02'!K377&lt;&gt;"",ISERROR(MATCH(TRIM('PC 02'!K377),{"Draft","Menunggu Review","Revisi","Terjadwal","Publish","Batal","Published"},0))),"Status di luar daftar","")))</f>
        <v>#ERROR!</v>
      </c>
      <c r="D377" s="5" t="str">
        <f>IF(C377="","OK","ADA MASALAH")</f>
        <v>#ERROR!</v>
      </c>
    </row>
    <row r="378">
      <c r="A378" s="3">
        <v>378.0</v>
      </c>
      <c r="B378" s="5" t="str">
        <f>'PC 02'!A378</f>
        <v/>
      </c>
      <c r="C378" s="5" t="str">
        <f>IF(COUNTA('PC 02'!A378:L378)=0,"",TEXTJOIN(" | ",TRUE,IF('PC 02'!A378="","Worker ID kosong",""),IF('PC 02'!B378="","Update Date kosong",IF(NOT(ISNUMBER('PC 02'!B378)),"Update Date harus tanggal","")),IF('PC 02'!D378="","Judul kosong",""),IF('PC 02'!F378="","Genre kosong",IF(ISERROR(MATCH(TRIM('PC 02'!F378),{"Pop","Rock","Dangdut","K-Pop","Electronic","Nasional","Daerah"},0)),"Genre di luar daftar","")),IF('PC 02'!G378="","Nama Channel kosong",""),IF('PC 02'!H378="","Link kosong",IF(ISERROR(FIND("youtu",LOWER('PC 02'!H378))),"Link bukan youtube","")),IF('PC 02'!I378="","Tgl Dibuat kosong",IF(NOT(ISNUMBER('PC 02'!I378)),"Tgl Dibuat harus tanggal","")),IF(AND('PC 02'!J378&lt;&gt;"",NOT(ISNUMBER('PC 02'!J378))),"Tgl Publish harus tanggal",""),IF(AND(ISNUMBER('PC 02'!I378),ISNUMBER('PC 02'!J378),'PC 02'!J378&lt;'PC 02'!I378),"Tgl Publish &lt; Tgl Dibuat",""),IF(AND('PC 02'!K378&lt;&gt;"",ISERROR(MATCH(TRIM('PC 02'!K378),{"Draft","Menunggu Review","Revisi","Terjadwal","Publish","Batal","Published"},0))),"Status di luar daftar","")))</f>
        <v>#ERROR!</v>
      </c>
      <c r="D378" s="5" t="str">
        <f>IF(C378="","OK","ADA MASALAH")</f>
        <v>#ERROR!</v>
      </c>
    </row>
    <row r="379">
      <c r="A379" s="3">
        <v>379.0</v>
      </c>
      <c r="B379" s="5" t="str">
        <f>'PC 02'!A379</f>
        <v/>
      </c>
      <c r="C379" s="5" t="str">
        <f>IF(COUNTA('PC 02'!A379:L379)=0,"",TEXTJOIN(" | ",TRUE,IF('PC 02'!A379="","Worker ID kosong",""),IF('PC 02'!B379="","Update Date kosong",IF(NOT(ISNUMBER('PC 02'!B379)),"Update Date harus tanggal","")),IF('PC 02'!D379="","Judul kosong",""),IF('PC 02'!F379="","Genre kosong",IF(ISERROR(MATCH(TRIM('PC 02'!F379),{"Pop","Rock","Dangdut","K-Pop","Electronic","Nasional","Daerah"},0)),"Genre di luar daftar","")),IF('PC 02'!G379="","Nama Channel kosong",""),IF('PC 02'!H379="","Link kosong",IF(ISERROR(FIND("youtu",LOWER('PC 02'!H379))),"Link bukan youtube","")),IF('PC 02'!I379="","Tgl Dibuat kosong",IF(NOT(ISNUMBER('PC 02'!I379)),"Tgl Dibuat harus tanggal","")),IF(AND('PC 02'!J379&lt;&gt;"",NOT(ISNUMBER('PC 02'!J379))),"Tgl Publish harus tanggal",""),IF(AND(ISNUMBER('PC 02'!I379),ISNUMBER('PC 02'!J379),'PC 02'!J379&lt;'PC 02'!I379),"Tgl Publish &lt; Tgl Dibuat",""),IF(AND('PC 02'!K379&lt;&gt;"",ISERROR(MATCH(TRIM('PC 02'!K379),{"Draft","Menunggu Review","Revisi","Terjadwal","Publish","Batal","Published"},0))),"Status di luar daftar","")))</f>
        <v>#ERROR!</v>
      </c>
      <c r="D379" s="5" t="str">
        <f>IF(C379="","OK","ADA MASALAH")</f>
        <v>#ERROR!</v>
      </c>
    </row>
    <row r="380">
      <c r="A380" s="3">
        <v>380.0</v>
      </c>
      <c r="B380" s="5" t="str">
        <f>'PC 02'!A380</f>
        <v/>
      </c>
      <c r="C380" s="5" t="str">
        <f>IF(COUNTA('PC 02'!A380:L380)=0,"",TEXTJOIN(" | ",TRUE,IF('PC 02'!A380="","Worker ID kosong",""),IF('PC 02'!B380="","Update Date kosong",IF(NOT(ISNUMBER('PC 02'!B380)),"Update Date harus tanggal","")),IF('PC 02'!D380="","Judul kosong",""),IF('PC 02'!F380="","Genre kosong",IF(ISERROR(MATCH(TRIM('PC 02'!F380),{"Pop","Rock","Dangdut","K-Pop","Electronic","Nasional","Daerah"},0)),"Genre di luar daftar","")),IF('PC 02'!G380="","Nama Channel kosong",""),IF('PC 02'!H380="","Link kosong",IF(ISERROR(FIND("youtu",LOWER('PC 02'!H380))),"Link bukan youtube","")),IF('PC 02'!I380="","Tgl Dibuat kosong",IF(NOT(ISNUMBER('PC 02'!I380)),"Tgl Dibuat harus tanggal","")),IF(AND('PC 02'!J380&lt;&gt;"",NOT(ISNUMBER('PC 02'!J380))),"Tgl Publish harus tanggal",""),IF(AND(ISNUMBER('PC 02'!I380),ISNUMBER('PC 02'!J380),'PC 02'!J380&lt;'PC 02'!I380),"Tgl Publish &lt; Tgl Dibuat",""),IF(AND('PC 02'!K380&lt;&gt;"",ISERROR(MATCH(TRIM('PC 02'!K380),{"Draft","Menunggu Review","Revisi","Terjadwal","Publish","Batal","Published"},0))),"Status di luar daftar","")))</f>
        <v>#ERROR!</v>
      </c>
      <c r="D380" s="5" t="str">
        <f>IF(C380="","OK","ADA MASALAH")</f>
        <v>#ERROR!</v>
      </c>
    </row>
    <row r="381">
      <c r="A381" s="3">
        <v>381.0</v>
      </c>
      <c r="B381" s="5" t="str">
        <f>'PC 02'!A381</f>
        <v/>
      </c>
      <c r="C381" s="5" t="str">
        <f>IF(COUNTA('PC 02'!A381:L381)=0,"",TEXTJOIN(" | ",TRUE,IF('PC 02'!A381="","Worker ID kosong",""),IF('PC 02'!B381="","Update Date kosong",IF(NOT(ISNUMBER('PC 02'!B381)),"Update Date harus tanggal","")),IF('PC 02'!D381="","Judul kosong",""),IF('PC 02'!F381="","Genre kosong",IF(ISERROR(MATCH(TRIM('PC 02'!F381),{"Pop","Rock","Dangdut","K-Pop","Electronic","Nasional","Daerah"},0)),"Genre di luar daftar","")),IF('PC 02'!G381="","Nama Channel kosong",""),IF('PC 02'!H381="","Link kosong",IF(ISERROR(FIND("youtu",LOWER('PC 02'!H381))),"Link bukan youtube","")),IF('PC 02'!I381="","Tgl Dibuat kosong",IF(NOT(ISNUMBER('PC 02'!I381)),"Tgl Dibuat harus tanggal","")),IF(AND('PC 02'!J381&lt;&gt;"",NOT(ISNUMBER('PC 02'!J381))),"Tgl Publish harus tanggal",""),IF(AND(ISNUMBER('PC 02'!I381),ISNUMBER('PC 02'!J381),'PC 02'!J381&lt;'PC 02'!I381),"Tgl Publish &lt; Tgl Dibuat",""),IF(AND('PC 02'!K381&lt;&gt;"",ISERROR(MATCH(TRIM('PC 02'!K381),{"Draft","Menunggu Review","Revisi","Terjadwal","Publish","Batal","Published"},0))),"Status di luar daftar","")))</f>
        <v>#ERROR!</v>
      </c>
      <c r="D381" s="5" t="str">
        <f>IF(C381="","OK","ADA MASALAH")</f>
        <v>#ERROR!</v>
      </c>
    </row>
    <row r="382">
      <c r="A382" s="3">
        <v>382.0</v>
      </c>
      <c r="B382" s="5" t="str">
        <f>'PC 02'!A382</f>
        <v/>
      </c>
      <c r="C382" s="5" t="str">
        <f>IF(COUNTA('PC 02'!A382:L382)=0,"",TEXTJOIN(" | ",TRUE,IF('PC 02'!A382="","Worker ID kosong",""),IF('PC 02'!B382="","Update Date kosong",IF(NOT(ISNUMBER('PC 02'!B382)),"Update Date harus tanggal","")),IF('PC 02'!D382="","Judul kosong",""),IF('PC 02'!F382="","Genre kosong",IF(ISERROR(MATCH(TRIM('PC 02'!F382),{"Pop","Rock","Dangdut","K-Pop","Electronic","Nasional","Daerah"},0)),"Genre di luar daftar","")),IF('PC 02'!G382="","Nama Channel kosong",""),IF('PC 02'!H382="","Link kosong",IF(ISERROR(FIND("youtu",LOWER('PC 02'!H382))),"Link bukan youtube","")),IF('PC 02'!I382="","Tgl Dibuat kosong",IF(NOT(ISNUMBER('PC 02'!I382)),"Tgl Dibuat harus tanggal","")),IF(AND('PC 02'!J382&lt;&gt;"",NOT(ISNUMBER('PC 02'!J382))),"Tgl Publish harus tanggal",""),IF(AND(ISNUMBER('PC 02'!I382),ISNUMBER('PC 02'!J382),'PC 02'!J382&lt;'PC 02'!I382),"Tgl Publish &lt; Tgl Dibuat",""),IF(AND('PC 02'!K382&lt;&gt;"",ISERROR(MATCH(TRIM('PC 02'!K382),{"Draft","Menunggu Review","Revisi","Terjadwal","Publish","Batal","Published"},0))),"Status di luar daftar","")))</f>
        <v>#ERROR!</v>
      </c>
      <c r="D382" s="5" t="str">
        <f>IF(C382="","OK","ADA MASALAH")</f>
        <v>#ERROR!</v>
      </c>
    </row>
    <row r="383">
      <c r="A383" s="3">
        <v>383.0</v>
      </c>
      <c r="B383" s="5" t="str">
        <f>'PC 02'!A383</f>
        <v/>
      </c>
      <c r="C383" s="5" t="str">
        <f>IF(COUNTA('PC 02'!A383:L383)=0,"",TEXTJOIN(" | ",TRUE,IF('PC 02'!A383="","Worker ID kosong",""),IF('PC 02'!B383="","Update Date kosong",IF(NOT(ISNUMBER('PC 02'!B383)),"Update Date harus tanggal","")),IF('PC 02'!D383="","Judul kosong",""),IF('PC 02'!F383="","Genre kosong",IF(ISERROR(MATCH(TRIM('PC 02'!F383),{"Pop","Rock","Dangdut","K-Pop","Electronic","Nasional","Daerah"},0)),"Genre di luar daftar","")),IF('PC 02'!G383="","Nama Channel kosong",""),IF('PC 02'!H383="","Link kosong",IF(ISERROR(FIND("youtu",LOWER('PC 02'!H383))),"Link bukan youtube","")),IF('PC 02'!I383="","Tgl Dibuat kosong",IF(NOT(ISNUMBER('PC 02'!I383)),"Tgl Dibuat harus tanggal","")),IF(AND('PC 02'!J383&lt;&gt;"",NOT(ISNUMBER('PC 02'!J383))),"Tgl Publish harus tanggal",""),IF(AND(ISNUMBER('PC 02'!I383),ISNUMBER('PC 02'!J383),'PC 02'!J383&lt;'PC 02'!I383),"Tgl Publish &lt; Tgl Dibuat",""),IF(AND('PC 02'!K383&lt;&gt;"",ISERROR(MATCH(TRIM('PC 02'!K383),{"Draft","Menunggu Review","Revisi","Terjadwal","Publish","Batal","Published"},0))),"Status di luar daftar","")))</f>
        <v>#ERROR!</v>
      </c>
      <c r="D383" s="5" t="str">
        <f>IF(C383="","OK","ADA MASALAH")</f>
        <v>#ERROR!</v>
      </c>
    </row>
    <row r="384">
      <c r="A384" s="3">
        <v>384.0</v>
      </c>
      <c r="B384" s="5" t="str">
        <f>'PC 02'!A384</f>
        <v/>
      </c>
      <c r="C384" s="5" t="str">
        <f>IF(COUNTA('PC 02'!A384:L384)=0,"",TEXTJOIN(" | ",TRUE,IF('PC 02'!A384="","Worker ID kosong",""),IF('PC 02'!B384="","Update Date kosong",IF(NOT(ISNUMBER('PC 02'!B384)),"Update Date harus tanggal","")),IF('PC 02'!D384="","Judul kosong",""),IF('PC 02'!F384="","Genre kosong",IF(ISERROR(MATCH(TRIM('PC 02'!F384),{"Pop","Rock","Dangdut","K-Pop","Electronic","Nasional","Daerah"},0)),"Genre di luar daftar","")),IF('PC 02'!G384="","Nama Channel kosong",""),IF('PC 02'!H384="","Link kosong",IF(ISERROR(FIND("youtu",LOWER('PC 02'!H384))),"Link bukan youtube","")),IF('PC 02'!I384="","Tgl Dibuat kosong",IF(NOT(ISNUMBER('PC 02'!I384)),"Tgl Dibuat harus tanggal","")),IF(AND('PC 02'!J384&lt;&gt;"",NOT(ISNUMBER('PC 02'!J384))),"Tgl Publish harus tanggal",""),IF(AND(ISNUMBER('PC 02'!I384),ISNUMBER('PC 02'!J384),'PC 02'!J384&lt;'PC 02'!I384),"Tgl Publish &lt; Tgl Dibuat",""),IF(AND('PC 02'!K384&lt;&gt;"",ISERROR(MATCH(TRIM('PC 02'!K384),{"Draft","Menunggu Review","Revisi","Terjadwal","Publish","Batal","Published"},0))),"Status di luar daftar","")))</f>
        <v>#ERROR!</v>
      </c>
      <c r="D384" s="5" t="str">
        <f>IF(C384="","OK","ADA MASALAH")</f>
        <v>#ERROR!</v>
      </c>
    </row>
    <row r="385">
      <c r="A385" s="3">
        <v>385.0</v>
      </c>
      <c r="B385" s="5" t="str">
        <f>'PC 02'!A385</f>
        <v/>
      </c>
      <c r="C385" s="5" t="str">
        <f>IF(COUNTA('PC 02'!A385:L385)=0,"",TEXTJOIN(" | ",TRUE,IF('PC 02'!A385="","Worker ID kosong",""),IF('PC 02'!B385="","Update Date kosong",IF(NOT(ISNUMBER('PC 02'!B385)),"Update Date harus tanggal","")),IF('PC 02'!D385="","Judul kosong",""),IF('PC 02'!F385="","Genre kosong",IF(ISERROR(MATCH(TRIM('PC 02'!F385),{"Pop","Rock","Dangdut","K-Pop","Electronic","Nasional","Daerah"},0)),"Genre di luar daftar","")),IF('PC 02'!G385="","Nama Channel kosong",""),IF('PC 02'!H385="","Link kosong",IF(ISERROR(FIND("youtu",LOWER('PC 02'!H385))),"Link bukan youtube","")),IF('PC 02'!I385="","Tgl Dibuat kosong",IF(NOT(ISNUMBER('PC 02'!I385)),"Tgl Dibuat harus tanggal","")),IF(AND('PC 02'!J385&lt;&gt;"",NOT(ISNUMBER('PC 02'!J385))),"Tgl Publish harus tanggal",""),IF(AND(ISNUMBER('PC 02'!I385),ISNUMBER('PC 02'!J385),'PC 02'!J385&lt;'PC 02'!I385),"Tgl Publish &lt; Tgl Dibuat",""),IF(AND('PC 02'!K385&lt;&gt;"",ISERROR(MATCH(TRIM('PC 02'!K385),{"Draft","Menunggu Review","Revisi","Terjadwal","Publish","Batal","Published"},0))),"Status di luar daftar","")))</f>
        <v>#ERROR!</v>
      </c>
      <c r="D385" s="5" t="str">
        <f>IF(C385="","OK","ADA MASALAH")</f>
        <v>#ERROR!</v>
      </c>
    </row>
    <row r="386">
      <c r="A386" s="3">
        <v>386.0</v>
      </c>
      <c r="B386" s="5" t="str">
        <f>'PC 02'!A386</f>
        <v/>
      </c>
      <c r="C386" s="5" t="str">
        <f>IF(COUNTA('PC 02'!A386:L386)=0,"",TEXTJOIN(" | ",TRUE,IF('PC 02'!A386="","Worker ID kosong",""),IF('PC 02'!B386="","Update Date kosong",IF(NOT(ISNUMBER('PC 02'!B386)),"Update Date harus tanggal","")),IF('PC 02'!D386="","Judul kosong",""),IF('PC 02'!F386="","Genre kosong",IF(ISERROR(MATCH(TRIM('PC 02'!F386),{"Pop","Rock","Dangdut","K-Pop","Electronic","Nasional","Daerah"},0)),"Genre di luar daftar","")),IF('PC 02'!G386="","Nama Channel kosong",""),IF('PC 02'!H386="","Link kosong",IF(ISERROR(FIND("youtu",LOWER('PC 02'!H386))),"Link bukan youtube","")),IF('PC 02'!I386="","Tgl Dibuat kosong",IF(NOT(ISNUMBER('PC 02'!I386)),"Tgl Dibuat harus tanggal","")),IF(AND('PC 02'!J386&lt;&gt;"",NOT(ISNUMBER('PC 02'!J386))),"Tgl Publish harus tanggal",""),IF(AND(ISNUMBER('PC 02'!I386),ISNUMBER('PC 02'!J386),'PC 02'!J386&lt;'PC 02'!I386),"Tgl Publish &lt; Tgl Dibuat",""),IF(AND('PC 02'!K386&lt;&gt;"",ISERROR(MATCH(TRIM('PC 02'!K386),{"Draft","Menunggu Review","Revisi","Terjadwal","Publish","Batal","Published"},0))),"Status di luar daftar","")))</f>
        <v>#ERROR!</v>
      </c>
      <c r="D386" s="5" t="str">
        <f>IF(C386="","OK","ADA MASALAH")</f>
        <v>#ERROR!</v>
      </c>
    </row>
    <row r="387">
      <c r="A387" s="3">
        <v>387.0</v>
      </c>
      <c r="B387" s="5" t="str">
        <f>'PC 02'!A387</f>
        <v/>
      </c>
      <c r="C387" s="5" t="str">
        <f>IF(COUNTA('PC 02'!A387:L387)=0,"",TEXTJOIN(" | ",TRUE,IF('PC 02'!A387="","Worker ID kosong",""),IF('PC 02'!B387="","Update Date kosong",IF(NOT(ISNUMBER('PC 02'!B387)),"Update Date harus tanggal","")),IF('PC 02'!D387="","Judul kosong",""),IF('PC 02'!F387="","Genre kosong",IF(ISERROR(MATCH(TRIM('PC 02'!F387),{"Pop","Rock","Dangdut","K-Pop","Electronic","Nasional","Daerah"},0)),"Genre di luar daftar","")),IF('PC 02'!G387="","Nama Channel kosong",""),IF('PC 02'!H387="","Link kosong",IF(ISERROR(FIND("youtu",LOWER('PC 02'!H387))),"Link bukan youtube","")),IF('PC 02'!I387="","Tgl Dibuat kosong",IF(NOT(ISNUMBER('PC 02'!I387)),"Tgl Dibuat harus tanggal","")),IF(AND('PC 02'!J387&lt;&gt;"",NOT(ISNUMBER('PC 02'!J387))),"Tgl Publish harus tanggal",""),IF(AND(ISNUMBER('PC 02'!I387),ISNUMBER('PC 02'!J387),'PC 02'!J387&lt;'PC 02'!I387),"Tgl Publish &lt; Tgl Dibuat",""),IF(AND('PC 02'!K387&lt;&gt;"",ISERROR(MATCH(TRIM('PC 02'!K387),{"Draft","Menunggu Review","Revisi","Terjadwal","Publish","Batal","Published"},0))),"Status di luar daftar","")))</f>
        <v>#ERROR!</v>
      </c>
      <c r="D387" s="5" t="str">
        <f>IF(C387="","OK","ADA MASALAH")</f>
        <v>#ERROR!</v>
      </c>
    </row>
    <row r="388">
      <c r="A388" s="3">
        <v>388.0</v>
      </c>
      <c r="B388" s="5" t="str">
        <f>'PC 02'!A388</f>
        <v/>
      </c>
      <c r="C388" s="5" t="str">
        <f>IF(COUNTA('PC 02'!A388:L388)=0,"",TEXTJOIN(" | ",TRUE,IF('PC 02'!A388="","Worker ID kosong",""),IF('PC 02'!B388="","Update Date kosong",IF(NOT(ISNUMBER('PC 02'!B388)),"Update Date harus tanggal","")),IF('PC 02'!D388="","Judul kosong",""),IF('PC 02'!F388="","Genre kosong",IF(ISERROR(MATCH(TRIM('PC 02'!F388),{"Pop","Rock","Dangdut","K-Pop","Electronic","Nasional","Daerah"},0)),"Genre di luar daftar","")),IF('PC 02'!G388="","Nama Channel kosong",""),IF('PC 02'!H388="","Link kosong",IF(ISERROR(FIND("youtu",LOWER('PC 02'!H388))),"Link bukan youtube","")),IF('PC 02'!I388="","Tgl Dibuat kosong",IF(NOT(ISNUMBER('PC 02'!I388)),"Tgl Dibuat harus tanggal","")),IF(AND('PC 02'!J388&lt;&gt;"",NOT(ISNUMBER('PC 02'!J388))),"Tgl Publish harus tanggal",""),IF(AND(ISNUMBER('PC 02'!I388),ISNUMBER('PC 02'!J388),'PC 02'!J388&lt;'PC 02'!I388),"Tgl Publish &lt; Tgl Dibuat",""),IF(AND('PC 02'!K388&lt;&gt;"",ISERROR(MATCH(TRIM('PC 02'!K388),{"Draft","Menunggu Review","Revisi","Terjadwal","Publish","Batal","Published"},0))),"Status di luar daftar","")))</f>
        <v>#ERROR!</v>
      </c>
      <c r="D388" s="5" t="str">
        <f>IF(C388="","OK","ADA MASALAH")</f>
        <v>#ERROR!</v>
      </c>
    </row>
    <row r="389">
      <c r="A389" s="3">
        <v>389.0</v>
      </c>
      <c r="B389" s="5" t="str">
        <f>'PC 02'!A389</f>
        <v/>
      </c>
      <c r="C389" s="5" t="str">
        <f>IF(COUNTA('PC 02'!A389:L389)=0,"",TEXTJOIN(" | ",TRUE,IF('PC 02'!A389="","Worker ID kosong",""),IF('PC 02'!B389="","Update Date kosong",IF(NOT(ISNUMBER('PC 02'!B389)),"Update Date harus tanggal","")),IF('PC 02'!D389="","Judul kosong",""),IF('PC 02'!F389="","Genre kosong",IF(ISERROR(MATCH(TRIM('PC 02'!F389),{"Pop","Rock","Dangdut","K-Pop","Electronic","Nasional","Daerah"},0)),"Genre di luar daftar","")),IF('PC 02'!G389="","Nama Channel kosong",""),IF('PC 02'!H389="","Link kosong",IF(ISERROR(FIND("youtu",LOWER('PC 02'!H389))),"Link bukan youtube","")),IF('PC 02'!I389="","Tgl Dibuat kosong",IF(NOT(ISNUMBER('PC 02'!I389)),"Tgl Dibuat harus tanggal","")),IF(AND('PC 02'!J389&lt;&gt;"",NOT(ISNUMBER('PC 02'!J389))),"Tgl Publish harus tanggal",""),IF(AND(ISNUMBER('PC 02'!I389),ISNUMBER('PC 02'!J389),'PC 02'!J389&lt;'PC 02'!I389),"Tgl Publish &lt; Tgl Dibuat",""),IF(AND('PC 02'!K389&lt;&gt;"",ISERROR(MATCH(TRIM('PC 02'!K389),{"Draft","Menunggu Review","Revisi","Terjadwal","Publish","Batal","Published"},0))),"Status di luar daftar","")))</f>
        <v>#ERROR!</v>
      </c>
      <c r="D389" s="5" t="str">
        <f>IF(C389="","OK","ADA MASALAH")</f>
        <v>#ERROR!</v>
      </c>
    </row>
    <row r="390">
      <c r="A390" s="3">
        <v>390.0</v>
      </c>
      <c r="B390" s="5" t="str">
        <f>'PC 02'!A390</f>
        <v/>
      </c>
      <c r="C390" s="5" t="str">
        <f>IF(COUNTA('PC 02'!A390:L390)=0,"",TEXTJOIN(" | ",TRUE,IF('PC 02'!A390="","Worker ID kosong",""),IF('PC 02'!B390="","Update Date kosong",IF(NOT(ISNUMBER('PC 02'!B390)),"Update Date harus tanggal","")),IF('PC 02'!D390="","Judul kosong",""),IF('PC 02'!F390="","Genre kosong",IF(ISERROR(MATCH(TRIM('PC 02'!F390),{"Pop","Rock","Dangdut","K-Pop","Electronic","Nasional","Daerah"},0)),"Genre di luar daftar","")),IF('PC 02'!G390="","Nama Channel kosong",""),IF('PC 02'!H390="","Link kosong",IF(ISERROR(FIND("youtu",LOWER('PC 02'!H390))),"Link bukan youtube","")),IF('PC 02'!I390="","Tgl Dibuat kosong",IF(NOT(ISNUMBER('PC 02'!I390)),"Tgl Dibuat harus tanggal","")),IF(AND('PC 02'!J390&lt;&gt;"",NOT(ISNUMBER('PC 02'!J390))),"Tgl Publish harus tanggal",""),IF(AND(ISNUMBER('PC 02'!I390),ISNUMBER('PC 02'!J390),'PC 02'!J390&lt;'PC 02'!I390),"Tgl Publish &lt; Tgl Dibuat",""),IF(AND('PC 02'!K390&lt;&gt;"",ISERROR(MATCH(TRIM('PC 02'!K390),{"Draft","Menunggu Review","Revisi","Terjadwal","Publish","Batal","Published"},0))),"Status di luar daftar","")))</f>
        <v>#ERROR!</v>
      </c>
      <c r="D390" s="5" t="str">
        <f>IF(C390="","OK","ADA MASALAH")</f>
        <v>#ERROR!</v>
      </c>
    </row>
    <row r="391">
      <c r="A391" s="3">
        <v>391.0</v>
      </c>
      <c r="B391" s="5" t="str">
        <f>'PC 02'!A391</f>
        <v/>
      </c>
      <c r="C391" s="5" t="str">
        <f>IF(COUNTA('PC 02'!A391:L391)=0,"",TEXTJOIN(" | ",TRUE,IF('PC 02'!A391="","Worker ID kosong",""),IF('PC 02'!B391="","Update Date kosong",IF(NOT(ISNUMBER('PC 02'!B391)),"Update Date harus tanggal","")),IF('PC 02'!D391="","Judul kosong",""),IF('PC 02'!F391="","Genre kosong",IF(ISERROR(MATCH(TRIM('PC 02'!F391),{"Pop","Rock","Dangdut","K-Pop","Electronic","Nasional","Daerah"},0)),"Genre di luar daftar","")),IF('PC 02'!G391="","Nama Channel kosong",""),IF('PC 02'!H391="","Link kosong",IF(ISERROR(FIND("youtu",LOWER('PC 02'!H391))),"Link bukan youtube","")),IF('PC 02'!I391="","Tgl Dibuat kosong",IF(NOT(ISNUMBER('PC 02'!I391)),"Tgl Dibuat harus tanggal","")),IF(AND('PC 02'!J391&lt;&gt;"",NOT(ISNUMBER('PC 02'!J391))),"Tgl Publish harus tanggal",""),IF(AND(ISNUMBER('PC 02'!I391),ISNUMBER('PC 02'!J391),'PC 02'!J391&lt;'PC 02'!I391),"Tgl Publish &lt; Tgl Dibuat",""),IF(AND('PC 02'!K391&lt;&gt;"",ISERROR(MATCH(TRIM('PC 02'!K391),{"Draft","Menunggu Review","Revisi","Terjadwal","Publish","Batal","Published"},0))),"Status di luar daftar","")))</f>
        <v>#ERROR!</v>
      </c>
      <c r="D391" s="5" t="str">
        <f>IF(C391="","OK","ADA MASALAH")</f>
        <v>#ERROR!</v>
      </c>
    </row>
    <row r="392">
      <c r="A392" s="3">
        <v>392.0</v>
      </c>
      <c r="B392" s="5" t="str">
        <f>'PC 02'!A392</f>
        <v/>
      </c>
      <c r="C392" s="5" t="str">
        <f>IF(COUNTA('PC 02'!A392:L392)=0,"",TEXTJOIN(" | ",TRUE,IF('PC 02'!A392="","Worker ID kosong",""),IF('PC 02'!B392="","Update Date kosong",IF(NOT(ISNUMBER('PC 02'!B392)),"Update Date harus tanggal","")),IF('PC 02'!D392="","Judul kosong",""),IF('PC 02'!F392="","Genre kosong",IF(ISERROR(MATCH(TRIM('PC 02'!F392),{"Pop","Rock","Dangdut","K-Pop","Electronic","Nasional","Daerah"},0)),"Genre di luar daftar","")),IF('PC 02'!G392="","Nama Channel kosong",""),IF('PC 02'!H392="","Link kosong",IF(ISERROR(FIND("youtu",LOWER('PC 02'!H392))),"Link bukan youtube","")),IF('PC 02'!I392="","Tgl Dibuat kosong",IF(NOT(ISNUMBER('PC 02'!I392)),"Tgl Dibuat harus tanggal","")),IF(AND('PC 02'!J392&lt;&gt;"",NOT(ISNUMBER('PC 02'!J392))),"Tgl Publish harus tanggal",""),IF(AND(ISNUMBER('PC 02'!I392),ISNUMBER('PC 02'!J392),'PC 02'!J392&lt;'PC 02'!I392),"Tgl Publish &lt; Tgl Dibuat",""),IF(AND('PC 02'!K392&lt;&gt;"",ISERROR(MATCH(TRIM('PC 02'!K392),{"Draft","Menunggu Review","Revisi","Terjadwal","Publish","Batal","Published"},0))),"Status di luar daftar","")))</f>
        <v>#ERROR!</v>
      </c>
      <c r="D392" s="5" t="str">
        <f>IF(C392="","OK","ADA MASALAH")</f>
        <v>#ERROR!</v>
      </c>
    </row>
    <row r="393">
      <c r="A393" s="3">
        <v>393.0</v>
      </c>
      <c r="B393" s="5" t="str">
        <f>'PC 02'!A393</f>
        <v/>
      </c>
      <c r="C393" s="5" t="str">
        <f>IF(COUNTA('PC 02'!A393:L393)=0,"",TEXTJOIN(" | ",TRUE,IF('PC 02'!A393="","Worker ID kosong",""),IF('PC 02'!B393="","Update Date kosong",IF(NOT(ISNUMBER('PC 02'!B393)),"Update Date harus tanggal","")),IF('PC 02'!D393="","Judul kosong",""),IF('PC 02'!F393="","Genre kosong",IF(ISERROR(MATCH(TRIM('PC 02'!F393),{"Pop","Rock","Dangdut","K-Pop","Electronic","Nasional","Daerah"},0)),"Genre di luar daftar","")),IF('PC 02'!G393="","Nama Channel kosong",""),IF('PC 02'!H393="","Link kosong",IF(ISERROR(FIND("youtu",LOWER('PC 02'!H393))),"Link bukan youtube","")),IF('PC 02'!I393="","Tgl Dibuat kosong",IF(NOT(ISNUMBER('PC 02'!I393)),"Tgl Dibuat harus tanggal","")),IF(AND('PC 02'!J393&lt;&gt;"",NOT(ISNUMBER('PC 02'!J393))),"Tgl Publish harus tanggal",""),IF(AND(ISNUMBER('PC 02'!I393),ISNUMBER('PC 02'!J393),'PC 02'!J393&lt;'PC 02'!I393),"Tgl Publish &lt; Tgl Dibuat",""),IF(AND('PC 02'!K393&lt;&gt;"",ISERROR(MATCH(TRIM('PC 02'!K393),{"Draft","Menunggu Review","Revisi","Terjadwal","Publish","Batal","Published"},0))),"Status di luar daftar","")))</f>
        <v>#ERROR!</v>
      </c>
      <c r="D393" s="5" t="str">
        <f>IF(C393="","OK","ADA MASALAH")</f>
        <v>#ERROR!</v>
      </c>
    </row>
    <row r="394">
      <c r="A394" s="3">
        <v>394.0</v>
      </c>
      <c r="B394" s="5" t="str">
        <f>'PC 02'!A394</f>
        <v/>
      </c>
      <c r="C394" s="5" t="str">
        <f>IF(COUNTA('PC 02'!A394:L394)=0,"",TEXTJOIN(" | ",TRUE,IF('PC 02'!A394="","Worker ID kosong",""),IF('PC 02'!B394="","Update Date kosong",IF(NOT(ISNUMBER('PC 02'!B394)),"Update Date harus tanggal","")),IF('PC 02'!D394="","Judul kosong",""),IF('PC 02'!F394="","Genre kosong",IF(ISERROR(MATCH(TRIM('PC 02'!F394),{"Pop","Rock","Dangdut","K-Pop","Electronic","Nasional","Daerah"},0)),"Genre di luar daftar","")),IF('PC 02'!G394="","Nama Channel kosong",""),IF('PC 02'!H394="","Link kosong",IF(ISERROR(FIND("youtu",LOWER('PC 02'!H394))),"Link bukan youtube","")),IF('PC 02'!I394="","Tgl Dibuat kosong",IF(NOT(ISNUMBER('PC 02'!I394)),"Tgl Dibuat harus tanggal","")),IF(AND('PC 02'!J394&lt;&gt;"",NOT(ISNUMBER('PC 02'!J394))),"Tgl Publish harus tanggal",""),IF(AND(ISNUMBER('PC 02'!I394),ISNUMBER('PC 02'!J394),'PC 02'!J394&lt;'PC 02'!I394),"Tgl Publish &lt; Tgl Dibuat",""),IF(AND('PC 02'!K394&lt;&gt;"",ISERROR(MATCH(TRIM('PC 02'!K394),{"Draft","Menunggu Review","Revisi","Terjadwal","Publish","Batal","Published"},0))),"Status di luar daftar","")))</f>
        <v>#ERROR!</v>
      </c>
      <c r="D394" s="5" t="str">
        <f>IF(C394="","OK","ADA MASALAH")</f>
        <v>#ERROR!</v>
      </c>
    </row>
    <row r="395">
      <c r="A395" s="3">
        <v>395.0</v>
      </c>
      <c r="B395" s="5" t="str">
        <f>'PC 02'!A395</f>
        <v/>
      </c>
      <c r="C395" s="5" t="str">
        <f>IF(COUNTA('PC 02'!A395:L395)=0,"",TEXTJOIN(" | ",TRUE,IF('PC 02'!A395="","Worker ID kosong",""),IF('PC 02'!B395="","Update Date kosong",IF(NOT(ISNUMBER('PC 02'!B395)),"Update Date harus tanggal","")),IF('PC 02'!D395="","Judul kosong",""),IF('PC 02'!F395="","Genre kosong",IF(ISERROR(MATCH(TRIM('PC 02'!F395),{"Pop","Rock","Dangdut","K-Pop","Electronic","Nasional","Daerah"},0)),"Genre di luar daftar","")),IF('PC 02'!G395="","Nama Channel kosong",""),IF('PC 02'!H395="","Link kosong",IF(ISERROR(FIND("youtu",LOWER('PC 02'!H395))),"Link bukan youtube","")),IF('PC 02'!I395="","Tgl Dibuat kosong",IF(NOT(ISNUMBER('PC 02'!I395)),"Tgl Dibuat harus tanggal","")),IF(AND('PC 02'!J395&lt;&gt;"",NOT(ISNUMBER('PC 02'!J395))),"Tgl Publish harus tanggal",""),IF(AND(ISNUMBER('PC 02'!I395),ISNUMBER('PC 02'!J395),'PC 02'!J395&lt;'PC 02'!I395),"Tgl Publish &lt; Tgl Dibuat",""),IF(AND('PC 02'!K395&lt;&gt;"",ISERROR(MATCH(TRIM('PC 02'!K395),{"Draft","Menunggu Review","Revisi","Terjadwal","Publish","Batal","Published"},0))),"Status di luar daftar","")))</f>
        <v>#ERROR!</v>
      </c>
      <c r="D395" s="5" t="str">
        <f>IF(C395="","OK","ADA MASALAH")</f>
        <v>#ERROR!</v>
      </c>
    </row>
    <row r="396">
      <c r="A396" s="3">
        <v>396.0</v>
      </c>
      <c r="B396" s="5" t="str">
        <f>'PC 02'!A396</f>
        <v/>
      </c>
      <c r="C396" s="5" t="str">
        <f>IF(COUNTA('PC 02'!A396:L396)=0,"",TEXTJOIN(" | ",TRUE,IF('PC 02'!A396="","Worker ID kosong",""),IF('PC 02'!B396="","Update Date kosong",IF(NOT(ISNUMBER('PC 02'!B396)),"Update Date harus tanggal","")),IF('PC 02'!D396="","Judul kosong",""),IF('PC 02'!F396="","Genre kosong",IF(ISERROR(MATCH(TRIM('PC 02'!F396),{"Pop","Rock","Dangdut","K-Pop","Electronic","Nasional","Daerah"},0)),"Genre di luar daftar","")),IF('PC 02'!G396="","Nama Channel kosong",""),IF('PC 02'!H396="","Link kosong",IF(ISERROR(FIND("youtu",LOWER('PC 02'!H396))),"Link bukan youtube","")),IF('PC 02'!I396="","Tgl Dibuat kosong",IF(NOT(ISNUMBER('PC 02'!I396)),"Tgl Dibuat harus tanggal","")),IF(AND('PC 02'!J396&lt;&gt;"",NOT(ISNUMBER('PC 02'!J396))),"Tgl Publish harus tanggal",""),IF(AND(ISNUMBER('PC 02'!I396),ISNUMBER('PC 02'!J396),'PC 02'!J396&lt;'PC 02'!I396),"Tgl Publish &lt; Tgl Dibuat",""),IF(AND('PC 02'!K396&lt;&gt;"",ISERROR(MATCH(TRIM('PC 02'!K396),{"Draft","Menunggu Review","Revisi","Terjadwal","Publish","Batal","Published"},0))),"Status di luar daftar","")))</f>
        <v>#ERROR!</v>
      </c>
      <c r="D396" s="5" t="str">
        <f>IF(C396="","OK","ADA MASALAH")</f>
        <v>#ERROR!</v>
      </c>
    </row>
    <row r="397">
      <c r="A397" s="3">
        <v>397.0</v>
      </c>
      <c r="B397" s="5" t="str">
        <f>'PC 02'!A397</f>
        <v/>
      </c>
      <c r="C397" s="5" t="str">
        <f>IF(COUNTA('PC 02'!A397:L397)=0,"",TEXTJOIN(" | ",TRUE,IF('PC 02'!A397="","Worker ID kosong",""),IF('PC 02'!B397="","Update Date kosong",IF(NOT(ISNUMBER('PC 02'!B397)),"Update Date harus tanggal","")),IF('PC 02'!D397="","Judul kosong",""),IF('PC 02'!F397="","Genre kosong",IF(ISERROR(MATCH(TRIM('PC 02'!F397),{"Pop","Rock","Dangdut","K-Pop","Electronic","Nasional","Daerah"},0)),"Genre di luar daftar","")),IF('PC 02'!G397="","Nama Channel kosong",""),IF('PC 02'!H397="","Link kosong",IF(ISERROR(FIND("youtu",LOWER('PC 02'!H397))),"Link bukan youtube","")),IF('PC 02'!I397="","Tgl Dibuat kosong",IF(NOT(ISNUMBER('PC 02'!I397)),"Tgl Dibuat harus tanggal","")),IF(AND('PC 02'!J397&lt;&gt;"",NOT(ISNUMBER('PC 02'!J397))),"Tgl Publish harus tanggal",""),IF(AND(ISNUMBER('PC 02'!I397),ISNUMBER('PC 02'!J397),'PC 02'!J397&lt;'PC 02'!I397),"Tgl Publish &lt; Tgl Dibuat",""),IF(AND('PC 02'!K397&lt;&gt;"",ISERROR(MATCH(TRIM('PC 02'!K397),{"Draft","Menunggu Review","Revisi","Terjadwal","Publish","Batal","Published"},0))),"Status di luar daftar","")))</f>
        <v>#ERROR!</v>
      </c>
      <c r="D397" s="5" t="str">
        <f>IF(C397="","OK","ADA MASALAH")</f>
        <v>#ERROR!</v>
      </c>
    </row>
    <row r="398">
      <c r="A398" s="3">
        <v>398.0</v>
      </c>
      <c r="B398" s="5" t="str">
        <f>'PC 02'!A398</f>
        <v/>
      </c>
      <c r="C398" s="5" t="str">
        <f>IF(COUNTA('PC 02'!A398:L398)=0,"",TEXTJOIN(" | ",TRUE,IF('PC 02'!A398="","Worker ID kosong",""),IF('PC 02'!B398="","Update Date kosong",IF(NOT(ISNUMBER('PC 02'!B398)),"Update Date harus tanggal","")),IF('PC 02'!D398="","Judul kosong",""),IF('PC 02'!F398="","Genre kosong",IF(ISERROR(MATCH(TRIM('PC 02'!F398),{"Pop","Rock","Dangdut","K-Pop","Electronic","Nasional","Daerah"},0)),"Genre di luar daftar","")),IF('PC 02'!G398="","Nama Channel kosong",""),IF('PC 02'!H398="","Link kosong",IF(ISERROR(FIND("youtu",LOWER('PC 02'!H398))),"Link bukan youtube","")),IF('PC 02'!I398="","Tgl Dibuat kosong",IF(NOT(ISNUMBER('PC 02'!I398)),"Tgl Dibuat harus tanggal","")),IF(AND('PC 02'!J398&lt;&gt;"",NOT(ISNUMBER('PC 02'!J398))),"Tgl Publish harus tanggal",""),IF(AND(ISNUMBER('PC 02'!I398),ISNUMBER('PC 02'!J398),'PC 02'!J398&lt;'PC 02'!I398),"Tgl Publish &lt; Tgl Dibuat",""),IF(AND('PC 02'!K398&lt;&gt;"",ISERROR(MATCH(TRIM('PC 02'!K398),{"Draft","Menunggu Review","Revisi","Terjadwal","Publish","Batal","Published"},0))),"Status di luar daftar","")))</f>
        <v>#ERROR!</v>
      </c>
      <c r="D398" s="5" t="str">
        <f>IF(C398="","OK","ADA MASALAH")</f>
        <v>#ERROR!</v>
      </c>
    </row>
    <row r="399">
      <c r="A399" s="3">
        <v>399.0</v>
      </c>
      <c r="B399" s="5" t="str">
        <f>'PC 02'!A399</f>
        <v/>
      </c>
      <c r="C399" s="5" t="str">
        <f>IF(COUNTA('PC 02'!A399:L399)=0,"",TEXTJOIN(" | ",TRUE,IF('PC 02'!A399="","Worker ID kosong",""),IF('PC 02'!B399="","Update Date kosong",IF(NOT(ISNUMBER('PC 02'!B399)),"Update Date harus tanggal","")),IF('PC 02'!D399="","Judul kosong",""),IF('PC 02'!F399="","Genre kosong",IF(ISERROR(MATCH(TRIM('PC 02'!F399),{"Pop","Rock","Dangdut","K-Pop","Electronic","Nasional","Daerah"},0)),"Genre di luar daftar","")),IF('PC 02'!G399="","Nama Channel kosong",""),IF('PC 02'!H399="","Link kosong",IF(ISERROR(FIND("youtu",LOWER('PC 02'!H399))),"Link bukan youtube","")),IF('PC 02'!I399="","Tgl Dibuat kosong",IF(NOT(ISNUMBER('PC 02'!I399)),"Tgl Dibuat harus tanggal","")),IF(AND('PC 02'!J399&lt;&gt;"",NOT(ISNUMBER('PC 02'!J399))),"Tgl Publish harus tanggal",""),IF(AND(ISNUMBER('PC 02'!I399),ISNUMBER('PC 02'!J399),'PC 02'!J399&lt;'PC 02'!I399),"Tgl Publish &lt; Tgl Dibuat",""),IF(AND('PC 02'!K399&lt;&gt;"",ISERROR(MATCH(TRIM('PC 02'!K399),{"Draft","Menunggu Review","Revisi","Terjadwal","Publish","Batal","Published"},0))),"Status di luar daftar","")))</f>
        <v>#ERROR!</v>
      </c>
      <c r="D399" s="5" t="str">
        <f>IF(C399="","OK","ADA MASALAH")</f>
        <v>#ERROR!</v>
      </c>
    </row>
    <row r="400">
      <c r="A400" s="3">
        <v>400.0</v>
      </c>
      <c r="B400" s="5" t="str">
        <f>'PC 02'!A400</f>
        <v/>
      </c>
      <c r="C400" s="5" t="str">
        <f>IF(COUNTA('PC 02'!A400:L400)=0,"",TEXTJOIN(" | ",TRUE,IF('PC 02'!A400="","Worker ID kosong",""),IF('PC 02'!B400="","Update Date kosong",IF(NOT(ISNUMBER('PC 02'!B400)),"Update Date harus tanggal","")),IF('PC 02'!D400="","Judul kosong",""),IF('PC 02'!F400="","Genre kosong",IF(ISERROR(MATCH(TRIM('PC 02'!F400),{"Pop","Rock","Dangdut","K-Pop","Electronic","Nasional","Daerah"},0)),"Genre di luar daftar","")),IF('PC 02'!G400="","Nama Channel kosong",""),IF('PC 02'!H400="","Link kosong",IF(ISERROR(FIND("youtu",LOWER('PC 02'!H400))),"Link bukan youtube","")),IF('PC 02'!I400="","Tgl Dibuat kosong",IF(NOT(ISNUMBER('PC 02'!I400)),"Tgl Dibuat harus tanggal","")),IF(AND('PC 02'!J400&lt;&gt;"",NOT(ISNUMBER('PC 02'!J400))),"Tgl Publish harus tanggal",""),IF(AND(ISNUMBER('PC 02'!I400),ISNUMBER('PC 02'!J400),'PC 02'!J400&lt;'PC 02'!I400),"Tgl Publish &lt; Tgl Dibuat",""),IF(AND('PC 02'!K400&lt;&gt;"",ISERROR(MATCH(TRIM('PC 02'!K400),{"Draft","Menunggu Review","Revisi","Terjadwal","Publish","Batal","Published"},0))),"Status di luar daftar","")))</f>
        <v>#ERROR!</v>
      </c>
      <c r="D400" s="5" t="str">
        <f>IF(C400="","OK","ADA MASALAH")</f>
        <v>#ERROR!</v>
      </c>
    </row>
    <row r="401">
      <c r="A401" s="3">
        <v>401.0</v>
      </c>
      <c r="B401" s="5" t="str">
        <f>'PC 02'!A401</f>
        <v/>
      </c>
      <c r="C401" s="5" t="str">
        <f>IF(COUNTA('PC 02'!A401:L401)=0,"",TEXTJOIN(" | ",TRUE,IF('PC 02'!A401="","Worker ID kosong",""),IF('PC 02'!B401="","Update Date kosong",IF(NOT(ISNUMBER('PC 02'!B401)),"Update Date harus tanggal","")),IF('PC 02'!D401="","Judul kosong",""),IF('PC 02'!F401="","Genre kosong",IF(ISERROR(MATCH(TRIM('PC 02'!F401),{"Pop","Rock","Dangdut","K-Pop","Electronic","Nasional","Daerah"},0)),"Genre di luar daftar","")),IF('PC 02'!G401="","Nama Channel kosong",""),IF('PC 02'!H401="","Link kosong",IF(ISERROR(FIND("youtu",LOWER('PC 02'!H401))),"Link bukan youtube","")),IF('PC 02'!I401="","Tgl Dibuat kosong",IF(NOT(ISNUMBER('PC 02'!I401)),"Tgl Dibuat harus tanggal","")),IF(AND('PC 02'!J401&lt;&gt;"",NOT(ISNUMBER('PC 02'!J401))),"Tgl Publish harus tanggal",""),IF(AND(ISNUMBER('PC 02'!I401),ISNUMBER('PC 02'!J401),'PC 02'!J401&lt;'PC 02'!I401),"Tgl Publish &lt; Tgl Dibuat",""),IF(AND('PC 02'!K401&lt;&gt;"",ISERROR(MATCH(TRIM('PC 02'!K401),{"Draft","Menunggu Review","Revisi","Terjadwal","Publish","Batal","Published"},0))),"Status di luar daftar","")))</f>
        <v>#ERROR!</v>
      </c>
      <c r="D401" s="5" t="str">
        <f>IF(C401="","OK","ADA MASALAH")</f>
        <v>#ERROR!</v>
      </c>
    </row>
    <row r="402">
      <c r="A402" s="3">
        <v>402.0</v>
      </c>
      <c r="B402" s="5" t="str">
        <f>'PC 02'!A402</f>
        <v/>
      </c>
      <c r="C402" s="5" t="str">
        <f>IF(COUNTA('PC 02'!A402:L402)=0,"",TEXTJOIN(" | ",TRUE,IF('PC 02'!A402="","Worker ID kosong",""),IF('PC 02'!B402="","Update Date kosong",IF(NOT(ISNUMBER('PC 02'!B402)),"Update Date harus tanggal","")),IF('PC 02'!D402="","Judul kosong",""),IF('PC 02'!F402="","Genre kosong",IF(ISERROR(MATCH(TRIM('PC 02'!F402),{"Pop","Rock","Dangdut","K-Pop","Electronic","Nasional","Daerah"},0)),"Genre di luar daftar","")),IF('PC 02'!G402="","Nama Channel kosong",""),IF('PC 02'!H402="","Link kosong",IF(ISERROR(FIND("youtu",LOWER('PC 02'!H402))),"Link bukan youtube","")),IF('PC 02'!I402="","Tgl Dibuat kosong",IF(NOT(ISNUMBER('PC 02'!I402)),"Tgl Dibuat harus tanggal","")),IF(AND('PC 02'!J402&lt;&gt;"",NOT(ISNUMBER('PC 02'!J402))),"Tgl Publish harus tanggal",""),IF(AND(ISNUMBER('PC 02'!I402),ISNUMBER('PC 02'!J402),'PC 02'!J402&lt;'PC 02'!I402),"Tgl Publish &lt; Tgl Dibuat",""),IF(AND('PC 02'!K402&lt;&gt;"",ISERROR(MATCH(TRIM('PC 02'!K402),{"Draft","Menunggu Review","Revisi","Terjadwal","Publish","Batal","Published"},0))),"Status di luar daftar","")))</f>
        <v>#ERROR!</v>
      </c>
      <c r="D402" s="5" t="str">
        <f>IF(C402="","OK","ADA MASALAH")</f>
        <v>#ERROR!</v>
      </c>
    </row>
    <row r="403">
      <c r="A403" s="3">
        <v>403.0</v>
      </c>
      <c r="B403" s="5" t="str">
        <f>'PC 02'!A403</f>
        <v/>
      </c>
      <c r="C403" s="5" t="str">
        <f>IF(COUNTA('PC 02'!A403:L403)=0,"",TEXTJOIN(" | ",TRUE,IF('PC 02'!A403="","Worker ID kosong",""),IF('PC 02'!B403="","Update Date kosong",IF(NOT(ISNUMBER('PC 02'!B403)),"Update Date harus tanggal","")),IF('PC 02'!D403="","Judul kosong",""),IF('PC 02'!F403="","Genre kosong",IF(ISERROR(MATCH(TRIM('PC 02'!F403),{"Pop","Rock","Dangdut","K-Pop","Electronic","Nasional","Daerah"},0)),"Genre di luar daftar","")),IF('PC 02'!G403="","Nama Channel kosong",""),IF('PC 02'!H403="","Link kosong",IF(ISERROR(FIND("youtu",LOWER('PC 02'!H403))),"Link bukan youtube","")),IF('PC 02'!I403="","Tgl Dibuat kosong",IF(NOT(ISNUMBER('PC 02'!I403)),"Tgl Dibuat harus tanggal","")),IF(AND('PC 02'!J403&lt;&gt;"",NOT(ISNUMBER('PC 02'!J403))),"Tgl Publish harus tanggal",""),IF(AND(ISNUMBER('PC 02'!I403),ISNUMBER('PC 02'!J403),'PC 02'!J403&lt;'PC 02'!I403),"Tgl Publish &lt; Tgl Dibuat",""),IF(AND('PC 02'!K403&lt;&gt;"",ISERROR(MATCH(TRIM('PC 02'!K403),{"Draft","Menunggu Review","Revisi","Terjadwal","Publish","Batal","Published"},0))),"Status di luar daftar","")))</f>
        <v>#ERROR!</v>
      </c>
      <c r="D403" s="5" t="str">
        <f>IF(C403="","OK","ADA MASALAH")</f>
        <v>#ERROR!</v>
      </c>
    </row>
    <row r="404">
      <c r="A404" s="3">
        <v>404.0</v>
      </c>
      <c r="B404" s="5" t="str">
        <f>'PC 02'!A404</f>
        <v/>
      </c>
      <c r="C404" s="5" t="str">
        <f>IF(COUNTA('PC 02'!A404:L404)=0,"",TEXTJOIN(" | ",TRUE,IF('PC 02'!A404="","Worker ID kosong",""),IF('PC 02'!B404="","Update Date kosong",IF(NOT(ISNUMBER('PC 02'!B404)),"Update Date harus tanggal","")),IF('PC 02'!D404="","Judul kosong",""),IF('PC 02'!F404="","Genre kosong",IF(ISERROR(MATCH(TRIM('PC 02'!F404),{"Pop","Rock","Dangdut","K-Pop","Electronic","Nasional","Daerah"},0)),"Genre di luar daftar","")),IF('PC 02'!G404="","Nama Channel kosong",""),IF('PC 02'!H404="","Link kosong",IF(ISERROR(FIND("youtu",LOWER('PC 02'!H404))),"Link bukan youtube","")),IF('PC 02'!I404="","Tgl Dibuat kosong",IF(NOT(ISNUMBER('PC 02'!I404)),"Tgl Dibuat harus tanggal","")),IF(AND('PC 02'!J404&lt;&gt;"",NOT(ISNUMBER('PC 02'!J404))),"Tgl Publish harus tanggal",""),IF(AND(ISNUMBER('PC 02'!I404),ISNUMBER('PC 02'!J404),'PC 02'!J404&lt;'PC 02'!I404),"Tgl Publish &lt; Tgl Dibuat",""),IF(AND('PC 02'!K404&lt;&gt;"",ISERROR(MATCH(TRIM('PC 02'!K404),{"Draft","Menunggu Review","Revisi","Terjadwal","Publish","Batal","Published"},0))),"Status di luar daftar","")))</f>
        <v>#ERROR!</v>
      </c>
      <c r="D404" s="5" t="str">
        <f>IF(C404="","OK","ADA MASALAH")</f>
        <v>#ERROR!</v>
      </c>
    </row>
    <row r="405">
      <c r="A405" s="3">
        <v>405.0</v>
      </c>
      <c r="B405" s="5" t="str">
        <f>'PC 02'!A405</f>
        <v/>
      </c>
      <c r="C405" s="5" t="str">
        <f>IF(COUNTA('PC 02'!A405:L405)=0,"",TEXTJOIN(" | ",TRUE,IF('PC 02'!A405="","Worker ID kosong",""),IF('PC 02'!B405="","Update Date kosong",IF(NOT(ISNUMBER('PC 02'!B405)),"Update Date harus tanggal","")),IF('PC 02'!D405="","Judul kosong",""),IF('PC 02'!F405="","Genre kosong",IF(ISERROR(MATCH(TRIM('PC 02'!F405),{"Pop","Rock","Dangdut","K-Pop","Electronic","Nasional","Daerah"},0)),"Genre di luar daftar","")),IF('PC 02'!G405="","Nama Channel kosong",""),IF('PC 02'!H405="","Link kosong",IF(ISERROR(FIND("youtu",LOWER('PC 02'!H405))),"Link bukan youtube","")),IF('PC 02'!I405="","Tgl Dibuat kosong",IF(NOT(ISNUMBER('PC 02'!I405)),"Tgl Dibuat harus tanggal","")),IF(AND('PC 02'!J405&lt;&gt;"",NOT(ISNUMBER('PC 02'!J405))),"Tgl Publish harus tanggal",""),IF(AND(ISNUMBER('PC 02'!I405),ISNUMBER('PC 02'!J405),'PC 02'!J405&lt;'PC 02'!I405),"Tgl Publish &lt; Tgl Dibuat",""),IF(AND('PC 02'!K405&lt;&gt;"",ISERROR(MATCH(TRIM('PC 02'!K405),{"Draft","Menunggu Review","Revisi","Terjadwal","Publish","Batal","Published"},0))),"Status di luar daftar","")))</f>
        <v>#ERROR!</v>
      </c>
      <c r="D405" s="5" t="str">
        <f>IF(C405="","OK","ADA MASALAH")</f>
        <v>#ERROR!</v>
      </c>
    </row>
    <row r="406">
      <c r="A406" s="3">
        <v>406.0</v>
      </c>
      <c r="B406" s="5" t="str">
        <f>'PC 02'!A406</f>
        <v/>
      </c>
      <c r="C406" s="5" t="str">
        <f>IF(COUNTA('PC 02'!A406:L406)=0,"",TEXTJOIN(" | ",TRUE,IF('PC 02'!A406="","Worker ID kosong",""),IF('PC 02'!B406="","Update Date kosong",IF(NOT(ISNUMBER('PC 02'!B406)),"Update Date harus tanggal","")),IF('PC 02'!D406="","Judul kosong",""),IF('PC 02'!F406="","Genre kosong",IF(ISERROR(MATCH(TRIM('PC 02'!F406),{"Pop","Rock","Dangdut","K-Pop","Electronic","Nasional","Daerah"},0)),"Genre di luar daftar","")),IF('PC 02'!G406="","Nama Channel kosong",""),IF('PC 02'!H406="","Link kosong",IF(ISERROR(FIND("youtu",LOWER('PC 02'!H406))),"Link bukan youtube","")),IF('PC 02'!I406="","Tgl Dibuat kosong",IF(NOT(ISNUMBER('PC 02'!I406)),"Tgl Dibuat harus tanggal","")),IF(AND('PC 02'!J406&lt;&gt;"",NOT(ISNUMBER('PC 02'!J406))),"Tgl Publish harus tanggal",""),IF(AND(ISNUMBER('PC 02'!I406),ISNUMBER('PC 02'!J406),'PC 02'!J406&lt;'PC 02'!I406),"Tgl Publish &lt; Tgl Dibuat",""),IF(AND('PC 02'!K406&lt;&gt;"",ISERROR(MATCH(TRIM('PC 02'!K406),{"Draft","Menunggu Review","Revisi","Terjadwal","Publish","Batal","Published"},0))),"Status di luar daftar","")))</f>
        <v>#ERROR!</v>
      </c>
      <c r="D406" s="5" t="str">
        <f>IF(C406="","OK","ADA MASALAH")</f>
        <v>#ERROR!</v>
      </c>
    </row>
    <row r="407">
      <c r="A407" s="3">
        <v>407.0</v>
      </c>
      <c r="B407" s="5" t="str">
        <f>'PC 02'!A407</f>
        <v/>
      </c>
      <c r="C407" s="5" t="str">
        <f>IF(COUNTA('PC 02'!A407:L407)=0,"",TEXTJOIN(" | ",TRUE,IF('PC 02'!A407="","Worker ID kosong",""),IF('PC 02'!B407="","Update Date kosong",IF(NOT(ISNUMBER('PC 02'!B407)),"Update Date harus tanggal","")),IF('PC 02'!D407="","Judul kosong",""),IF('PC 02'!F407="","Genre kosong",IF(ISERROR(MATCH(TRIM('PC 02'!F407),{"Pop","Rock","Dangdut","K-Pop","Electronic","Nasional","Daerah"},0)),"Genre di luar daftar","")),IF('PC 02'!G407="","Nama Channel kosong",""),IF('PC 02'!H407="","Link kosong",IF(ISERROR(FIND("youtu",LOWER('PC 02'!H407))),"Link bukan youtube","")),IF('PC 02'!I407="","Tgl Dibuat kosong",IF(NOT(ISNUMBER('PC 02'!I407)),"Tgl Dibuat harus tanggal","")),IF(AND('PC 02'!J407&lt;&gt;"",NOT(ISNUMBER('PC 02'!J407))),"Tgl Publish harus tanggal",""),IF(AND(ISNUMBER('PC 02'!I407),ISNUMBER('PC 02'!J407),'PC 02'!J407&lt;'PC 02'!I407),"Tgl Publish &lt; Tgl Dibuat",""),IF(AND('PC 02'!K407&lt;&gt;"",ISERROR(MATCH(TRIM('PC 02'!K407),{"Draft","Menunggu Review","Revisi","Terjadwal","Publish","Batal","Published"},0))),"Status di luar daftar","")))</f>
        <v>#ERROR!</v>
      </c>
      <c r="D407" s="5" t="str">
        <f>IF(C407="","OK","ADA MASALAH")</f>
        <v>#ERROR!</v>
      </c>
    </row>
    <row r="408">
      <c r="A408" s="3">
        <v>408.0</v>
      </c>
      <c r="B408" s="5" t="str">
        <f>'PC 02'!A408</f>
        <v/>
      </c>
      <c r="C408" s="5" t="str">
        <f>IF(COUNTA('PC 02'!A408:L408)=0,"",TEXTJOIN(" | ",TRUE,IF('PC 02'!A408="","Worker ID kosong",""),IF('PC 02'!B408="","Update Date kosong",IF(NOT(ISNUMBER('PC 02'!B408)),"Update Date harus tanggal","")),IF('PC 02'!D408="","Judul kosong",""),IF('PC 02'!F408="","Genre kosong",IF(ISERROR(MATCH(TRIM('PC 02'!F408),{"Pop","Rock","Dangdut","K-Pop","Electronic","Nasional","Daerah"},0)),"Genre di luar daftar","")),IF('PC 02'!G408="","Nama Channel kosong",""),IF('PC 02'!H408="","Link kosong",IF(ISERROR(FIND("youtu",LOWER('PC 02'!H408))),"Link bukan youtube","")),IF('PC 02'!I408="","Tgl Dibuat kosong",IF(NOT(ISNUMBER('PC 02'!I408)),"Tgl Dibuat harus tanggal","")),IF(AND('PC 02'!J408&lt;&gt;"",NOT(ISNUMBER('PC 02'!J408))),"Tgl Publish harus tanggal",""),IF(AND(ISNUMBER('PC 02'!I408),ISNUMBER('PC 02'!J408),'PC 02'!J408&lt;'PC 02'!I408),"Tgl Publish &lt; Tgl Dibuat",""),IF(AND('PC 02'!K408&lt;&gt;"",ISERROR(MATCH(TRIM('PC 02'!K408),{"Draft","Menunggu Review","Revisi","Terjadwal","Publish","Batal","Published"},0))),"Status di luar daftar","")))</f>
        <v>#ERROR!</v>
      </c>
      <c r="D408" s="5" t="str">
        <f>IF(C408="","OK","ADA MASALAH")</f>
        <v>#ERROR!</v>
      </c>
    </row>
    <row r="409">
      <c r="A409" s="3">
        <v>409.0</v>
      </c>
      <c r="B409" s="5" t="str">
        <f>'PC 02'!A409</f>
        <v/>
      </c>
      <c r="C409" s="5" t="str">
        <f>IF(COUNTA('PC 02'!A409:L409)=0,"",TEXTJOIN(" | ",TRUE,IF('PC 02'!A409="","Worker ID kosong",""),IF('PC 02'!B409="","Update Date kosong",IF(NOT(ISNUMBER('PC 02'!B409)),"Update Date harus tanggal","")),IF('PC 02'!D409="","Judul kosong",""),IF('PC 02'!F409="","Genre kosong",IF(ISERROR(MATCH(TRIM('PC 02'!F409),{"Pop","Rock","Dangdut","K-Pop","Electronic","Nasional","Daerah"},0)),"Genre di luar daftar","")),IF('PC 02'!G409="","Nama Channel kosong",""),IF('PC 02'!H409="","Link kosong",IF(ISERROR(FIND("youtu",LOWER('PC 02'!H409))),"Link bukan youtube","")),IF('PC 02'!I409="","Tgl Dibuat kosong",IF(NOT(ISNUMBER('PC 02'!I409)),"Tgl Dibuat harus tanggal","")),IF(AND('PC 02'!J409&lt;&gt;"",NOT(ISNUMBER('PC 02'!J409))),"Tgl Publish harus tanggal",""),IF(AND(ISNUMBER('PC 02'!I409),ISNUMBER('PC 02'!J409),'PC 02'!J409&lt;'PC 02'!I409),"Tgl Publish &lt; Tgl Dibuat",""),IF(AND('PC 02'!K409&lt;&gt;"",ISERROR(MATCH(TRIM('PC 02'!K409),{"Draft","Menunggu Review","Revisi","Terjadwal","Publish","Batal","Published"},0))),"Status di luar daftar","")))</f>
        <v>#ERROR!</v>
      </c>
      <c r="D409" s="5" t="str">
        <f>IF(C409="","OK","ADA MASALAH")</f>
        <v>#ERROR!</v>
      </c>
    </row>
    <row r="410">
      <c r="A410" s="3">
        <v>410.0</v>
      </c>
      <c r="B410" s="5" t="str">
        <f>'PC 02'!A410</f>
        <v/>
      </c>
      <c r="C410" s="5" t="str">
        <f>IF(COUNTA('PC 02'!A410:L410)=0,"",TEXTJOIN(" | ",TRUE,IF('PC 02'!A410="","Worker ID kosong",""),IF('PC 02'!B410="","Update Date kosong",IF(NOT(ISNUMBER('PC 02'!B410)),"Update Date harus tanggal","")),IF('PC 02'!D410="","Judul kosong",""),IF('PC 02'!F410="","Genre kosong",IF(ISERROR(MATCH(TRIM('PC 02'!F410),{"Pop","Rock","Dangdut","K-Pop","Electronic","Nasional","Daerah"},0)),"Genre di luar daftar","")),IF('PC 02'!G410="","Nama Channel kosong",""),IF('PC 02'!H410="","Link kosong",IF(ISERROR(FIND("youtu",LOWER('PC 02'!H410))),"Link bukan youtube","")),IF('PC 02'!I410="","Tgl Dibuat kosong",IF(NOT(ISNUMBER('PC 02'!I410)),"Tgl Dibuat harus tanggal","")),IF(AND('PC 02'!J410&lt;&gt;"",NOT(ISNUMBER('PC 02'!J410))),"Tgl Publish harus tanggal",""),IF(AND(ISNUMBER('PC 02'!I410),ISNUMBER('PC 02'!J410),'PC 02'!J410&lt;'PC 02'!I410),"Tgl Publish &lt; Tgl Dibuat",""),IF(AND('PC 02'!K410&lt;&gt;"",ISERROR(MATCH(TRIM('PC 02'!K410),{"Draft","Menunggu Review","Revisi","Terjadwal","Publish","Batal","Published"},0))),"Status di luar daftar","")))</f>
        <v>#ERROR!</v>
      </c>
      <c r="D410" s="5" t="str">
        <f>IF(C410="","OK","ADA MASALAH")</f>
        <v>#ERROR!</v>
      </c>
    </row>
    <row r="411">
      <c r="A411" s="3">
        <v>411.0</v>
      </c>
      <c r="B411" s="5" t="str">
        <f>'PC 02'!A411</f>
        <v/>
      </c>
      <c r="C411" s="5" t="str">
        <f>IF(COUNTA('PC 02'!A411:L411)=0,"",TEXTJOIN(" | ",TRUE,IF('PC 02'!A411="","Worker ID kosong",""),IF('PC 02'!B411="","Update Date kosong",IF(NOT(ISNUMBER('PC 02'!B411)),"Update Date harus tanggal","")),IF('PC 02'!D411="","Judul kosong",""),IF('PC 02'!F411="","Genre kosong",IF(ISERROR(MATCH(TRIM('PC 02'!F411),{"Pop","Rock","Dangdut","K-Pop","Electronic","Nasional","Daerah"},0)),"Genre di luar daftar","")),IF('PC 02'!G411="","Nama Channel kosong",""),IF('PC 02'!H411="","Link kosong",IF(ISERROR(FIND("youtu",LOWER('PC 02'!H411))),"Link bukan youtube","")),IF('PC 02'!I411="","Tgl Dibuat kosong",IF(NOT(ISNUMBER('PC 02'!I411)),"Tgl Dibuat harus tanggal","")),IF(AND('PC 02'!J411&lt;&gt;"",NOT(ISNUMBER('PC 02'!J411))),"Tgl Publish harus tanggal",""),IF(AND(ISNUMBER('PC 02'!I411),ISNUMBER('PC 02'!J411),'PC 02'!J411&lt;'PC 02'!I411),"Tgl Publish &lt; Tgl Dibuat",""),IF(AND('PC 02'!K411&lt;&gt;"",ISERROR(MATCH(TRIM('PC 02'!K411),{"Draft","Menunggu Review","Revisi","Terjadwal","Publish","Batal","Published"},0))),"Status di luar daftar","")))</f>
        <v>#ERROR!</v>
      </c>
      <c r="D411" s="5" t="str">
        <f>IF(C411="","OK","ADA MASALAH")</f>
        <v>#ERROR!</v>
      </c>
    </row>
    <row r="412">
      <c r="A412" s="3">
        <v>412.0</v>
      </c>
      <c r="B412" s="5" t="str">
        <f>'PC 02'!A412</f>
        <v/>
      </c>
      <c r="C412" s="5" t="str">
        <f>IF(COUNTA('PC 02'!A412:L412)=0,"",TEXTJOIN(" | ",TRUE,IF('PC 02'!A412="","Worker ID kosong",""),IF('PC 02'!B412="","Update Date kosong",IF(NOT(ISNUMBER('PC 02'!B412)),"Update Date harus tanggal","")),IF('PC 02'!D412="","Judul kosong",""),IF('PC 02'!F412="","Genre kosong",IF(ISERROR(MATCH(TRIM('PC 02'!F412),{"Pop","Rock","Dangdut","K-Pop","Electronic","Nasional","Daerah"},0)),"Genre di luar daftar","")),IF('PC 02'!G412="","Nama Channel kosong",""),IF('PC 02'!H412="","Link kosong",IF(ISERROR(FIND("youtu",LOWER('PC 02'!H412))),"Link bukan youtube","")),IF('PC 02'!I412="","Tgl Dibuat kosong",IF(NOT(ISNUMBER('PC 02'!I412)),"Tgl Dibuat harus tanggal","")),IF(AND('PC 02'!J412&lt;&gt;"",NOT(ISNUMBER('PC 02'!J412))),"Tgl Publish harus tanggal",""),IF(AND(ISNUMBER('PC 02'!I412),ISNUMBER('PC 02'!J412),'PC 02'!J412&lt;'PC 02'!I412),"Tgl Publish &lt; Tgl Dibuat",""),IF(AND('PC 02'!K412&lt;&gt;"",ISERROR(MATCH(TRIM('PC 02'!K412),{"Draft","Menunggu Review","Revisi","Terjadwal","Publish","Batal","Published"},0))),"Status di luar daftar","")))</f>
        <v>#ERROR!</v>
      </c>
      <c r="D412" s="5" t="str">
        <f>IF(C412="","OK","ADA MASALAH")</f>
        <v>#ERROR!</v>
      </c>
    </row>
    <row r="413">
      <c r="A413" s="3">
        <v>413.0</v>
      </c>
      <c r="B413" s="5" t="str">
        <f>'PC 02'!A413</f>
        <v/>
      </c>
      <c r="C413" s="5" t="str">
        <f>IF(COUNTA('PC 02'!A413:L413)=0,"",TEXTJOIN(" | ",TRUE,IF('PC 02'!A413="","Worker ID kosong",""),IF('PC 02'!B413="","Update Date kosong",IF(NOT(ISNUMBER('PC 02'!B413)),"Update Date harus tanggal","")),IF('PC 02'!D413="","Judul kosong",""),IF('PC 02'!F413="","Genre kosong",IF(ISERROR(MATCH(TRIM('PC 02'!F413),{"Pop","Rock","Dangdut","K-Pop","Electronic","Nasional","Daerah"},0)),"Genre di luar daftar","")),IF('PC 02'!G413="","Nama Channel kosong",""),IF('PC 02'!H413="","Link kosong",IF(ISERROR(FIND("youtu",LOWER('PC 02'!H413))),"Link bukan youtube","")),IF('PC 02'!I413="","Tgl Dibuat kosong",IF(NOT(ISNUMBER('PC 02'!I413)),"Tgl Dibuat harus tanggal","")),IF(AND('PC 02'!J413&lt;&gt;"",NOT(ISNUMBER('PC 02'!J413))),"Tgl Publish harus tanggal",""),IF(AND(ISNUMBER('PC 02'!I413),ISNUMBER('PC 02'!J413),'PC 02'!J413&lt;'PC 02'!I413),"Tgl Publish &lt; Tgl Dibuat",""),IF(AND('PC 02'!K413&lt;&gt;"",ISERROR(MATCH(TRIM('PC 02'!K413),{"Draft","Menunggu Review","Revisi","Terjadwal","Publish","Batal","Published"},0))),"Status di luar daftar","")))</f>
        <v>#ERROR!</v>
      </c>
      <c r="D413" s="5" t="str">
        <f>IF(C413="","OK","ADA MASALAH")</f>
        <v>#ERROR!</v>
      </c>
    </row>
    <row r="414">
      <c r="A414" s="3">
        <v>414.0</v>
      </c>
      <c r="B414" s="5" t="str">
        <f>'PC 02'!A414</f>
        <v/>
      </c>
      <c r="C414" s="5" t="str">
        <f>IF(COUNTA('PC 02'!A414:L414)=0,"",TEXTJOIN(" | ",TRUE,IF('PC 02'!A414="","Worker ID kosong",""),IF('PC 02'!B414="","Update Date kosong",IF(NOT(ISNUMBER('PC 02'!B414)),"Update Date harus tanggal","")),IF('PC 02'!D414="","Judul kosong",""),IF('PC 02'!F414="","Genre kosong",IF(ISERROR(MATCH(TRIM('PC 02'!F414),{"Pop","Rock","Dangdut","K-Pop","Electronic","Nasional","Daerah"},0)),"Genre di luar daftar","")),IF('PC 02'!G414="","Nama Channel kosong",""),IF('PC 02'!H414="","Link kosong",IF(ISERROR(FIND("youtu",LOWER('PC 02'!H414))),"Link bukan youtube","")),IF('PC 02'!I414="","Tgl Dibuat kosong",IF(NOT(ISNUMBER('PC 02'!I414)),"Tgl Dibuat harus tanggal","")),IF(AND('PC 02'!J414&lt;&gt;"",NOT(ISNUMBER('PC 02'!J414))),"Tgl Publish harus tanggal",""),IF(AND(ISNUMBER('PC 02'!I414),ISNUMBER('PC 02'!J414),'PC 02'!J414&lt;'PC 02'!I414),"Tgl Publish &lt; Tgl Dibuat",""),IF(AND('PC 02'!K414&lt;&gt;"",ISERROR(MATCH(TRIM('PC 02'!K414),{"Draft","Menunggu Review","Revisi","Terjadwal","Publish","Batal","Published"},0))),"Status di luar daftar","")))</f>
        <v>#ERROR!</v>
      </c>
      <c r="D414" s="5" t="str">
        <f>IF(C414="","OK","ADA MASALAH")</f>
        <v>#ERROR!</v>
      </c>
    </row>
    <row r="415">
      <c r="A415" s="3">
        <v>415.0</v>
      </c>
      <c r="B415" s="5" t="str">
        <f>'PC 02'!A415</f>
        <v/>
      </c>
      <c r="C415" s="5" t="str">
        <f>IF(COUNTA('PC 02'!A415:L415)=0,"",TEXTJOIN(" | ",TRUE,IF('PC 02'!A415="","Worker ID kosong",""),IF('PC 02'!B415="","Update Date kosong",IF(NOT(ISNUMBER('PC 02'!B415)),"Update Date harus tanggal","")),IF('PC 02'!D415="","Judul kosong",""),IF('PC 02'!F415="","Genre kosong",IF(ISERROR(MATCH(TRIM('PC 02'!F415),{"Pop","Rock","Dangdut","K-Pop","Electronic","Nasional","Daerah"},0)),"Genre di luar daftar","")),IF('PC 02'!G415="","Nama Channel kosong",""),IF('PC 02'!H415="","Link kosong",IF(ISERROR(FIND("youtu",LOWER('PC 02'!H415))),"Link bukan youtube","")),IF('PC 02'!I415="","Tgl Dibuat kosong",IF(NOT(ISNUMBER('PC 02'!I415)),"Tgl Dibuat harus tanggal","")),IF(AND('PC 02'!J415&lt;&gt;"",NOT(ISNUMBER('PC 02'!J415))),"Tgl Publish harus tanggal",""),IF(AND(ISNUMBER('PC 02'!I415),ISNUMBER('PC 02'!J415),'PC 02'!J415&lt;'PC 02'!I415),"Tgl Publish &lt; Tgl Dibuat",""),IF(AND('PC 02'!K415&lt;&gt;"",ISERROR(MATCH(TRIM('PC 02'!K415),{"Draft","Menunggu Review","Revisi","Terjadwal","Publish","Batal","Published"},0))),"Status di luar daftar","")))</f>
        <v>#ERROR!</v>
      </c>
      <c r="D415" s="5" t="str">
        <f>IF(C415="","OK","ADA MASALAH")</f>
        <v>#ERROR!</v>
      </c>
    </row>
    <row r="416">
      <c r="A416" s="3">
        <v>416.0</v>
      </c>
      <c r="B416" s="5" t="str">
        <f>'PC 02'!A416</f>
        <v/>
      </c>
      <c r="C416" s="5" t="str">
        <f>IF(COUNTA('PC 02'!A416:L416)=0,"",TEXTJOIN(" | ",TRUE,IF('PC 02'!A416="","Worker ID kosong",""),IF('PC 02'!B416="","Update Date kosong",IF(NOT(ISNUMBER('PC 02'!B416)),"Update Date harus tanggal","")),IF('PC 02'!D416="","Judul kosong",""),IF('PC 02'!F416="","Genre kosong",IF(ISERROR(MATCH(TRIM('PC 02'!F416),{"Pop","Rock","Dangdut","K-Pop","Electronic","Nasional","Daerah"},0)),"Genre di luar daftar","")),IF('PC 02'!G416="","Nama Channel kosong",""),IF('PC 02'!H416="","Link kosong",IF(ISERROR(FIND("youtu",LOWER('PC 02'!H416))),"Link bukan youtube","")),IF('PC 02'!I416="","Tgl Dibuat kosong",IF(NOT(ISNUMBER('PC 02'!I416)),"Tgl Dibuat harus tanggal","")),IF(AND('PC 02'!J416&lt;&gt;"",NOT(ISNUMBER('PC 02'!J416))),"Tgl Publish harus tanggal",""),IF(AND(ISNUMBER('PC 02'!I416),ISNUMBER('PC 02'!J416),'PC 02'!J416&lt;'PC 02'!I416),"Tgl Publish &lt; Tgl Dibuat",""),IF(AND('PC 02'!K416&lt;&gt;"",ISERROR(MATCH(TRIM('PC 02'!K416),{"Draft","Menunggu Review","Revisi","Terjadwal","Publish","Batal","Published"},0))),"Status di luar daftar","")))</f>
        <v>#ERROR!</v>
      </c>
      <c r="D416" s="5" t="str">
        <f>IF(C416="","OK","ADA MASALAH")</f>
        <v>#ERROR!</v>
      </c>
    </row>
    <row r="417">
      <c r="A417" s="3">
        <v>417.0</v>
      </c>
      <c r="B417" s="5" t="str">
        <f>'PC 02'!A417</f>
        <v/>
      </c>
      <c r="C417" s="5" t="str">
        <f>IF(COUNTA('PC 02'!A417:L417)=0,"",TEXTJOIN(" | ",TRUE,IF('PC 02'!A417="","Worker ID kosong",""),IF('PC 02'!B417="","Update Date kosong",IF(NOT(ISNUMBER('PC 02'!B417)),"Update Date harus tanggal","")),IF('PC 02'!D417="","Judul kosong",""),IF('PC 02'!F417="","Genre kosong",IF(ISERROR(MATCH(TRIM('PC 02'!F417),{"Pop","Rock","Dangdut","K-Pop","Electronic","Nasional","Daerah"},0)),"Genre di luar daftar","")),IF('PC 02'!G417="","Nama Channel kosong",""),IF('PC 02'!H417="","Link kosong",IF(ISERROR(FIND("youtu",LOWER('PC 02'!H417))),"Link bukan youtube","")),IF('PC 02'!I417="","Tgl Dibuat kosong",IF(NOT(ISNUMBER('PC 02'!I417)),"Tgl Dibuat harus tanggal","")),IF(AND('PC 02'!J417&lt;&gt;"",NOT(ISNUMBER('PC 02'!J417))),"Tgl Publish harus tanggal",""),IF(AND(ISNUMBER('PC 02'!I417),ISNUMBER('PC 02'!J417),'PC 02'!J417&lt;'PC 02'!I417),"Tgl Publish &lt; Tgl Dibuat",""),IF(AND('PC 02'!K417&lt;&gt;"",ISERROR(MATCH(TRIM('PC 02'!K417),{"Draft","Menunggu Review","Revisi","Terjadwal","Publish","Batal","Published"},0))),"Status di luar daftar","")))</f>
        <v>#ERROR!</v>
      </c>
      <c r="D417" s="5" t="str">
        <f>IF(C417="","OK","ADA MASALAH")</f>
        <v>#ERROR!</v>
      </c>
    </row>
    <row r="418">
      <c r="A418" s="3">
        <v>418.0</v>
      </c>
      <c r="B418" s="5" t="str">
        <f>'PC 02'!A418</f>
        <v/>
      </c>
      <c r="C418" s="5" t="str">
        <f>IF(COUNTA('PC 02'!A418:L418)=0,"",TEXTJOIN(" | ",TRUE,IF('PC 02'!A418="","Worker ID kosong",""),IF('PC 02'!B418="","Update Date kosong",IF(NOT(ISNUMBER('PC 02'!B418)),"Update Date harus tanggal","")),IF('PC 02'!D418="","Judul kosong",""),IF('PC 02'!F418="","Genre kosong",IF(ISERROR(MATCH(TRIM('PC 02'!F418),{"Pop","Rock","Dangdut","K-Pop","Electronic","Nasional","Daerah"},0)),"Genre di luar daftar","")),IF('PC 02'!G418="","Nama Channel kosong",""),IF('PC 02'!H418="","Link kosong",IF(ISERROR(FIND("youtu",LOWER('PC 02'!H418))),"Link bukan youtube","")),IF('PC 02'!I418="","Tgl Dibuat kosong",IF(NOT(ISNUMBER('PC 02'!I418)),"Tgl Dibuat harus tanggal","")),IF(AND('PC 02'!J418&lt;&gt;"",NOT(ISNUMBER('PC 02'!J418))),"Tgl Publish harus tanggal",""),IF(AND(ISNUMBER('PC 02'!I418),ISNUMBER('PC 02'!J418),'PC 02'!J418&lt;'PC 02'!I418),"Tgl Publish &lt; Tgl Dibuat",""),IF(AND('PC 02'!K418&lt;&gt;"",ISERROR(MATCH(TRIM('PC 02'!K418),{"Draft","Menunggu Review","Revisi","Terjadwal","Publish","Batal","Published"},0))),"Status di luar daftar","")))</f>
        <v>#ERROR!</v>
      </c>
      <c r="D418" s="5" t="str">
        <f>IF(C418="","OK","ADA MASALAH")</f>
        <v>#ERROR!</v>
      </c>
    </row>
    <row r="419">
      <c r="A419" s="3">
        <v>419.0</v>
      </c>
      <c r="B419" s="5" t="str">
        <f>'PC 02'!A419</f>
        <v/>
      </c>
      <c r="C419" s="5" t="str">
        <f>IF(COUNTA('PC 02'!A419:L419)=0,"",TEXTJOIN(" | ",TRUE,IF('PC 02'!A419="","Worker ID kosong",""),IF('PC 02'!B419="","Update Date kosong",IF(NOT(ISNUMBER('PC 02'!B419)),"Update Date harus tanggal","")),IF('PC 02'!D419="","Judul kosong",""),IF('PC 02'!F419="","Genre kosong",IF(ISERROR(MATCH(TRIM('PC 02'!F419),{"Pop","Rock","Dangdut","K-Pop","Electronic","Nasional","Daerah"},0)),"Genre di luar daftar","")),IF('PC 02'!G419="","Nama Channel kosong",""),IF('PC 02'!H419="","Link kosong",IF(ISERROR(FIND("youtu",LOWER('PC 02'!H419))),"Link bukan youtube","")),IF('PC 02'!I419="","Tgl Dibuat kosong",IF(NOT(ISNUMBER('PC 02'!I419)),"Tgl Dibuat harus tanggal","")),IF(AND('PC 02'!J419&lt;&gt;"",NOT(ISNUMBER('PC 02'!J419))),"Tgl Publish harus tanggal",""),IF(AND(ISNUMBER('PC 02'!I419),ISNUMBER('PC 02'!J419),'PC 02'!J419&lt;'PC 02'!I419),"Tgl Publish &lt; Tgl Dibuat",""),IF(AND('PC 02'!K419&lt;&gt;"",ISERROR(MATCH(TRIM('PC 02'!K419),{"Draft","Menunggu Review","Revisi","Terjadwal","Publish","Batal","Published"},0))),"Status di luar daftar","")))</f>
        <v>#ERROR!</v>
      </c>
      <c r="D419" s="5" t="str">
        <f>IF(C419="","OK","ADA MASALAH")</f>
        <v>#ERROR!</v>
      </c>
    </row>
    <row r="420">
      <c r="A420" s="3">
        <v>420.0</v>
      </c>
      <c r="B420" s="5" t="str">
        <f>'PC 02'!A420</f>
        <v/>
      </c>
      <c r="C420" s="5" t="str">
        <f>IF(COUNTA('PC 02'!A420:L420)=0,"",TEXTJOIN(" | ",TRUE,IF('PC 02'!A420="","Worker ID kosong",""),IF('PC 02'!B420="","Update Date kosong",IF(NOT(ISNUMBER('PC 02'!B420)),"Update Date harus tanggal","")),IF('PC 02'!D420="","Judul kosong",""),IF('PC 02'!F420="","Genre kosong",IF(ISERROR(MATCH(TRIM('PC 02'!F420),{"Pop","Rock","Dangdut","K-Pop","Electronic","Nasional","Daerah"},0)),"Genre di luar daftar","")),IF('PC 02'!G420="","Nama Channel kosong",""),IF('PC 02'!H420="","Link kosong",IF(ISERROR(FIND("youtu",LOWER('PC 02'!H420))),"Link bukan youtube","")),IF('PC 02'!I420="","Tgl Dibuat kosong",IF(NOT(ISNUMBER('PC 02'!I420)),"Tgl Dibuat harus tanggal","")),IF(AND('PC 02'!J420&lt;&gt;"",NOT(ISNUMBER('PC 02'!J420))),"Tgl Publish harus tanggal",""),IF(AND(ISNUMBER('PC 02'!I420),ISNUMBER('PC 02'!J420),'PC 02'!J420&lt;'PC 02'!I420),"Tgl Publish &lt; Tgl Dibuat",""),IF(AND('PC 02'!K420&lt;&gt;"",ISERROR(MATCH(TRIM('PC 02'!K420),{"Draft","Menunggu Review","Revisi","Terjadwal","Publish","Batal","Published"},0))),"Status di luar daftar","")))</f>
        <v>#ERROR!</v>
      </c>
      <c r="D420" s="5" t="str">
        <f>IF(C420="","OK","ADA MASALAH")</f>
        <v>#ERROR!</v>
      </c>
    </row>
    <row r="421">
      <c r="A421" s="3">
        <v>421.0</v>
      </c>
      <c r="B421" s="5" t="str">
        <f>'PC 02'!A421</f>
        <v/>
      </c>
      <c r="C421" s="5" t="str">
        <f>IF(COUNTA('PC 02'!A421:L421)=0,"",TEXTJOIN(" | ",TRUE,IF('PC 02'!A421="","Worker ID kosong",""),IF('PC 02'!B421="","Update Date kosong",IF(NOT(ISNUMBER('PC 02'!B421)),"Update Date harus tanggal","")),IF('PC 02'!D421="","Judul kosong",""),IF('PC 02'!F421="","Genre kosong",IF(ISERROR(MATCH(TRIM('PC 02'!F421),{"Pop","Rock","Dangdut","K-Pop","Electronic","Nasional","Daerah"},0)),"Genre di luar daftar","")),IF('PC 02'!G421="","Nama Channel kosong",""),IF('PC 02'!H421="","Link kosong",IF(ISERROR(FIND("youtu",LOWER('PC 02'!H421))),"Link bukan youtube","")),IF('PC 02'!I421="","Tgl Dibuat kosong",IF(NOT(ISNUMBER('PC 02'!I421)),"Tgl Dibuat harus tanggal","")),IF(AND('PC 02'!J421&lt;&gt;"",NOT(ISNUMBER('PC 02'!J421))),"Tgl Publish harus tanggal",""),IF(AND(ISNUMBER('PC 02'!I421),ISNUMBER('PC 02'!J421),'PC 02'!J421&lt;'PC 02'!I421),"Tgl Publish &lt; Tgl Dibuat",""),IF(AND('PC 02'!K421&lt;&gt;"",ISERROR(MATCH(TRIM('PC 02'!K421),{"Draft","Menunggu Review","Revisi","Terjadwal","Publish","Batal","Published"},0))),"Status di luar daftar","")))</f>
        <v>#ERROR!</v>
      </c>
      <c r="D421" s="5" t="str">
        <f>IF(C421="","OK","ADA MASALAH")</f>
        <v>#ERROR!</v>
      </c>
    </row>
    <row r="422">
      <c r="A422" s="3">
        <v>422.0</v>
      </c>
      <c r="B422" s="5" t="str">
        <f>'PC 02'!A422</f>
        <v/>
      </c>
      <c r="C422" s="5" t="str">
        <f>IF(COUNTA('PC 02'!A422:L422)=0,"",TEXTJOIN(" | ",TRUE,IF('PC 02'!A422="","Worker ID kosong",""),IF('PC 02'!B422="","Update Date kosong",IF(NOT(ISNUMBER('PC 02'!B422)),"Update Date harus tanggal","")),IF('PC 02'!D422="","Judul kosong",""),IF('PC 02'!F422="","Genre kosong",IF(ISERROR(MATCH(TRIM('PC 02'!F422),{"Pop","Rock","Dangdut","K-Pop","Electronic","Nasional","Daerah"},0)),"Genre di luar daftar","")),IF('PC 02'!G422="","Nama Channel kosong",""),IF('PC 02'!H422="","Link kosong",IF(ISERROR(FIND("youtu",LOWER('PC 02'!H422))),"Link bukan youtube","")),IF('PC 02'!I422="","Tgl Dibuat kosong",IF(NOT(ISNUMBER('PC 02'!I422)),"Tgl Dibuat harus tanggal","")),IF(AND('PC 02'!J422&lt;&gt;"",NOT(ISNUMBER('PC 02'!J422))),"Tgl Publish harus tanggal",""),IF(AND(ISNUMBER('PC 02'!I422),ISNUMBER('PC 02'!J422),'PC 02'!J422&lt;'PC 02'!I422),"Tgl Publish &lt; Tgl Dibuat",""),IF(AND('PC 02'!K422&lt;&gt;"",ISERROR(MATCH(TRIM('PC 02'!K422),{"Draft","Menunggu Review","Revisi","Terjadwal","Publish","Batal","Published"},0))),"Status di luar daftar","")))</f>
        <v>#ERROR!</v>
      </c>
      <c r="D422" s="5" t="str">
        <f>IF(C422="","OK","ADA MASALAH")</f>
        <v>#ERROR!</v>
      </c>
    </row>
    <row r="423">
      <c r="A423" s="3">
        <v>423.0</v>
      </c>
      <c r="B423" s="5" t="str">
        <f>'PC 02'!A423</f>
        <v/>
      </c>
      <c r="C423" s="5" t="str">
        <f>IF(COUNTA('PC 02'!A423:L423)=0,"",TEXTJOIN(" | ",TRUE,IF('PC 02'!A423="","Worker ID kosong",""),IF('PC 02'!B423="","Update Date kosong",IF(NOT(ISNUMBER('PC 02'!B423)),"Update Date harus tanggal","")),IF('PC 02'!D423="","Judul kosong",""),IF('PC 02'!F423="","Genre kosong",IF(ISERROR(MATCH(TRIM('PC 02'!F423),{"Pop","Rock","Dangdut","K-Pop","Electronic","Nasional","Daerah"},0)),"Genre di luar daftar","")),IF('PC 02'!G423="","Nama Channel kosong",""),IF('PC 02'!H423="","Link kosong",IF(ISERROR(FIND("youtu",LOWER('PC 02'!H423))),"Link bukan youtube","")),IF('PC 02'!I423="","Tgl Dibuat kosong",IF(NOT(ISNUMBER('PC 02'!I423)),"Tgl Dibuat harus tanggal","")),IF(AND('PC 02'!J423&lt;&gt;"",NOT(ISNUMBER('PC 02'!J423))),"Tgl Publish harus tanggal",""),IF(AND(ISNUMBER('PC 02'!I423),ISNUMBER('PC 02'!J423),'PC 02'!J423&lt;'PC 02'!I423),"Tgl Publish &lt; Tgl Dibuat",""),IF(AND('PC 02'!K423&lt;&gt;"",ISERROR(MATCH(TRIM('PC 02'!K423),{"Draft","Menunggu Review","Revisi","Terjadwal","Publish","Batal","Published"},0))),"Status di luar daftar","")))</f>
        <v>#ERROR!</v>
      </c>
      <c r="D423" s="5" t="str">
        <f>IF(C423="","OK","ADA MASALAH")</f>
        <v>#ERROR!</v>
      </c>
    </row>
    <row r="424">
      <c r="A424" s="3">
        <v>424.0</v>
      </c>
      <c r="B424" s="5" t="str">
        <f>'PC 02'!A424</f>
        <v/>
      </c>
      <c r="C424" s="5" t="str">
        <f>IF(COUNTA('PC 02'!A424:L424)=0,"",TEXTJOIN(" | ",TRUE,IF('PC 02'!A424="","Worker ID kosong",""),IF('PC 02'!B424="","Update Date kosong",IF(NOT(ISNUMBER('PC 02'!B424)),"Update Date harus tanggal","")),IF('PC 02'!D424="","Judul kosong",""),IF('PC 02'!F424="","Genre kosong",IF(ISERROR(MATCH(TRIM('PC 02'!F424),{"Pop","Rock","Dangdut","K-Pop","Electronic","Nasional","Daerah"},0)),"Genre di luar daftar","")),IF('PC 02'!G424="","Nama Channel kosong",""),IF('PC 02'!H424="","Link kosong",IF(ISERROR(FIND("youtu",LOWER('PC 02'!H424))),"Link bukan youtube","")),IF('PC 02'!I424="","Tgl Dibuat kosong",IF(NOT(ISNUMBER('PC 02'!I424)),"Tgl Dibuat harus tanggal","")),IF(AND('PC 02'!J424&lt;&gt;"",NOT(ISNUMBER('PC 02'!J424))),"Tgl Publish harus tanggal",""),IF(AND(ISNUMBER('PC 02'!I424),ISNUMBER('PC 02'!J424),'PC 02'!J424&lt;'PC 02'!I424),"Tgl Publish &lt; Tgl Dibuat",""),IF(AND('PC 02'!K424&lt;&gt;"",ISERROR(MATCH(TRIM('PC 02'!K424),{"Draft","Menunggu Review","Revisi","Terjadwal","Publish","Batal","Published"},0))),"Status di luar daftar","")))</f>
        <v>#ERROR!</v>
      </c>
      <c r="D424" s="5" t="str">
        <f>IF(C424="","OK","ADA MASALAH")</f>
        <v>#ERROR!</v>
      </c>
    </row>
    <row r="425">
      <c r="A425" s="3">
        <v>425.0</v>
      </c>
      <c r="B425" s="5" t="str">
        <f>'PC 02'!A425</f>
        <v/>
      </c>
      <c r="C425" s="5" t="str">
        <f>IF(COUNTA('PC 02'!A425:L425)=0,"",TEXTJOIN(" | ",TRUE,IF('PC 02'!A425="","Worker ID kosong",""),IF('PC 02'!B425="","Update Date kosong",IF(NOT(ISNUMBER('PC 02'!B425)),"Update Date harus tanggal","")),IF('PC 02'!D425="","Judul kosong",""),IF('PC 02'!F425="","Genre kosong",IF(ISERROR(MATCH(TRIM('PC 02'!F425),{"Pop","Rock","Dangdut","K-Pop","Electronic","Nasional","Daerah"},0)),"Genre di luar daftar","")),IF('PC 02'!G425="","Nama Channel kosong",""),IF('PC 02'!H425="","Link kosong",IF(ISERROR(FIND("youtu",LOWER('PC 02'!H425))),"Link bukan youtube","")),IF('PC 02'!I425="","Tgl Dibuat kosong",IF(NOT(ISNUMBER('PC 02'!I425)),"Tgl Dibuat harus tanggal","")),IF(AND('PC 02'!J425&lt;&gt;"",NOT(ISNUMBER('PC 02'!J425))),"Tgl Publish harus tanggal",""),IF(AND(ISNUMBER('PC 02'!I425),ISNUMBER('PC 02'!J425),'PC 02'!J425&lt;'PC 02'!I425),"Tgl Publish &lt; Tgl Dibuat",""),IF(AND('PC 02'!K425&lt;&gt;"",ISERROR(MATCH(TRIM('PC 02'!K425),{"Draft","Menunggu Review","Revisi","Terjadwal","Publish","Batal","Published"},0))),"Status di luar daftar","")))</f>
        <v>#ERROR!</v>
      </c>
      <c r="D425" s="5" t="str">
        <f>IF(C425="","OK","ADA MASALAH")</f>
        <v>#ERROR!</v>
      </c>
    </row>
    <row r="426">
      <c r="A426" s="3">
        <v>426.0</v>
      </c>
      <c r="B426" s="5" t="str">
        <f>'PC 02'!A426</f>
        <v/>
      </c>
      <c r="C426" s="5" t="str">
        <f>IF(COUNTA('PC 02'!A426:L426)=0,"",TEXTJOIN(" | ",TRUE,IF('PC 02'!A426="","Worker ID kosong",""),IF('PC 02'!B426="","Update Date kosong",IF(NOT(ISNUMBER('PC 02'!B426)),"Update Date harus tanggal","")),IF('PC 02'!D426="","Judul kosong",""),IF('PC 02'!F426="","Genre kosong",IF(ISERROR(MATCH(TRIM('PC 02'!F426),{"Pop","Rock","Dangdut","K-Pop","Electronic","Nasional","Daerah"},0)),"Genre di luar daftar","")),IF('PC 02'!G426="","Nama Channel kosong",""),IF('PC 02'!H426="","Link kosong",IF(ISERROR(FIND("youtu",LOWER('PC 02'!H426))),"Link bukan youtube","")),IF('PC 02'!I426="","Tgl Dibuat kosong",IF(NOT(ISNUMBER('PC 02'!I426)),"Tgl Dibuat harus tanggal","")),IF(AND('PC 02'!J426&lt;&gt;"",NOT(ISNUMBER('PC 02'!J426))),"Tgl Publish harus tanggal",""),IF(AND(ISNUMBER('PC 02'!I426),ISNUMBER('PC 02'!J426),'PC 02'!J426&lt;'PC 02'!I426),"Tgl Publish &lt; Tgl Dibuat",""),IF(AND('PC 02'!K426&lt;&gt;"",ISERROR(MATCH(TRIM('PC 02'!K426),{"Draft","Menunggu Review","Revisi","Terjadwal","Publish","Batal","Published"},0))),"Status di luar daftar","")))</f>
        <v>#ERROR!</v>
      </c>
      <c r="D426" s="5" t="str">
        <f>IF(C426="","OK","ADA MASALAH")</f>
        <v>#ERROR!</v>
      </c>
    </row>
    <row r="427">
      <c r="A427" s="3">
        <v>427.0</v>
      </c>
      <c r="B427" s="5" t="str">
        <f>'PC 02'!A427</f>
        <v/>
      </c>
      <c r="C427" s="5" t="str">
        <f>IF(COUNTA('PC 02'!A427:L427)=0,"",TEXTJOIN(" | ",TRUE,IF('PC 02'!A427="","Worker ID kosong",""),IF('PC 02'!B427="","Update Date kosong",IF(NOT(ISNUMBER('PC 02'!B427)),"Update Date harus tanggal","")),IF('PC 02'!D427="","Judul kosong",""),IF('PC 02'!F427="","Genre kosong",IF(ISERROR(MATCH(TRIM('PC 02'!F427),{"Pop","Rock","Dangdut","K-Pop","Electronic","Nasional","Daerah"},0)),"Genre di luar daftar","")),IF('PC 02'!G427="","Nama Channel kosong",""),IF('PC 02'!H427="","Link kosong",IF(ISERROR(FIND("youtu",LOWER('PC 02'!H427))),"Link bukan youtube","")),IF('PC 02'!I427="","Tgl Dibuat kosong",IF(NOT(ISNUMBER('PC 02'!I427)),"Tgl Dibuat harus tanggal","")),IF(AND('PC 02'!J427&lt;&gt;"",NOT(ISNUMBER('PC 02'!J427))),"Tgl Publish harus tanggal",""),IF(AND(ISNUMBER('PC 02'!I427),ISNUMBER('PC 02'!J427),'PC 02'!J427&lt;'PC 02'!I427),"Tgl Publish &lt; Tgl Dibuat",""),IF(AND('PC 02'!K427&lt;&gt;"",ISERROR(MATCH(TRIM('PC 02'!K427),{"Draft","Menunggu Review","Revisi","Terjadwal","Publish","Batal","Published"},0))),"Status di luar daftar","")))</f>
        <v>#ERROR!</v>
      </c>
      <c r="D427" s="5" t="str">
        <f>IF(C427="","OK","ADA MASALAH")</f>
        <v>#ERROR!</v>
      </c>
    </row>
    <row r="428">
      <c r="A428" s="3">
        <v>428.0</v>
      </c>
      <c r="B428" s="5" t="str">
        <f>'PC 02'!A428</f>
        <v/>
      </c>
      <c r="C428" s="5" t="str">
        <f>IF(COUNTA('PC 02'!A428:L428)=0,"",TEXTJOIN(" | ",TRUE,IF('PC 02'!A428="","Worker ID kosong",""),IF('PC 02'!B428="","Update Date kosong",IF(NOT(ISNUMBER('PC 02'!B428)),"Update Date harus tanggal","")),IF('PC 02'!D428="","Judul kosong",""),IF('PC 02'!F428="","Genre kosong",IF(ISERROR(MATCH(TRIM('PC 02'!F428),{"Pop","Rock","Dangdut","K-Pop","Electronic","Nasional","Daerah"},0)),"Genre di luar daftar","")),IF('PC 02'!G428="","Nama Channel kosong",""),IF('PC 02'!H428="","Link kosong",IF(ISERROR(FIND("youtu",LOWER('PC 02'!H428))),"Link bukan youtube","")),IF('PC 02'!I428="","Tgl Dibuat kosong",IF(NOT(ISNUMBER('PC 02'!I428)),"Tgl Dibuat harus tanggal","")),IF(AND('PC 02'!J428&lt;&gt;"",NOT(ISNUMBER('PC 02'!J428))),"Tgl Publish harus tanggal",""),IF(AND(ISNUMBER('PC 02'!I428),ISNUMBER('PC 02'!J428),'PC 02'!J428&lt;'PC 02'!I428),"Tgl Publish &lt; Tgl Dibuat",""),IF(AND('PC 02'!K428&lt;&gt;"",ISERROR(MATCH(TRIM('PC 02'!K428),{"Draft","Menunggu Review","Revisi","Terjadwal","Publish","Batal","Published"},0))),"Status di luar daftar","")))</f>
        <v>#ERROR!</v>
      </c>
      <c r="D428" s="5" t="str">
        <f>IF(C428="","OK","ADA MASALAH")</f>
        <v>#ERROR!</v>
      </c>
    </row>
    <row r="429">
      <c r="A429" s="3">
        <v>429.0</v>
      </c>
      <c r="B429" s="5" t="str">
        <f>'PC 02'!A429</f>
        <v/>
      </c>
      <c r="C429" s="5" t="str">
        <f>IF(COUNTA('PC 02'!A429:L429)=0,"",TEXTJOIN(" | ",TRUE,IF('PC 02'!A429="","Worker ID kosong",""),IF('PC 02'!B429="","Update Date kosong",IF(NOT(ISNUMBER('PC 02'!B429)),"Update Date harus tanggal","")),IF('PC 02'!D429="","Judul kosong",""),IF('PC 02'!F429="","Genre kosong",IF(ISERROR(MATCH(TRIM('PC 02'!F429),{"Pop","Rock","Dangdut","K-Pop","Electronic","Nasional","Daerah"},0)),"Genre di luar daftar","")),IF('PC 02'!G429="","Nama Channel kosong",""),IF('PC 02'!H429="","Link kosong",IF(ISERROR(FIND("youtu",LOWER('PC 02'!H429))),"Link bukan youtube","")),IF('PC 02'!I429="","Tgl Dibuat kosong",IF(NOT(ISNUMBER('PC 02'!I429)),"Tgl Dibuat harus tanggal","")),IF(AND('PC 02'!J429&lt;&gt;"",NOT(ISNUMBER('PC 02'!J429))),"Tgl Publish harus tanggal",""),IF(AND(ISNUMBER('PC 02'!I429),ISNUMBER('PC 02'!J429),'PC 02'!J429&lt;'PC 02'!I429),"Tgl Publish &lt; Tgl Dibuat",""),IF(AND('PC 02'!K429&lt;&gt;"",ISERROR(MATCH(TRIM('PC 02'!K429),{"Draft","Menunggu Review","Revisi","Terjadwal","Publish","Batal","Published"},0))),"Status di luar daftar","")))</f>
        <v>#ERROR!</v>
      </c>
      <c r="D429" s="5" t="str">
        <f>IF(C429="","OK","ADA MASALAH")</f>
        <v>#ERROR!</v>
      </c>
    </row>
    <row r="430">
      <c r="A430" s="3">
        <v>430.0</v>
      </c>
      <c r="B430" s="5" t="str">
        <f>'PC 02'!A430</f>
        <v/>
      </c>
      <c r="C430" s="5" t="str">
        <f>IF(COUNTA('PC 02'!A430:L430)=0,"",TEXTJOIN(" | ",TRUE,IF('PC 02'!A430="","Worker ID kosong",""),IF('PC 02'!B430="","Update Date kosong",IF(NOT(ISNUMBER('PC 02'!B430)),"Update Date harus tanggal","")),IF('PC 02'!D430="","Judul kosong",""),IF('PC 02'!F430="","Genre kosong",IF(ISERROR(MATCH(TRIM('PC 02'!F430),{"Pop","Rock","Dangdut","K-Pop","Electronic","Nasional","Daerah"},0)),"Genre di luar daftar","")),IF('PC 02'!G430="","Nama Channel kosong",""),IF('PC 02'!H430="","Link kosong",IF(ISERROR(FIND("youtu",LOWER('PC 02'!H430))),"Link bukan youtube","")),IF('PC 02'!I430="","Tgl Dibuat kosong",IF(NOT(ISNUMBER('PC 02'!I430)),"Tgl Dibuat harus tanggal","")),IF(AND('PC 02'!J430&lt;&gt;"",NOT(ISNUMBER('PC 02'!J430))),"Tgl Publish harus tanggal",""),IF(AND(ISNUMBER('PC 02'!I430),ISNUMBER('PC 02'!J430),'PC 02'!J430&lt;'PC 02'!I430),"Tgl Publish &lt; Tgl Dibuat",""),IF(AND('PC 02'!K430&lt;&gt;"",ISERROR(MATCH(TRIM('PC 02'!K430),{"Draft","Menunggu Review","Revisi","Terjadwal","Publish","Batal","Published"},0))),"Status di luar daftar","")))</f>
        <v>#ERROR!</v>
      </c>
      <c r="D430" s="5" t="str">
        <f>IF(C430="","OK","ADA MASALAH")</f>
        <v>#ERROR!</v>
      </c>
    </row>
    <row r="431">
      <c r="A431" s="3">
        <v>431.0</v>
      </c>
      <c r="B431" s="5" t="str">
        <f>'PC 02'!A431</f>
        <v/>
      </c>
      <c r="C431" s="5" t="str">
        <f>IF(COUNTA('PC 02'!A431:L431)=0,"",TEXTJOIN(" | ",TRUE,IF('PC 02'!A431="","Worker ID kosong",""),IF('PC 02'!B431="","Update Date kosong",IF(NOT(ISNUMBER('PC 02'!B431)),"Update Date harus tanggal","")),IF('PC 02'!D431="","Judul kosong",""),IF('PC 02'!F431="","Genre kosong",IF(ISERROR(MATCH(TRIM('PC 02'!F431),{"Pop","Rock","Dangdut","K-Pop","Electronic","Nasional","Daerah"},0)),"Genre di luar daftar","")),IF('PC 02'!G431="","Nama Channel kosong",""),IF('PC 02'!H431="","Link kosong",IF(ISERROR(FIND("youtu",LOWER('PC 02'!H431))),"Link bukan youtube","")),IF('PC 02'!I431="","Tgl Dibuat kosong",IF(NOT(ISNUMBER('PC 02'!I431)),"Tgl Dibuat harus tanggal","")),IF(AND('PC 02'!J431&lt;&gt;"",NOT(ISNUMBER('PC 02'!J431))),"Tgl Publish harus tanggal",""),IF(AND(ISNUMBER('PC 02'!I431),ISNUMBER('PC 02'!J431),'PC 02'!J431&lt;'PC 02'!I431),"Tgl Publish &lt; Tgl Dibuat",""),IF(AND('PC 02'!K431&lt;&gt;"",ISERROR(MATCH(TRIM('PC 02'!K431),{"Draft","Menunggu Review","Revisi","Terjadwal","Publish","Batal","Published"},0))),"Status di luar daftar","")))</f>
        <v>#ERROR!</v>
      </c>
      <c r="D431" s="5" t="str">
        <f>IF(C431="","OK","ADA MASALAH")</f>
        <v>#ERROR!</v>
      </c>
    </row>
    <row r="432">
      <c r="A432" s="3">
        <v>432.0</v>
      </c>
      <c r="B432" s="5" t="str">
        <f>'PC 02'!A432</f>
        <v/>
      </c>
      <c r="C432" s="5" t="str">
        <f>IF(COUNTA('PC 02'!A432:L432)=0,"",TEXTJOIN(" | ",TRUE,IF('PC 02'!A432="","Worker ID kosong",""),IF('PC 02'!B432="","Update Date kosong",IF(NOT(ISNUMBER('PC 02'!B432)),"Update Date harus tanggal","")),IF('PC 02'!D432="","Judul kosong",""),IF('PC 02'!F432="","Genre kosong",IF(ISERROR(MATCH(TRIM('PC 02'!F432),{"Pop","Rock","Dangdut","K-Pop","Electronic","Nasional","Daerah"},0)),"Genre di luar daftar","")),IF('PC 02'!G432="","Nama Channel kosong",""),IF('PC 02'!H432="","Link kosong",IF(ISERROR(FIND("youtu",LOWER('PC 02'!H432))),"Link bukan youtube","")),IF('PC 02'!I432="","Tgl Dibuat kosong",IF(NOT(ISNUMBER('PC 02'!I432)),"Tgl Dibuat harus tanggal","")),IF(AND('PC 02'!J432&lt;&gt;"",NOT(ISNUMBER('PC 02'!J432))),"Tgl Publish harus tanggal",""),IF(AND(ISNUMBER('PC 02'!I432),ISNUMBER('PC 02'!J432),'PC 02'!J432&lt;'PC 02'!I432),"Tgl Publish &lt; Tgl Dibuat",""),IF(AND('PC 02'!K432&lt;&gt;"",ISERROR(MATCH(TRIM('PC 02'!K432),{"Draft","Menunggu Review","Revisi","Terjadwal","Publish","Batal","Published"},0))),"Status di luar daftar","")))</f>
        <v>#ERROR!</v>
      </c>
      <c r="D432" s="5" t="str">
        <f>IF(C432="","OK","ADA MASALAH")</f>
        <v>#ERROR!</v>
      </c>
    </row>
    <row r="433">
      <c r="A433" s="3">
        <v>433.0</v>
      </c>
      <c r="B433" s="5" t="str">
        <f>'PC 02'!A433</f>
        <v/>
      </c>
      <c r="C433" s="5" t="str">
        <f>IF(COUNTA('PC 02'!A433:L433)=0,"",TEXTJOIN(" | ",TRUE,IF('PC 02'!A433="","Worker ID kosong",""),IF('PC 02'!B433="","Update Date kosong",IF(NOT(ISNUMBER('PC 02'!B433)),"Update Date harus tanggal","")),IF('PC 02'!D433="","Judul kosong",""),IF('PC 02'!F433="","Genre kosong",IF(ISERROR(MATCH(TRIM('PC 02'!F433),{"Pop","Rock","Dangdut","K-Pop","Electronic","Nasional","Daerah"},0)),"Genre di luar daftar","")),IF('PC 02'!G433="","Nama Channel kosong",""),IF('PC 02'!H433="","Link kosong",IF(ISERROR(FIND("youtu",LOWER('PC 02'!H433))),"Link bukan youtube","")),IF('PC 02'!I433="","Tgl Dibuat kosong",IF(NOT(ISNUMBER('PC 02'!I433)),"Tgl Dibuat harus tanggal","")),IF(AND('PC 02'!J433&lt;&gt;"",NOT(ISNUMBER('PC 02'!J433))),"Tgl Publish harus tanggal",""),IF(AND(ISNUMBER('PC 02'!I433),ISNUMBER('PC 02'!J433),'PC 02'!J433&lt;'PC 02'!I433),"Tgl Publish &lt; Tgl Dibuat",""),IF(AND('PC 02'!K433&lt;&gt;"",ISERROR(MATCH(TRIM('PC 02'!K433),{"Draft","Menunggu Review","Revisi","Terjadwal","Publish","Batal","Published"},0))),"Status di luar daftar","")))</f>
        <v>#ERROR!</v>
      </c>
      <c r="D433" s="5" t="str">
        <f>IF(C433="","OK","ADA MASALAH")</f>
        <v>#ERROR!</v>
      </c>
    </row>
    <row r="434">
      <c r="A434" s="3">
        <v>434.0</v>
      </c>
      <c r="B434" s="5" t="str">
        <f>'PC 02'!A434</f>
        <v/>
      </c>
      <c r="C434" s="5" t="str">
        <f>IF(COUNTA('PC 02'!A434:L434)=0,"",TEXTJOIN(" | ",TRUE,IF('PC 02'!A434="","Worker ID kosong",""),IF('PC 02'!B434="","Update Date kosong",IF(NOT(ISNUMBER('PC 02'!B434)),"Update Date harus tanggal","")),IF('PC 02'!D434="","Judul kosong",""),IF('PC 02'!F434="","Genre kosong",IF(ISERROR(MATCH(TRIM('PC 02'!F434),{"Pop","Rock","Dangdut","K-Pop","Electronic","Nasional","Daerah"},0)),"Genre di luar daftar","")),IF('PC 02'!G434="","Nama Channel kosong",""),IF('PC 02'!H434="","Link kosong",IF(ISERROR(FIND("youtu",LOWER('PC 02'!H434))),"Link bukan youtube","")),IF('PC 02'!I434="","Tgl Dibuat kosong",IF(NOT(ISNUMBER('PC 02'!I434)),"Tgl Dibuat harus tanggal","")),IF(AND('PC 02'!J434&lt;&gt;"",NOT(ISNUMBER('PC 02'!J434))),"Tgl Publish harus tanggal",""),IF(AND(ISNUMBER('PC 02'!I434),ISNUMBER('PC 02'!J434),'PC 02'!J434&lt;'PC 02'!I434),"Tgl Publish &lt; Tgl Dibuat",""),IF(AND('PC 02'!K434&lt;&gt;"",ISERROR(MATCH(TRIM('PC 02'!K434),{"Draft","Menunggu Review","Revisi","Terjadwal","Publish","Batal","Published"},0))),"Status di luar daftar","")))</f>
        <v>#ERROR!</v>
      </c>
      <c r="D434" s="5" t="str">
        <f>IF(C434="","OK","ADA MASALAH")</f>
        <v>#ERROR!</v>
      </c>
    </row>
    <row r="435">
      <c r="A435" s="3">
        <v>435.0</v>
      </c>
      <c r="B435" s="5" t="str">
        <f>'PC 02'!A435</f>
        <v/>
      </c>
      <c r="C435" s="5" t="str">
        <f>IF(COUNTA('PC 02'!A435:L435)=0,"",TEXTJOIN(" | ",TRUE,IF('PC 02'!A435="","Worker ID kosong",""),IF('PC 02'!B435="","Update Date kosong",IF(NOT(ISNUMBER('PC 02'!B435)),"Update Date harus tanggal","")),IF('PC 02'!D435="","Judul kosong",""),IF('PC 02'!F435="","Genre kosong",IF(ISERROR(MATCH(TRIM('PC 02'!F435),{"Pop","Rock","Dangdut","K-Pop","Electronic","Nasional","Daerah"},0)),"Genre di luar daftar","")),IF('PC 02'!G435="","Nama Channel kosong",""),IF('PC 02'!H435="","Link kosong",IF(ISERROR(FIND("youtu",LOWER('PC 02'!H435))),"Link bukan youtube","")),IF('PC 02'!I435="","Tgl Dibuat kosong",IF(NOT(ISNUMBER('PC 02'!I435)),"Tgl Dibuat harus tanggal","")),IF(AND('PC 02'!J435&lt;&gt;"",NOT(ISNUMBER('PC 02'!J435))),"Tgl Publish harus tanggal",""),IF(AND(ISNUMBER('PC 02'!I435),ISNUMBER('PC 02'!J435),'PC 02'!J435&lt;'PC 02'!I435),"Tgl Publish &lt; Tgl Dibuat",""),IF(AND('PC 02'!K435&lt;&gt;"",ISERROR(MATCH(TRIM('PC 02'!K435),{"Draft","Menunggu Review","Revisi","Terjadwal","Publish","Batal","Published"},0))),"Status di luar daftar","")))</f>
        <v>#ERROR!</v>
      </c>
      <c r="D435" s="5" t="str">
        <f>IF(C435="","OK","ADA MASALAH")</f>
        <v>#ERROR!</v>
      </c>
    </row>
    <row r="436">
      <c r="A436" s="3">
        <v>436.0</v>
      </c>
      <c r="B436" s="5" t="str">
        <f>'PC 02'!A436</f>
        <v/>
      </c>
      <c r="C436" s="5" t="str">
        <f>IF(COUNTA('PC 02'!A436:L436)=0,"",TEXTJOIN(" | ",TRUE,IF('PC 02'!A436="","Worker ID kosong",""),IF('PC 02'!B436="","Update Date kosong",IF(NOT(ISNUMBER('PC 02'!B436)),"Update Date harus tanggal","")),IF('PC 02'!D436="","Judul kosong",""),IF('PC 02'!F436="","Genre kosong",IF(ISERROR(MATCH(TRIM('PC 02'!F436),{"Pop","Rock","Dangdut","K-Pop","Electronic","Nasional","Daerah"},0)),"Genre di luar daftar","")),IF('PC 02'!G436="","Nama Channel kosong",""),IF('PC 02'!H436="","Link kosong",IF(ISERROR(FIND("youtu",LOWER('PC 02'!H436))),"Link bukan youtube","")),IF('PC 02'!I436="","Tgl Dibuat kosong",IF(NOT(ISNUMBER('PC 02'!I436)),"Tgl Dibuat harus tanggal","")),IF(AND('PC 02'!J436&lt;&gt;"",NOT(ISNUMBER('PC 02'!J436))),"Tgl Publish harus tanggal",""),IF(AND(ISNUMBER('PC 02'!I436),ISNUMBER('PC 02'!J436),'PC 02'!J436&lt;'PC 02'!I436),"Tgl Publish &lt; Tgl Dibuat",""),IF(AND('PC 02'!K436&lt;&gt;"",ISERROR(MATCH(TRIM('PC 02'!K436),{"Draft","Menunggu Review","Revisi","Terjadwal","Publish","Batal","Published"},0))),"Status di luar daftar","")))</f>
        <v>#ERROR!</v>
      </c>
      <c r="D436" s="5" t="str">
        <f>IF(C436="","OK","ADA MASALAH")</f>
        <v>#ERROR!</v>
      </c>
    </row>
    <row r="437">
      <c r="A437" s="3">
        <v>437.0</v>
      </c>
      <c r="B437" s="5" t="str">
        <f>'PC 02'!A437</f>
        <v/>
      </c>
      <c r="C437" s="5" t="str">
        <f>IF(COUNTA('PC 02'!A437:L437)=0,"",TEXTJOIN(" | ",TRUE,IF('PC 02'!A437="","Worker ID kosong",""),IF('PC 02'!B437="","Update Date kosong",IF(NOT(ISNUMBER('PC 02'!B437)),"Update Date harus tanggal","")),IF('PC 02'!D437="","Judul kosong",""),IF('PC 02'!F437="","Genre kosong",IF(ISERROR(MATCH(TRIM('PC 02'!F437),{"Pop","Rock","Dangdut","K-Pop","Electronic","Nasional","Daerah"},0)),"Genre di luar daftar","")),IF('PC 02'!G437="","Nama Channel kosong",""),IF('PC 02'!H437="","Link kosong",IF(ISERROR(FIND("youtu",LOWER('PC 02'!H437))),"Link bukan youtube","")),IF('PC 02'!I437="","Tgl Dibuat kosong",IF(NOT(ISNUMBER('PC 02'!I437)),"Tgl Dibuat harus tanggal","")),IF(AND('PC 02'!J437&lt;&gt;"",NOT(ISNUMBER('PC 02'!J437))),"Tgl Publish harus tanggal",""),IF(AND(ISNUMBER('PC 02'!I437),ISNUMBER('PC 02'!J437),'PC 02'!J437&lt;'PC 02'!I437),"Tgl Publish &lt; Tgl Dibuat",""),IF(AND('PC 02'!K437&lt;&gt;"",ISERROR(MATCH(TRIM('PC 02'!K437),{"Draft","Menunggu Review","Revisi","Terjadwal","Publish","Batal","Published"},0))),"Status di luar daftar","")))</f>
        <v>#ERROR!</v>
      </c>
      <c r="D437" s="5" t="str">
        <f>IF(C437="","OK","ADA MASALAH")</f>
        <v>#ERROR!</v>
      </c>
    </row>
    <row r="438">
      <c r="A438" s="3">
        <v>438.0</v>
      </c>
      <c r="B438" s="5" t="str">
        <f>'PC 02'!A438</f>
        <v/>
      </c>
      <c r="C438" s="5" t="str">
        <f>IF(COUNTA('PC 02'!A438:L438)=0,"",TEXTJOIN(" | ",TRUE,IF('PC 02'!A438="","Worker ID kosong",""),IF('PC 02'!B438="","Update Date kosong",IF(NOT(ISNUMBER('PC 02'!B438)),"Update Date harus tanggal","")),IF('PC 02'!D438="","Judul kosong",""),IF('PC 02'!F438="","Genre kosong",IF(ISERROR(MATCH(TRIM('PC 02'!F438),{"Pop","Rock","Dangdut","K-Pop","Electronic","Nasional","Daerah"},0)),"Genre di luar daftar","")),IF('PC 02'!G438="","Nama Channel kosong",""),IF('PC 02'!H438="","Link kosong",IF(ISERROR(FIND("youtu",LOWER('PC 02'!H438))),"Link bukan youtube","")),IF('PC 02'!I438="","Tgl Dibuat kosong",IF(NOT(ISNUMBER('PC 02'!I438)),"Tgl Dibuat harus tanggal","")),IF(AND('PC 02'!J438&lt;&gt;"",NOT(ISNUMBER('PC 02'!J438))),"Tgl Publish harus tanggal",""),IF(AND(ISNUMBER('PC 02'!I438),ISNUMBER('PC 02'!J438),'PC 02'!J438&lt;'PC 02'!I438),"Tgl Publish &lt; Tgl Dibuat",""),IF(AND('PC 02'!K438&lt;&gt;"",ISERROR(MATCH(TRIM('PC 02'!K438),{"Draft","Menunggu Review","Revisi","Terjadwal","Publish","Batal","Published"},0))),"Status di luar daftar","")))</f>
        <v>#ERROR!</v>
      </c>
      <c r="D438" s="5" t="str">
        <f>IF(C438="","OK","ADA MASALAH")</f>
        <v>#ERROR!</v>
      </c>
    </row>
    <row r="439">
      <c r="A439" s="3">
        <v>439.0</v>
      </c>
      <c r="B439" s="5" t="str">
        <f>'PC 02'!A439</f>
        <v/>
      </c>
      <c r="C439" s="5" t="str">
        <f>IF(COUNTA('PC 02'!A439:L439)=0,"",TEXTJOIN(" | ",TRUE,IF('PC 02'!A439="","Worker ID kosong",""),IF('PC 02'!B439="","Update Date kosong",IF(NOT(ISNUMBER('PC 02'!B439)),"Update Date harus tanggal","")),IF('PC 02'!D439="","Judul kosong",""),IF('PC 02'!F439="","Genre kosong",IF(ISERROR(MATCH(TRIM('PC 02'!F439),{"Pop","Rock","Dangdut","K-Pop","Electronic","Nasional","Daerah"},0)),"Genre di luar daftar","")),IF('PC 02'!G439="","Nama Channel kosong",""),IF('PC 02'!H439="","Link kosong",IF(ISERROR(FIND("youtu",LOWER('PC 02'!H439))),"Link bukan youtube","")),IF('PC 02'!I439="","Tgl Dibuat kosong",IF(NOT(ISNUMBER('PC 02'!I439)),"Tgl Dibuat harus tanggal","")),IF(AND('PC 02'!J439&lt;&gt;"",NOT(ISNUMBER('PC 02'!J439))),"Tgl Publish harus tanggal",""),IF(AND(ISNUMBER('PC 02'!I439),ISNUMBER('PC 02'!J439),'PC 02'!J439&lt;'PC 02'!I439),"Tgl Publish &lt; Tgl Dibuat",""),IF(AND('PC 02'!K439&lt;&gt;"",ISERROR(MATCH(TRIM('PC 02'!K439),{"Draft","Menunggu Review","Revisi","Terjadwal","Publish","Batal","Published"},0))),"Status di luar daftar","")))</f>
        <v>#ERROR!</v>
      </c>
      <c r="D439" s="5" t="str">
        <f>IF(C439="","OK","ADA MASALAH")</f>
        <v>#ERROR!</v>
      </c>
    </row>
    <row r="440">
      <c r="A440" s="3">
        <v>440.0</v>
      </c>
      <c r="B440" s="5" t="str">
        <f>'PC 02'!A440</f>
        <v/>
      </c>
      <c r="C440" s="5" t="str">
        <f>IF(COUNTA('PC 02'!A440:L440)=0,"",TEXTJOIN(" | ",TRUE,IF('PC 02'!A440="","Worker ID kosong",""),IF('PC 02'!B440="","Update Date kosong",IF(NOT(ISNUMBER('PC 02'!B440)),"Update Date harus tanggal","")),IF('PC 02'!D440="","Judul kosong",""),IF('PC 02'!F440="","Genre kosong",IF(ISERROR(MATCH(TRIM('PC 02'!F440),{"Pop","Rock","Dangdut","K-Pop","Electronic","Nasional","Daerah"},0)),"Genre di luar daftar","")),IF('PC 02'!G440="","Nama Channel kosong",""),IF('PC 02'!H440="","Link kosong",IF(ISERROR(FIND("youtu",LOWER('PC 02'!H440))),"Link bukan youtube","")),IF('PC 02'!I440="","Tgl Dibuat kosong",IF(NOT(ISNUMBER('PC 02'!I440)),"Tgl Dibuat harus tanggal","")),IF(AND('PC 02'!J440&lt;&gt;"",NOT(ISNUMBER('PC 02'!J440))),"Tgl Publish harus tanggal",""),IF(AND(ISNUMBER('PC 02'!I440),ISNUMBER('PC 02'!J440),'PC 02'!J440&lt;'PC 02'!I440),"Tgl Publish &lt; Tgl Dibuat",""),IF(AND('PC 02'!K440&lt;&gt;"",ISERROR(MATCH(TRIM('PC 02'!K440),{"Draft","Menunggu Review","Revisi","Terjadwal","Publish","Batal","Published"},0))),"Status di luar daftar","")))</f>
        <v>#ERROR!</v>
      </c>
      <c r="D440" s="5" t="str">
        <f>IF(C440="","OK","ADA MASALAH")</f>
        <v>#ERROR!</v>
      </c>
    </row>
    <row r="441">
      <c r="A441" s="3">
        <v>441.0</v>
      </c>
      <c r="B441" s="5" t="str">
        <f>'PC 02'!A441</f>
        <v/>
      </c>
      <c r="C441" s="5" t="str">
        <f>IF(COUNTA('PC 02'!A441:L441)=0,"",TEXTJOIN(" | ",TRUE,IF('PC 02'!A441="","Worker ID kosong",""),IF('PC 02'!B441="","Update Date kosong",IF(NOT(ISNUMBER('PC 02'!B441)),"Update Date harus tanggal","")),IF('PC 02'!D441="","Judul kosong",""),IF('PC 02'!F441="","Genre kosong",IF(ISERROR(MATCH(TRIM('PC 02'!F441),{"Pop","Rock","Dangdut","K-Pop","Electronic","Nasional","Daerah"},0)),"Genre di luar daftar","")),IF('PC 02'!G441="","Nama Channel kosong",""),IF('PC 02'!H441="","Link kosong",IF(ISERROR(FIND("youtu",LOWER('PC 02'!H441))),"Link bukan youtube","")),IF('PC 02'!I441="","Tgl Dibuat kosong",IF(NOT(ISNUMBER('PC 02'!I441)),"Tgl Dibuat harus tanggal","")),IF(AND('PC 02'!J441&lt;&gt;"",NOT(ISNUMBER('PC 02'!J441))),"Tgl Publish harus tanggal",""),IF(AND(ISNUMBER('PC 02'!I441),ISNUMBER('PC 02'!J441),'PC 02'!J441&lt;'PC 02'!I441),"Tgl Publish &lt; Tgl Dibuat",""),IF(AND('PC 02'!K441&lt;&gt;"",ISERROR(MATCH(TRIM('PC 02'!K441),{"Draft","Menunggu Review","Revisi","Terjadwal","Publish","Batal","Published"},0))),"Status di luar daftar","")))</f>
        <v>#ERROR!</v>
      </c>
      <c r="D441" s="5" t="str">
        <f>IF(C441="","OK","ADA MASALAH")</f>
        <v>#ERROR!</v>
      </c>
    </row>
    <row r="442">
      <c r="A442" s="3">
        <v>442.0</v>
      </c>
      <c r="B442" s="5" t="str">
        <f>'PC 02'!A442</f>
        <v/>
      </c>
      <c r="C442" s="5" t="str">
        <f>IF(COUNTA('PC 02'!A442:L442)=0,"",TEXTJOIN(" | ",TRUE,IF('PC 02'!A442="","Worker ID kosong",""),IF('PC 02'!B442="","Update Date kosong",IF(NOT(ISNUMBER('PC 02'!B442)),"Update Date harus tanggal","")),IF('PC 02'!D442="","Judul kosong",""),IF('PC 02'!F442="","Genre kosong",IF(ISERROR(MATCH(TRIM('PC 02'!F442),{"Pop","Rock","Dangdut","K-Pop","Electronic","Nasional","Daerah"},0)),"Genre di luar daftar","")),IF('PC 02'!G442="","Nama Channel kosong",""),IF('PC 02'!H442="","Link kosong",IF(ISERROR(FIND("youtu",LOWER('PC 02'!H442))),"Link bukan youtube","")),IF('PC 02'!I442="","Tgl Dibuat kosong",IF(NOT(ISNUMBER('PC 02'!I442)),"Tgl Dibuat harus tanggal","")),IF(AND('PC 02'!J442&lt;&gt;"",NOT(ISNUMBER('PC 02'!J442))),"Tgl Publish harus tanggal",""),IF(AND(ISNUMBER('PC 02'!I442),ISNUMBER('PC 02'!J442),'PC 02'!J442&lt;'PC 02'!I442),"Tgl Publish &lt; Tgl Dibuat",""),IF(AND('PC 02'!K442&lt;&gt;"",ISERROR(MATCH(TRIM('PC 02'!K442),{"Draft","Menunggu Review","Revisi","Terjadwal","Publish","Batal","Published"},0))),"Status di luar daftar","")))</f>
        <v>#ERROR!</v>
      </c>
      <c r="D442" s="5" t="str">
        <f>IF(C442="","OK","ADA MASALAH")</f>
        <v>#ERROR!</v>
      </c>
    </row>
    <row r="443">
      <c r="A443" s="3">
        <v>443.0</v>
      </c>
      <c r="B443" s="5" t="str">
        <f>'PC 02'!A443</f>
        <v/>
      </c>
      <c r="C443" s="5" t="str">
        <f>IF(COUNTA('PC 02'!A443:L443)=0,"",TEXTJOIN(" | ",TRUE,IF('PC 02'!A443="","Worker ID kosong",""),IF('PC 02'!B443="","Update Date kosong",IF(NOT(ISNUMBER('PC 02'!B443)),"Update Date harus tanggal","")),IF('PC 02'!D443="","Judul kosong",""),IF('PC 02'!F443="","Genre kosong",IF(ISERROR(MATCH(TRIM('PC 02'!F443),{"Pop","Rock","Dangdut","K-Pop","Electronic","Nasional","Daerah"},0)),"Genre di luar daftar","")),IF('PC 02'!G443="","Nama Channel kosong",""),IF('PC 02'!H443="","Link kosong",IF(ISERROR(FIND("youtu",LOWER('PC 02'!H443))),"Link bukan youtube","")),IF('PC 02'!I443="","Tgl Dibuat kosong",IF(NOT(ISNUMBER('PC 02'!I443)),"Tgl Dibuat harus tanggal","")),IF(AND('PC 02'!J443&lt;&gt;"",NOT(ISNUMBER('PC 02'!J443))),"Tgl Publish harus tanggal",""),IF(AND(ISNUMBER('PC 02'!I443),ISNUMBER('PC 02'!J443),'PC 02'!J443&lt;'PC 02'!I443),"Tgl Publish &lt; Tgl Dibuat",""),IF(AND('PC 02'!K443&lt;&gt;"",ISERROR(MATCH(TRIM('PC 02'!K443),{"Draft","Menunggu Review","Revisi","Terjadwal","Publish","Batal","Published"},0))),"Status di luar daftar","")))</f>
        <v>#ERROR!</v>
      </c>
      <c r="D443" s="5" t="str">
        <f>IF(C443="","OK","ADA MASALAH")</f>
        <v>#ERROR!</v>
      </c>
    </row>
    <row r="444">
      <c r="A444" s="3">
        <v>444.0</v>
      </c>
      <c r="B444" s="5" t="str">
        <f>'PC 02'!A444</f>
        <v/>
      </c>
      <c r="C444" s="5" t="str">
        <f>IF(COUNTA('PC 02'!A444:L444)=0,"",TEXTJOIN(" | ",TRUE,IF('PC 02'!A444="","Worker ID kosong",""),IF('PC 02'!B444="","Update Date kosong",IF(NOT(ISNUMBER('PC 02'!B444)),"Update Date harus tanggal","")),IF('PC 02'!D444="","Judul kosong",""),IF('PC 02'!F444="","Genre kosong",IF(ISERROR(MATCH(TRIM('PC 02'!F444),{"Pop","Rock","Dangdut","K-Pop","Electronic","Nasional","Daerah"},0)),"Genre di luar daftar","")),IF('PC 02'!G444="","Nama Channel kosong",""),IF('PC 02'!H444="","Link kosong",IF(ISERROR(FIND("youtu",LOWER('PC 02'!H444))),"Link bukan youtube","")),IF('PC 02'!I444="","Tgl Dibuat kosong",IF(NOT(ISNUMBER('PC 02'!I444)),"Tgl Dibuat harus tanggal","")),IF(AND('PC 02'!J444&lt;&gt;"",NOT(ISNUMBER('PC 02'!J444))),"Tgl Publish harus tanggal",""),IF(AND(ISNUMBER('PC 02'!I444),ISNUMBER('PC 02'!J444),'PC 02'!J444&lt;'PC 02'!I444),"Tgl Publish &lt; Tgl Dibuat",""),IF(AND('PC 02'!K444&lt;&gt;"",ISERROR(MATCH(TRIM('PC 02'!K444),{"Draft","Menunggu Review","Revisi","Terjadwal","Publish","Batal","Published"},0))),"Status di luar daftar","")))</f>
        <v>#ERROR!</v>
      </c>
      <c r="D444" s="5" t="str">
        <f>IF(C444="","OK","ADA MASALAH")</f>
        <v>#ERROR!</v>
      </c>
    </row>
    <row r="445">
      <c r="A445" s="3">
        <v>445.0</v>
      </c>
      <c r="B445" s="5" t="str">
        <f>'PC 02'!A445</f>
        <v/>
      </c>
      <c r="C445" s="5" t="str">
        <f>IF(COUNTA('PC 02'!A445:L445)=0,"",TEXTJOIN(" | ",TRUE,IF('PC 02'!A445="","Worker ID kosong",""),IF('PC 02'!B445="","Update Date kosong",IF(NOT(ISNUMBER('PC 02'!B445)),"Update Date harus tanggal","")),IF('PC 02'!D445="","Judul kosong",""),IF('PC 02'!F445="","Genre kosong",IF(ISERROR(MATCH(TRIM('PC 02'!F445),{"Pop","Rock","Dangdut","K-Pop","Electronic","Nasional","Daerah"},0)),"Genre di luar daftar","")),IF('PC 02'!G445="","Nama Channel kosong",""),IF('PC 02'!H445="","Link kosong",IF(ISERROR(FIND("youtu",LOWER('PC 02'!H445))),"Link bukan youtube","")),IF('PC 02'!I445="","Tgl Dibuat kosong",IF(NOT(ISNUMBER('PC 02'!I445)),"Tgl Dibuat harus tanggal","")),IF(AND('PC 02'!J445&lt;&gt;"",NOT(ISNUMBER('PC 02'!J445))),"Tgl Publish harus tanggal",""),IF(AND(ISNUMBER('PC 02'!I445),ISNUMBER('PC 02'!J445),'PC 02'!J445&lt;'PC 02'!I445),"Tgl Publish &lt; Tgl Dibuat",""),IF(AND('PC 02'!K445&lt;&gt;"",ISERROR(MATCH(TRIM('PC 02'!K445),{"Draft","Menunggu Review","Revisi","Terjadwal","Publish","Batal","Published"},0))),"Status di luar daftar","")))</f>
        <v>#ERROR!</v>
      </c>
      <c r="D445" s="5" t="str">
        <f>IF(C445="","OK","ADA MASALAH")</f>
        <v>#ERROR!</v>
      </c>
    </row>
    <row r="446">
      <c r="A446" s="3">
        <v>446.0</v>
      </c>
      <c r="B446" s="5" t="str">
        <f>'PC 02'!A446</f>
        <v/>
      </c>
      <c r="C446" s="5" t="str">
        <f>IF(COUNTA('PC 02'!A446:L446)=0,"",TEXTJOIN(" | ",TRUE,IF('PC 02'!A446="","Worker ID kosong",""),IF('PC 02'!B446="","Update Date kosong",IF(NOT(ISNUMBER('PC 02'!B446)),"Update Date harus tanggal","")),IF('PC 02'!D446="","Judul kosong",""),IF('PC 02'!F446="","Genre kosong",IF(ISERROR(MATCH(TRIM('PC 02'!F446),{"Pop","Rock","Dangdut","K-Pop","Electronic","Nasional","Daerah"},0)),"Genre di luar daftar","")),IF('PC 02'!G446="","Nama Channel kosong",""),IF('PC 02'!H446="","Link kosong",IF(ISERROR(FIND("youtu",LOWER('PC 02'!H446))),"Link bukan youtube","")),IF('PC 02'!I446="","Tgl Dibuat kosong",IF(NOT(ISNUMBER('PC 02'!I446)),"Tgl Dibuat harus tanggal","")),IF(AND('PC 02'!J446&lt;&gt;"",NOT(ISNUMBER('PC 02'!J446))),"Tgl Publish harus tanggal",""),IF(AND(ISNUMBER('PC 02'!I446),ISNUMBER('PC 02'!J446),'PC 02'!J446&lt;'PC 02'!I446),"Tgl Publish &lt; Tgl Dibuat",""),IF(AND('PC 02'!K446&lt;&gt;"",ISERROR(MATCH(TRIM('PC 02'!K446),{"Draft","Menunggu Review","Revisi","Terjadwal","Publish","Batal","Published"},0))),"Status di luar daftar","")))</f>
        <v>#ERROR!</v>
      </c>
      <c r="D446" s="5" t="str">
        <f>IF(C446="","OK","ADA MASALAH")</f>
        <v>#ERROR!</v>
      </c>
    </row>
    <row r="447">
      <c r="A447" s="3">
        <v>447.0</v>
      </c>
      <c r="B447" s="5" t="str">
        <f>'PC 02'!A447</f>
        <v/>
      </c>
      <c r="C447" s="5" t="str">
        <f>IF(COUNTA('PC 02'!A447:L447)=0,"",TEXTJOIN(" | ",TRUE,IF('PC 02'!A447="","Worker ID kosong",""),IF('PC 02'!B447="","Update Date kosong",IF(NOT(ISNUMBER('PC 02'!B447)),"Update Date harus tanggal","")),IF('PC 02'!D447="","Judul kosong",""),IF('PC 02'!F447="","Genre kosong",IF(ISERROR(MATCH(TRIM('PC 02'!F447),{"Pop","Rock","Dangdut","K-Pop","Electronic","Nasional","Daerah"},0)),"Genre di luar daftar","")),IF('PC 02'!G447="","Nama Channel kosong",""),IF('PC 02'!H447="","Link kosong",IF(ISERROR(FIND("youtu",LOWER('PC 02'!H447))),"Link bukan youtube","")),IF('PC 02'!I447="","Tgl Dibuat kosong",IF(NOT(ISNUMBER('PC 02'!I447)),"Tgl Dibuat harus tanggal","")),IF(AND('PC 02'!J447&lt;&gt;"",NOT(ISNUMBER('PC 02'!J447))),"Tgl Publish harus tanggal",""),IF(AND(ISNUMBER('PC 02'!I447),ISNUMBER('PC 02'!J447),'PC 02'!J447&lt;'PC 02'!I447),"Tgl Publish &lt; Tgl Dibuat",""),IF(AND('PC 02'!K447&lt;&gt;"",ISERROR(MATCH(TRIM('PC 02'!K447),{"Draft","Menunggu Review","Revisi","Terjadwal","Publish","Batal","Published"},0))),"Status di luar daftar","")))</f>
        <v>#ERROR!</v>
      </c>
      <c r="D447" s="5" t="str">
        <f>IF(C447="","OK","ADA MASALAH")</f>
        <v>#ERROR!</v>
      </c>
    </row>
    <row r="448">
      <c r="A448" s="3">
        <v>448.0</v>
      </c>
      <c r="B448" s="5" t="str">
        <f>'PC 02'!A448</f>
        <v/>
      </c>
      <c r="C448" s="5" t="str">
        <f>IF(COUNTA('PC 02'!A448:L448)=0,"",TEXTJOIN(" | ",TRUE,IF('PC 02'!A448="","Worker ID kosong",""),IF('PC 02'!B448="","Update Date kosong",IF(NOT(ISNUMBER('PC 02'!B448)),"Update Date harus tanggal","")),IF('PC 02'!D448="","Judul kosong",""),IF('PC 02'!F448="","Genre kosong",IF(ISERROR(MATCH(TRIM('PC 02'!F448),{"Pop","Rock","Dangdut","K-Pop","Electronic","Nasional","Daerah"},0)),"Genre di luar daftar","")),IF('PC 02'!G448="","Nama Channel kosong",""),IF('PC 02'!H448="","Link kosong",IF(ISERROR(FIND("youtu",LOWER('PC 02'!H448))),"Link bukan youtube","")),IF('PC 02'!I448="","Tgl Dibuat kosong",IF(NOT(ISNUMBER('PC 02'!I448)),"Tgl Dibuat harus tanggal","")),IF(AND('PC 02'!J448&lt;&gt;"",NOT(ISNUMBER('PC 02'!J448))),"Tgl Publish harus tanggal",""),IF(AND(ISNUMBER('PC 02'!I448),ISNUMBER('PC 02'!J448),'PC 02'!J448&lt;'PC 02'!I448),"Tgl Publish &lt; Tgl Dibuat",""),IF(AND('PC 02'!K448&lt;&gt;"",ISERROR(MATCH(TRIM('PC 02'!K448),{"Draft","Menunggu Review","Revisi","Terjadwal","Publish","Batal","Published"},0))),"Status di luar daftar","")))</f>
        <v>#ERROR!</v>
      </c>
      <c r="D448" s="5" t="str">
        <f>IF(C448="","OK","ADA MASALAH")</f>
        <v>#ERROR!</v>
      </c>
    </row>
    <row r="449">
      <c r="A449" s="3">
        <v>449.0</v>
      </c>
      <c r="B449" s="5" t="str">
        <f>'PC 02'!A449</f>
        <v/>
      </c>
      <c r="C449" s="5" t="str">
        <f>IF(COUNTA('PC 02'!A449:L449)=0,"",TEXTJOIN(" | ",TRUE,IF('PC 02'!A449="","Worker ID kosong",""),IF('PC 02'!B449="","Update Date kosong",IF(NOT(ISNUMBER('PC 02'!B449)),"Update Date harus tanggal","")),IF('PC 02'!D449="","Judul kosong",""),IF('PC 02'!F449="","Genre kosong",IF(ISERROR(MATCH(TRIM('PC 02'!F449),{"Pop","Rock","Dangdut","K-Pop","Electronic","Nasional","Daerah"},0)),"Genre di luar daftar","")),IF('PC 02'!G449="","Nama Channel kosong",""),IF('PC 02'!H449="","Link kosong",IF(ISERROR(FIND("youtu",LOWER('PC 02'!H449))),"Link bukan youtube","")),IF('PC 02'!I449="","Tgl Dibuat kosong",IF(NOT(ISNUMBER('PC 02'!I449)),"Tgl Dibuat harus tanggal","")),IF(AND('PC 02'!J449&lt;&gt;"",NOT(ISNUMBER('PC 02'!J449))),"Tgl Publish harus tanggal",""),IF(AND(ISNUMBER('PC 02'!I449),ISNUMBER('PC 02'!J449),'PC 02'!J449&lt;'PC 02'!I449),"Tgl Publish &lt; Tgl Dibuat",""),IF(AND('PC 02'!K449&lt;&gt;"",ISERROR(MATCH(TRIM('PC 02'!K449),{"Draft","Menunggu Review","Revisi","Terjadwal","Publish","Batal","Published"},0))),"Status di luar daftar","")))</f>
        <v>#ERROR!</v>
      </c>
      <c r="D449" s="5" t="str">
        <f>IF(C449="","OK","ADA MASALAH")</f>
        <v>#ERROR!</v>
      </c>
    </row>
    <row r="450">
      <c r="A450" s="3">
        <v>450.0</v>
      </c>
      <c r="B450" s="5" t="str">
        <f>'PC 02'!A450</f>
        <v/>
      </c>
      <c r="C450" s="5" t="str">
        <f>IF(COUNTA('PC 02'!A450:L450)=0,"",TEXTJOIN(" | ",TRUE,IF('PC 02'!A450="","Worker ID kosong",""),IF('PC 02'!B450="","Update Date kosong",IF(NOT(ISNUMBER('PC 02'!B450)),"Update Date harus tanggal","")),IF('PC 02'!D450="","Judul kosong",""),IF('PC 02'!F450="","Genre kosong",IF(ISERROR(MATCH(TRIM('PC 02'!F450),{"Pop","Rock","Dangdut","K-Pop","Electronic","Nasional","Daerah"},0)),"Genre di luar daftar","")),IF('PC 02'!G450="","Nama Channel kosong",""),IF('PC 02'!H450="","Link kosong",IF(ISERROR(FIND("youtu",LOWER('PC 02'!H450))),"Link bukan youtube","")),IF('PC 02'!I450="","Tgl Dibuat kosong",IF(NOT(ISNUMBER('PC 02'!I450)),"Tgl Dibuat harus tanggal","")),IF(AND('PC 02'!J450&lt;&gt;"",NOT(ISNUMBER('PC 02'!J450))),"Tgl Publish harus tanggal",""),IF(AND(ISNUMBER('PC 02'!I450),ISNUMBER('PC 02'!J450),'PC 02'!J450&lt;'PC 02'!I450),"Tgl Publish &lt; Tgl Dibuat",""),IF(AND('PC 02'!K450&lt;&gt;"",ISERROR(MATCH(TRIM('PC 02'!K450),{"Draft","Menunggu Review","Revisi","Terjadwal","Publish","Batal","Published"},0))),"Status di luar daftar","")))</f>
        <v>#ERROR!</v>
      </c>
      <c r="D450" s="5" t="str">
        <f>IF(C450="","OK","ADA MASALAH")</f>
        <v>#ERROR!</v>
      </c>
    </row>
    <row r="451">
      <c r="A451" s="3">
        <v>451.0</v>
      </c>
      <c r="B451" s="5" t="str">
        <f>'PC 02'!A451</f>
        <v/>
      </c>
      <c r="C451" s="5" t="str">
        <f>IF(COUNTA('PC 02'!A451:L451)=0,"",TEXTJOIN(" | ",TRUE,IF('PC 02'!A451="","Worker ID kosong",""),IF('PC 02'!B451="","Update Date kosong",IF(NOT(ISNUMBER('PC 02'!B451)),"Update Date harus tanggal","")),IF('PC 02'!D451="","Judul kosong",""),IF('PC 02'!F451="","Genre kosong",IF(ISERROR(MATCH(TRIM('PC 02'!F451),{"Pop","Rock","Dangdut","K-Pop","Electronic","Nasional","Daerah"},0)),"Genre di luar daftar","")),IF('PC 02'!G451="","Nama Channel kosong",""),IF('PC 02'!H451="","Link kosong",IF(ISERROR(FIND("youtu",LOWER('PC 02'!H451))),"Link bukan youtube","")),IF('PC 02'!I451="","Tgl Dibuat kosong",IF(NOT(ISNUMBER('PC 02'!I451)),"Tgl Dibuat harus tanggal","")),IF(AND('PC 02'!J451&lt;&gt;"",NOT(ISNUMBER('PC 02'!J451))),"Tgl Publish harus tanggal",""),IF(AND(ISNUMBER('PC 02'!I451),ISNUMBER('PC 02'!J451),'PC 02'!J451&lt;'PC 02'!I451),"Tgl Publish &lt; Tgl Dibuat",""),IF(AND('PC 02'!K451&lt;&gt;"",ISERROR(MATCH(TRIM('PC 02'!K451),{"Draft","Menunggu Review","Revisi","Terjadwal","Publish","Batal","Published"},0))),"Status di luar daftar","")))</f>
        <v>#ERROR!</v>
      </c>
      <c r="D451" s="5" t="str">
        <f>IF(C451="","OK","ADA MASALAH")</f>
        <v>#ERROR!</v>
      </c>
    </row>
    <row r="452">
      <c r="A452" s="3">
        <v>452.0</v>
      </c>
      <c r="B452" s="5" t="str">
        <f>'PC 02'!A452</f>
        <v/>
      </c>
      <c r="C452" s="5" t="str">
        <f>IF(COUNTA('PC 02'!A452:L452)=0,"",TEXTJOIN(" | ",TRUE,IF('PC 02'!A452="","Worker ID kosong",""),IF('PC 02'!B452="","Update Date kosong",IF(NOT(ISNUMBER('PC 02'!B452)),"Update Date harus tanggal","")),IF('PC 02'!D452="","Judul kosong",""),IF('PC 02'!F452="","Genre kosong",IF(ISERROR(MATCH(TRIM('PC 02'!F452),{"Pop","Rock","Dangdut","K-Pop","Electronic","Nasional","Daerah"},0)),"Genre di luar daftar","")),IF('PC 02'!G452="","Nama Channel kosong",""),IF('PC 02'!H452="","Link kosong",IF(ISERROR(FIND("youtu",LOWER('PC 02'!H452))),"Link bukan youtube","")),IF('PC 02'!I452="","Tgl Dibuat kosong",IF(NOT(ISNUMBER('PC 02'!I452)),"Tgl Dibuat harus tanggal","")),IF(AND('PC 02'!J452&lt;&gt;"",NOT(ISNUMBER('PC 02'!J452))),"Tgl Publish harus tanggal",""),IF(AND(ISNUMBER('PC 02'!I452),ISNUMBER('PC 02'!J452),'PC 02'!J452&lt;'PC 02'!I452),"Tgl Publish &lt; Tgl Dibuat",""),IF(AND('PC 02'!K452&lt;&gt;"",ISERROR(MATCH(TRIM('PC 02'!K452),{"Draft","Menunggu Review","Revisi","Terjadwal","Publish","Batal","Published"},0))),"Status di luar daftar","")))</f>
        <v>#ERROR!</v>
      </c>
      <c r="D452" s="5" t="str">
        <f>IF(C452="","OK","ADA MASALAH")</f>
        <v>#ERROR!</v>
      </c>
    </row>
    <row r="453">
      <c r="A453" s="3">
        <v>453.0</v>
      </c>
      <c r="B453" s="5" t="str">
        <f>'PC 02'!A453</f>
        <v/>
      </c>
      <c r="C453" s="5" t="str">
        <f>IF(COUNTA('PC 02'!A453:L453)=0,"",TEXTJOIN(" | ",TRUE,IF('PC 02'!A453="","Worker ID kosong",""),IF('PC 02'!B453="","Update Date kosong",IF(NOT(ISNUMBER('PC 02'!B453)),"Update Date harus tanggal","")),IF('PC 02'!D453="","Judul kosong",""),IF('PC 02'!F453="","Genre kosong",IF(ISERROR(MATCH(TRIM('PC 02'!F453),{"Pop","Rock","Dangdut","K-Pop","Electronic","Nasional","Daerah"},0)),"Genre di luar daftar","")),IF('PC 02'!G453="","Nama Channel kosong",""),IF('PC 02'!H453="","Link kosong",IF(ISERROR(FIND("youtu",LOWER('PC 02'!H453))),"Link bukan youtube","")),IF('PC 02'!I453="","Tgl Dibuat kosong",IF(NOT(ISNUMBER('PC 02'!I453)),"Tgl Dibuat harus tanggal","")),IF(AND('PC 02'!J453&lt;&gt;"",NOT(ISNUMBER('PC 02'!J453))),"Tgl Publish harus tanggal",""),IF(AND(ISNUMBER('PC 02'!I453),ISNUMBER('PC 02'!J453),'PC 02'!J453&lt;'PC 02'!I453),"Tgl Publish &lt; Tgl Dibuat",""),IF(AND('PC 02'!K453&lt;&gt;"",ISERROR(MATCH(TRIM('PC 02'!K453),{"Draft","Menunggu Review","Revisi","Terjadwal","Publish","Batal","Published"},0))),"Status di luar daftar","")))</f>
        <v>#ERROR!</v>
      </c>
      <c r="D453" s="5" t="str">
        <f>IF(C453="","OK","ADA MASALAH")</f>
        <v>#ERROR!</v>
      </c>
    </row>
    <row r="454">
      <c r="A454" s="3">
        <v>454.0</v>
      </c>
      <c r="B454" s="5" t="str">
        <f>'PC 02'!A454</f>
        <v/>
      </c>
      <c r="C454" s="5" t="str">
        <f>IF(COUNTA('PC 02'!A454:L454)=0,"",TEXTJOIN(" | ",TRUE,IF('PC 02'!A454="","Worker ID kosong",""),IF('PC 02'!B454="","Update Date kosong",IF(NOT(ISNUMBER('PC 02'!B454)),"Update Date harus tanggal","")),IF('PC 02'!D454="","Judul kosong",""),IF('PC 02'!F454="","Genre kosong",IF(ISERROR(MATCH(TRIM('PC 02'!F454),{"Pop","Rock","Dangdut","K-Pop","Electronic","Nasional","Daerah"},0)),"Genre di luar daftar","")),IF('PC 02'!G454="","Nama Channel kosong",""),IF('PC 02'!H454="","Link kosong",IF(ISERROR(FIND("youtu",LOWER('PC 02'!H454))),"Link bukan youtube","")),IF('PC 02'!I454="","Tgl Dibuat kosong",IF(NOT(ISNUMBER('PC 02'!I454)),"Tgl Dibuat harus tanggal","")),IF(AND('PC 02'!J454&lt;&gt;"",NOT(ISNUMBER('PC 02'!J454))),"Tgl Publish harus tanggal",""),IF(AND(ISNUMBER('PC 02'!I454),ISNUMBER('PC 02'!J454),'PC 02'!J454&lt;'PC 02'!I454),"Tgl Publish &lt; Tgl Dibuat",""),IF(AND('PC 02'!K454&lt;&gt;"",ISERROR(MATCH(TRIM('PC 02'!K454),{"Draft","Menunggu Review","Revisi","Terjadwal","Publish","Batal","Published"},0))),"Status di luar daftar","")))</f>
        <v>#ERROR!</v>
      </c>
      <c r="D454" s="5" t="str">
        <f>IF(C454="","OK","ADA MASALAH")</f>
        <v>#ERROR!</v>
      </c>
    </row>
    <row r="455">
      <c r="A455" s="3">
        <v>455.0</v>
      </c>
      <c r="B455" s="5" t="str">
        <f>'PC 02'!A455</f>
        <v/>
      </c>
      <c r="C455" s="5" t="str">
        <f>IF(COUNTA('PC 02'!A455:L455)=0,"",TEXTJOIN(" | ",TRUE,IF('PC 02'!A455="","Worker ID kosong",""),IF('PC 02'!B455="","Update Date kosong",IF(NOT(ISNUMBER('PC 02'!B455)),"Update Date harus tanggal","")),IF('PC 02'!D455="","Judul kosong",""),IF('PC 02'!F455="","Genre kosong",IF(ISERROR(MATCH(TRIM('PC 02'!F455),{"Pop","Rock","Dangdut","K-Pop","Electronic","Nasional","Daerah"},0)),"Genre di luar daftar","")),IF('PC 02'!G455="","Nama Channel kosong",""),IF('PC 02'!H455="","Link kosong",IF(ISERROR(FIND("youtu",LOWER('PC 02'!H455))),"Link bukan youtube","")),IF('PC 02'!I455="","Tgl Dibuat kosong",IF(NOT(ISNUMBER('PC 02'!I455)),"Tgl Dibuat harus tanggal","")),IF(AND('PC 02'!J455&lt;&gt;"",NOT(ISNUMBER('PC 02'!J455))),"Tgl Publish harus tanggal",""),IF(AND(ISNUMBER('PC 02'!I455),ISNUMBER('PC 02'!J455),'PC 02'!J455&lt;'PC 02'!I455),"Tgl Publish &lt; Tgl Dibuat",""),IF(AND('PC 02'!K455&lt;&gt;"",ISERROR(MATCH(TRIM('PC 02'!K455),{"Draft","Menunggu Review","Revisi","Terjadwal","Publish","Batal","Published"},0))),"Status di luar daftar","")))</f>
        <v>#ERROR!</v>
      </c>
      <c r="D455" s="5" t="str">
        <f>IF(C455="","OK","ADA MASALAH")</f>
        <v>#ERROR!</v>
      </c>
    </row>
    <row r="456">
      <c r="A456" s="3">
        <v>456.0</v>
      </c>
      <c r="B456" s="5" t="str">
        <f>'PC 02'!A456</f>
        <v/>
      </c>
      <c r="C456" s="5" t="str">
        <f>IF(COUNTA('PC 02'!A456:L456)=0,"",TEXTJOIN(" | ",TRUE,IF('PC 02'!A456="","Worker ID kosong",""),IF('PC 02'!B456="","Update Date kosong",IF(NOT(ISNUMBER('PC 02'!B456)),"Update Date harus tanggal","")),IF('PC 02'!D456="","Judul kosong",""),IF('PC 02'!F456="","Genre kosong",IF(ISERROR(MATCH(TRIM('PC 02'!F456),{"Pop","Rock","Dangdut","K-Pop","Electronic","Nasional","Daerah"},0)),"Genre di luar daftar","")),IF('PC 02'!G456="","Nama Channel kosong",""),IF('PC 02'!H456="","Link kosong",IF(ISERROR(FIND("youtu",LOWER('PC 02'!H456))),"Link bukan youtube","")),IF('PC 02'!I456="","Tgl Dibuat kosong",IF(NOT(ISNUMBER('PC 02'!I456)),"Tgl Dibuat harus tanggal","")),IF(AND('PC 02'!J456&lt;&gt;"",NOT(ISNUMBER('PC 02'!J456))),"Tgl Publish harus tanggal",""),IF(AND(ISNUMBER('PC 02'!I456),ISNUMBER('PC 02'!J456),'PC 02'!J456&lt;'PC 02'!I456),"Tgl Publish &lt; Tgl Dibuat",""),IF(AND('PC 02'!K456&lt;&gt;"",ISERROR(MATCH(TRIM('PC 02'!K456),{"Draft","Menunggu Review","Revisi","Terjadwal","Publish","Batal","Published"},0))),"Status di luar daftar","")))</f>
        <v>#ERROR!</v>
      </c>
      <c r="D456" s="5" t="str">
        <f>IF(C456="","OK","ADA MASALAH")</f>
        <v>#ERROR!</v>
      </c>
    </row>
    <row r="457">
      <c r="A457" s="3">
        <v>457.0</v>
      </c>
      <c r="B457" s="5" t="str">
        <f>'PC 02'!A457</f>
        <v/>
      </c>
      <c r="C457" s="5" t="str">
        <f>IF(COUNTA('PC 02'!A457:L457)=0,"",TEXTJOIN(" | ",TRUE,IF('PC 02'!A457="","Worker ID kosong",""),IF('PC 02'!B457="","Update Date kosong",IF(NOT(ISNUMBER('PC 02'!B457)),"Update Date harus tanggal","")),IF('PC 02'!D457="","Judul kosong",""),IF('PC 02'!F457="","Genre kosong",IF(ISERROR(MATCH(TRIM('PC 02'!F457),{"Pop","Rock","Dangdut","K-Pop","Electronic","Nasional","Daerah"},0)),"Genre di luar daftar","")),IF('PC 02'!G457="","Nama Channel kosong",""),IF('PC 02'!H457="","Link kosong",IF(ISERROR(FIND("youtu",LOWER('PC 02'!H457))),"Link bukan youtube","")),IF('PC 02'!I457="","Tgl Dibuat kosong",IF(NOT(ISNUMBER('PC 02'!I457)),"Tgl Dibuat harus tanggal","")),IF(AND('PC 02'!J457&lt;&gt;"",NOT(ISNUMBER('PC 02'!J457))),"Tgl Publish harus tanggal",""),IF(AND(ISNUMBER('PC 02'!I457),ISNUMBER('PC 02'!J457),'PC 02'!J457&lt;'PC 02'!I457),"Tgl Publish &lt; Tgl Dibuat",""),IF(AND('PC 02'!K457&lt;&gt;"",ISERROR(MATCH(TRIM('PC 02'!K457),{"Draft","Menunggu Review","Revisi","Terjadwal","Publish","Batal","Published"},0))),"Status di luar daftar","")))</f>
        <v>#ERROR!</v>
      </c>
      <c r="D457" s="5" t="str">
        <f>IF(C457="","OK","ADA MASALAH")</f>
        <v>#ERROR!</v>
      </c>
    </row>
    <row r="458">
      <c r="A458" s="3">
        <v>458.0</v>
      </c>
      <c r="B458" s="5" t="str">
        <f>'PC 02'!A458</f>
        <v/>
      </c>
      <c r="C458" s="5" t="str">
        <f>IF(COUNTA('PC 02'!A458:L458)=0,"",TEXTJOIN(" | ",TRUE,IF('PC 02'!A458="","Worker ID kosong",""),IF('PC 02'!B458="","Update Date kosong",IF(NOT(ISNUMBER('PC 02'!B458)),"Update Date harus tanggal","")),IF('PC 02'!D458="","Judul kosong",""),IF('PC 02'!F458="","Genre kosong",IF(ISERROR(MATCH(TRIM('PC 02'!F458),{"Pop","Rock","Dangdut","K-Pop","Electronic","Nasional","Daerah"},0)),"Genre di luar daftar","")),IF('PC 02'!G458="","Nama Channel kosong",""),IF('PC 02'!H458="","Link kosong",IF(ISERROR(FIND("youtu",LOWER('PC 02'!H458))),"Link bukan youtube","")),IF('PC 02'!I458="","Tgl Dibuat kosong",IF(NOT(ISNUMBER('PC 02'!I458)),"Tgl Dibuat harus tanggal","")),IF(AND('PC 02'!J458&lt;&gt;"",NOT(ISNUMBER('PC 02'!J458))),"Tgl Publish harus tanggal",""),IF(AND(ISNUMBER('PC 02'!I458),ISNUMBER('PC 02'!J458),'PC 02'!J458&lt;'PC 02'!I458),"Tgl Publish &lt; Tgl Dibuat",""),IF(AND('PC 02'!K458&lt;&gt;"",ISERROR(MATCH(TRIM('PC 02'!K458),{"Draft","Menunggu Review","Revisi","Terjadwal","Publish","Batal","Published"},0))),"Status di luar daftar","")))</f>
        <v>#ERROR!</v>
      </c>
      <c r="D458" s="5" t="str">
        <f>IF(C458="","OK","ADA MASALAH")</f>
        <v>#ERROR!</v>
      </c>
    </row>
    <row r="459">
      <c r="A459" s="3">
        <v>459.0</v>
      </c>
      <c r="B459" s="5" t="str">
        <f>'PC 02'!A459</f>
        <v/>
      </c>
      <c r="C459" s="5" t="str">
        <f>IF(COUNTA('PC 02'!A459:L459)=0,"",TEXTJOIN(" | ",TRUE,IF('PC 02'!A459="","Worker ID kosong",""),IF('PC 02'!B459="","Update Date kosong",IF(NOT(ISNUMBER('PC 02'!B459)),"Update Date harus tanggal","")),IF('PC 02'!D459="","Judul kosong",""),IF('PC 02'!F459="","Genre kosong",IF(ISERROR(MATCH(TRIM('PC 02'!F459),{"Pop","Rock","Dangdut","K-Pop","Electronic","Nasional","Daerah"},0)),"Genre di luar daftar","")),IF('PC 02'!G459="","Nama Channel kosong",""),IF('PC 02'!H459="","Link kosong",IF(ISERROR(FIND("youtu",LOWER('PC 02'!H459))),"Link bukan youtube","")),IF('PC 02'!I459="","Tgl Dibuat kosong",IF(NOT(ISNUMBER('PC 02'!I459)),"Tgl Dibuat harus tanggal","")),IF(AND('PC 02'!J459&lt;&gt;"",NOT(ISNUMBER('PC 02'!J459))),"Tgl Publish harus tanggal",""),IF(AND(ISNUMBER('PC 02'!I459),ISNUMBER('PC 02'!J459),'PC 02'!J459&lt;'PC 02'!I459),"Tgl Publish &lt; Tgl Dibuat",""),IF(AND('PC 02'!K459&lt;&gt;"",ISERROR(MATCH(TRIM('PC 02'!K459),{"Draft","Menunggu Review","Revisi","Terjadwal","Publish","Batal","Published"},0))),"Status di luar daftar","")))</f>
        <v>#ERROR!</v>
      </c>
      <c r="D459" s="5" t="str">
        <f>IF(C459="","OK","ADA MASALAH")</f>
        <v>#ERROR!</v>
      </c>
    </row>
    <row r="460">
      <c r="A460" s="3">
        <v>460.0</v>
      </c>
      <c r="B460" s="5" t="str">
        <f>'PC 02'!A460</f>
        <v/>
      </c>
      <c r="C460" s="5" t="str">
        <f>IF(COUNTA('PC 02'!A460:L460)=0,"",TEXTJOIN(" | ",TRUE,IF('PC 02'!A460="","Worker ID kosong",""),IF('PC 02'!B460="","Update Date kosong",IF(NOT(ISNUMBER('PC 02'!B460)),"Update Date harus tanggal","")),IF('PC 02'!D460="","Judul kosong",""),IF('PC 02'!F460="","Genre kosong",IF(ISERROR(MATCH(TRIM('PC 02'!F460),{"Pop","Rock","Dangdut","K-Pop","Electronic","Nasional","Daerah"},0)),"Genre di luar daftar","")),IF('PC 02'!G460="","Nama Channel kosong",""),IF('PC 02'!H460="","Link kosong",IF(ISERROR(FIND("youtu",LOWER('PC 02'!H460))),"Link bukan youtube","")),IF('PC 02'!I460="","Tgl Dibuat kosong",IF(NOT(ISNUMBER('PC 02'!I460)),"Tgl Dibuat harus tanggal","")),IF(AND('PC 02'!J460&lt;&gt;"",NOT(ISNUMBER('PC 02'!J460))),"Tgl Publish harus tanggal",""),IF(AND(ISNUMBER('PC 02'!I460),ISNUMBER('PC 02'!J460),'PC 02'!J460&lt;'PC 02'!I460),"Tgl Publish &lt; Tgl Dibuat",""),IF(AND('PC 02'!K460&lt;&gt;"",ISERROR(MATCH(TRIM('PC 02'!K460),{"Draft","Menunggu Review","Revisi","Terjadwal","Publish","Batal","Published"},0))),"Status di luar daftar","")))</f>
        <v>#ERROR!</v>
      </c>
      <c r="D460" s="5" t="str">
        <f>IF(C460="","OK","ADA MASALAH")</f>
        <v>#ERROR!</v>
      </c>
    </row>
    <row r="461">
      <c r="A461" s="3">
        <v>461.0</v>
      </c>
      <c r="B461" s="5" t="str">
        <f>'PC 02'!A461</f>
        <v/>
      </c>
      <c r="C461" s="5" t="str">
        <f>IF(COUNTA('PC 02'!A461:L461)=0,"",TEXTJOIN(" | ",TRUE,IF('PC 02'!A461="","Worker ID kosong",""),IF('PC 02'!B461="","Update Date kosong",IF(NOT(ISNUMBER('PC 02'!B461)),"Update Date harus tanggal","")),IF('PC 02'!D461="","Judul kosong",""),IF('PC 02'!F461="","Genre kosong",IF(ISERROR(MATCH(TRIM('PC 02'!F461),{"Pop","Rock","Dangdut","K-Pop","Electronic","Nasional","Daerah"},0)),"Genre di luar daftar","")),IF('PC 02'!G461="","Nama Channel kosong",""),IF('PC 02'!H461="","Link kosong",IF(ISERROR(FIND("youtu",LOWER('PC 02'!H461))),"Link bukan youtube","")),IF('PC 02'!I461="","Tgl Dibuat kosong",IF(NOT(ISNUMBER('PC 02'!I461)),"Tgl Dibuat harus tanggal","")),IF(AND('PC 02'!J461&lt;&gt;"",NOT(ISNUMBER('PC 02'!J461))),"Tgl Publish harus tanggal",""),IF(AND(ISNUMBER('PC 02'!I461),ISNUMBER('PC 02'!J461),'PC 02'!J461&lt;'PC 02'!I461),"Tgl Publish &lt; Tgl Dibuat",""),IF(AND('PC 02'!K461&lt;&gt;"",ISERROR(MATCH(TRIM('PC 02'!K461),{"Draft","Menunggu Review","Revisi","Terjadwal","Publish","Batal","Published"},0))),"Status di luar daftar","")))</f>
        <v>#ERROR!</v>
      </c>
      <c r="D461" s="5" t="str">
        <f>IF(C461="","OK","ADA MASALAH")</f>
        <v>#ERROR!</v>
      </c>
    </row>
    <row r="462">
      <c r="A462" s="3">
        <v>462.0</v>
      </c>
      <c r="B462" s="5" t="str">
        <f>'PC 02'!A462</f>
        <v/>
      </c>
      <c r="C462" s="5" t="str">
        <f>IF(COUNTA('PC 02'!A462:L462)=0,"",TEXTJOIN(" | ",TRUE,IF('PC 02'!A462="","Worker ID kosong",""),IF('PC 02'!B462="","Update Date kosong",IF(NOT(ISNUMBER('PC 02'!B462)),"Update Date harus tanggal","")),IF('PC 02'!D462="","Judul kosong",""),IF('PC 02'!F462="","Genre kosong",IF(ISERROR(MATCH(TRIM('PC 02'!F462),{"Pop","Rock","Dangdut","K-Pop","Electronic","Nasional","Daerah"},0)),"Genre di luar daftar","")),IF('PC 02'!G462="","Nama Channel kosong",""),IF('PC 02'!H462="","Link kosong",IF(ISERROR(FIND("youtu",LOWER('PC 02'!H462))),"Link bukan youtube","")),IF('PC 02'!I462="","Tgl Dibuat kosong",IF(NOT(ISNUMBER('PC 02'!I462)),"Tgl Dibuat harus tanggal","")),IF(AND('PC 02'!J462&lt;&gt;"",NOT(ISNUMBER('PC 02'!J462))),"Tgl Publish harus tanggal",""),IF(AND(ISNUMBER('PC 02'!I462),ISNUMBER('PC 02'!J462),'PC 02'!J462&lt;'PC 02'!I462),"Tgl Publish &lt; Tgl Dibuat",""),IF(AND('PC 02'!K462&lt;&gt;"",ISERROR(MATCH(TRIM('PC 02'!K462),{"Draft","Menunggu Review","Revisi","Terjadwal","Publish","Batal","Published"},0))),"Status di luar daftar","")))</f>
        <v>#ERROR!</v>
      </c>
      <c r="D462" s="5" t="str">
        <f>IF(C462="","OK","ADA MASALAH")</f>
        <v>#ERROR!</v>
      </c>
    </row>
    <row r="463">
      <c r="A463" s="3">
        <v>463.0</v>
      </c>
      <c r="B463" s="5" t="str">
        <f>'PC 02'!A463</f>
        <v/>
      </c>
      <c r="C463" s="5" t="str">
        <f>IF(COUNTA('PC 02'!A463:L463)=0,"",TEXTJOIN(" | ",TRUE,IF('PC 02'!A463="","Worker ID kosong",""),IF('PC 02'!B463="","Update Date kosong",IF(NOT(ISNUMBER('PC 02'!B463)),"Update Date harus tanggal","")),IF('PC 02'!D463="","Judul kosong",""),IF('PC 02'!F463="","Genre kosong",IF(ISERROR(MATCH(TRIM('PC 02'!F463),{"Pop","Rock","Dangdut","K-Pop","Electronic","Nasional","Daerah"},0)),"Genre di luar daftar","")),IF('PC 02'!G463="","Nama Channel kosong",""),IF('PC 02'!H463="","Link kosong",IF(ISERROR(FIND("youtu",LOWER('PC 02'!H463))),"Link bukan youtube","")),IF('PC 02'!I463="","Tgl Dibuat kosong",IF(NOT(ISNUMBER('PC 02'!I463)),"Tgl Dibuat harus tanggal","")),IF(AND('PC 02'!J463&lt;&gt;"",NOT(ISNUMBER('PC 02'!J463))),"Tgl Publish harus tanggal",""),IF(AND(ISNUMBER('PC 02'!I463),ISNUMBER('PC 02'!J463),'PC 02'!J463&lt;'PC 02'!I463),"Tgl Publish &lt; Tgl Dibuat",""),IF(AND('PC 02'!K463&lt;&gt;"",ISERROR(MATCH(TRIM('PC 02'!K463),{"Draft","Menunggu Review","Revisi","Terjadwal","Publish","Batal","Published"},0))),"Status di luar daftar","")))</f>
        <v>#ERROR!</v>
      </c>
      <c r="D463" s="5" t="str">
        <f>IF(C463="","OK","ADA MASALAH")</f>
        <v>#ERROR!</v>
      </c>
    </row>
    <row r="464">
      <c r="A464" s="3">
        <v>464.0</v>
      </c>
      <c r="B464" s="5" t="str">
        <f>'PC 02'!A464</f>
        <v/>
      </c>
      <c r="C464" s="5" t="str">
        <f>IF(COUNTA('PC 02'!A464:L464)=0,"",TEXTJOIN(" | ",TRUE,IF('PC 02'!A464="","Worker ID kosong",""),IF('PC 02'!B464="","Update Date kosong",IF(NOT(ISNUMBER('PC 02'!B464)),"Update Date harus tanggal","")),IF('PC 02'!D464="","Judul kosong",""),IF('PC 02'!F464="","Genre kosong",IF(ISERROR(MATCH(TRIM('PC 02'!F464),{"Pop","Rock","Dangdut","K-Pop","Electronic","Nasional","Daerah"},0)),"Genre di luar daftar","")),IF('PC 02'!G464="","Nama Channel kosong",""),IF('PC 02'!H464="","Link kosong",IF(ISERROR(FIND("youtu",LOWER('PC 02'!H464))),"Link bukan youtube","")),IF('PC 02'!I464="","Tgl Dibuat kosong",IF(NOT(ISNUMBER('PC 02'!I464)),"Tgl Dibuat harus tanggal","")),IF(AND('PC 02'!J464&lt;&gt;"",NOT(ISNUMBER('PC 02'!J464))),"Tgl Publish harus tanggal",""),IF(AND(ISNUMBER('PC 02'!I464),ISNUMBER('PC 02'!J464),'PC 02'!J464&lt;'PC 02'!I464),"Tgl Publish &lt; Tgl Dibuat",""),IF(AND('PC 02'!K464&lt;&gt;"",ISERROR(MATCH(TRIM('PC 02'!K464),{"Draft","Menunggu Review","Revisi","Terjadwal","Publish","Batal","Published"},0))),"Status di luar daftar","")))</f>
        <v>#ERROR!</v>
      </c>
      <c r="D464" s="5" t="str">
        <f>IF(C464="","OK","ADA MASALAH")</f>
        <v>#ERROR!</v>
      </c>
    </row>
    <row r="465">
      <c r="A465" s="3">
        <v>465.0</v>
      </c>
      <c r="B465" s="5" t="str">
        <f>'PC 02'!A465</f>
        <v/>
      </c>
      <c r="C465" s="5" t="str">
        <f>IF(COUNTA('PC 02'!A465:L465)=0,"",TEXTJOIN(" | ",TRUE,IF('PC 02'!A465="","Worker ID kosong",""),IF('PC 02'!B465="","Update Date kosong",IF(NOT(ISNUMBER('PC 02'!B465)),"Update Date harus tanggal","")),IF('PC 02'!D465="","Judul kosong",""),IF('PC 02'!F465="","Genre kosong",IF(ISERROR(MATCH(TRIM('PC 02'!F465),{"Pop","Rock","Dangdut","K-Pop","Electronic","Nasional","Daerah"},0)),"Genre di luar daftar","")),IF('PC 02'!G465="","Nama Channel kosong",""),IF('PC 02'!H465="","Link kosong",IF(ISERROR(FIND("youtu",LOWER('PC 02'!H465))),"Link bukan youtube","")),IF('PC 02'!I465="","Tgl Dibuat kosong",IF(NOT(ISNUMBER('PC 02'!I465)),"Tgl Dibuat harus tanggal","")),IF(AND('PC 02'!J465&lt;&gt;"",NOT(ISNUMBER('PC 02'!J465))),"Tgl Publish harus tanggal",""),IF(AND(ISNUMBER('PC 02'!I465),ISNUMBER('PC 02'!J465),'PC 02'!J465&lt;'PC 02'!I465),"Tgl Publish &lt; Tgl Dibuat",""),IF(AND('PC 02'!K465&lt;&gt;"",ISERROR(MATCH(TRIM('PC 02'!K465),{"Draft","Menunggu Review","Revisi","Terjadwal","Publish","Batal","Published"},0))),"Status di luar daftar","")))</f>
        <v>#ERROR!</v>
      </c>
      <c r="D465" s="5" t="str">
        <f>IF(C465="","OK","ADA MASALAH")</f>
        <v>#ERROR!</v>
      </c>
    </row>
    <row r="466">
      <c r="A466" s="3">
        <v>466.0</v>
      </c>
      <c r="B466" s="5" t="str">
        <f>'PC 02'!A466</f>
        <v/>
      </c>
      <c r="C466" s="5" t="str">
        <f>IF(COUNTA('PC 02'!A466:L466)=0,"",TEXTJOIN(" | ",TRUE,IF('PC 02'!A466="","Worker ID kosong",""),IF('PC 02'!B466="","Update Date kosong",IF(NOT(ISNUMBER('PC 02'!B466)),"Update Date harus tanggal","")),IF('PC 02'!D466="","Judul kosong",""),IF('PC 02'!F466="","Genre kosong",IF(ISERROR(MATCH(TRIM('PC 02'!F466),{"Pop","Rock","Dangdut","K-Pop","Electronic","Nasional","Daerah"},0)),"Genre di luar daftar","")),IF('PC 02'!G466="","Nama Channel kosong",""),IF('PC 02'!H466="","Link kosong",IF(ISERROR(FIND("youtu",LOWER('PC 02'!H466))),"Link bukan youtube","")),IF('PC 02'!I466="","Tgl Dibuat kosong",IF(NOT(ISNUMBER('PC 02'!I466)),"Tgl Dibuat harus tanggal","")),IF(AND('PC 02'!J466&lt;&gt;"",NOT(ISNUMBER('PC 02'!J466))),"Tgl Publish harus tanggal",""),IF(AND(ISNUMBER('PC 02'!I466),ISNUMBER('PC 02'!J466),'PC 02'!J466&lt;'PC 02'!I466),"Tgl Publish &lt; Tgl Dibuat",""),IF(AND('PC 02'!K466&lt;&gt;"",ISERROR(MATCH(TRIM('PC 02'!K466),{"Draft","Menunggu Review","Revisi","Terjadwal","Publish","Batal","Published"},0))),"Status di luar daftar","")))</f>
        <v>#ERROR!</v>
      </c>
      <c r="D466" s="5" t="str">
        <f>IF(C466="","OK","ADA MASALAH")</f>
        <v>#ERROR!</v>
      </c>
    </row>
    <row r="467">
      <c r="A467" s="3">
        <v>467.0</v>
      </c>
      <c r="B467" s="5" t="str">
        <f>'PC 02'!A467</f>
        <v/>
      </c>
      <c r="C467" s="5" t="str">
        <f>IF(COUNTA('PC 02'!A467:L467)=0,"",TEXTJOIN(" | ",TRUE,IF('PC 02'!A467="","Worker ID kosong",""),IF('PC 02'!B467="","Update Date kosong",IF(NOT(ISNUMBER('PC 02'!B467)),"Update Date harus tanggal","")),IF('PC 02'!D467="","Judul kosong",""),IF('PC 02'!F467="","Genre kosong",IF(ISERROR(MATCH(TRIM('PC 02'!F467),{"Pop","Rock","Dangdut","K-Pop","Electronic","Nasional","Daerah"},0)),"Genre di luar daftar","")),IF('PC 02'!G467="","Nama Channel kosong",""),IF('PC 02'!H467="","Link kosong",IF(ISERROR(FIND("youtu",LOWER('PC 02'!H467))),"Link bukan youtube","")),IF('PC 02'!I467="","Tgl Dibuat kosong",IF(NOT(ISNUMBER('PC 02'!I467)),"Tgl Dibuat harus tanggal","")),IF(AND('PC 02'!J467&lt;&gt;"",NOT(ISNUMBER('PC 02'!J467))),"Tgl Publish harus tanggal",""),IF(AND(ISNUMBER('PC 02'!I467),ISNUMBER('PC 02'!J467),'PC 02'!J467&lt;'PC 02'!I467),"Tgl Publish &lt; Tgl Dibuat",""),IF(AND('PC 02'!K467&lt;&gt;"",ISERROR(MATCH(TRIM('PC 02'!K467),{"Draft","Menunggu Review","Revisi","Terjadwal","Publish","Batal","Published"},0))),"Status di luar daftar","")))</f>
        <v>#ERROR!</v>
      </c>
      <c r="D467" s="5" t="str">
        <f>IF(C467="","OK","ADA MASALAH")</f>
        <v>#ERROR!</v>
      </c>
    </row>
    <row r="468">
      <c r="A468" s="3">
        <v>468.0</v>
      </c>
      <c r="B468" s="5" t="str">
        <f>'PC 02'!A468</f>
        <v/>
      </c>
      <c r="C468" s="5" t="str">
        <f>IF(COUNTA('PC 02'!A468:L468)=0,"",TEXTJOIN(" | ",TRUE,IF('PC 02'!A468="","Worker ID kosong",""),IF('PC 02'!B468="","Update Date kosong",IF(NOT(ISNUMBER('PC 02'!B468)),"Update Date harus tanggal","")),IF('PC 02'!D468="","Judul kosong",""),IF('PC 02'!F468="","Genre kosong",IF(ISERROR(MATCH(TRIM('PC 02'!F468),{"Pop","Rock","Dangdut","K-Pop","Electronic","Nasional","Daerah"},0)),"Genre di luar daftar","")),IF('PC 02'!G468="","Nama Channel kosong",""),IF('PC 02'!H468="","Link kosong",IF(ISERROR(FIND("youtu",LOWER('PC 02'!H468))),"Link bukan youtube","")),IF('PC 02'!I468="","Tgl Dibuat kosong",IF(NOT(ISNUMBER('PC 02'!I468)),"Tgl Dibuat harus tanggal","")),IF(AND('PC 02'!J468&lt;&gt;"",NOT(ISNUMBER('PC 02'!J468))),"Tgl Publish harus tanggal",""),IF(AND(ISNUMBER('PC 02'!I468),ISNUMBER('PC 02'!J468),'PC 02'!J468&lt;'PC 02'!I468),"Tgl Publish &lt; Tgl Dibuat",""),IF(AND('PC 02'!K468&lt;&gt;"",ISERROR(MATCH(TRIM('PC 02'!K468),{"Draft","Menunggu Review","Revisi","Terjadwal","Publish","Batal","Published"},0))),"Status di luar daftar","")))</f>
        <v>#ERROR!</v>
      </c>
      <c r="D468" s="5" t="str">
        <f>IF(C468="","OK","ADA MASALAH")</f>
        <v>#ERROR!</v>
      </c>
    </row>
    <row r="469">
      <c r="A469" s="3">
        <v>469.0</v>
      </c>
      <c r="B469" s="5" t="str">
        <f>'PC 02'!A469</f>
        <v/>
      </c>
      <c r="C469" s="5" t="str">
        <f>IF(COUNTA('PC 02'!A469:L469)=0,"",TEXTJOIN(" | ",TRUE,IF('PC 02'!A469="","Worker ID kosong",""),IF('PC 02'!B469="","Update Date kosong",IF(NOT(ISNUMBER('PC 02'!B469)),"Update Date harus tanggal","")),IF('PC 02'!D469="","Judul kosong",""),IF('PC 02'!F469="","Genre kosong",IF(ISERROR(MATCH(TRIM('PC 02'!F469),{"Pop","Rock","Dangdut","K-Pop","Electronic","Nasional","Daerah"},0)),"Genre di luar daftar","")),IF('PC 02'!G469="","Nama Channel kosong",""),IF('PC 02'!H469="","Link kosong",IF(ISERROR(FIND("youtu",LOWER('PC 02'!H469))),"Link bukan youtube","")),IF('PC 02'!I469="","Tgl Dibuat kosong",IF(NOT(ISNUMBER('PC 02'!I469)),"Tgl Dibuat harus tanggal","")),IF(AND('PC 02'!J469&lt;&gt;"",NOT(ISNUMBER('PC 02'!J469))),"Tgl Publish harus tanggal",""),IF(AND(ISNUMBER('PC 02'!I469),ISNUMBER('PC 02'!J469),'PC 02'!J469&lt;'PC 02'!I469),"Tgl Publish &lt; Tgl Dibuat",""),IF(AND('PC 02'!K469&lt;&gt;"",ISERROR(MATCH(TRIM('PC 02'!K469),{"Draft","Menunggu Review","Revisi","Terjadwal","Publish","Batal","Published"},0))),"Status di luar daftar","")))</f>
        <v>#ERROR!</v>
      </c>
      <c r="D469" s="5" t="str">
        <f>IF(C469="","OK","ADA MASALAH")</f>
        <v>#ERROR!</v>
      </c>
    </row>
    <row r="470">
      <c r="A470" s="3">
        <v>470.0</v>
      </c>
      <c r="B470" s="5" t="str">
        <f>'PC 02'!A470</f>
        <v/>
      </c>
      <c r="C470" s="5" t="str">
        <f>IF(COUNTA('PC 02'!A470:L470)=0,"",TEXTJOIN(" | ",TRUE,IF('PC 02'!A470="","Worker ID kosong",""),IF('PC 02'!B470="","Update Date kosong",IF(NOT(ISNUMBER('PC 02'!B470)),"Update Date harus tanggal","")),IF('PC 02'!D470="","Judul kosong",""),IF('PC 02'!F470="","Genre kosong",IF(ISERROR(MATCH(TRIM('PC 02'!F470),{"Pop","Rock","Dangdut","K-Pop","Electronic","Nasional","Daerah"},0)),"Genre di luar daftar","")),IF('PC 02'!G470="","Nama Channel kosong",""),IF('PC 02'!H470="","Link kosong",IF(ISERROR(FIND("youtu",LOWER('PC 02'!H470))),"Link bukan youtube","")),IF('PC 02'!I470="","Tgl Dibuat kosong",IF(NOT(ISNUMBER('PC 02'!I470)),"Tgl Dibuat harus tanggal","")),IF(AND('PC 02'!J470&lt;&gt;"",NOT(ISNUMBER('PC 02'!J470))),"Tgl Publish harus tanggal",""),IF(AND(ISNUMBER('PC 02'!I470),ISNUMBER('PC 02'!J470),'PC 02'!J470&lt;'PC 02'!I470),"Tgl Publish &lt; Tgl Dibuat",""),IF(AND('PC 02'!K470&lt;&gt;"",ISERROR(MATCH(TRIM('PC 02'!K470),{"Draft","Menunggu Review","Revisi","Terjadwal","Publish","Batal","Published"},0))),"Status di luar daftar","")))</f>
        <v>#ERROR!</v>
      </c>
      <c r="D470" s="5" t="str">
        <f>IF(C470="","OK","ADA MASALAH")</f>
        <v>#ERROR!</v>
      </c>
    </row>
    <row r="471">
      <c r="A471" s="3">
        <v>471.0</v>
      </c>
      <c r="B471" s="5" t="str">
        <f>'PC 02'!A471</f>
        <v/>
      </c>
      <c r="C471" s="5" t="str">
        <f>IF(COUNTA('PC 02'!A471:L471)=0,"",TEXTJOIN(" | ",TRUE,IF('PC 02'!A471="","Worker ID kosong",""),IF('PC 02'!B471="","Update Date kosong",IF(NOT(ISNUMBER('PC 02'!B471)),"Update Date harus tanggal","")),IF('PC 02'!D471="","Judul kosong",""),IF('PC 02'!F471="","Genre kosong",IF(ISERROR(MATCH(TRIM('PC 02'!F471),{"Pop","Rock","Dangdut","K-Pop","Electronic","Nasional","Daerah"},0)),"Genre di luar daftar","")),IF('PC 02'!G471="","Nama Channel kosong",""),IF('PC 02'!H471="","Link kosong",IF(ISERROR(FIND("youtu",LOWER('PC 02'!H471))),"Link bukan youtube","")),IF('PC 02'!I471="","Tgl Dibuat kosong",IF(NOT(ISNUMBER('PC 02'!I471)),"Tgl Dibuat harus tanggal","")),IF(AND('PC 02'!J471&lt;&gt;"",NOT(ISNUMBER('PC 02'!J471))),"Tgl Publish harus tanggal",""),IF(AND(ISNUMBER('PC 02'!I471),ISNUMBER('PC 02'!J471),'PC 02'!J471&lt;'PC 02'!I471),"Tgl Publish &lt; Tgl Dibuat",""),IF(AND('PC 02'!K471&lt;&gt;"",ISERROR(MATCH(TRIM('PC 02'!K471),{"Draft","Menunggu Review","Revisi","Terjadwal","Publish","Batal","Published"},0))),"Status di luar daftar","")))</f>
        <v>#ERROR!</v>
      </c>
      <c r="D471" s="5" t="str">
        <f>IF(C471="","OK","ADA MASALAH")</f>
        <v>#ERROR!</v>
      </c>
    </row>
    <row r="472">
      <c r="A472" s="3">
        <v>472.0</v>
      </c>
      <c r="B472" s="5" t="str">
        <f>'PC 02'!A472</f>
        <v/>
      </c>
      <c r="C472" s="5" t="str">
        <f>IF(COUNTA('PC 02'!A472:L472)=0,"",TEXTJOIN(" | ",TRUE,IF('PC 02'!A472="","Worker ID kosong",""),IF('PC 02'!B472="","Update Date kosong",IF(NOT(ISNUMBER('PC 02'!B472)),"Update Date harus tanggal","")),IF('PC 02'!D472="","Judul kosong",""),IF('PC 02'!F472="","Genre kosong",IF(ISERROR(MATCH(TRIM('PC 02'!F472),{"Pop","Rock","Dangdut","K-Pop","Electronic","Nasional","Daerah"},0)),"Genre di luar daftar","")),IF('PC 02'!G472="","Nama Channel kosong",""),IF('PC 02'!H472="","Link kosong",IF(ISERROR(FIND("youtu",LOWER('PC 02'!H472))),"Link bukan youtube","")),IF('PC 02'!I472="","Tgl Dibuat kosong",IF(NOT(ISNUMBER('PC 02'!I472)),"Tgl Dibuat harus tanggal","")),IF(AND('PC 02'!J472&lt;&gt;"",NOT(ISNUMBER('PC 02'!J472))),"Tgl Publish harus tanggal",""),IF(AND(ISNUMBER('PC 02'!I472),ISNUMBER('PC 02'!J472),'PC 02'!J472&lt;'PC 02'!I472),"Tgl Publish &lt; Tgl Dibuat",""),IF(AND('PC 02'!K472&lt;&gt;"",ISERROR(MATCH(TRIM('PC 02'!K472),{"Draft","Menunggu Review","Revisi","Terjadwal","Publish","Batal","Published"},0))),"Status di luar daftar","")))</f>
        <v>#ERROR!</v>
      </c>
      <c r="D472" s="5" t="str">
        <f>IF(C472="","OK","ADA MASALAH")</f>
        <v>#ERROR!</v>
      </c>
    </row>
    <row r="473">
      <c r="A473" s="3">
        <v>473.0</v>
      </c>
      <c r="B473" s="5" t="str">
        <f>'PC 02'!A473</f>
        <v/>
      </c>
      <c r="C473" s="5" t="str">
        <f>IF(COUNTA('PC 02'!A473:L473)=0,"",TEXTJOIN(" | ",TRUE,IF('PC 02'!A473="","Worker ID kosong",""),IF('PC 02'!B473="","Update Date kosong",IF(NOT(ISNUMBER('PC 02'!B473)),"Update Date harus tanggal","")),IF('PC 02'!D473="","Judul kosong",""),IF('PC 02'!F473="","Genre kosong",IF(ISERROR(MATCH(TRIM('PC 02'!F473),{"Pop","Rock","Dangdut","K-Pop","Electronic","Nasional","Daerah"},0)),"Genre di luar daftar","")),IF('PC 02'!G473="","Nama Channel kosong",""),IF('PC 02'!H473="","Link kosong",IF(ISERROR(FIND("youtu",LOWER('PC 02'!H473))),"Link bukan youtube","")),IF('PC 02'!I473="","Tgl Dibuat kosong",IF(NOT(ISNUMBER('PC 02'!I473)),"Tgl Dibuat harus tanggal","")),IF(AND('PC 02'!J473&lt;&gt;"",NOT(ISNUMBER('PC 02'!J473))),"Tgl Publish harus tanggal",""),IF(AND(ISNUMBER('PC 02'!I473),ISNUMBER('PC 02'!J473),'PC 02'!J473&lt;'PC 02'!I473),"Tgl Publish &lt; Tgl Dibuat",""),IF(AND('PC 02'!K473&lt;&gt;"",ISERROR(MATCH(TRIM('PC 02'!K473),{"Draft","Menunggu Review","Revisi","Terjadwal","Publish","Batal","Published"},0))),"Status di luar daftar","")))</f>
        <v>#ERROR!</v>
      </c>
      <c r="D473" s="5" t="str">
        <f>IF(C473="","OK","ADA MASALAH")</f>
        <v>#ERROR!</v>
      </c>
    </row>
    <row r="474">
      <c r="A474" s="3">
        <v>474.0</v>
      </c>
      <c r="B474" s="5" t="str">
        <f>'PC 02'!A474</f>
        <v/>
      </c>
      <c r="C474" s="5" t="str">
        <f>IF(COUNTA('PC 02'!A474:L474)=0,"",TEXTJOIN(" | ",TRUE,IF('PC 02'!A474="","Worker ID kosong",""),IF('PC 02'!B474="","Update Date kosong",IF(NOT(ISNUMBER('PC 02'!B474)),"Update Date harus tanggal","")),IF('PC 02'!D474="","Judul kosong",""),IF('PC 02'!F474="","Genre kosong",IF(ISERROR(MATCH(TRIM('PC 02'!F474),{"Pop","Rock","Dangdut","K-Pop","Electronic","Nasional","Daerah"},0)),"Genre di luar daftar","")),IF('PC 02'!G474="","Nama Channel kosong",""),IF('PC 02'!H474="","Link kosong",IF(ISERROR(FIND("youtu",LOWER('PC 02'!H474))),"Link bukan youtube","")),IF('PC 02'!I474="","Tgl Dibuat kosong",IF(NOT(ISNUMBER('PC 02'!I474)),"Tgl Dibuat harus tanggal","")),IF(AND('PC 02'!J474&lt;&gt;"",NOT(ISNUMBER('PC 02'!J474))),"Tgl Publish harus tanggal",""),IF(AND(ISNUMBER('PC 02'!I474),ISNUMBER('PC 02'!J474),'PC 02'!J474&lt;'PC 02'!I474),"Tgl Publish &lt; Tgl Dibuat",""),IF(AND('PC 02'!K474&lt;&gt;"",ISERROR(MATCH(TRIM('PC 02'!K474),{"Draft","Menunggu Review","Revisi","Terjadwal","Publish","Batal","Published"},0))),"Status di luar daftar","")))</f>
        <v>#ERROR!</v>
      </c>
      <c r="D474" s="5" t="str">
        <f>IF(C474="","OK","ADA MASALAH")</f>
        <v>#ERROR!</v>
      </c>
    </row>
    <row r="475">
      <c r="A475" s="3">
        <v>475.0</v>
      </c>
      <c r="B475" s="5" t="str">
        <f>'PC 02'!A475</f>
        <v/>
      </c>
      <c r="C475" s="5" t="str">
        <f>IF(COUNTA('PC 02'!A475:L475)=0,"",TEXTJOIN(" | ",TRUE,IF('PC 02'!A475="","Worker ID kosong",""),IF('PC 02'!B475="","Update Date kosong",IF(NOT(ISNUMBER('PC 02'!B475)),"Update Date harus tanggal","")),IF('PC 02'!D475="","Judul kosong",""),IF('PC 02'!F475="","Genre kosong",IF(ISERROR(MATCH(TRIM('PC 02'!F475),{"Pop","Rock","Dangdut","K-Pop","Electronic","Nasional","Daerah"},0)),"Genre di luar daftar","")),IF('PC 02'!G475="","Nama Channel kosong",""),IF('PC 02'!H475="","Link kosong",IF(ISERROR(FIND("youtu",LOWER('PC 02'!H475))),"Link bukan youtube","")),IF('PC 02'!I475="","Tgl Dibuat kosong",IF(NOT(ISNUMBER('PC 02'!I475)),"Tgl Dibuat harus tanggal","")),IF(AND('PC 02'!J475&lt;&gt;"",NOT(ISNUMBER('PC 02'!J475))),"Tgl Publish harus tanggal",""),IF(AND(ISNUMBER('PC 02'!I475),ISNUMBER('PC 02'!J475),'PC 02'!J475&lt;'PC 02'!I475),"Tgl Publish &lt; Tgl Dibuat",""),IF(AND('PC 02'!K475&lt;&gt;"",ISERROR(MATCH(TRIM('PC 02'!K475),{"Draft","Menunggu Review","Revisi","Terjadwal","Publish","Batal","Published"},0))),"Status di luar daftar","")))</f>
        <v>#ERROR!</v>
      </c>
      <c r="D475" s="5" t="str">
        <f>IF(C475="","OK","ADA MASALAH")</f>
        <v>#ERROR!</v>
      </c>
    </row>
    <row r="476">
      <c r="A476" s="3">
        <v>476.0</v>
      </c>
      <c r="B476" s="5" t="str">
        <f>'PC 02'!A476</f>
        <v/>
      </c>
      <c r="C476" s="5" t="str">
        <f>IF(COUNTA('PC 02'!A476:L476)=0,"",TEXTJOIN(" | ",TRUE,IF('PC 02'!A476="","Worker ID kosong",""),IF('PC 02'!B476="","Update Date kosong",IF(NOT(ISNUMBER('PC 02'!B476)),"Update Date harus tanggal","")),IF('PC 02'!D476="","Judul kosong",""),IF('PC 02'!F476="","Genre kosong",IF(ISERROR(MATCH(TRIM('PC 02'!F476),{"Pop","Rock","Dangdut","K-Pop","Electronic","Nasional","Daerah"},0)),"Genre di luar daftar","")),IF('PC 02'!G476="","Nama Channel kosong",""),IF('PC 02'!H476="","Link kosong",IF(ISERROR(FIND("youtu",LOWER('PC 02'!H476))),"Link bukan youtube","")),IF('PC 02'!I476="","Tgl Dibuat kosong",IF(NOT(ISNUMBER('PC 02'!I476)),"Tgl Dibuat harus tanggal","")),IF(AND('PC 02'!J476&lt;&gt;"",NOT(ISNUMBER('PC 02'!J476))),"Tgl Publish harus tanggal",""),IF(AND(ISNUMBER('PC 02'!I476),ISNUMBER('PC 02'!J476),'PC 02'!J476&lt;'PC 02'!I476),"Tgl Publish &lt; Tgl Dibuat",""),IF(AND('PC 02'!K476&lt;&gt;"",ISERROR(MATCH(TRIM('PC 02'!K476),{"Draft","Menunggu Review","Revisi","Terjadwal","Publish","Batal","Published"},0))),"Status di luar daftar","")))</f>
        <v>#ERROR!</v>
      </c>
      <c r="D476" s="5" t="str">
        <f>IF(C476="","OK","ADA MASALAH")</f>
        <v>#ERROR!</v>
      </c>
    </row>
    <row r="477">
      <c r="A477" s="3">
        <v>477.0</v>
      </c>
      <c r="B477" s="5" t="str">
        <f>'PC 02'!A477</f>
        <v/>
      </c>
      <c r="C477" s="5" t="str">
        <f>IF(COUNTA('PC 02'!A477:L477)=0,"",TEXTJOIN(" | ",TRUE,IF('PC 02'!A477="","Worker ID kosong",""),IF('PC 02'!B477="","Update Date kosong",IF(NOT(ISNUMBER('PC 02'!B477)),"Update Date harus tanggal","")),IF('PC 02'!D477="","Judul kosong",""),IF('PC 02'!F477="","Genre kosong",IF(ISERROR(MATCH(TRIM('PC 02'!F477),{"Pop","Rock","Dangdut","K-Pop","Electronic","Nasional","Daerah"},0)),"Genre di luar daftar","")),IF('PC 02'!G477="","Nama Channel kosong",""),IF('PC 02'!H477="","Link kosong",IF(ISERROR(FIND("youtu",LOWER('PC 02'!H477))),"Link bukan youtube","")),IF('PC 02'!I477="","Tgl Dibuat kosong",IF(NOT(ISNUMBER('PC 02'!I477)),"Tgl Dibuat harus tanggal","")),IF(AND('PC 02'!J477&lt;&gt;"",NOT(ISNUMBER('PC 02'!J477))),"Tgl Publish harus tanggal",""),IF(AND(ISNUMBER('PC 02'!I477),ISNUMBER('PC 02'!J477),'PC 02'!J477&lt;'PC 02'!I477),"Tgl Publish &lt; Tgl Dibuat",""),IF(AND('PC 02'!K477&lt;&gt;"",ISERROR(MATCH(TRIM('PC 02'!K477),{"Draft","Menunggu Review","Revisi","Terjadwal","Publish","Batal","Published"},0))),"Status di luar daftar","")))</f>
        <v>#ERROR!</v>
      </c>
      <c r="D477" s="5" t="str">
        <f>IF(C477="","OK","ADA MASALAH")</f>
        <v>#ERROR!</v>
      </c>
    </row>
    <row r="478">
      <c r="A478" s="3">
        <v>478.0</v>
      </c>
      <c r="B478" s="5" t="str">
        <f>'PC 02'!A478</f>
        <v/>
      </c>
      <c r="C478" s="5" t="str">
        <f>IF(COUNTA('PC 02'!A478:L478)=0,"",TEXTJOIN(" | ",TRUE,IF('PC 02'!A478="","Worker ID kosong",""),IF('PC 02'!B478="","Update Date kosong",IF(NOT(ISNUMBER('PC 02'!B478)),"Update Date harus tanggal","")),IF('PC 02'!D478="","Judul kosong",""),IF('PC 02'!F478="","Genre kosong",IF(ISERROR(MATCH(TRIM('PC 02'!F478),{"Pop","Rock","Dangdut","K-Pop","Electronic","Nasional","Daerah"},0)),"Genre di luar daftar","")),IF('PC 02'!G478="","Nama Channel kosong",""),IF('PC 02'!H478="","Link kosong",IF(ISERROR(FIND("youtu",LOWER('PC 02'!H478))),"Link bukan youtube","")),IF('PC 02'!I478="","Tgl Dibuat kosong",IF(NOT(ISNUMBER('PC 02'!I478)),"Tgl Dibuat harus tanggal","")),IF(AND('PC 02'!J478&lt;&gt;"",NOT(ISNUMBER('PC 02'!J478))),"Tgl Publish harus tanggal",""),IF(AND(ISNUMBER('PC 02'!I478),ISNUMBER('PC 02'!J478),'PC 02'!J478&lt;'PC 02'!I478),"Tgl Publish &lt; Tgl Dibuat",""),IF(AND('PC 02'!K478&lt;&gt;"",ISERROR(MATCH(TRIM('PC 02'!K478),{"Draft","Menunggu Review","Revisi","Terjadwal","Publish","Batal","Published"},0))),"Status di luar daftar","")))</f>
        <v>#ERROR!</v>
      </c>
      <c r="D478" s="5" t="str">
        <f>IF(C478="","OK","ADA MASALAH")</f>
        <v>#ERROR!</v>
      </c>
    </row>
    <row r="479">
      <c r="A479" s="3">
        <v>479.0</v>
      </c>
      <c r="B479" s="5" t="str">
        <f>'PC 02'!A479</f>
        <v/>
      </c>
      <c r="C479" s="5" t="str">
        <f>IF(COUNTA('PC 02'!A479:L479)=0,"",TEXTJOIN(" | ",TRUE,IF('PC 02'!A479="","Worker ID kosong",""),IF('PC 02'!B479="","Update Date kosong",IF(NOT(ISNUMBER('PC 02'!B479)),"Update Date harus tanggal","")),IF('PC 02'!D479="","Judul kosong",""),IF('PC 02'!F479="","Genre kosong",IF(ISERROR(MATCH(TRIM('PC 02'!F479),{"Pop","Rock","Dangdut","K-Pop","Electronic","Nasional","Daerah"},0)),"Genre di luar daftar","")),IF('PC 02'!G479="","Nama Channel kosong",""),IF('PC 02'!H479="","Link kosong",IF(ISERROR(FIND("youtu",LOWER('PC 02'!H479))),"Link bukan youtube","")),IF('PC 02'!I479="","Tgl Dibuat kosong",IF(NOT(ISNUMBER('PC 02'!I479)),"Tgl Dibuat harus tanggal","")),IF(AND('PC 02'!J479&lt;&gt;"",NOT(ISNUMBER('PC 02'!J479))),"Tgl Publish harus tanggal",""),IF(AND(ISNUMBER('PC 02'!I479),ISNUMBER('PC 02'!J479),'PC 02'!J479&lt;'PC 02'!I479),"Tgl Publish &lt; Tgl Dibuat",""),IF(AND('PC 02'!K479&lt;&gt;"",ISERROR(MATCH(TRIM('PC 02'!K479),{"Draft","Menunggu Review","Revisi","Terjadwal","Publish","Batal","Published"},0))),"Status di luar daftar","")))</f>
        <v>#ERROR!</v>
      </c>
      <c r="D479" s="5" t="str">
        <f>IF(C479="","OK","ADA MASALAH")</f>
        <v>#ERROR!</v>
      </c>
    </row>
    <row r="480">
      <c r="A480" s="3">
        <v>480.0</v>
      </c>
      <c r="B480" s="5" t="str">
        <f>'PC 02'!A480</f>
        <v/>
      </c>
      <c r="C480" s="5" t="str">
        <f>IF(COUNTA('PC 02'!A480:L480)=0,"",TEXTJOIN(" | ",TRUE,IF('PC 02'!A480="","Worker ID kosong",""),IF('PC 02'!B480="","Update Date kosong",IF(NOT(ISNUMBER('PC 02'!B480)),"Update Date harus tanggal","")),IF('PC 02'!D480="","Judul kosong",""),IF('PC 02'!F480="","Genre kosong",IF(ISERROR(MATCH(TRIM('PC 02'!F480),{"Pop","Rock","Dangdut","K-Pop","Electronic","Nasional","Daerah"},0)),"Genre di luar daftar","")),IF('PC 02'!G480="","Nama Channel kosong",""),IF('PC 02'!H480="","Link kosong",IF(ISERROR(FIND("youtu",LOWER('PC 02'!H480))),"Link bukan youtube","")),IF('PC 02'!I480="","Tgl Dibuat kosong",IF(NOT(ISNUMBER('PC 02'!I480)),"Tgl Dibuat harus tanggal","")),IF(AND('PC 02'!J480&lt;&gt;"",NOT(ISNUMBER('PC 02'!J480))),"Tgl Publish harus tanggal",""),IF(AND(ISNUMBER('PC 02'!I480),ISNUMBER('PC 02'!J480),'PC 02'!J480&lt;'PC 02'!I480),"Tgl Publish &lt; Tgl Dibuat",""),IF(AND('PC 02'!K480&lt;&gt;"",ISERROR(MATCH(TRIM('PC 02'!K480),{"Draft","Menunggu Review","Revisi","Terjadwal","Publish","Batal","Published"},0))),"Status di luar daftar","")))</f>
        <v>#ERROR!</v>
      </c>
      <c r="D480" s="5" t="str">
        <f>IF(C480="","OK","ADA MASALAH")</f>
        <v>#ERROR!</v>
      </c>
    </row>
    <row r="481">
      <c r="A481" s="3">
        <v>481.0</v>
      </c>
      <c r="B481" s="5" t="str">
        <f>'PC 02'!A481</f>
        <v/>
      </c>
      <c r="C481" s="5" t="str">
        <f>IF(COUNTA('PC 02'!A481:L481)=0,"",TEXTJOIN(" | ",TRUE,IF('PC 02'!A481="","Worker ID kosong",""),IF('PC 02'!B481="","Update Date kosong",IF(NOT(ISNUMBER('PC 02'!B481)),"Update Date harus tanggal","")),IF('PC 02'!D481="","Judul kosong",""),IF('PC 02'!F481="","Genre kosong",IF(ISERROR(MATCH(TRIM('PC 02'!F481),{"Pop","Rock","Dangdut","K-Pop","Electronic","Nasional","Daerah"},0)),"Genre di luar daftar","")),IF('PC 02'!G481="","Nama Channel kosong",""),IF('PC 02'!H481="","Link kosong",IF(ISERROR(FIND("youtu",LOWER('PC 02'!H481))),"Link bukan youtube","")),IF('PC 02'!I481="","Tgl Dibuat kosong",IF(NOT(ISNUMBER('PC 02'!I481)),"Tgl Dibuat harus tanggal","")),IF(AND('PC 02'!J481&lt;&gt;"",NOT(ISNUMBER('PC 02'!J481))),"Tgl Publish harus tanggal",""),IF(AND(ISNUMBER('PC 02'!I481),ISNUMBER('PC 02'!J481),'PC 02'!J481&lt;'PC 02'!I481),"Tgl Publish &lt; Tgl Dibuat",""),IF(AND('PC 02'!K481&lt;&gt;"",ISERROR(MATCH(TRIM('PC 02'!K481),{"Draft","Menunggu Review","Revisi","Terjadwal","Publish","Batal","Published"},0))),"Status di luar daftar","")))</f>
        <v>#ERROR!</v>
      </c>
      <c r="D481" s="5" t="str">
        <f>IF(C481="","OK","ADA MASALAH")</f>
        <v>#ERROR!</v>
      </c>
    </row>
    <row r="482">
      <c r="A482" s="3">
        <v>482.0</v>
      </c>
      <c r="B482" s="5" t="str">
        <f>'PC 02'!A482</f>
        <v/>
      </c>
      <c r="C482" s="5" t="str">
        <f>IF(COUNTA('PC 02'!A482:L482)=0,"",TEXTJOIN(" | ",TRUE,IF('PC 02'!A482="","Worker ID kosong",""),IF('PC 02'!B482="","Update Date kosong",IF(NOT(ISNUMBER('PC 02'!B482)),"Update Date harus tanggal","")),IF('PC 02'!D482="","Judul kosong",""),IF('PC 02'!F482="","Genre kosong",IF(ISERROR(MATCH(TRIM('PC 02'!F482),{"Pop","Rock","Dangdut","K-Pop","Electronic","Nasional","Daerah"},0)),"Genre di luar daftar","")),IF('PC 02'!G482="","Nama Channel kosong",""),IF('PC 02'!H482="","Link kosong",IF(ISERROR(FIND("youtu",LOWER('PC 02'!H482))),"Link bukan youtube","")),IF('PC 02'!I482="","Tgl Dibuat kosong",IF(NOT(ISNUMBER('PC 02'!I482)),"Tgl Dibuat harus tanggal","")),IF(AND('PC 02'!J482&lt;&gt;"",NOT(ISNUMBER('PC 02'!J482))),"Tgl Publish harus tanggal",""),IF(AND(ISNUMBER('PC 02'!I482),ISNUMBER('PC 02'!J482),'PC 02'!J482&lt;'PC 02'!I482),"Tgl Publish &lt; Tgl Dibuat",""),IF(AND('PC 02'!K482&lt;&gt;"",ISERROR(MATCH(TRIM('PC 02'!K482),{"Draft","Menunggu Review","Revisi","Terjadwal","Publish","Batal","Published"},0))),"Status di luar daftar","")))</f>
        <v>#ERROR!</v>
      </c>
      <c r="D482" s="5" t="str">
        <f>IF(C482="","OK","ADA MASALAH")</f>
        <v>#ERROR!</v>
      </c>
    </row>
    <row r="483">
      <c r="A483" s="3">
        <v>483.0</v>
      </c>
      <c r="B483" s="5" t="str">
        <f>'PC 02'!A483</f>
        <v/>
      </c>
      <c r="C483" s="5" t="str">
        <f>IF(COUNTA('PC 02'!A483:L483)=0,"",TEXTJOIN(" | ",TRUE,IF('PC 02'!A483="","Worker ID kosong",""),IF('PC 02'!B483="","Update Date kosong",IF(NOT(ISNUMBER('PC 02'!B483)),"Update Date harus tanggal","")),IF('PC 02'!D483="","Judul kosong",""),IF('PC 02'!F483="","Genre kosong",IF(ISERROR(MATCH(TRIM('PC 02'!F483),{"Pop","Rock","Dangdut","K-Pop","Electronic","Nasional","Daerah"},0)),"Genre di luar daftar","")),IF('PC 02'!G483="","Nama Channel kosong",""),IF('PC 02'!H483="","Link kosong",IF(ISERROR(FIND("youtu",LOWER('PC 02'!H483))),"Link bukan youtube","")),IF('PC 02'!I483="","Tgl Dibuat kosong",IF(NOT(ISNUMBER('PC 02'!I483)),"Tgl Dibuat harus tanggal","")),IF(AND('PC 02'!J483&lt;&gt;"",NOT(ISNUMBER('PC 02'!J483))),"Tgl Publish harus tanggal",""),IF(AND(ISNUMBER('PC 02'!I483),ISNUMBER('PC 02'!J483),'PC 02'!J483&lt;'PC 02'!I483),"Tgl Publish &lt; Tgl Dibuat",""),IF(AND('PC 02'!K483&lt;&gt;"",ISERROR(MATCH(TRIM('PC 02'!K483),{"Draft","Menunggu Review","Revisi","Terjadwal","Publish","Batal","Published"},0))),"Status di luar daftar","")))</f>
        <v>#ERROR!</v>
      </c>
      <c r="D483" s="5" t="str">
        <f>IF(C483="","OK","ADA MASALAH")</f>
        <v>#ERROR!</v>
      </c>
    </row>
    <row r="484">
      <c r="A484" s="3">
        <v>484.0</v>
      </c>
      <c r="B484" s="5" t="str">
        <f>'PC 02'!A484</f>
        <v/>
      </c>
      <c r="C484" s="5" t="str">
        <f>IF(COUNTA('PC 02'!A484:L484)=0,"",TEXTJOIN(" | ",TRUE,IF('PC 02'!A484="","Worker ID kosong",""),IF('PC 02'!B484="","Update Date kosong",IF(NOT(ISNUMBER('PC 02'!B484)),"Update Date harus tanggal","")),IF('PC 02'!D484="","Judul kosong",""),IF('PC 02'!F484="","Genre kosong",IF(ISERROR(MATCH(TRIM('PC 02'!F484),{"Pop","Rock","Dangdut","K-Pop","Electronic","Nasional","Daerah"},0)),"Genre di luar daftar","")),IF('PC 02'!G484="","Nama Channel kosong",""),IF('PC 02'!H484="","Link kosong",IF(ISERROR(FIND("youtu",LOWER('PC 02'!H484))),"Link bukan youtube","")),IF('PC 02'!I484="","Tgl Dibuat kosong",IF(NOT(ISNUMBER('PC 02'!I484)),"Tgl Dibuat harus tanggal","")),IF(AND('PC 02'!J484&lt;&gt;"",NOT(ISNUMBER('PC 02'!J484))),"Tgl Publish harus tanggal",""),IF(AND(ISNUMBER('PC 02'!I484),ISNUMBER('PC 02'!J484),'PC 02'!J484&lt;'PC 02'!I484),"Tgl Publish &lt; Tgl Dibuat",""),IF(AND('PC 02'!K484&lt;&gt;"",ISERROR(MATCH(TRIM('PC 02'!K484),{"Draft","Menunggu Review","Revisi","Terjadwal","Publish","Batal","Published"},0))),"Status di luar daftar","")))</f>
        <v>#ERROR!</v>
      </c>
      <c r="D484" s="5" t="str">
        <f>IF(C484="","OK","ADA MASALAH")</f>
        <v>#ERROR!</v>
      </c>
    </row>
    <row r="485">
      <c r="A485" s="3">
        <v>485.0</v>
      </c>
      <c r="B485" s="5" t="str">
        <f>'PC 02'!A485</f>
        <v/>
      </c>
      <c r="C485" s="5" t="str">
        <f>IF(COUNTA('PC 02'!A485:L485)=0,"",TEXTJOIN(" | ",TRUE,IF('PC 02'!A485="","Worker ID kosong",""),IF('PC 02'!B485="","Update Date kosong",IF(NOT(ISNUMBER('PC 02'!B485)),"Update Date harus tanggal","")),IF('PC 02'!D485="","Judul kosong",""),IF('PC 02'!F485="","Genre kosong",IF(ISERROR(MATCH(TRIM('PC 02'!F485),{"Pop","Rock","Dangdut","K-Pop","Electronic","Nasional","Daerah"},0)),"Genre di luar daftar","")),IF('PC 02'!G485="","Nama Channel kosong",""),IF('PC 02'!H485="","Link kosong",IF(ISERROR(FIND("youtu",LOWER('PC 02'!H485))),"Link bukan youtube","")),IF('PC 02'!I485="","Tgl Dibuat kosong",IF(NOT(ISNUMBER('PC 02'!I485)),"Tgl Dibuat harus tanggal","")),IF(AND('PC 02'!J485&lt;&gt;"",NOT(ISNUMBER('PC 02'!J485))),"Tgl Publish harus tanggal",""),IF(AND(ISNUMBER('PC 02'!I485),ISNUMBER('PC 02'!J485),'PC 02'!J485&lt;'PC 02'!I485),"Tgl Publish &lt; Tgl Dibuat",""),IF(AND('PC 02'!K485&lt;&gt;"",ISERROR(MATCH(TRIM('PC 02'!K485),{"Draft","Menunggu Review","Revisi","Terjadwal","Publish","Batal","Published"},0))),"Status di luar daftar","")))</f>
        <v>#ERROR!</v>
      </c>
      <c r="D485" s="5" t="str">
        <f>IF(C485="","OK","ADA MASALAH")</f>
        <v>#ERROR!</v>
      </c>
    </row>
    <row r="486">
      <c r="A486" s="3">
        <v>486.0</v>
      </c>
      <c r="B486" s="5" t="str">
        <f>'PC 02'!A486</f>
        <v/>
      </c>
      <c r="C486" s="5" t="str">
        <f>IF(COUNTA('PC 02'!A486:L486)=0,"",TEXTJOIN(" | ",TRUE,IF('PC 02'!A486="","Worker ID kosong",""),IF('PC 02'!B486="","Update Date kosong",IF(NOT(ISNUMBER('PC 02'!B486)),"Update Date harus tanggal","")),IF('PC 02'!D486="","Judul kosong",""),IF('PC 02'!F486="","Genre kosong",IF(ISERROR(MATCH(TRIM('PC 02'!F486),{"Pop","Rock","Dangdut","K-Pop","Electronic","Nasional","Daerah"},0)),"Genre di luar daftar","")),IF('PC 02'!G486="","Nama Channel kosong",""),IF('PC 02'!H486="","Link kosong",IF(ISERROR(FIND("youtu",LOWER('PC 02'!H486))),"Link bukan youtube","")),IF('PC 02'!I486="","Tgl Dibuat kosong",IF(NOT(ISNUMBER('PC 02'!I486)),"Tgl Dibuat harus tanggal","")),IF(AND('PC 02'!J486&lt;&gt;"",NOT(ISNUMBER('PC 02'!J486))),"Tgl Publish harus tanggal",""),IF(AND(ISNUMBER('PC 02'!I486),ISNUMBER('PC 02'!J486),'PC 02'!J486&lt;'PC 02'!I486),"Tgl Publish &lt; Tgl Dibuat",""),IF(AND('PC 02'!K486&lt;&gt;"",ISERROR(MATCH(TRIM('PC 02'!K486),{"Draft","Menunggu Review","Revisi","Terjadwal","Publish","Batal","Published"},0))),"Status di luar daftar","")))</f>
        <v>#ERROR!</v>
      </c>
      <c r="D486" s="5" t="str">
        <f>IF(C486="","OK","ADA MASALAH")</f>
        <v>#ERROR!</v>
      </c>
    </row>
    <row r="487">
      <c r="A487" s="3">
        <v>487.0</v>
      </c>
      <c r="B487" s="5" t="str">
        <f>'PC 02'!A487</f>
        <v/>
      </c>
      <c r="C487" s="5" t="str">
        <f>IF(COUNTA('PC 02'!A487:L487)=0,"",TEXTJOIN(" | ",TRUE,IF('PC 02'!A487="","Worker ID kosong",""),IF('PC 02'!B487="","Update Date kosong",IF(NOT(ISNUMBER('PC 02'!B487)),"Update Date harus tanggal","")),IF('PC 02'!D487="","Judul kosong",""),IF('PC 02'!F487="","Genre kosong",IF(ISERROR(MATCH(TRIM('PC 02'!F487),{"Pop","Rock","Dangdut","K-Pop","Electronic","Nasional","Daerah"},0)),"Genre di luar daftar","")),IF('PC 02'!G487="","Nama Channel kosong",""),IF('PC 02'!H487="","Link kosong",IF(ISERROR(FIND("youtu",LOWER('PC 02'!H487))),"Link bukan youtube","")),IF('PC 02'!I487="","Tgl Dibuat kosong",IF(NOT(ISNUMBER('PC 02'!I487)),"Tgl Dibuat harus tanggal","")),IF(AND('PC 02'!J487&lt;&gt;"",NOT(ISNUMBER('PC 02'!J487))),"Tgl Publish harus tanggal",""),IF(AND(ISNUMBER('PC 02'!I487),ISNUMBER('PC 02'!J487),'PC 02'!J487&lt;'PC 02'!I487),"Tgl Publish &lt; Tgl Dibuat",""),IF(AND('PC 02'!K487&lt;&gt;"",ISERROR(MATCH(TRIM('PC 02'!K487),{"Draft","Menunggu Review","Revisi","Terjadwal","Publish","Batal","Published"},0))),"Status di luar daftar","")))</f>
        <v>#ERROR!</v>
      </c>
      <c r="D487" s="5" t="str">
        <f>IF(C487="","OK","ADA MASALAH")</f>
        <v>#ERROR!</v>
      </c>
    </row>
    <row r="488">
      <c r="A488" s="3">
        <v>488.0</v>
      </c>
      <c r="B488" s="5" t="str">
        <f>'PC 02'!A488</f>
        <v/>
      </c>
      <c r="C488" s="5" t="str">
        <f>IF(COUNTA('PC 02'!A488:L488)=0,"",TEXTJOIN(" | ",TRUE,IF('PC 02'!A488="","Worker ID kosong",""),IF('PC 02'!B488="","Update Date kosong",IF(NOT(ISNUMBER('PC 02'!B488)),"Update Date harus tanggal","")),IF('PC 02'!D488="","Judul kosong",""),IF('PC 02'!F488="","Genre kosong",IF(ISERROR(MATCH(TRIM('PC 02'!F488),{"Pop","Rock","Dangdut","K-Pop","Electronic","Nasional","Daerah"},0)),"Genre di luar daftar","")),IF('PC 02'!G488="","Nama Channel kosong",""),IF('PC 02'!H488="","Link kosong",IF(ISERROR(FIND("youtu",LOWER('PC 02'!H488))),"Link bukan youtube","")),IF('PC 02'!I488="","Tgl Dibuat kosong",IF(NOT(ISNUMBER('PC 02'!I488)),"Tgl Dibuat harus tanggal","")),IF(AND('PC 02'!J488&lt;&gt;"",NOT(ISNUMBER('PC 02'!J488))),"Tgl Publish harus tanggal",""),IF(AND(ISNUMBER('PC 02'!I488),ISNUMBER('PC 02'!J488),'PC 02'!J488&lt;'PC 02'!I488),"Tgl Publish &lt; Tgl Dibuat",""),IF(AND('PC 02'!K488&lt;&gt;"",ISERROR(MATCH(TRIM('PC 02'!K488),{"Draft","Menunggu Review","Revisi","Terjadwal","Publish","Batal","Published"},0))),"Status di luar daftar","")))</f>
        <v>#ERROR!</v>
      </c>
      <c r="D488" s="5" t="str">
        <f>IF(C488="","OK","ADA MASALAH")</f>
        <v>#ERROR!</v>
      </c>
    </row>
    <row r="489">
      <c r="A489" s="3">
        <v>489.0</v>
      </c>
      <c r="B489" s="5" t="str">
        <f>'PC 02'!A489</f>
        <v/>
      </c>
      <c r="C489" s="5" t="str">
        <f>IF(COUNTA('PC 02'!A489:L489)=0,"",TEXTJOIN(" | ",TRUE,IF('PC 02'!A489="","Worker ID kosong",""),IF('PC 02'!B489="","Update Date kosong",IF(NOT(ISNUMBER('PC 02'!B489)),"Update Date harus tanggal","")),IF('PC 02'!D489="","Judul kosong",""),IF('PC 02'!F489="","Genre kosong",IF(ISERROR(MATCH(TRIM('PC 02'!F489),{"Pop","Rock","Dangdut","K-Pop","Electronic","Nasional","Daerah"},0)),"Genre di luar daftar","")),IF('PC 02'!G489="","Nama Channel kosong",""),IF('PC 02'!H489="","Link kosong",IF(ISERROR(FIND("youtu",LOWER('PC 02'!H489))),"Link bukan youtube","")),IF('PC 02'!I489="","Tgl Dibuat kosong",IF(NOT(ISNUMBER('PC 02'!I489)),"Tgl Dibuat harus tanggal","")),IF(AND('PC 02'!J489&lt;&gt;"",NOT(ISNUMBER('PC 02'!J489))),"Tgl Publish harus tanggal",""),IF(AND(ISNUMBER('PC 02'!I489),ISNUMBER('PC 02'!J489),'PC 02'!J489&lt;'PC 02'!I489),"Tgl Publish &lt; Tgl Dibuat",""),IF(AND('PC 02'!K489&lt;&gt;"",ISERROR(MATCH(TRIM('PC 02'!K489),{"Draft","Menunggu Review","Revisi","Terjadwal","Publish","Batal","Published"},0))),"Status di luar daftar","")))</f>
        <v>#ERROR!</v>
      </c>
      <c r="D489" s="5" t="str">
        <f>IF(C489="","OK","ADA MASALAH")</f>
        <v>#ERROR!</v>
      </c>
    </row>
    <row r="490">
      <c r="A490" s="3">
        <v>490.0</v>
      </c>
      <c r="B490" s="5" t="str">
        <f>'PC 02'!A490</f>
        <v/>
      </c>
      <c r="C490" s="5" t="str">
        <f>IF(COUNTA('PC 02'!A490:L490)=0,"",TEXTJOIN(" | ",TRUE,IF('PC 02'!A490="","Worker ID kosong",""),IF('PC 02'!B490="","Update Date kosong",IF(NOT(ISNUMBER('PC 02'!B490)),"Update Date harus tanggal","")),IF('PC 02'!D490="","Judul kosong",""),IF('PC 02'!F490="","Genre kosong",IF(ISERROR(MATCH(TRIM('PC 02'!F490),{"Pop","Rock","Dangdut","K-Pop","Electronic","Nasional","Daerah"},0)),"Genre di luar daftar","")),IF('PC 02'!G490="","Nama Channel kosong",""),IF('PC 02'!H490="","Link kosong",IF(ISERROR(FIND("youtu",LOWER('PC 02'!H490))),"Link bukan youtube","")),IF('PC 02'!I490="","Tgl Dibuat kosong",IF(NOT(ISNUMBER('PC 02'!I490)),"Tgl Dibuat harus tanggal","")),IF(AND('PC 02'!J490&lt;&gt;"",NOT(ISNUMBER('PC 02'!J490))),"Tgl Publish harus tanggal",""),IF(AND(ISNUMBER('PC 02'!I490),ISNUMBER('PC 02'!J490),'PC 02'!J490&lt;'PC 02'!I490),"Tgl Publish &lt; Tgl Dibuat",""),IF(AND('PC 02'!K490&lt;&gt;"",ISERROR(MATCH(TRIM('PC 02'!K490),{"Draft","Menunggu Review","Revisi","Terjadwal","Publish","Batal","Published"},0))),"Status di luar daftar","")))</f>
        <v>#ERROR!</v>
      </c>
      <c r="D490" s="5" t="str">
        <f>IF(C490="","OK","ADA MASALAH")</f>
        <v>#ERROR!</v>
      </c>
    </row>
    <row r="491">
      <c r="A491" s="3">
        <v>491.0</v>
      </c>
      <c r="B491" s="5" t="str">
        <f>'PC 02'!A491</f>
        <v/>
      </c>
      <c r="C491" s="5" t="str">
        <f>IF(COUNTA('PC 02'!A491:L491)=0,"",TEXTJOIN(" | ",TRUE,IF('PC 02'!A491="","Worker ID kosong",""),IF('PC 02'!B491="","Update Date kosong",IF(NOT(ISNUMBER('PC 02'!B491)),"Update Date harus tanggal","")),IF('PC 02'!D491="","Judul kosong",""),IF('PC 02'!F491="","Genre kosong",IF(ISERROR(MATCH(TRIM('PC 02'!F491),{"Pop","Rock","Dangdut","K-Pop","Electronic","Nasional","Daerah"},0)),"Genre di luar daftar","")),IF('PC 02'!G491="","Nama Channel kosong",""),IF('PC 02'!H491="","Link kosong",IF(ISERROR(FIND("youtu",LOWER('PC 02'!H491))),"Link bukan youtube","")),IF('PC 02'!I491="","Tgl Dibuat kosong",IF(NOT(ISNUMBER('PC 02'!I491)),"Tgl Dibuat harus tanggal","")),IF(AND('PC 02'!J491&lt;&gt;"",NOT(ISNUMBER('PC 02'!J491))),"Tgl Publish harus tanggal",""),IF(AND(ISNUMBER('PC 02'!I491),ISNUMBER('PC 02'!J491),'PC 02'!J491&lt;'PC 02'!I491),"Tgl Publish &lt; Tgl Dibuat",""),IF(AND('PC 02'!K491&lt;&gt;"",ISERROR(MATCH(TRIM('PC 02'!K491),{"Draft","Menunggu Review","Revisi","Terjadwal","Publish","Batal","Published"},0))),"Status di luar daftar","")))</f>
        <v>#ERROR!</v>
      </c>
      <c r="D491" s="5" t="str">
        <f>IF(C491="","OK","ADA MASALAH")</f>
        <v>#ERROR!</v>
      </c>
    </row>
    <row r="492">
      <c r="A492" s="3">
        <v>492.0</v>
      </c>
      <c r="B492" s="5" t="str">
        <f>'PC 02'!A492</f>
        <v/>
      </c>
      <c r="C492" s="5" t="str">
        <f>IF(COUNTA('PC 02'!A492:L492)=0,"",TEXTJOIN(" | ",TRUE,IF('PC 02'!A492="","Worker ID kosong",""),IF('PC 02'!B492="","Update Date kosong",IF(NOT(ISNUMBER('PC 02'!B492)),"Update Date harus tanggal","")),IF('PC 02'!D492="","Judul kosong",""),IF('PC 02'!F492="","Genre kosong",IF(ISERROR(MATCH(TRIM('PC 02'!F492),{"Pop","Rock","Dangdut","K-Pop","Electronic","Nasional","Daerah"},0)),"Genre di luar daftar","")),IF('PC 02'!G492="","Nama Channel kosong",""),IF('PC 02'!H492="","Link kosong",IF(ISERROR(FIND("youtu",LOWER('PC 02'!H492))),"Link bukan youtube","")),IF('PC 02'!I492="","Tgl Dibuat kosong",IF(NOT(ISNUMBER('PC 02'!I492)),"Tgl Dibuat harus tanggal","")),IF(AND('PC 02'!J492&lt;&gt;"",NOT(ISNUMBER('PC 02'!J492))),"Tgl Publish harus tanggal",""),IF(AND(ISNUMBER('PC 02'!I492),ISNUMBER('PC 02'!J492),'PC 02'!J492&lt;'PC 02'!I492),"Tgl Publish &lt; Tgl Dibuat",""),IF(AND('PC 02'!K492&lt;&gt;"",ISERROR(MATCH(TRIM('PC 02'!K492),{"Draft","Menunggu Review","Revisi","Terjadwal","Publish","Batal","Published"},0))),"Status di luar daftar","")))</f>
        <v>#ERROR!</v>
      </c>
      <c r="D492" s="5" t="str">
        <f>IF(C492="","OK","ADA MASALAH")</f>
        <v>#ERROR!</v>
      </c>
    </row>
    <row r="493">
      <c r="A493" s="3">
        <v>493.0</v>
      </c>
      <c r="B493" s="5" t="str">
        <f>'PC 02'!A493</f>
        <v/>
      </c>
      <c r="C493" s="5" t="str">
        <f>IF(COUNTA('PC 02'!A493:L493)=0,"",TEXTJOIN(" | ",TRUE,IF('PC 02'!A493="","Worker ID kosong",""),IF('PC 02'!B493="","Update Date kosong",IF(NOT(ISNUMBER('PC 02'!B493)),"Update Date harus tanggal","")),IF('PC 02'!D493="","Judul kosong",""),IF('PC 02'!F493="","Genre kosong",IF(ISERROR(MATCH(TRIM('PC 02'!F493),{"Pop","Rock","Dangdut","K-Pop","Electronic","Nasional","Daerah"},0)),"Genre di luar daftar","")),IF('PC 02'!G493="","Nama Channel kosong",""),IF('PC 02'!H493="","Link kosong",IF(ISERROR(FIND("youtu",LOWER('PC 02'!H493))),"Link bukan youtube","")),IF('PC 02'!I493="","Tgl Dibuat kosong",IF(NOT(ISNUMBER('PC 02'!I493)),"Tgl Dibuat harus tanggal","")),IF(AND('PC 02'!J493&lt;&gt;"",NOT(ISNUMBER('PC 02'!J493))),"Tgl Publish harus tanggal",""),IF(AND(ISNUMBER('PC 02'!I493),ISNUMBER('PC 02'!J493),'PC 02'!J493&lt;'PC 02'!I493),"Tgl Publish &lt; Tgl Dibuat",""),IF(AND('PC 02'!K493&lt;&gt;"",ISERROR(MATCH(TRIM('PC 02'!K493),{"Draft","Menunggu Review","Revisi","Terjadwal","Publish","Batal","Published"},0))),"Status di luar daftar","")))</f>
        <v>#ERROR!</v>
      </c>
      <c r="D493" s="5" t="str">
        <f>IF(C493="","OK","ADA MASALAH")</f>
        <v>#ERROR!</v>
      </c>
    </row>
    <row r="494">
      <c r="A494" s="3">
        <v>494.0</v>
      </c>
      <c r="B494" s="5" t="str">
        <f>'PC 02'!A494</f>
        <v/>
      </c>
      <c r="C494" s="5" t="str">
        <f>IF(COUNTA('PC 02'!A494:L494)=0,"",TEXTJOIN(" | ",TRUE,IF('PC 02'!A494="","Worker ID kosong",""),IF('PC 02'!B494="","Update Date kosong",IF(NOT(ISNUMBER('PC 02'!B494)),"Update Date harus tanggal","")),IF('PC 02'!D494="","Judul kosong",""),IF('PC 02'!F494="","Genre kosong",IF(ISERROR(MATCH(TRIM('PC 02'!F494),{"Pop","Rock","Dangdut","K-Pop","Electronic","Nasional","Daerah"},0)),"Genre di luar daftar","")),IF('PC 02'!G494="","Nama Channel kosong",""),IF('PC 02'!H494="","Link kosong",IF(ISERROR(FIND("youtu",LOWER('PC 02'!H494))),"Link bukan youtube","")),IF('PC 02'!I494="","Tgl Dibuat kosong",IF(NOT(ISNUMBER('PC 02'!I494)),"Tgl Dibuat harus tanggal","")),IF(AND('PC 02'!J494&lt;&gt;"",NOT(ISNUMBER('PC 02'!J494))),"Tgl Publish harus tanggal",""),IF(AND(ISNUMBER('PC 02'!I494),ISNUMBER('PC 02'!J494),'PC 02'!J494&lt;'PC 02'!I494),"Tgl Publish &lt; Tgl Dibuat",""),IF(AND('PC 02'!K494&lt;&gt;"",ISERROR(MATCH(TRIM('PC 02'!K494),{"Draft","Menunggu Review","Revisi","Terjadwal","Publish","Batal","Published"},0))),"Status di luar daftar","")))</f>
        <v>#ERROR!</v>
      </c>
      <c r="D494" s="5" t="str">
        <f>IF(C494="","OK","ADA MASALAH")</f>
        <v>#ERROR!</v>
      </c>
    </row>
    <row r="495">
      <c r="A495" s="3">
        <v>495.0</v>
      </c>
      <c r="B495" s="5" t="str">
        <f>'PC 02'!A495</f>
        <v/>
      </c>
      <c r="C495" s="5" t="str">
        <f>IF(COUNTA('PC 02'!A495:L495)=0,"",TEXTJOIN(" | ",TRUE,IF('PC 02'!A495="","Worker ID kosong",""),IF('PC 02'!B495="","Update Date kosong",IF(NOT(ISNUMBER('PC 02'!B495)),"Update Date harus tanggal","")),IF('PC 02'!D495="","Judul kosong",""),IF('PC 02'!F495="","Genre kosong",IF(ISERROR(MATCH(TRIM('PC 02'!F495),{"Pop","Rock","Dangdut","K-Pop","Electronic","Nasional","Daerah"},0)),"Genre di luar daftar","")),IF('PC 02'!G495="","Nama Channel kosong",""),IF('PC 02'!H495="","Link kosong",IF(ISERROR(FIND("youtu",LOWER('PC 02'!H495))),"Link bukan youtube","")),IF('PC 02'!I495="","Tgl Dibuat kosong",IF(NOT(ISNUMBER('PC 02'!I495)),"Tgl Dibuat harus tanggal","")),IF(AND('PC 02'!J495&lt;&gt;"",NOT(ISNUMBER('PC 02'!J495))),"Tgl Publish harus tanggal",""),IF(AND(ISNUMBER('PC 02'!I495),ISNUMBER('PC 02'!J495),'PC 02'!J495&lt;'PC 02'!I495),"Tgl Publish &lt; Tgl Dibuat",""),IF(AND('PC 02'!K495&lt;&gt;"",ISERROR(MATCH(TRIM('PC 02'!K495),{"Draft","Menunggu Review","Revisi","Terjadwal","Publish","Batal","Published"},0))),"Status di luar daftar","")))</f>
        <v>#ERROR!</v>
      </c>
      <c r="D495" s="5" t="str">
        <f>IF(C495="","OK","ADA MASALAH")</f>
        <v>#ERROR!</v>
      </c>
    </row>
    <row r="496">
      <c r="A496" s="3">
        <v>496.0</v>
      </c>
      <c r="B496" s="5" t="str">
        <f>'PC 02'!A496</f>
        <v/>
      </c>
      <c r="C496" s="5" t="str">
        <f>IF(COUNTA('PC 02'!A496:L496)=0,"",TEXTJOIN(" | ",TRUE,IF('PC 02'!A496="","Worker ID kosong",""),IF('PC 02'!B496="","Update Date kosong",IF(NOT(ISNUMBER('PC 02'!B496)),"Update Date harus tanggal","")),IF('PC 02'!D496="","Judul kosong",""),IF('PC 02'!F496="","Genre kosong",IF(ISERROR(MATCH(TRIM('PC 02'!F496),{"Pop","Rock","Dangdut","K-Pop","Electronic","Nasional","Daerah"},0)),"Genre di luar daftar","")),IF('PC 02'!G496="","Nama Channel kosong",""),IF('PC 02'!H496="","Link kosong",IF(ISERROR(FIND("youtu",LOWER('PC 02'!H496))),"Link bukan youtube","")),IF('PC 02'!I496="","Tgl Dibuat kosong",IF(NOT(ISNUMBER('PC 02'!I496)),"Tgl Dibuat harus tanggal","")),IF(AND('PC 02'!J496&lt;&gt;"",NOT(ISNUMBER('PC 02'!J496))),"Tgl Publish harus tanggal",""),IF(AND(ISNUMBER('PC 02'!I496),ISNUMBER('PC 02'!J496),'PC 02'!J496&lt;'PC 02'!I496),"Tgl Publish &lt; Tgl Dibuat",""),IF(AND('PC 02'!K496&lt;&gt;"",ISERROR(MATCH(TRIM('PC 02'!K496),{"Draft","Menunggu Review","Revisi","Terjadwal","Publish","Batal","Published"},0))),"Status di luar daftar","")))</f>
        <v>#ERROR!</v>
      </c>
      <c r="D496" s="5" t="str">
        <f>IF(C496="","OK","ADA MASALAH")</f>
        <v>#ERROR!</v>
      </c>
    </row>
    <row r="497">
      <c r="A497" s="3">
        <v>497.0</v>
      </c>
      <c r="B497" s="5" t="str">
        <f>'PC 02'!A497</f>
        <v/>
      </c>
      <c r="C497" s="5" t="str">
        <f>IF(COUNTA('PC 02'!A497:L497)=0,"",TEXTJOIN(" | ",TRUE,IF('PC 02'!A497="","Worker ID kosong",""),IF('PC 02'!B497="","Update Date kosong",IF(NOT(ISNUMBER('PC 02'!B497)),"Update Date harus tanggal","")),IF('PC 02'!D497="","Judul kosong",""),IF('PC 02'!F497="","Genre kosong",IF(ISERROR(MATCH(TRIM('PC 02'!F497),{"Pop","Rock","Dangdut","K-Pop","Electronic","Nasional","Daerah"},0)),"Genre di luar daftar","")),IF('PC 02'!G497="","Nama Channel kosong",""),IF('PC 02'!H497="","Link kosong",IF(ISERROR(FIND("youtu",LOWER('PC 02'!H497))),"Link bukan youtube","")),IF('PC 02'!I497="","Tgl Dibuat kosong",IF(NOT(ISNUMBER('PC 02'!I497)),"Tgl Dibuat harus tanggal","")),IF(AND('PC 02'!J497&lt;&gt;"",NOT(ISNUMBER('PC 02'!J497))),"Tgl Publish harus tanggal",""),IF(AND(ISNUMBER('PC 02'!I497),ISNUMBER('PC 02'!J497),'PC 02'!J497&lt;'PC 02'!I497),"Tgl Publish &lt; Tgl Dibuat",""),IF(AND('PC 02'!K497&lt;&gt;"",ISERROR(MATCH(TRIM('PC 02'!K497),{"Draft","Menunggu Review","Revisi","Terjadwal","Publish","Batal","Published"},0))),"Status di luar daftar","")))</f>
        <v>#ERROR!</v>
      </c>
      <c r="D497" s="5" t="str">
        <f>IF(C497="","OK","ADA MASALAH")</f>
        <v>#ERROR!</v>
      </c>
    </row>
    <row r="498">
      <c r="A498" s="3">
        <v>498.0</v>
      </c>
      <c r="B498" s="5" t="str">
        <f>'PC 02'!A498</f>
        <v/>
      </c>
      <c r="C498" s="5" t="str">
        <f>IF(COUNTA('PC 02'!A498:L498)=0,"",TEXTJOIN(" | ",TRUE,IF('PC 02'!A498="","Worker ID kosong",""),IF('PC 02'!B498="","Update Date kosong",IF(NOT(ISNUMBER('PC 02'!B498)),"Update Date harus tanggal","")),IF('PC 02'!D498="","Judul kosong",""),IF('PC 02'!F498="","Genre kosong",IF(ISERROR(MATCH(TRIM('PC 02'!F498),{"Pop","Rock","Dangdut","K-Pop","Electronic","Nasional","Daerah"},0)),"Genre di luar daftar","")),IF('PC 02'!G498="","Nama Channel kosong",""),IF('PC 02'!H498="","Link kosong",IF(ISERROR(FIND("youtu",LOWER('PC 02'!H498))),"Link bukan youtube","")),IF('PC 02'!I498="","Tgl Dibuat kosong",IF(NOT(ISNUMBER('PC 02'!I498)),"Tgl Dibuat harus tanggal","")),IF(AND('PC 02'!J498&lt;&gt;"",NOT(ISNUMBER('PC 02'!J498))),"Tgl Publish harus tanggal",""),IF(AND(ISNUMBER('PC 02'!I498),ISNUMBER('PC 02'!J498),'PC 02'!J498&lt;'PC 02'!I498),"Tgl Publish &lt; Tgl Dibuat",""),IF(AND('PC 02'!K498&lt;&gt;"",ISERROR(MATCH(TRIM('PC 02'!K498),{"Draft","Menunggu Review","Revisi","Terjadwal","Publish","Batal","Published"},0))),"Status di luar daftar","")))</f>
        <v>#ERROR!</v>
      </c>
      <c r="D498" s="5" t="str">
        <f>IF(C498="","OK","ADA MASALAH")</f>
        <v>#ERROR!</v>
      </c>
    </row>
    <row r="499">
      <c r="A499" s="3">
        <v>499.0</v>
      </c>
      <c r="B499" s="5" t="str">
        <f>'PC 02'!A499</f>
        <v/>
      </c>
      <c r="C499" s="5" t="str">
        <f>IF(COUNTA('PC 02'!A499:L499)=0,"",TEXTJOIN(" | ",TRUE,IF('PC 02'!A499="","Worker ID kosong",""),IF('PC 02'!B499="","Update Date kosong",IF(NOT(ISNUMBER('PC 02'!B499)),"Update Date harus tanggal","")),IF('PC 02'!D499="","Judul kosong",""),IF('PC 02'!F499="","Genre kosong",IF(ISERROR(MATCH(TRIM('PC 02'!F499),{"Pop","Rock","Dangdut","K-Pop","Electronic","Nasional","Daerah"},0)),"Genre di luar daftar","")),IF('PC 02'!G499="","Nama Channel kosong",""),IF('PC 02'!H499="","Link kosong",IF(ISERROR(FIND("youtu",LOWER('PC 02'!H499))),"Link bukan youtube","")),IF('PC 02'!I499="","Tgl Dibuat kosong",IF(NOT(ISNUMBER('PC 02'!I499)),"Tgl Dibuat harus tanggal","")),IF(AND('PC 02'!J499&lt;&gt;"",NOT(ISNUMBER('PC 02'!J499))),"Tgl Publish harus tanggal",""),IF(AND(ISNUMBER('PC 02'!I499),ISNUMBER('PC 02'!J499),'PC 02'!J499&lt;'PC 02'!I499),"Tgl Publish &lt; Tgl Dibuat",""),IF(AND('PC 02'!K499&lt;&gt;"",ISERROR(MATCH(TRIM('PC 02'!K499),{"Draft","Menunggu Review","Revisi","Terjadwal","Publish","Batal","Published"},0))),"Status di luar daftar","")))</f>
        <v>#ERROR!</v>
      </c>
      <c r="D499" s="5" t="str">
        <f>IF(C499="","OK","ADA MASALAH")</f>
        <v>#ERROR!</v>
      </c>
    </row>
    <row r="500">
      <c r="A500" s="3">
        <v>500.0</v>
      </c>
      <c r="B500" s="5" t="str">
        <f>'PC 02'!A500</f>
        <v/>
      </c>
      <c r="C500" s="5" t="str">
        <f>IF(COUNTA('PC 02'!A500:L500)=0,"",TEXTJOIN(" | ",TRUE,IF('PC 02'!A500="","Worker ID kosong",""),IF('PC 02'!B500="","Update Date kosong",IF(NOT(ISNUMBER('PC 02'!B500)),"Update Date harus tanggal","")),IF('PC 02'!D500="","Judul kosong",""),IF('PC 02'!F500="","Genre kosong",IF(ISERROR(MATCH(TRIM('PC 02'!F500),{"Pop","Rock","Dangdut","K-Pop","Electronic","Nasional","Daerah"},0)),"Genre di luar daftar","")),IF('PC 02'!G500="","Nama Channel kosong",""),IF('PC 02'!H500="","Link kosong",IF(ISERROR(FIND("youtu",LOWER('PC 02'!H500))),"Link bukan youtube","")),IF('PC 02'!I500="","Tgl Dibuat kosong",IF(NOT(ISNUMBER('PC 02'!I500)),"Tgl Dibuat harus tanggal","")),IF(AND('PC 02'!J500&lt;&gt;"",NOT(ISNUMBER('PC 02'!J500))),"Tgl Publish harus tanggal",""),IF(AND(ISNUMBER('PC 02'!I500),ISNUMBER('PC 02'!J500),'PC 02'!J500&lt;'PC 02'!I500),"Tgl Publish &lt; Tgl Dibuat",""),IF(AND('PC 02'!K500&lt;&gt;"",ISERROR(MATCH(TRIM('PC 02'!K500),{"Draft","Menunggu Review","Revisi","Terjadwal","Publish","Batal","Published"},0))),"Status di luar daftar","")))</f>
        <v>#ERROR!</v>
      </c>
      <c r="D500" s="5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