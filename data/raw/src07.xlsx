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07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<sst xmlns="http://schemas.openxmlformats.org/spreadsheetml/2006/main" count="17" uniqueCount="16">
  <si>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Worker ID</t>
  </si>
  <si>
    <t>Update Date</t>
  </si>
  <si>
    <t xml:space="preserve">Song ID YT </t>
  </si>
  <si>
    <t>Judul Lagu Kompilasi</t>
  </si>
  <si>
    <t>Aggregator</t>
  </si>
  <si>
    <t xml:space="preserve">Genre </t>
  </si>
  <si>
    <t>Nama Channel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</si>
  <si>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</si>
  <si>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</si>
  <si>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</si>
  <si>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</si>
  <si>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</si>
  <si>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</si>
  <si>
    <t>Baris</t>
  </si>
  <si>
    <t>Masalah Ditemukan</t>
  </si>
  <si>
    <t>Status Baris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</si>
</sst>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E2" s="3"/>
      <c r="L2" s="3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4" t="s">
        <v>13</v>
      </c>
      <c r="B1" s="4" t="s">
        <v>0</v>
      </c>
      <c r="C1" s="4" t="s">
        <v>14</v>
      </c>
      <c r="D1" s="4" t="s">
        <v>15</v>
      </c>
    </row>
    <row r="2">
      <c r="A2" s="5">
        <v>2.0</v>
      </c>
      <c r="B2" s="3" t="str">
        <f>'PC 07'!A2</f>
        <v/>
      </c>
      <c r="C2" s="3" t="str">
        <f>IF(COUNTA('PC 07'!A2:L2)=0,"",TEXTJOIN(" | ",TRUE,IF('PC 07'!A2="","Worker ID kosong",""),IF('PC 07'!B2="","Update Date kosong",IF(NOT(ISNUMBER('PC 07'!B2)),"Update Date harus tanggal","")),IF('PC 07'!D2="","Judul kosong",""),IF('PC 07'!F2="","Genre kosong",IF(ISERROR(MATCH(TRIM('PC 07'!F2),{"Pop","Rock","Dangdut","K-Pop","Electronic","Nasional","Daerah"},0)),"Genre di luar daftar","")),IF('PC 07'!G2="","Nama Channel kosong",""),IF('PC 07'!H2="","Link kosong",IF(ISERROR(FIND("youtu",LOWER('PC 07'!H2))),"Link bukan youtube","")),IF('PC 07'!I2="","Tgl Dibuat kosong",IF(NOT(ISNUMBER('PC 07'!I2)),"Tgl Dibuat harus tanggal","")),IF(AND('PC 07'!J2&lt;&gt;"",NOT(ISNUMBER('PC 07'!J2))),"Tgl Publish harus tanggal",""),IF(AND(ISNUMBER('PC 07'!I2),ISNUMBER('PC 07'!J2),'PC 07'!J2&lt;'PC 07'!I2),"Tgl Publish &lt; Tgl Dibuat",""),IF(AND('PC 07'!K2&lt;&gt;"",ISERROR(MATCH(TRIM('PC 07'!K2),{"Draft","Menunggu Review","Revisi","Terjadwal","Publish","Batal","Published"},0))),"Status di luar daftar","")))</f>
        <v>#ERROR!</v>
      </c>
      <c r="D2" s="3" t="str">
        <f>IF(C2="","OK","ADA MASALAH")</f>
        <v>#ERROR!</v>
      </c>
    </row>
    <row r="3">
      <c r="A3" s="5">
        <v>3.0</v>
      </c>
      <c r="B3" s="3" t="str">
        <f>'PC 07'!A3</f>
        <v/>
      </c>
      <c r="C3" s="3" t="str">
        <f>IF(COUNTA('PC 07'!A3:L3)=0,"",TEXTJOIN(" | ",TRUE,IF('PC 07'!A3="","Worker ID kosong",""),IF('PC 07'!B3="","Update Date kosong",IF(NOT(ISNUMBER('PC 07'!B3)),"Update Date harus tanggal","")),IF('PC 07'!D3="","Judul kosong",""),IF('PC 07'!F3="","Genre kosong",IF(ISERROR(MATCH(TRIM('PC 07'!F3),{"Pop","Rock","Dangdut","K-Pop","Electronic","Nasional","Daerah"},0)),"Genre di luar daftar","")),IF('PC 07'!G3="","Nama Channel kosong",""),IF('PC 07'!H3="","Link kosong",IF(ISERROR(FIND("youtu",LOWER('PC 07'!H3))),"Link bukan youtube","")),IF('PC 07'!I3="","Tgl Dibuat kosong",IF(NOT(ISNUMBER('PC 07'!I3)),"Tgl Dibuat harus tanggal","")),IF(AND('PC 07'!J3&lt;&gt;"",NOT(ISNUMBER('PC 07'!J3))),"Tgl Publish harus tanggal",""),IF(AND(ISNUMBER('PC 07'!I3),ISNUMBER('PC 07'!J3),'PC 07'!J3&lt;'PC 07'!I3),"Tgl Publish &lt; Tgl Dibuat",""),IF(AND('PC 07'!K3&lt;&gt;"",ISERROR(MATCH(TRIM('PC 07'!K3),{"Draft","Menunggu Review","Revisi","Terjadwal","Publish","Batal","Published"},0))),"Status di luar daftar","")))</f>
        <v>#ERROR!</v>
      </c>
      <c r="D3" s="3" t="str">
        <f>IF(C3="","OK","ADA MASALAH")</f>
        <v>#ERROR!</v>
      </c>
    </row>
    <row r="4">
      <c r="A4" s="5">
        <v>4.0</v>
      </c>
      <c r="B4" s="3" t="str">
        <f>'PC 07'!A4</f>
        <v/>
      </c>
      <c r="C4" s="3" t="str">
        <f>IF(COUNTA('PC 07'!A4:L4)=0,"",TEXTJOIN(" | ",TRUE,IF('PC 07'!A4="","Worker ID kosong",""),IF('PC 07'!B4="","Update Date kosong",IF(NOT(ISNUMBER('PC 07'!B4)),"Update Date harus tanggal","")),IF('PC 07'!D4="","Judul kosong",""),IF('PC 07'!F4="","Genre kosong",IF(ISERROR(MATCH(TRIM('PC 07'!F4),{"Pop","Rock","Dangdut","K-Pop","Electronic","Nasional","Daerah"},0)),"Genre di luar daftar","")),IF('PC 07'!G4="","Nama Channel kosong",""),IF('PC 07'!H4="","Link kosong",IF(ISERROR(FIND("youtu",LOWER('PC 07'!H4))),"Link bukan youtube","")),IF('PC 07'!I4="","Tgl Dibuat kosong",IF(NOT(ISNUMBER('PC 07'!I4)),"Tgl Dibuat harus tanggal","")),IF(AND('PC 07'!J4&lt;&gt;"",NOT(ISNUMBER('PC 07'!J4))),"Tgl Publish harus tanggal",""),IF(AND(ISNUMBER('PC 07'!I4),ISNUMBER('PC 07'!J4),'PC 07'!J4&lt;'PC 07'!I4),"Tgl Publish &lt; Tgl Dibuat",""),IF(AND('PC 07'!K4&lt;&gt;"",ISERROR(MATCH(TRIM('PC 07'!K4),{"Draft","Menunggu Review","Revisi","Terjadwal","Publish","Batal","Published"},0))),"Status di luar daftar","")))</f>
        <v>#ERROR!</v>
      </c>
      <c r="D4" s="3" t="str">
        <f>IF(C4="","OK","ADA MASALAH")</f>
        <v>#ERROR!</v>
      </c>
    </row>
    <row r="5">
      <c r="A5" s="5">
        <v>5.0</v>
      </c>
      <c r="B5" s="3" t="str">
        <f>'PC 07'!A5</f>
        <v/>
      </c>
      <c r="C5" s="3" t="str">
        <f>IF(COUNTA('PC 07'!A5:L5)=0,"",TEXTJOIN(" | ",TRUE,IF('PC 07'!A5="","Worker ID kosong",""),IF('PC 07'!B5="","Update Date kosong",IF(NOT(ISNUMBER('PC 07'!B5)),"Update Date harus tanggal","")),IF('PC 07'!D5="","Judul kosong",""),IF('PC 07'!F5="","Genre kosong",IF(ISERROR(MATCH(TRIM('PC 07'!F5),{"Pop","Rock","Dangdut","K-Pop","Electronic","Nasional","Daerah"},0)),"Genre di luar daftar","")),IF('PC 07'!G5="","Nama Channel kosong",""),IF('PC 07'!H5="","Link kosong",IF(ISERROR(FIND("youtu",LOWER('PC 07'!H5))),"Link bukan youtube","")),IF('PC 07'!I5="","Tgl Dibuat kosong",IF(NOT(ISNUMBER('PC 07'!I5)),"Tgl Dibuat harus tanggal","")),IF(AND('PC 07'!J5&lt;&gt;"",NOT(ISNUMBER('PC 07'!J5))),"Tgl Publish harus tanggal",""),IF(AND(ISNUMBER('PC 07'!I5),ISNUMBER('PC 07'!J5),'PC 07'!J5&lt;'PC 07'!I5),"Tgl Publish &lt; Tgl Dibuat",""),IF(AND('PC 07'!K5&lt;&gt;"",ISERROR(MATCH(TRIM('PC 07'!K5),{"Draft","Menunggu Review","Revisi","Terjadwal","Publish","Batal","Published"},0))),"Status di luar daftar","")))</f>
        <v>#ERROR!</v>
      </c>
      <c r="D5" s="3" t="str">
        <f>IF(C5="","OK","ADA MASALAH")</f>
        <v>#ERROR!</v>
      </c>
    </row>
    <row r="6">
      <c r="A6" s="5">
        <v>6.0</v>
      </c>
      <c r="B6" s="3" t="str">
        <f>'PC 07'!A6</f>
        <v/>
      </c>
      <c r="C6" s="3" t="str">
        <f>IF(COUNTA('PC 07'!A6:L6)=0,"",TEXTJOIN(" | ",TRUE,IF('PC 07'!A6="","Worker ID kosong",""),IF('PC 07'!B6="","Update Date kosong",IF(NOT(ISNUMBER('PC 07'!B6)),"Update Date harus tanggal","")),IF('PC 07'!D6="","Judul kosong",""),IF('PC 07'!F6="","Genre kosong",IF(ISERROR(MATCH(TRIM('PC 07'!F6),{"Pop","Rock","Dangdut","K-Pop","Electronic","Nasional","Daerah"},0)),"Genre di luar daftar","")),IF('PC 07'!G6="","Nama Channel kosong",""),IF('PC 07'!H6="","Link kosong",IF(ISERROR(FIND("youtu",LOWER('PC 07'!H6))),"Link bukan youtube","")),IF('PC 07'!I6="","Tgl Dibuat kosong",IF(NOT(ISNUMBER('PC 07'!I6)),"Tgl Dibuat harus tanggal","")),IF(AND('PC 07'!J6&lt;&gt;"",NOT(ISNUMBER('PC 07'!J6))),"Tgl Publish harus tanggal",""),IF(AND(ISNUMBER('PC 07'!I6),ISNUMBER('PC 07'!J6),'PC 07'!J6&lt;'PC 07'!I6),"Tgl Publish &lt; Tgl Dibuat",""),IF(AND('PC 07'!K6&lt;&gt;"",ISERROR(MATCH(TRIM('PC 07'!K6),{"Draft","Menunggu Review","Revisi","Terjadwal","Publish","Batal","Published"},0))),"Status di luar daftar","")))</f>
        <v>#ERROR!</v>
      </c>
      <c r="D6" s="3" t="str">
        <f>IF(C6="","OK","ADA MASALAH")</f>
        <v>#ERROR!</v>
      </c>
    </row>
    <row r="7">
      <c r="A7" s="5">
        <v>7.0</v>
      </c>
      <c r="B7" s="3" t="str">
        <f>'PC 07'!A7</f>
        <v/>
      </c>
      <c r="C7" s="3" t="str">
        <f>IF(COUNTA('PC 07'!A7:L7)=0,"",TEXTJOIN(" | ",TRUE,IF('PC 07'!A7="","Worker ID kosong",""),IF('PC 07'!B7="","Update Date kosong",IF(NOT(ISNUMBER('PC 07'!B7)),"Update Date harus tanggal","")),IF('PC 07'!D7="","Judul kosong",""),IF('PC 07'!F7="","Genre kosong",IF(ISERROR(MATCH(TRIM('PC 07'!F7),{"Pop","Rock","Dangdut","K-Pop","Electronic","Nasional","Daerah"},0)),"Genre di luar daftar","")),IF('PC 07'!G7="","Nama Channel kosong",""),IF('PC 07'!H7="","Link kosong",IF(ISERROR(FIND("youtu",LOWER('PC 07'!H7))),"Link bukan youtube","")),IF('PC 07'!I7="","Tgl Dibuat kosong",IF(NOT(ISNUMBER('PC 07'!I7)),"Tgl Dibuat harus tanggal","")),IF(AND('PC 07'!J7&lt;&gt;"",NOT(ISNUMBER('PC 07'!J7))),"Tgl Publish harus tanggal",""),IF(AND(ISNUMBER('PC 07'!I7),ISNUMBER('PC 07'!J7),'PC 07'!J7&lt;'PC 07'!I7),"Tgl Publish &lt; Tgl Dibuat",""),IF(AND('PC 07'!K7&lt;&gt;"",ISERROR(MATCH(TRIM('PC 07'!K7),{"Draft","Menunggu Review","Revisi","Terjadwal","Publish","Batal","Published"},0))),"Status di luar daftar","")))</f>
        <v>#ERROR!</v>
      </c>
      <c r="D7" s="3" t="str">
        <f>IF(C7="","OK","ADA MASALAH")</f>
        <v>#ERROR!</v>
      </c>
    </row>
    <row r="8">
      <c r="A8" s="5">
        <v>8.0</v>
      </c>
      <c r="B8" s="3" t="str">
        <f>'PC 07'!A8</f>
        <v/>
      </c>
      <c r="C8" s="3" t="str">
        <f>IF(COUNTA('PC 07'!A8:L8)=0,"",TEXTJOIN(" | ",TRUE,IF('PC 07'!A8="","Worker ID kosong",""),IF('PC 07'!B8="","Update Date kosong",IF(NOT(ISNUMBER('PC 07'!B8)),"Update Date harus tanggal","")),IF('PC 07'!D8="","Judul kosong",""),IF('PC 07'!F8="","Genre kosong",IF(ISERROR(MATCH(TRIM('PC 07'!F8),{"Pop","Rock","Dangdut","K-Pop","Electronic","Nasional","Daerah"},0)),"Genre di luar daftar","")),IF('PC 07'!G8="","Nama Channel kosong",""),IF('PC 07'!H8="","Link kosong",IF(ISERROR(FIND("youtu",LOWER('PC 07'!H8))),"Link bukan youtube","")),IF('PC 07'!I8="","Tgl Dibuat kosong",IF(NOT(ISNUMBER('PC 07'!I8)),"Tgl Dibuat harus tanggal","")),IF(AND('PC 07'!J8&lt;&gt;"",NOT(ISNUMBER('PC 07'!J8))),"Tgl Publish harus tanggal",""),IF(AND(ISNUMBER('PC 07'!I8),ISNUMBER('PC 07'!J8),'PC 07'!J8&lt;'PC 07'!I8),"Tgl Publish &lt; Tgl Dibuat",""),IF(AND('PC 07'!K8&lt;&gt;"",ISERROR(MATCH(TRIM('PC 07'!K8),{"Draft","Menunggu Review","Revisi","Terjadwal","Publish","Batal","Published"},0))),"Status di luar daftar","")))</f>
        <v>#ERROR!</v>
      </c>
      <c r="D8" s="3" t="str">
        <f>IF(C8="","OK","ADA MASALAH")</f>
        <v>#ERROR!</v>
      </c>
    </row>
    <row r="9">
      <c r="A9" s="5">
        <v>9.0</v>
      </c>
      <c r="B9" s="3" t="str">
        <f>'PC 07'!A9</f>
        <v/>
      </c>
      <c r="C9" s="3" t="str">
        <f>IF(COUNTA('PC 07'!A9:L9)=0,"",TEXTJOIN(" | ",TRUE,IF('PC 07'!A9="","Worker ID kosong",""),IF('PC 07'!B9="","Update Date kosong",IF(NOT(ISNUMBER('PC 07'!B9)),"Update Date harus tanggal","")),IF('PC 07'!D9="","Judul kosong",""),IF('PC 07'!F9="","Genre kosong",IF(ISERROR(MATCH(TRIM('PC 07'!F9),{"Pop","Rock","Dangdut","K-Pop","Electronic","Nasional","Daerah"},0)),"Genre di luar daftar","")),IF('PC 07'!G9="","Nama Channel kosong",""),IF('PC 07'!H9="","Link kosong",IF(ISERROR(FIND("youtu",LOWER('PC 07'!H9))),"Link bukan youtube","")),IF('PC 07'!I9="","Tgl Dibuat kosong",IF(NOT(ISNUMBER('PC 07'!I9)),"Tgl Dibuat harus tanggal","")),IF(AND('PC 07'!J9&lt;&gt;"",NOT(ISNUMBER('PC 07'!J9))),"Tgl Publish harus tanggal",""),IF(AND(ISNUMBER('PC 07'!I9),ISNUMBER('PC 07'!J9),'PC 07'!J9&lt;'PC 07'!I9),"Tgl Publish &lt; Tgl Dibuat",""),IF(AND('PC 07'!K9&lt;&gt;"",ISERROR(MATCH(TRIM('PC 07'!K9),{"Draft","Menunggu Review","Revisi","Terjadwal","Publish","Batal","Published"},0))),"Status di luar daftar","")))</f>
        <v>#ERROR!</v>
      </c>
      <c r="D9" s="3" t="str">
        <f>IF(C9="","OK","ADA MASALAH")</f>
        <v>#ERROR!</v>
      </c>
    </row>
    <row r="10">
      <c r="A10" s="5">
        <v>10.0</v>
      </c>
      <c r="B10" s="3" t="str">
        <f>'PC 07'!A10</f>
        <v/>
      </c>
      <c r="C10" s="3" t="str">
        <f>IF(COUNTA('PC 07'!A10:L10)=0,"",TEXTJOIN(" | ",TRUE,IF('PC 07'!A10="","Worker ID kosong",""),IF('PC 07'!B10="","Update Date kosong",IF(NOT(ISNUMBER('PC 07'!B10)),"Update Date harus tanggal","")),IF('PC 07'!D10="","Judul kosong",""),IF('PC 07'!F10="","Genre kosong",IF(ISERROR(MATCH(TRIM('PC 07'!F10),{"Pop","Rock","Dangdut","K-Pop","Electronic","Nasional","Daerah"},0)),"Genre di luar daftar","")),IF('PC 07'!G10="","Nama Channel kosong",""),IF('PC 07'!H10="","Link kosong",IF(ISERROR(FIND("youtu",LOWER('PC 07'!H10))),"Link bukan youtube","")),IF('PC 07'!I10="","Tgl Dibuat kosong",IF(NOT(ISNUMBER('PC 07'!I10)),"Tgl Dibuat harus tanggal","")),IF(AND('PC 07'!J10&lt;&gt;"",NOT(ISNUMBER('PC 07'!J10))),"Tgl Publish harus tanggal",""),IF(AND(ISNUMBER('PC 07'!I10),ISNUMBER('PC 07'!J10),'PC 07'!J10&lt;'PC 07'!I10),"Tgl Publish &lt; Tgl Dibuat",""),IF(AND('PC 07'!K10&lt;&gt;"",ISERROR(MATCH(TRIM('PC 07'!K10),{"Draft","Menunggu Review","Revisi","Terjadwal","Publish","Batal","Published"},0))),"Status di luar daftar","")))</f>
        <v>#ERROR!</v>
      </c>
      <c r="D10" s="3" t="str">
        <f>IF(C10="","OK","ADA MASALAH")</f>
        <v>#ERROR!</v>
      </c>
    </row>
    <row r="11">
      <c r="A11" s="5">
        <v>11.0</v>
      </c>
      <c r="B11" s="3" t="str">
        <f>'PC 07'!A11</f>
        <v/>
      </c>
      <c r="C11" s="3" t="str">
        <f>IF(COUNTA('PC 07'!A11:L11)=0,"",TEXTJOIN(" | ",TRUE,IF('PC 07'!A11="","Worker ID kosong",""),IF('PC 07'!B11="","Update Date kosong",IF(NOT(ISNUMBER('PC 07'!B11)),"Update Date harus tanggal","")),IF('PC 07'!D11="","Judul kosong",""),IF('PC 07'!F11="","Genre kosong",IF(ISERROR(MATCH(TRIM('PC 07'!F11),{"Pop","Rock","Dangdut","K-Pop","Electronic","Nasional","Daerah"},0)),"Genre di luar daftar","")),IF('PC 07'!G11="","Nama Channel kosong",""),IF('PC 07'!H11="","Link kosong",IF(ISERROR(FIND("youtu",LOWER('PC 07'!H11))),"Link bukan youtube","")),IF('PC 07'!I11="","Tgl Dibuat kosong",IF(NOT(ISNUMBER('PC 07'!I11)),"Tgl Dibuat harus tanggal","")),IF(AND('PC 07'!J11&lt;&gt;"",NOT(ISNUMBER('PC 07'!J11))),"Tgl Publish harus tanggal",""),IF(AND(ISNUMBER('PC 07'!I11),ISNUMBER('PC 07'!J11),'PC 07'!J11&lt;'PC 07'!I11),"Tgl Publish &lt; Tgl Dibuat",""),IF(AND('PC 07'!K11&lt;&gt;"",ISERROR(MATCH(TRIM('PC 07'!K11),{"Draft","Menunggu Review","Revisi","Terjadwal","Publish","Batal","Published"},0))),"Status di luar daftar","")))</f>
        <v>#ERROR!</v>
      </c>
      <c r="D11" s="3" t="str">
        <f>IF(C11="","OK","ADA MASALAH")</f>
        <v>#ERROR!</v>
      </c>
    </row>
    <row r="12">
      <c r="A12" s="5">
        <v>12.0</v>
      </c>
      <c r="B12" s="3" t="str">
        <f>'PC 07'!A12</f>
        <v/>
      </c>
      <c r="C12" s="3" t="str">
        <f>IF(COUNTA('PC 07'!A12:L12)=0,"",TEXTJOIN(" | ",TRUE,IF('PC 07'!A12="","Worker ID kosong",""),IF('PC 07'!B12="","Update Date kosong",IF(NOT(ISNUMBER('PC 07'!B12)),"Update Date harus tanggal","")),IF('PC 07'!D12="","Judul kosong",""),IF('PC 07'!F12="","Genre kosong",IF(ISERROR(MATCH(TRIM('PC 07'!F12),{"Pop","Rock","Dangdut","K-Pop","Electronic","Nasional","Daerah"},0)),"Genre di luar daftar","")),IF('PC 07'!G12="","Nama Channel kosong",""),IF('PC 07'!H12="","Link kosong",IF(ISERROR(FIND("youtu",LOWER('PC 07'!H12))),"Link bukan youtube","")),IF('PC 07'!I12="","Tgl Dibuat kosong",IF(NOT(ISNUMBER('PC 07'!I12)),"Tgl Dibuat harus tanggal","")),IF(AND('PC 07'!J12&lt;&gt;"",NOT(ISNUMBER('PC 07'!J12))),"Tgl Publish harus tanggal",""),IF(AND(ISNUMBER('PC 07'!I12),ISNUMBER('PC 07'!J12),'PC 07'!J12&lt;'PC 07'!I12),"Tgl Publish &lt; Tgl Dibuat",""),IF(AND('PC 07'!K12&lt;&gt;"",ISERROR(MATCH(TRIM('PC 07'!K12),{"Draft","Menunggu Review","Revisi","Terjadwal","Publish","Batal","Published"},0))),"Status di luar daftar","")))</f>
        <v>#ERROR!</v>
      </c>
      <c r="D12" s="3" t="str">
        <f>IF(C12="","OK","ADA MASALAH")</f>
        <v>#ERROR!</v>
      </c>
    </row>
    <row r="13">
      <c r="A13" s="5">
        <v>13.0</v>
      </c>
      <c r="B13" s="3" t="str">
        <f>'PC 07'!A13</f>
        <v/>
      </c>
      <c r="C13" s="3" t="str">
        <f>IF(COUNTA('PC 07'!A13:L13)=0,"",TEXTJOIN(" | ",TRUE,IF('PC 07'!A13="","Worker ID kosong",""),IF('PC 07'!B13="","Update Date kosong",IF(NOT(ISNUMBER('PC 07'!B13)),"Update Date harus tanggal","")),IF('PC 07'!D13="","Judul kosong",""),IF('PC 07'!F13="","Genre kosong",IF(ISERROR(MATCH(TRIM('PC 07'!F13),{"Pop","Rock","Dangdut","K-Pop","Electronic","Nasional","Daerah"},0)),"Genre di luar daftar","")),IF('PC 07'!G13="","Nama Channel kosong",""),IF('PC 07'!H13="","Link kosong",IF(ISERROR(FIND("youtu",LOWER('PC 07'!H13))),"Link bukan youtube","")),IF('PC 07'!I13="","Tgl Dibuat kosong",IF(NOT(ISNUMBER('PC 07'!I13)),"Tgl Dibuat harus tanggal","")),IF(AND('PC 07'!J13&lt;&gt;"",NOT(ISNUMBER('PC 07'!J13))),"Tgl Publish harus tanggal",""),IF(AND(ISNUMBER('PC 07'!I13),ISNUMBER('PC 07'!J13),'PC 07'!J13&lt;'PC 07'!I13),"Tgl Publish &lt; Tgl Dibuat",""),IF(AND('PC 07'!K13&lt;&gt;"",ISERROR(MATCH(TRIM('PC 07'!K13),{"Draft","Menunggu Review","Revisi","Terjadwal","Publish","Batal","Published"},0))),"Status di luar daftar","")))</f>
        <v>#ERROR!</v>
      </c>
      <c r="D13" s="3" t="str">
        <f>IF(C13="","OK","ADA MASALAH")</f>
        <v>#ERROR!</v>
      </c>
    </row>
    <row r="14">
      <c r="A14" s="5">
        <v>14.0</v>
      </c>
      <c r="B14" s="3" t="str">
        <f>'PC 07'!A14</f>
        <v/>
      </c>
      <c r="C14" s="3" t="str">
        <f>IF(COUNTA('PC 07'!A14:L14)=0,"",TEXTJOIN(" | ",TRUE,IF('PC 07'!A14="","Worker ID kosong",""),IF('PC 07'!B14="","Update Date kosong",IF(NOT(ISNUMBER('PC 07'!B14)),"Update Date harus tanggal","")),IF('PC 07'!D14="","Judul kosong",""),IF('PC 07'!F14="","Genre kosong",IF(ISERROR(MATCH(TRIM('PC 07'!F14),{"Pop","Rock","Dangdut","K-Pop","Electronic","Nasional","Daerah"},0)),"Genre di luar daftar","")),IF('PC 07'!G14="","Nama Channel kosong",""),IF('PC 07'!H14="","Link kosong",IF(ISERROR(FIND("youtu",LOWER('PC 07'!H14))),"Link bukan youtube","")),IF('PC 07'!I14="","Tgl Dibuat kosong",IF(NOT(ISNUMBER('PC 07'!I14)),"Tgl Dibuat harus tanggal","")),IF(AND('PC 07'!J14&lt;&gt;"",NOT(ISNUMBER('PC 07'!J14))),"Tgl Publish harus tanggal",""),IF(AND(ISNUMBER('PC 07'!I14),ISNUMBER('PC 07'!J14),'PC 07'!J14&lt;'PC 07'!I14),"Tgl Publish &lt; Tgl Dibuat",""),IF(AND('PC 07'!K14&lt;&gt;"",ISERROR(MATCH(TRIM('PC 07'!K14),{"Draft","Menunggu Review","Revisi","Terjadwal","Publish","Batal","Published"},0))),"Status di luar daftar","")))</f>
        <v>#ERROR!</v>
      </c>
      <c r="D14" s="3" t="str">
        <f>IF(C14="","OK","ADA MASALAH")</f>
        <v>#ERROR!</v>
      </c>
    </row>
    <row r="15">
      <c r="A15" s="5">
        <v>15.0</v>
      </c>
      <c r="B15" s="3" t="str">
        <f>'PC 07'!A15</f>
        <v/>
      </c>
      <c r="C15" s="3" t="str">
        <f>IF(COUNTA('PC 07'!A15:L15)=0,"",TEXTJOIN(" | ",TRUE,IF('PC 07'!A15="","Worker ID kosong",""),IF('PC 07'!B15="","Update Date kosong",IF(NOT(ISNUMBER('PC 07'!B15)),"Update Date harus tanggal","")),IF('PC 07'!D15="","Judul kosong",""),IF('PC 07'!F15="","Genre kosong",IF(ISERROR(MATCH(TRIM('PC 07'!F15),{"Pop","Rock","Dangdut","K-Pop","Electronic","Nasional","Daerah"},0)),"Genre di luar daftar","")),IF('PC 07'!G15="","Nama Channel kosong",""),IF('PC 07'!H15="","Link kosong",IF(ISERROR(FIND("youtu",LOWER('PC 07'!H15))),"Link bukan youtube","")),IF('PC 07'!I15="","Tgl Dibuat kosong",IF(NOT(ISNUMBER('PC 07'!I15)),"Tgl Dibuat harus tanggal","")),IF(AND('PC 07'!J15&lt;&gt;"",NOT(ISNUMBER('PC 07'!J15))),"Tgl Publish harus tanggal",""),IF(AND(ISNUMBER('PC 07'!I15),ISNUMBER('PC 07'!J15),'PC 07'!J15&lt;'PC 07'!I15),"Tgl Publish &lt; Tgl Dibuat",""),IF(AND('PC 07'!K15&lt;&gt;"",ISERROR(MATCH(TRIM('PC 07'!K15),{"Draft","Menunggu Review","Revisi","Terjadwal","Publish","Batal","Published"},0))),"Status di luar daftar","")))</f>
        <v>#ERROR!</v>
      </c>
      <c r="D15" s="3" t="str">
        <f>IF(C15="","OK","ADA MASALAH")</f>
        <v>#ERROR!</v>
      </c>
    </row>
    <row r="16">
      <c r="A16" s="5">
        <v>16.0</v>
      </c>
      <c r="B16" s="3" t="str">
        <f>'PC 07'!A16</f>
        <v/>
      </c>
      <c r="C16" s="3" t="str">
        <f>IF(COUNTA('PC 07'!A16:L16)=0,"",TEXTJOIN(" | ",TRUE,IF('PC 07'!A16="","Worker ID kosong",""),IF('PC 07'!B16="","Update Date kosong",IF(NOT(ISNUMBER('PC 07'!B16)),"Update Date harus tanggal","")),IF('PC 07'!D16="","Judul kosong",""),IF('PC 07'!F16="","Genre kosong",IF(ISERROR(MATCH(TRIM('PC 07'!F16),{"Pop","Rock","Dangdut","K-Pop","Electronic","Nasional","Daerah"},0)),"Genre di luar daftar","")),IF('PC 07'!G16="","Nama Channel kosong",""),IF('PC 07'!H16="","Link kosong",IF(ISERROR(FIND("youtu",LOWER('PC 07'!H16))),"Link bukan youtube","")),IF('PC 07'!I16="","Tgl Dibuat kosong",IF(NOT(ISNUMBER('PC 07'!I16)),"Tgl Dibuat harus tanggal","")),IF(AND('PC 07'!J16&lt;&gt;"",NOT(ISNUMBER('PC 07'!J16))),"Tgl Publish harus tanggal",""),IF(AND(ISNUMBER('PC 07'!I16),ISNUMBER('PC 07'!J16),'PC 07'!J16&lt;'PC 07'!I16),"Tgl Publish &lt; Tgl Dibuat",""),IF(AND('PC 07'!K16&lt;&gt;"",ISERROR(MATCH(TRIM('PC 07'!K16),{"Draft","Menunggu Review","Revisi","Terjadwal","Publish","Batal","Published"},0))),"Status di luar daftar","")))</f>
        <v>#ERROR!</v>
      </c>
      <c r="D16" s="3" t="str">
        <f>IF(C16="","OK","ADA MASALAH")</f>
        <v>#ERROR!</v>
      </c>
    </row>
    <row r="17">
      <c r="A17" s="5">
        <v>17.0</v>
      </c>
      <c r="B17" s="3" t="str">
        <f>'PC 07'!A17</f>
        <v/>
      </c>
      <c r="C17" s="3" t="str">
        <f>IF(COUNTA('PC 07'!A17:L17)=0,"",TEXTJOIN(" | ",TRUE,IF('PC 07'!A17="","Worker ID kosong",""),IF('PC 07'!B17="","Update Date kosong",IF(NOT(ISNUMBER('PC 07'!B17)),"Update Date harus tanggal","")),IF('PC 07'!D17="","Judul kosong",""),IF('PC 07'!F17="","Genre kosong",IF(ISERROR(MATCH(TRIM('PC 07'!F17),{"Pop","Rock","Dangdut","K-Pop","Electronic","Nasional","Daerah"},0)),"Genre di luar daftar","")),IF('PC 07'!G17="","Nama Channel kosong",""),IF('PC 07'!H17="","Link kosong",IF(ISERROR(FIND("youtu",LOWER('PC 07'!H17))),"Link bukan youtube","")),IF('PC 07'!I17="","Tgl Dibuat kosong",IF(NOT(ISNUMBER('PC 07'!I17)),"Tgl Dibuat harus tanggal","")),IF(AND('PC 07'!J17&lt;&gt;"",NOT(ISNUMBER('PC 07'!J17))),"Tgl Publish harus tanggal",""),IF(AND(ISNUMBER('PC 07'!I17),ISNUMBER('PC 07'!J17),'PC 07'!J17&lt;'PC 07'!I17),"Tgl Publish &lt; Tgl Dibuat",""),IF(AND('PC 07'!K17&lt;&gt;"",ISERROR(MATCH(TRIM('PC 07'!K17),{"Draft","Menunggu Review","Revisi","Terjadwal","Publish","Batal","Published"},0))),"Status di luar daftar","")))</f>
        <v>#ERROR!</v>
      </c>
      <c r="D17" s="3" t="str">
        <f>IF(C17="","OK","ADA MASALAH")</f>
        <v>#ERROR!</v>
      </c>
    </row>
    <row r="18">
      <c r="A18" s="5">
        <v>18.0</v>
      </c>
      <c r="B18" s="3" t="str">
        <f>'PC 07'!A18</f>
        <v/>
      </c>
      <c r="C18" s="3" t="str">
        <f>IF(COUNTA('PC 07'!A18:L18)=0,"",TEXTJOIN(" | ",TRUE,IF('PC 07'!A18="","Worker ID kosong",""),IF('PC 07'!B18="","Update Date kosong",IF(NOT(ISNUMBER('PC 07'!B18)),"Update Date harus tanggal","")),IF('PC 07'!D18="","Judul kosong",""),IF('PC 07'!F18="","Genre kosong",IF(ISERROR(MATCH(TRIM('PC 07'!F18),{"Pop","Rock","Dangdut","K-Pop","Electronic","Nasional","Daerah"},0)),"Genre di luar daftar","")),IF('PC 07'!G18="","Nama Channel kosong",""),IF('PC 07'!H18="","Link kosong",IF(ISERROR(FIND("youtu",LOWER('PC 07'!H18))),"Link bukan youtube","")),IF('PC 07'!I18="","Tgl Dibuat kosong",IF(NOT(ISNUMBER('PC 07'!I18)),"Tgl Dibuat harus tanggal","")),IF(AND('PC 07'!J18&lt;&gt;"",NOT(ISNUMBER('PC 07'!J18))),"Tgl Publish harus tanggal",""),IF(AND(ISNUMBER('PC 07'!I18),ISNUMBER('PC 07'!J18),'PC 07'!J18&lt;'PC 07'!I18),"Tgl Publish &lt; Tgl Dibuat",""),IF(AND('PC 07'!K18&lt;&gt;"",ISERROR(MATCH(TRIM('PC 07'!K18),{"Draft","Menunggu Review","Revisi","Terjadwal","Publish","Batal","Published"},0))),"Status di luar daftar","")))</f>
        <v>#ERROR!</v>
      </c>
      <c r="D18" s="3" t="str">
        <f>IF(C18="","OK","ADA MASALAH")</f>
        <v>#ERROR!</v>
      </c>
    </row>
    <row r="19">
      <c r="A19" s="5">
        <v>19.0</v>
      </c>
      <c r="B19" s="3" t="str">
        <f>'PC 07'!A19</f>
        <v/>
      </c>
      <c r="C19" s="3" t="str">
        <f>IF(COUNTA('PC 07'!A19:L19)=0,"",TEXTJOIN(" | ",TRUE,IF('PC 07'!A19="","Worker ID kosong",""),IF('PC 07'!B19="","Update Date kosong",IF(NOT(ISNUMBER('PC 07'!B19)),"Update Date harus tanggal","")),IF('PC 07'!D19="","Judul kosong",""),IF('PC 07'!F19="","Genre kosong",IF(ISERROR(MATCH(TRIM('PC 07'!F19),{"Pop","Rock","Dangdut","K-Pop","Electronic","Nasional","Daerah"},0)),"Genre di luar daftar","")),IF('PC 07'!G19="","Nama Channel kosong",""),IF('PC 07'!H19="","Link kosong",IF(ISERROR(FIND("youtu",LOWER('PC 07'!H19))),"Link bukan youtube","")),IF('PC 07'!I19="","Tgl Dibuat kosong",IF(NOT(ISNUMBER('PC 07'!I19)),"Tgl Dibuat harus tanggal","")),IF(AND('PC 07'!J19&lt;&gt;"",NOT(ISNUMBER('PC 07'!J19))),"Tgl Publish harus tanggal",""),IF(AND(ISNUMBER('PC 07'!I19),ISNUMBER('PC 07'!J19),'PC 07'!J19&lt;'PC 07'!I19),"Tgl Publish &lt; Tgl Dibuat",""),IF(AND('PC 07'!K19&lt;&gt;"",ISERROR(MATCH(TRIM('PC 07'!K19),{"Draft","Menunggu Review","Revisi","Terjadwal","Publish","Batal","Published"},0))),"Status di luar daftar","")))</f>
        <v>#ERROR!</v>
      </c>
      <c r="D19" s="3" t="str">
        <f>IF(C19="","OK","ADA MASALAH")</f>
        <v>#ERROR!</v>
      </c>
    </row>
    <row r="20">
      <c r="A20" s="5">
        <v>20.0</v>
      </c>
      <c r="B20" s="3" t="str">
        <f>'PC 07'!A20</f>
        <v/>
      </c>
      <c r="C20" s="3" t="str">
        <f>IF(COUNTA('PC 07'!A20:L20)=0,"",TEXTJOIN(" | ",TRUE,IF('PC 07'!A20="","Worker ID kosong",""),IF('PC 07'!B20="","Update Date kosong",IF(NOT(ISNUMBER('PC 07'!B20)),"Update Date harus tanggal","")),IF('PC 07'!D20="","Judul kosong",""),IF('PC 07'!F20="","Genre kosong",IF(ISERROR(MATCH(TRIM('PC 07'!F20),{"Pop","Rock","Dangdut","K-Pop","Electronic","Nasional","Daerah"},0)),"Genre di luar daftar","")),IF('PC 07'!G20="","Nama Channel kosong",""),IF('PC 07'!H20="","Link kosong",IF(ISERROR(FIND("youtu",LOWER('PC 07'!H20))),"Link bukan youtube","")),IF('PC 07'!I20="","Tgl Dibuat kosong",IF(NOT(ISNUMBER('PC 07'!I20)),"Tgl Dibuat harus tanggal","")),IF(AND('PC 07'!J20&lt;&gt;"",NOT(ISNUMBER('PC 07'!J20))),"Tgl Publish harus tanggal",""),IF(AND(ISNUMBER('PC 07'!I20),ISNUMBER('PC 07'!J20),'PC 07'!J20&lt;'PC 07'!I20),"Tgl Publish &lt; Tgl Dibuat",""),IF(AND('PC 07'!K20&lt;&gt;"",ISERROR(MATCH(TRIM('PC 07'!K20),{"Draft","Menunggu Review","Revisi","Terjadwal","Publish","Batal","Published"},0))),"Status di luar daftar","")))</f>
        <v>#ERROR!</v>
      </c>
      <c r="D20" s="3" t="str">
        <f>IF(C20="","OK","ADA MASALAH")</f>
        <v>#ERROR!</v>
      </c>
    </row>
    <row r="21">
      <c r="A21" s="5">
        <v>21.0</v>
      </c>
      <c r="B21" s="3" t="str">
        <f>'PC 07'!A21</f>
        <v/>
      </c>
      <c r="C21" s="3" t="str">
        <f>IF(COUNTA('PC 07'!A21:L21)=0,"",TEXTJOIN(" | ",TRUE,IF('PC 07'!A21="","Worker ID kosong",""),IF('PC 07'!B21="","Update Date kosong",IF(NOT(ISNUMBER('PC 07'!B21)),"Update Date harus tanggal","")),IF('PC 07'!D21="","Judul kosong",""),IF('PC 07'!F21="","Genre kosong",IF(ISERROR(MATCH(TRIM('PC 07'!F21),{"Pop","Rock","Dangdut","K-Pop","Electronic","Nasional","Daerah"},0)),"Genre di luar daftar","")),IF('PC 07'!G21="","Nama Channel kosong",""),IF('PC 07'!H21="","Link kosong",IF(ISERROR(FIND("youtu",LOWER('PC 07'!H21))),"Link bukan youtube","")),IF('PC 07'!I21="","Tgl Dibuat kosong",IF(NOT(ISNUMBER('PC 07'!I21)),"Tgl Dibuat harus tanggal","")),IF(AND('PC 07'!J21&lt;&gt;"",NOT(ISNUMBER('PC 07'!J21))),"Tgl Publish harus tanggal",""),IF(AND(ISNUMBER('PC 07'!I21),ISNUMBER('PC 07'!J21),'PC 07'!J21&lt;'PC 07'!I21),"Tgl Publish &lt; Tgl Dibuat",""),IF(AND('PC 07'!K21&lt;&gt;"",ISERROR(MATCH(TRIM('PC 07'!K21),{"Draft","Menunggu Review","Revisi","Terjadwal","Publish","Batal","Published"},0))),"Status di luar daftar","")))</f>
        <v>#ERROR!</v>
      </c>
      <c r="D21" s="3" t="str">
        <f>IF(C21="","OK","ADA MASALAH")</f>
        <v>#ERROR!</v>
      </c>
    </row>
    <row r="22">
      <c r="A22" s="5">
        <v>22.0</v>
      </c>
      <c r="B22" s="3" t="str">
        <f>'PC 07'!A22</f>
        <v/>
      </c>
      <c r="C22" s="3" t="str">
        <f>IF(COUNTA('PC 07'!A22:L22)=0,"",TEXTJOIN(" | ",TRUE,IF('PC 07'!A22="","Worker ID kosong",""),IF('PC 07'!B22="","Update Date kosong",IF(NOT(ISNUMBER('PC 07'!B22)),"Update Date harus tanggal","")),IF('PC 07'!D22="","Judul kosong",""),IF('PC 07'!F22="","Genre kosong",IF(ISERROR(MATCH(TRIM('PC 07'!F22),{"Pop","Rock","Dangdut","K-Pop","Electronic","Nasional","Daerah"},0)),"Genre di luar daftar","")),IF('PC 07'!G22="","Nama Channel kosong",""),IF('PC 07'!H22="","Link kosong",IF(ISERROR(FIND("youtu",LOWER('PC 07'!H22))),"Link bukan youtube","")),IF('PC 07'!I22="","Tgl Dibuat kosong",IF(NOT(ISNUMBER('PC 07'!I22)),"Tgl Dibuat harus tanggal","")),IF(AND('PC 07'!J22&lt;&gt;"",NOT(ISNUMBER('PC 07'!J22))),"Tgl Publish harus tanggal",""),IF(AND(ISNUMBER('PC 07'!I22),ISNUMBER('PC 07'!J22),'PC 07'!J22&lt;'PC 07'!I22),"Tgl Publish &lt; Tgl Dibuat",""),IF(AND('PC 07'!K22&lt;&gt;"",ISERROR(MATCH(TRIM('PC 07'!K22),{"Draft","Menunggu Review","Revisi","Terjadwal","Publish","Batal","Published"},0))),"Status di luar daftar","")))</f>
        <v>#ERROR!</v>
      </c>
      <c r="D22" s="3" t="str">
        <f>IF(C22="","OK","ADA MASALAH")</f>
        <v>#ERROR!</v>
      </c>
    </row>
    <row r="23">
      <c r="A23" s="5">
        <v>23.0</v>
      </c>
      <c r="B23" s="3" t="str">
        <f>'PC 07'!A23</f>
        <v/>
      </c>
      <c r="C23" s="3" t="str">
        <f>IF(COUNTA('PC 07'!A23:L23)=0,"",TEXTJOIN(" | ",TRUE,IF('PC 07'!A23="","Worker ID kosong",""),IF('PC 07'!B23="","Update Date kosong",IF(NOT(ISNUMBER('PC 07'!B23)),"Update Date harus tanggal","")),IF('PC 07'!D23="","Judul kosong",""),IF('PC 07'!F23="","Genre kosong",IF(ISERROR(MATCH(TRIM('PC 07'!F23),{"Pop","Rock","Dangdut","K-Pop","Electronic","Nasional","Daerah"},0)),"Genre di luar daftar","")),IF('PC 07'!G23="","Nama Channel kosong",""),IF('PC 07'!H23="","Link kosong",IF(ISERROR(FIND("youtu",LOWER('PC 07'!H23))),"Link bukan youtube","")),IF('PC 07'!I23="","Tgl Dibuat kosong",IF(NOT(ISNUMBER('PC 07'!I23)),"Tgl Dibuat harus tanggal","")),IF(AND('PC 07'!J23&lt;&gt;"",NOT(ISNUMBER('PC 07'!J23))),"Tgl Publish harus tanggal",""),IF(AND(ISNUMBER('PC 07'!I23),ISNUMBER('PC 07'!J23),'PC 07'!J23&lt;'PC 07'!I23),"Tgl Publish &lt; Tgl Dibuat",""),IF(AND('PC 07'!K23&lt;&gt;"",ISERROR(MATCH(TRIM('PC 07'!K23),{"Draft","Menunggu Review","Revisi","Terjadwal","Publish","Batal","Published"},0))),"Status di luar daftar","")))</f>
        <v>#ERROR!</v>
      </c>
      <c r="D23" s="3" t="str">
        <f>IF(C23="","OK","ADA MASALAH")</f>
        <v>#ERROR!</v>
      </c>
    </row>
    <row r="24">
      <c r="A24" s="5">
        <v>24.0</v>
      </c>
      <c r="B24" s="3" t="str">
        <f>'PC 07'!A24</f>
        <v/>
      </c>
      <c r="C24" s="3" t="str">
        <f>IF(COUNTA('PC 07'!A24:L24)=0,"",TEXTJOIN(" | ",TRUE,IF('PC 07'!A24="","Worker ID kosong",""),IF('PC 07'!B24="","Update Date kosong",IF(NOT(ISNUMBER('PC 07'!B24)),"Update Date harus tanggal","")),IF('PC 07'!D24="","Judul kosong",""),IF('PC 07'!F24="","Genre kosong",IF(ISERROR(MATCH(TRIM('PC 07'!F24),{"Pop","Rock","Dangdut","K-Pop","Electronic","Nasional","Daerah"},0)),"Genre di luar daftar","")),IF('PC 07'!G24="","Nama Channel kosong",""),IF('PC 07'!H24="","Link kosong",IF(ISERROR(FIND("youtu",LOWER('PC 07'!H24))),"Link bukan youtube","")),IF('PC 07'!I24="","Tgl Dibuat kosong",IF(NOT(ISNUMBER('PC 07'!I24)),"Tgl Dibuat harus tanggal","")),IF(AND('PC 07'!J24&lt;&gt;"",NOT(ISNUMBER('PC 07'!J24))),"Tgl Publish harus tanggal",""),IF(AND(ISNUMBER('PC 07'!I24),ISNUMBER('PC 07'!J24),'PC 07'!J24&lt;'PC 07'!I24),"Tgl Publish &lt; Tgl Dibuat",""),IF(AND('PC 07'!K24&lt;&gt;"",ISERROR(MATCH(TRIM('PC 07'!K24),{"Draft","Menunggu Review","Revisi","Terjadwal","Publish","Batal","Published"},0))),"Status di luar daftar","")))</f>
        <v>#ERROR!</v>
      </c>
      <c r="D24" s="3" t="str">
        <f>IF(C24="","OK","ADA MASALAH")</f>
        <v>#ERROR!</v>
      </c>
    </row>
    <row r="25">
      <c r="A25" s="5">
        <v>25.0</v>
      </c>
      <c r="B25" s="3" t="str">
        <f>'PC 07'!A25</f>
        <v/>
      </c>
      <c r="C25" s="3" t="str">
        <f>IF(COUNTA('PC 07'!A25:L25)=0,"",TEXTJOIN(" | ",TRUE,IF('PC 07'!A25="","Worker ID kosong",""),IF('PC 07'!B25="","Update Date kosong",IF(NOT(ISNUMBER('PC 07'!B25)),"Update Date harus tanggal","")),IF('PC 07'!D25="","Judul kosong",""),IF('PC 07'!F25="","Genre kosong",IF(ISERROR(MATCH(TRIM('PC 07'!F25),{"Pop","Rock","Dangdut","K-Pop","Electronic","Nasional","Daerah"},0)),"Genre di luar daftar","")),IF('PC 07'!G25="","Nama Channel kosong",""),IF('PC 07'!H25="","Link kosong",IF(ISERROR(FIND("youtu",LOWER('PC 07'!H25))),"Link bukan youtube","")),IF('PC 07'!I25="","Tgl Dibuat kosong",IF(NOT(ISNUMBER('PC 07'!I25)),"Tgl Dibuat harus tanggal","")),IF(AND('PC 07'!J25&lt;&gt;"",NOT(ISNUMBER('PC 07'!J25))),"Tgl Publish harus tanggal",""),IF(AND(ISNUMBER('PC 07'!I25),ISNUMBER('PC 07'!J25),'PC 07'!J25&lt;'PC 07'!I25),"Tgl Publish &lt; Tgl Dibuat",""),IF(AND('PC 07'!K25&lt;&gt;"",ISERROR(MATCH(TRIM('PC 07'!K25),{"Draft","Menunggu Review","Revisi","Terjadwal","Publish","Batal","Published"},0))),"Status di luar daftar","")))</f>
        <v>#ERROR!</v>
      </c>
      <c r="D25" s="3" t="str">
        <f>IF(C25="","OK","ADA MASALAH")</f>
        <v>#ERROR!</v>
      </c>
    </row>
    <row r="26">
      <c r="A26" s="5">
        <v>26.0</v>
      </c>
      <c r="B26" s="3" t="str">
        <f>'PC 07'!A26</f>
        <v/>
      </c>
      <c r="C26" s="3" t="str">
        <f>IF(COUNTA('PC 07'!A26:L26)=0,"",TEXTJOIN(" | ",TRUE,IF('PC 07'!A26="","Worker ID kosong",""),IF('PC 07'!B26="","Update Date kosong",IF(NOT(ISNUMBER('PC 07'!B26)),"Update Date harus tanggal","")),IF('PC 07'!D26="","Judul kosong",""),IF('PC 07'!F26="","Genre kosong",IF(ISERROR(MATCH(TRIM('PC 07'!F26),{"Pop","Rock","Dangdut","K-Pop","Electronic","Nasional","Daerah"},0)),"Genre di luar daftar","")),IF('PC 07'!G26="","Nama Channel kosong",""),IF('PC 07'!H26="","Link kosong",IF(ISERROR(FIND("youtu",LOWER('PC 07'!H26))),"Link bukan youtube","")),IF('PC 07'!I26="","Tgl Dibuat kosong",IF(NOT(ISNUMBER('PC 07'!I26)),"Tgl Dibuat harus tanggal","")),IF(AND('PC 07'!J26&lt;&gt;"",NOT(ISNUMBER('PC 07'!J26))),"Tgl Publish harus tanggal",""),IF(AND(ISNUMBER('PC 07'!I26),ISNUMBER('PC 07'!J26),'PC 07'!J26&lt;'PC 07'!I26),"Tgl Publish &lt; Tgl Dibuat",""),IF(AND('PC 07'!K26&lt;&gt;"",ISERROR(MATCH(TRIM('PC 07'!K26),{"Draft","Menunggu Review","Revisi","Terjadwal","Publish","Batal","Published"},0))),"Status di luar daftar","")))</f>
        <v>#ERROR!</v>
      </c>
      <c r="D26" s="3" t="str">
        <f>IF(C26="","OK","ADA MASALAH")</f>
        <v>#ERROR!</v>
      </c>
    </row>
    <row r="27">
      <c r="A27" s="5">
        <v>27.0</v>
      </c>
      <c r="B27" s="3" t="str">
        <f>'PC 07'!A27</f>
        <v/>
      </c>
      <c r="C27" s="3" t="str">
        <f>IF(COUNTA('PC 07'!A27:L27)=0,"",TEXTJOIN(" | ",TRUE,IF('PC 07'!A27="","Worker ID kosong",""),IF('PC 07'!B27="","Update Date kosong",IF(NOT(ISNUMBER('PC 07'!B27)),"Update Date harus tanggal","")),IF('PC 07'!D27="","Judul kosong",""),IF('PC 07'!F27="","Genre kosong",IF(ISERROR(MATCH(TRIM('PC 07'!F27),{"Pop","Rock","Dangdut","K-Pop","Electronic","Nasional","Daerah"},0)),"Genre di luar daftar","")),IF('PC 07'!G27="","Nama Channel kosong",""),IF('PC 07'!H27="","Link kosong",IF(ISERROR(FIND("youtu",LOWER('PC 07'!H27))),"Link bukan youtube","")),IF('PC 07'!I27="","Tgl Dibuat kosong",IF(NOT(ISNUMBER('PC 07'!I27)),"Tgl Dibuat harus tanggal","")),IF(AND('PC 07'!J27&lt;&gt;"",NOT(ISNUMBER('PC 07'!J27))),"Tgl Publish harus tanggal",""),IF(AND(ISNUMBER('PC 07'!I27),ISNUMBER('PC 07'!J27),'PC 07'!J27&lt;'PC 07'!I27),"Tgl Publish &lt; Tgl Dibuat",""),IF(AND('PC 07'!K27&lt;&gt;"",ISERROR(MATCH(TRIM('PC 07'!K27),{"Draft","Menunggu Review","Revisi","Terjadwal","Publish","Batal","Published"},0))),"Status di luar daftar","")))</f>
        <v>#ERROR!</v>
      </c>
      <c r="D27" s="3" t="str">
        <f>IF(C27="","OK","ADA MASALAH")</f>
        <v>#ERROR!</v>
      </c>
    </row>
    <row r="28">
      <c r="A28" s="5">
        <v>28.0</v>
      </c>
      <c r="B28" s="3" t="str">
        <f>'PC 07'!A28</f>
        <v/>
      </c>
      <c r="C28" s="3" t="str">
        <f>IF(COUNTA('PC 07'!A28:L28)=0,"",TEXTJOIN(" | ",TRUE,IF('PC 07'!A28="","Worker ID kosong",""),IF('PC 07'!B28="","Update Date kosong",IF(NOT(ISNUMBER('PC 07'!B28)),"Update Date harus tanggal","")),IF('PC 07'!D28="","Judul kosong",""),IF('PC 07'!F28="","Genre kosong",IF(ISERROR(MATCH(TRIM('PC 07'!F28),{"Pop","Rock","Dangdut","K-Pop","Electronic","Nasional","Daerah"},0)),"Genre di luar daftar","")),IF('PC 07'!G28="","Nama Channel kosong",""),IF('PC 07'!H28="","Link kosong",IF(ISERROR(FIND("youtu",LOWER('PC 07'!H28))),"Link bukan youtube","")),IF('PC 07'!I28="","Tgl Dibuat kosong",IF(NOT(ISNUMBER('PC 07'!I28)),"Tgl Dibuat harus tanggal","")),IF(AND('PC 07'!J28&lt;&gt;"",NOT(ISNUMBER('PC 07'!J28))),"Tgl Publish harus tanggal",""),IF(AND(ISNUMBER('PC 07'!I28),ISNUMBER('PC 07'!J28),'PC 07'!J28&lt;'PC 07'!I28),"Tgl Publish &lt; Tgl Dibuat",""),IF(AND('PC 07'!K28&lt;&gt;"",ISERROR(MATCH(TRIM('PC 07'!K28),{"Draft","Menunggu Review","Revisi","Terjadwal","Publish","Batal","Published"},0))),"Status di luar daftar","")))</f>
        <v>#ERROR!</v>
      </c>
      <c r="D28" s="3" t="str">
        <f>IF(C28="","OK","ADA MASALAH")</f>
        <v>#ERROR!</v>
      </c>
    </row>
    <row r="29">
      <c r="A29" s="5">
        <v>29.0</v>
      </c>
      <c r="B29" s="3" t="str">
        <f>'PC 07'!A29</f>
        <v/>
      </c>
      <c r="C29" s="3" t="str">
        <f>IF(COUNTA('PC 07'!A29:L29)=0,"",TEXTJOIN(" | ",TRUE,IF('PC 07'!A29="","Worker ID kosong",""),IF('PC 07'!B29="","Update Date kosong",IF(NOT(ISNUMBER('PC 07'!B29)),"Update Date harus tanggal","")),IF('PC 07'!D29="","Judul kosong",""),IF('PC 07'!F29="","Genre kosong",IF(ISERROR(MATCH(TRIM('PC 07'!F29),{"Pop","Rock","Dangdut","K-Pop","Electronic","Nasional","Daerah"},0)),"Genre di luar daftar","")),IF('PC 07'!G29="","Nama Channel kosong",""),IF('PC 07'!H29="","Link kosong",IF(ISERROR(FIND("youtu",LOWER('PC 07'!H29))),"Link bukan youtube","")),IF('PC 07'!I29="","Tgl Dibuat kosong",IF(NOT(ISNUMBER('PC 07'!I29)),"Tgl Dibuat harus tanggal","")),IF(AND('PC 07'!J29&lt;&gt;"",NOT(ISNUMBER('PC 07'!J29))),"Tgl Publish harus tanggal",""),IF(AND(ISNUMBER('PC 07'!I29),ISNUMBER('PC 07'!J29),'PC 07'!J29&lt;'PC 07'!I29),"Tgl Publish &lt; Tgl Dibuat",""),IF(AND('PC 07'!K29&lt;&gt;"",ISERROR(MATCH(TRIM('PC 07'!K29),{"Draft","Menunggu Review","Revisi","Terjadwal","Publish","Batal","Published"},0))),"Status di luar daftar","")))</f>
        <v>#ERROR!</v>
      </c>
      <c r="D29" s="3" t="str">
        <f>IF(C29="","OK","ADA MASALAH")</f>
        <v>#ERROR!</v>
      </c>
    </row>
    <row r="30">
      <c r="A30" s="5">
        <v>30.0</v>
      </c>
      <c r="B30" s="3" t="str">
        <f>'PC 07'!A30</f>
        <v/>
      </c>
      <c r="C30" s="3" t="str">
        <f>IF(COUNTA('PC 07'!A30:L30)=0,"",TEXTJOIN(" | ",TRUE,IF('PC 07'!A30="","Worker ID kosong",""),IF('PC 07'!B30="","Update Date kosong",IF(NOT(ISNUMBER('PC 07'!B30)),"Update Date harus tanggal","")),IF('PC 07'!D30="","Judul kosong",""),IF('PC 07'!F30="","Genre kosong",IF(ISERROR(MATCH(TRIM('PC 07'!F30),{"Pop","Rock","Dangdut","K-Pop","Electronic","Nasional","Daerah"},0)),"Genre di luar daftar","")),IF('PC 07'!G30="","Nama Channel kosong",""),IF('PC 07'!H30="","Link kosong",IF(ISERROR(FIND("youtu",LOWER('PC 07'!H30))),"Link bukan youtube","")),IF('PC 07'!I30="","Tgl Dibuat kosong",IF(NOT(ISNUMBER('PC 07'!I30)),"Tgl Dibuat harus tanggal","")),IF(AND('PC 07'!J30&lt;&gt;"",NOT(ISNUMBER('PC 07'!J30))),"Tgl Publish harus tanggal",""),IF(AND(ISNUMBER('PC 07'!I30),ISNUMBER('PC 07'!J30),'PC 07'!J30&lt;'PC 07'!I30),"Tgl Publish &lt; Tgl Dibuat",""),IF(AND('PC 07'!K30&lt;&gt;"",ISERROR(MATCH(TRIM('PC 07'!K30),{"Draft","Menunggu Review","Revisi","Terjadwal","Publish","Batal","Published"},0))),"Status di luar daftar","")))</f>
        <v>#ERROR!</v>
      </c>
      <c r="D30" s="3" t="str">
        <f>IF(C30="","OK","ADA MASALAH")</f>
        <v>#ERROR!</v>
      </c>
    </row>
    <row r="31">
      <c r="A31" s="5">
        <v>31.0</v>
      </c>
      <c r="B31" s="3" t="str">
        <f>'PC 07'!A31</f>
        <v/>
      </c>
      <c r="C31" s="3" t="str">
        <f>IF(COUNTA('PC 07'!A31:L31)=0,"",TEXTJOIN(" | ",TRUE,IF('PC 07'!A31="","Worker ID kosong",""),IF('PC 07'!B31="","Update Date kosong",IF(NOT(ISNUMBER('PC 07'!B31)),"Update Date harus tanggal","")),IF('PC 07'!D31="","Judul kosong",""),IF('PC 07'!F31="","Genre kosong",IF(ISERROR(MATCH(TRIM('PC 07'!F31),{"Pop","Rock","Dangdut","K-Pop","Electronic","Nasional","Daerah"},0)),"Genre di luar daftar","")),IF('PC 07'!G31="","Nama Channel kosong",""),IF('PC 07'!H31="","Link kosong",IF(ISERROR(FIND("youtu",LOWER('PC 07'!H31))),"Link bukan youtube","")),IF('PC 07'!I31="","Tgl Dibuat kosong",IF(NOT(ISNUMBER('PC 07'!I31)),"Tgl Dibuat harus tanggal","")),IF(AND('PC 07'!J31&lt;&gt;"",NOT(ISNUMBER('PC 07'!J31))),"Tgl Publish harus tanggal",""),IF(AND(ISNUMBER('PC 07'!I31),ISNUMBER('PC 07'!J31),'PC 07'!J31&lt;'PC 07'!I31),"Tgl Publish &lt; Tgl Dibuat",""),IF(AND('PC 07'!K31&lt;&gt;"",ISERROR(MATCH(TRIM('PC 07'!K31),{"Draft","Menunggu Review","Revisi","Terjadwal","Publish","Batal","Published"},0))),"Status di luar daftar","")))</f>
        <v>#ERROR!</v>
      </c>
      <c r="D31" s="3" t="str">
        <f>IF(C31="","OK","ADA MASALAH")</f>
        <v>#ERROR!</v>
      </c>
    </row>
    <row r="32">
      <c r="A32" s="5">
        <v>32.0</v>
      </c>
      <c r="B32" s="3" t="str">
        <f>'PC 07'!A32</f>
        <v/>
      </c>
      <c r="C32" s="3" t="str">
        <f>IF(COUNTA('PC 07'!A32:L32)=0,"",TEXTJOIN(" | ",TRUE,IF('PC 07'!A32="","Worker ID kosong",""),IF('PC 07'!B32="","Update Date kosong",IF(NOT(ISNUMBER('PC 07'!B32)),"Update Date harus tanggal","")),IF('PC 07'!D32="","Judul kosong",""),IF('PC 07'!F32="","Genre kosong",IF(ISERROR(MATCH(TRIM('PC 07'!F32),{"Pop","Rock","Dangdut","K-Pop","Electronic","Nasional","Daerah"},0)),"Genre di luar daftar","")),IF('PC 07'!G32="","Nama Channel kosong",""),IF('PC 07'!H32="","Link kosong",IF(ISERROR(FIND("youtu",LOWER('PC 07'!H32))),"Link bukan youtube","")),IF('PC 07'!I32="","Tgl Dibuat kosong",IF(NOT(ISNUMBER('PC 07'!I32)),"Tgl Dibuat harus tanggal","")),IF(AND('PC 07'!J32&lt;&gt;"",NOT(ISNUMBER('PC 07'!J32))),"Tgl Publish harus tanggal",""),IF(AND(ISNUMBER('PC 07'!I32),ISNUMBER('PC 07'!J32),'PC 07'!J32&lt;'PC 07'!I32),"Tgl Publish &lt; Tgl Dibuat",""),IF(AND('PC 07'!K32&lt;&gt;"",ISERROR(MATCH(TRIM('PC 07'!K32),{"Draft","Menunggu Review","Revisi","Terjadwal","Publish","Batal","Published"},0))),"Status di luar daftar","")))</f>
        <v>#ERROR!</v>
      </c>
      <c r="D32" s="3" t="str">
        <f>IF(C32="","OK","ADA MASALAH")</f>
        <v>#ERROR!</v>
      </c>
    </row>
    <row r="33">
      <c r="A33" s="5">
        <v>33.0</v>
      </c>
      <c r="B33" s="3" t="str">
        <f>'PC 07'!A33</f>
        <v/>
      </c>
      <c r="C33" s="3" t="str">
        <f>IF(COUNTA('PC 07'!A33:L33)=0,"",TEXTJOIN(" | ",TRUE,IF('PC 07'!A33="","Worker ID kosong",""),IF('PC 07'!B33="","Update Date kosong",IF(NOT(ISNUMBER('PC 07'!B33)),"Update Date harus tanggal","")),IF('PC 07'!D33="","Judul kosong",""),IF('PC 07'!F33="","Genre kosong",IF(ISERROR(MATCH(TRIM('PC 07'!F33),{"Pop","Rock","Dangdut","K-Pop","Electronic","Nasional","Daerah"},0)),"Genre di luar daftar","")),IF('PC 07'!G33="","Nama Channel kosong",""),IF('PC 07'!H33="","Link kosong",IF(ISERROR(FIND("youtu",LOWER('PC 07'!H33))),"Link bukan youtube","")),IF('PC 07'!I33="","Tgl Dibuat kosong",IF(NOT(ISNUMBER('PC 07'!I33)),"Tgl Dibuat harus tanggal","")),IF(AND('PC 07'!J33&lt;&gt;"",NOT(ISNUMBER('PC 07'!J33))),"Tgl Publish harus tanggal",""),IF(AND(ISNUMBER('PC 07'!I33),ISNUMBER('PC 07'!J33),'PC 07'!J33&lt;'PC 07'!I33),"Tgl Publish &lt; Tgl Dibuat",""),IF(AND('PC 07'!K33&lt;&gt;"",ISERROR(MATCH(TRIM('PC 07'!K33),{"Draft","Menunggu Review","Revisi","Terjadwal","Publish","Batal","Published"},0))),"Status di luar daftar","")))</f>
        <v>#ERROR!</v>
      </c>
      <c r="D33" s="3" t="str">
        <f>IF(C33="","OK","ADA MASALAH")</f>
        <v>#ERROR!</v>
      </c>
    </row>
    <row r="34">
      <c r="A34" s="5">
        <v>34.0</v>
      </c>
      <c r="B34" s="3" t="str">
        <f>'PC 07'!A34</f>
        <v/>
      </c>
      <c r="C34" s="3" t="str">
        <f>IF(COUNTA('PC 07'!A34:L34)=0,"",TEXTJOIN(" | ",TRUE,IF('PC 07'!A34="","Worker ID kosong",""),IF('PC 07'!B34="","Update Date kosong",IF(NOT(ISNUMBER('PC 07'!B34)),"Update Date harus tanggal","")),IF('PC 07'!D34="","Judul kosong",""),IF('PC 07'!F34="","Genre kosong",IF(ISERROR(MATCH(TRIM('PC 07'!F34),{"Pop","Rock","Dangdut","K-Pop","Electronic","Nasional","Daerah"},0)),"Genre di luar daftar","")),IF('PC 07'!G34="","Nama Channel kosong",""),IF('PC 07'!H34="","Link kosong",IF(ISERROR(FIND("youtu",LOWER('PC 07'!H34))),"Link bukan youtube","")),IF('PC 07'!I34="","Tgl Dibuat kosong",IF(NOT(ISNUMBER('PC 07'!I34)),"Tgl Dibuat harus tanggal","")),IF(AND('PC 07'!J34&lt;&gt;"",NOT(ISNUMBER('PC 07'!J34))),"Tgl Publish harus tanggal",""),IF(AND(ISNUMBER('PC 07'!I34),ISNUMBER('PC 07'!J34),'PC 07'!J34&lt;'PC 07'!I34),"Tgl Publish &lt; Tgl Dibuat",""),IF(AND('PC 07'!K34&lt;&gt;"",ISERROR(MATCH(TRIM('PC 07'!K34),{"Draft","Menunggu Review","Revisi","Terjadwal","Publish","Batal","Published"},0))),"Status di luar daftar","")))</f>
        <v>#ERROR!</v>
      </c>
      <c r="D34" s="3" t="str">
        <f>IF(C34="","OK","ADA MASALAH")</f>
        <v>#ERROR!</v>
      </c>
    </row>
    <row r="35">
      <c r="A35" s="5">
        <v>35.0</v>
      </c>
      <c r="B35" s="3" t="str">
        <f>'PC 07'!A35</f>
        <v/>
      </c>
      <c r="C35" s="3" t="str">
        <f>IF(COUNTA('PC 07'!A35:L35)=0,"",TEXTJOIN(" | ",TRUE,IF('PC 07'!A35="","Worker ID kosong",""),IF('PC 07'!B35="","Update Date kosong",IF(NOT(ISNUMBER('PC 07'!B35)),"Update Date harus tanggal","")),IF('PC 07'!D35="","Judul kosong",""),IF('PC 07'!F35="","Genre kosong",IF(ISERROR(MATCH(TRIM('PC 07'!F35),{"Pop","Rock","Dangdut","K-Pop","Electronic","Nasional","Daerah"},0)),"Genre di luar daftar","")),IF('PC 07'!G35="","Nama Channel kosong",""),IF('PC 07'!H35="","Link kosong",IF(ISERROR(FIND("youtu",LOWER('PC 07'!H35))),"Link bukan youtube","")),IF('PC 07'!I35="","Tgl Dibuat kosong",IF(NOT(ISNUMBER('PC 07'!I35)),"Tgl Dibuat harus tanggal","")),IF(AND('PC 07'!J35&lt;&gt;"",NOT(ISNUMBER('PC 07'!J35))),"Tgl Publish harus tanggal",""),IF(AND(ISNUMBER('PC 07'!I35),ISNUMBER('PC 07'!J35),'PC 07'!J35&lt;'PC 07'!I35),"Tgl Publish &lt; Tgl Dibuat",""),IF(AND('PC 07'!K35&lt;&gt;"",ISERROR(MATCH(TRIM('PC 07'!K35),{"Draft","Menunggu Review","Revisi","Terjadwal","Publish","Batal","Published"},0))),"Status di luar daftar","")))</f>
        <v>#ERROR!</v>
      </c>
      <c r="D35" s="3" t="str">
        <f>IF(C35="","OK","ADA MASALAH")</f>
        <v>#ERROR!</v>
      </c>
    </row>
    <row r="36">
      <c r="A36" s="5">
        <v>36.0</v>
      </c>
      <c r="B36" s="3" t="str">
        <f>'PC 07'!A36</f>
        <v/>
      </c>
      <c r="C36" s="3" t="str">
        <f>IF(COUNTA('PC 07'!A36:L36)=0,"",TEXTJOIN(" | ",TRUE,IF('PC 07'!A36="","Worker ID kosong",""),IF('PC 07'!B36="","Update Date kosong",IF(NOT(ISNUMBER('PC 07'!B36)),"Update Date harus tanggal","")),IF('PC 07'!D36="","Judul kosong",""),IF('PC 07'!F36="","Genre kosong",IF(ISERROR(MATCH(TRIM('PC 07'!F36),{"Pop","Rock","Dangdut","K-Pop","Electronic","Nasional","Daerah"},0)),"Genre di luar daftar","")),IF('PC 07'!G36="","Nama Channel kosong",""),IF('PC 07'!H36="","Link kosong",IF(ISERROR(FIND("youtu",LOWER('PC 07'!H36))),"Link bukan youtube","")),IF('PC 07'!I36="","Tgl Dibuat kosong",IF(NOT(ISNUMBER('PC 07'!I36)),"Tgl Dibuat harus tanggal","")),IF(AND('PC 07'!J36&lt;&gt;"",NOT(ISNUMBER('PC 07'!J36))),"Tgl Publish harus tanggal",""),IF(AND(ISNUMBER('PC 07'!I36),ISNUMBER('PC 07'!J36),'PC 07'!J36&lt;'PC 07'!I36),"Tgl Publish &lt; Tgl Dibuat",""),IF(AND('PC 07'!K36&lt;&gt;"",ISERROR(MATCH(TRIM('PC 07'!K36),{"Draft","Menunggu Review","Revisi","Terjadwal","Publish","Batal","Published"},0))),"Status di luar daftar","")))</f>
        <v>#ERROR!</v>
      </c>
      <c r="D36" s="3" t="str">
        <f>IF(C36="","OK","ADA MASALAH")</f>
        <v>#ERROR!</v>
      </c>
    </row>
    <row r="37">
      <c r="A37" s="5">
        <v>37.0</v>
      </c>
      <c r="B37" s="3" t="str">
        <f>'PC 07'!A37</f>
        <v/>
      </c>
      <c r="C37" s="3" t="str">
        <f>IF(COUNTA('PC 07'!A37:L37)=0,"",TEXTJOIN(" | ",TRUE,IF('PC 07'!A37="","Worker ID kosong",""),IF('PC 07'!B37="","Update Date kosong",IF(NOT(ISNUMBER('PC 07'!B37)),"Update Date harus tanggal","")),IF('PC 07'!D37="","Judul kosong",""),IF('PC 07'!F37="","Genre kosong",IF(ISERROR(MATCH(TRIM('PC 07'!F37),{"Pop","Rock","Dangdut","K-Pop","Electronic","Nasional","Daerah"},0)),"Genre di luar daftar","")),IF('PC 07'!G37="","Nama Channel kosong",""),IF('PC 07'!H37="","Link kosong",IF(ISERROR(FIND("youtu",LOWER('PC 07'!H37))),"Link bukan youtube","")),IF('PC 07'!I37="","Tgl Dibuat kosong",IF(NOT(ISNUMBER('PC 07'!I37)),"Tgl Dibuat harus tanggal","")),IF(AND('PC 07'!J37&lt;&gt;"",NOT(ISNUMBER('PC 07'!J37))),"Tgl Publish harus tanggal",""),IF(AND(ISNUMBER('PC 07'!I37),ISNUMBER('PC 07'!J37),'PC 07'!J37&lt;'PC 07'!I37),"Tgl Publish &lt; Tgl Dibuat",""),IF(AND('PC 07'!K37&lt;&gt;"",ISERROR(MATCH(TRIM('PC 07'!K37),{"Draft","Menunggu Review","Revisi","Terjadwal","Publish","Batal","Published"},0))),"Status di luar daftar","")))</f>
        <v>#ERROR!</v>
      </c>
      <c r="D37" s="3" t="str">
        <f>IF(C37="","OK","ADA MASALAH")</f>
        <v>#ERROR!</v>
      </c>
    </row>
    <row r="38">
      <c r="A38" s="5">
        <v>38.0</v>
      </c>
      <c r="B38" s="3" t="str">
        <f>'PC 07'!A38</f>
        <v/>
      </c>
      <c r="C38" s="3" t="str">
        <f>IF(COUNTA('PC 07'!A38:L38)=0,"",TEXTJOIN(" | ",TRUE,IF('PC 07'!A38="","Worker ID kosong",""),IF('PC 07'!B38="","Update Date kosong",IF(NOT(ISNUMBER('PC 07'!B38)),"Update Date harus tanggal","")),IF('PC 07'!D38="","Judul kosong",""),IF('PC 07'!F38="","Genre kosong",IF(ISERROR(MATCH(TRIM('PC 07'!F38),{"Pop","Rock","Dangdut","K-Pop","Electronic","Nasional","Daerah"},0)),"Genre di luar daftar","")),IF('PC 07'!G38="","Nama Channel kosong",""),IF('PC 07'!H38="","Link kosong",IF(ISERROR(FIND("youtu",LOWER('PC 07'!H38))),"Link bukan youtube","")),IF('PC 07'!I38="","Tgl Dibuat kosong",IF(NOT(ISNUMBER('PC 07'!I38)),"Tgl Dibuat harus tanggal","")),IF(AND('PC 07'!J38&lt;&gt;"",NOT(ISNUMBER('PC 07'!J38))),"Tgl Publish harus tanggal",""),IF(AND(ISNUMBER('PC 07'!I38),ISNUMBER('PC 07'!J38),'PC 07'!J38&lt;'PC 07'!I38),"Tgl Publish &lt; Tgl Dibuat",""),IF(AND('PC 07'!K38&lt;&gt;"",ISERROR(MATCH(TRIM('PC 07'!K38),{"Draft","Menunggu Review","Revisi","Terjadwal","Publish","Batal","Published"},0))),"Status di luar daftar","")))</f>
        <v>#ERROR!</v>
      </c>
      <c r="D38" s="3" t="str">
        <f>IF(C38="","OK","ADA MASALAH")</f>
        <v>#ERROR!</v>
      </c>
    </row>
    <row r="39">
      <c r="A39" s="5">
        <v>39.0</v>
      </c>
      <c r="B39" s="3" t="str">
        <f>'PC 07'!A39</f>
        <v/>
      </c>
      <c r="C39" s="3" t="str">
        <f>IF(COUNTA('PC 07'!A39:L39)=0,"",TEXTJOIN(" | ",TRUE,IF('PC 07'!A39="","Worker ID kosong",""),IF('PC 07'!B39="","Update Date kosong",IF(NOT(ISNUMBER('PC 07'!B39)),"Update Date harus tanggal","")),IF('PC 07'!D39="","Judul kosong",""),IF('PC 07'!F39="","Genre kosong",IF(ISERROR(MATCH(TRIM('PC 07'!F39),{"Pop","Rock","Dangdut","K-Pop","Electronic","Nasional","Daerah"},0)),"Genre di luar daftar","")),IF('PC 07'!G39="","Nama Channel kosong",""),IF('PC 07'!H39="","Link kosong",IF(ISERROR(FIND("youtu",LOWER('PC 07'!H39))),"Link bukan youtube","")),IF('PC 07'!I39="","Tgl Dibuat kosong",IF(NOT(ISNUMBER('PC 07'!I39)),"Tgl Dibuat harus tanggal","")),IF(AND('PC 07'!J39&lt;&gt;"",NOT(ISNUMBER('PC 07'!J39))),"Tgl Publish harus tanggal",""),IF(AND(ISNUMBER('PC 07'!I39),ISNUMBER('PC 07'!J39),'PC 07'!J39&lt;'PC 07'!I39),"Tgl Publish &lt; Tgl Dibuat",""),IF(AND('PC 07'!K39&lt;&gt;"",ISERROR(MATCH(TRIM('PC 07'!K39),{"Draft","Menunggu Review","Revisi","Terjadwal","Publish","Batal","Published"},0))),"Status di luar daftar","")))</f>
        <v>#ERROR!</v>
      </c>
      <c r="D39" s="3" t="str">
        <f>IF(C39="","OK","ADA MASALAH")</f>
        <v>#ERROR!</v>
      </c>
    </row>
    <row r="40">
      <c r="A40" s="5">
        <v>40.0</v>
      </c>
      <c r="B40" s="3" t="str">
        <f>'PC 07'!A40</f>
        <v/>
      </c>
      <c r="C40" s="3" t="str">
        <f>IF(COUNTA('PC 07'!A40:L40)=0,"",TEXTJOIN(" | ",TRUE,IF('PC 07'!A40="","Worker ID kosong",""),IF('PC 07'!B40="","Update Date kosong",IF(NOT(ISNUMBER('PC 07'!B40)),"Update Date harus tanggal","")),IF('PC 07'!D40="","Judul kosong",""),IF('PC 07'!F40="","Genre kosong",IF(ISERROR(MATCH(TRIM('PC 07'!F40),{"Pop","Rock","Dangdut","K-Pop","Electronic","Nasional","Daerah"},0)),"Genre di luar daftar","")),IF('PC 07'!G40="","Nama Channel kosong",""),IF('PC 07'!H40="","Link kosong",IF(ISERROR(FIND("youtu",LOWER('PC 07'!H40))),"Link bukan youtube","")),IF('PC 07'!I40="","Tgl Dibuat kosong",IF(NOT(ISNUMBER('PC 07'!I40)),"Tgl Dibuat harus tanggal","")),IF(AND('PC 07'!J40&lt;&gt;"",NOT(ISNUMBER('PC 07'!J40))),"Tgl Publish harus tanggal",""),IF(AND(ISNUMBER('PC 07'!I40),ISNUMBER('PC 07'!J40),'PC 07'!J40&lt;'PC 07'!I40),"Tgl Publish &lt; Tgl Dibuat",""),IF(AND('PC 07'!K40&lt;&gt;"",ISERROR(MATCH(TRIM('PC 07'!K40),{"Draft","Menunggu Review","Revisi","Terjadwal","Publish","Batal","Published"},0))),"Status di luar daftar","")))</f>
        <v>#ERROR!</v>
      </c>
      <c r="D40" s="3" t="str">
        <f>IF(C40="","OK","ADA MASALAH")</f>
        <v>#ERROR!</v>
      </c>
    </row>
    <row r="41">
      <c r="A41" s="5">
        <v>41.0</v>
      </c>
      <c r="B41" s="3" t="str">
        <f>'PC 07'!A41</f>
        <v/>
      </c>
      <c r="C41" s="3" t="str">
        <f>IF(COUNTA('PC 07'!A41:L41)=0,"",TEXTJOIN(" | ",TRUE,IF('PC 07'!A41="","Worker ID kosong",""),IF('PC 07'!B41="","Update Date kosong",IF(NOT(ISNUMBER('PC 07'!B41)),"Update Date harus tanggal","")),IF('PC 07'!D41="","Judul kosong",""),IF('PC 07'!F41="","Genre kosong",IF(ISERROR(MATCH(TRIM('PC 07'!F41),{"Pop","Rock","Dangdut","K-Pop","Electronic","Nasional","Daerah"},0)),"Genre di luar daftar","")),IF('PC 07'!G41="","Nama Channel kosong",""),IF('PC 07'!H41="","Link kosong",IF(ISERROR(FIND("youtu",LOWER('PC 07'!H41))),"Link bukan youtube","")),IF('PC 07'!I41="","Tgl Dibuat kosong",IF(NOT(ISNUMBER('PC 07'!I41)),"Tgl Dibuat harus tanggal","")),IF(AND('PC 07'!J41&lt;&gt;"",NOT(ISNUMBER('PC 07'!J41))),"Tgl Publish harus tanggal",""),IF(AND(ISNUMBER('PC 07'!I41),ISNUMBER('PC 07'!J41),'PC 07'!J41&lt;'PC 07'!I41),"Tgl Publish &lt; Tgl Dibuat",""),IF(AND('PC 07'!K41&lt;&gt;"",ISERROR(MATCH(TRIM('PC 07'!K41),{"Draft","Menunggu Review","Revisi","Terjadwal","Publish","Batal","Published"},0))),"Status di luar daftar","")))</f>
        <v>#ERROR!</v>
      </c>
      <c r="D41" s="3" t="str">
        <f>IF(C41="","OK","ADA MASALAH")</f>
        <v>#ERROR!</v>
      </c>
    </row>
    <row r="42">
      <c r="A42" s="5">
        <v>42.0</v>
      </c>
      <c r="B42" s="3" t="str">
        <f>'PC 07'!A42</f>
        <v/>
      </c>
      <c r="C42" s="3" t="str">
        <f>IF(COUNTA('PC 07'!A42:L42)=0,"",TEXTJOIN(" | ",TRUE,IF('PC 07'!A42="","Worker ID kosong",""),IF('PC 07'!B42="","Update Date kosong",IF(NOT(ISNUMBER('PC 07'!B42)),"Update Date harus tanggal","")),IF('PC 07'!D42="","Judul kosong",""),IF('PC 07'!F42="","Genre kosong",IF(ISERROR(MATCH(TRIM('PC 07'!F42),{"Pop","Rock","Dangdut","K-Pop","Electronic","Nasional","Daerah"},0)),"Genre di luar daftar","")),IF('PC 07'!G42="","Nama Channel kosong",""),IF('PC 07'!H42="","Link kosong",IF(ISERROR(FIND("youtu",LOWER('PC 07'!H42))),"Link bukan youtube","")),IF('PC 07'!I42="","Tgl Dibuat kosong",IF(NOT(ISNUMBER('PC 07'!I42)),"Tgl Dibuat harus tanggal","")),IF(AND('PC 07'!J42&lt;&gt;"",NOT(ISNUMBER('PC 07'!J42))),"Tgl Publish harus tanggal",""),IF(AND(ISNUMBER('PC 07'!I42),ISNUMBER('PC 07'!J42),'PC 07'!J42&lt;'PC 07'!I42),"Tgl Publish &lt; Tgl Dibuat",""),IF(AND('PC 07'!K42&lt;&gt;"",ISERROR(MATCH(TRIM('PC 07'!K42),{"Draft","Menunggu Review","Revisi","Terjadwal","Publish","Batal","Published"},0))),"Status di luar daftar","")))</f>
        <v>#ERROR!</v>
      </c>
      <c r="D42" s="3" t="str">
        <f>IF(C42="","OK","ADA MASALAH")</f>
        <v>#ERROR!</v>
      </c>
    </row>
    <row r="43">
      <c r="A43" s="5">
        <v>43.0</v>
      </c>
      <c r="B43" s="3" t="str">
        <f>'PC 07'!A43</f>
        <v/>
      </c>
      <c r="C43" s="3" t="str">
        <f>IF(COUNTA('PC 07'!A43:L43)=0,"",TEXTJOIN(" | ",TRUE,IF('PC 07'!A43="","Worker ID kosong",""),IF('PC 07'!B43="","Update Date kosong",IF(NOT(ISNUMBER('PC 07'!B43)),"Update Date harus tanggal","")),IF('PC 07'!D43="","Judul kosong",""),IF('PC 07'!F43="","Genre kosong",IF(ISERROR(MATCH(TRIM('PC 07'!F43),{"Pop","Rock","Dangdut","K-Pop","Electronic","Nasional","Daerah"},0)),"Genre di luar daftar","")),IF('PC 07'!G43="","Nama Channel kosong",""),IF('PC 07'!H43="","Link kosong",IF(ISERROR(FIND("youtu",LOWER('PC 07'!H43))),"Link bukan youtube","")),IF('PC 07'!I43="","Tgl Dibuat kosong",IF(NOT(ISNUMBER('PC 07'!I43)),"Tgl Dibuat harus tanggal","")),IF(AND('PC 07'!J43&lt;&gt;"",NOT(ISNUMBER('PC 07'!J43))),"Tgl Publish harus tanggal",""),IF(AND(ISNUMBER('PC 07'!I43),ISNUMBER('PC 07'!J43),'PC 07'!J43&lt;'PC 07'!I43),"Tgl Publish &lt; Tgl Dibuat",""),IF(AND('PC 07'!K43&lt;&gt;"",ISERROR(MATCH(TRIM('PC 07'!K43),{"Draft","Menunggu Review","Revisi","Terjadwal","Publish","Batal","Published"},0))),"Status di luar daftar","")))</f>
        <v>#ERROR!</v>
      </c>
      <c r="D43" s="3" t="str">
        <f>IF(C43="","OK","ADA MASALAH")</f>
        <v>#ERROR!</v>
      </c>
    </row>
    <row r="44">
      <c r="A44" s="5">
        <v>44.0</v>
      </c>
      <c r="B44" s="3" t="str">
        <f>'PC 07'!A44</f>
        <v/>
      </c>
      <c r="C44" s="3" t="str">
        <f>IF(COUNTA('PC 07'!A44:L44)=0,"",TEXTJOIN(" | ",TRUE,IF('PC 07'!A44="","Worker ID kosong",""),IF('PC 07'!B44="","Update Date kosong",IF(NOT(ISNUMBER('PC 07'!B44)),"Update Date harus tanggal","")),IF('PC 07'!D44="","Judul kosong",""),IF('PC 07'!F44="","Genre kosong",IF(ISERROR(MATCH(TRIM('PC 07'!F44),{"Pop","Rock","Dangdut","K-Pop","Electronic","Nasional","Daerah"},0)),"Genre di luar daftar","")),IF('PC 07'!G44="","Nama Channel kosong",""),IF('PC 07'!H44="","Link kosong",IF(ISERROR(FIND("youtu",LOWER('PC 07'!H44))),"Link bukan youtube","")),IF('PC 07'!I44="","Tgl Dibuat kosong",IF(NOT(ISNUMBER('PC 07'!I44)),"Tgl Dibuat harus tanggal","")),IF(AND('PC 07'!J44&lt;&gt;"",NOT(ISNUMBER('PC 07'!J44))),"Tgl Publish harus tanggal",""),IF(AND(ISNUMBER('PC 07'!I44),ISNUMBER('PC 07'!J44),'PC 07'!J44&lt;'PC 07'!I44),"Tgl Publish &lt; Tgl Dibuat",""),IF(AND('PC 07'!K44&lt;&gt;"",ISERROR(MATCH(TRIM('PC 07'!K44),{"Draft","Menunggu Review","Revisi","Terjadwal","Publish","Batal","Published"},0))),"Status di luar daftar","")))</f>
        <v>#ERROR!</v>
      </c>
      <c r="D44" s="3" t="str">
        <f>IF(C44="","OK","ADA MASALAH")</f>
        <v>#ERROR!</v>
      </c>
    </row>
    <row r="45">
      <c r="A45" s="5">
        <v>45.0</v>
      </c>
      <c r="B45" s="3" t="str">
        <f>'PC 07'!A45</f>
        <v/>
      </c>
      <c r="C45" s="3" t="str">
        <f>IF(COUNTA('PC 07'!A45:L45)=0,"",TEXTJOIN(" | ",TRUE,IF('PC 07'!A45="","Worker ID kosong",""),IF('PC 07'!B45="","Update Date kosong",IF(NOT(ISNUMBER('PC 07'!B45)),"Update Date harus tanggal","")),IF('PC 07'!D45="","Judul kosong",""),IF('PC 07'!F45="","Genre kosong",IF(ISERROR(MATCH(TRIM('PC 07'!F45),{"Pop","Rock","Dangdut","K-Pop","Electronic","Nasional","Daerah"},0)),"Genre di luar daftar","")),IF('PC 07'!G45="","Nama Channel kosong",""),IF('PC 07'!H45="","Link kosong",IF(ISERROR(FIND("youtu",LOWER('PC 07'!H45))),"Link bukan youtube","")),IF('PC 07'!I45="","Tgl Dibuat kosong",IF(NOT(ISNUMBER('PC 07'!I45)),"Tgl Dibuat harus tanggal","")),IF(AND('PC 07'!J45&lt;&gt;"",NOT(ISNUMBER('PC 07'!J45))),"Tgl Publish harus tanggal",""),IF(AND(ISNUMBER('PC 07'!I45),ISNUMBER('PC 07'!J45),'PC 07'!J45&lt;'PC 07'!I45),"Tgl Publish &lt; Tgl Dibuat",""),IF(AND('PC 07'!K45&lt;&gt;"",ISERROR(MATCH(TRIM('PC 07'!K45),{"Draft","Menunggu Review","Revisi","Terjadwal","Publish","Batal","Published"},0))),"Status di luar daftar","")))</f>
        <v>#ERROR!</v>
      </c>
      <c r="D45" s="3" t="str">
        <f>IF(C45="","OK","ADA MASALAH")</f>
        <v>#ERROR!</v>
      </c>
    </row>
    <row r="46">
      <c r="A46" s="5">
        <v>46.0</v>
      </c>
      <c r="B46" s="3" t="str">
        <f>'PC 07'!A46</f>
        <v/>
      </c>
      <c r="C46" s="3" t="str">
        <f>IF(COUNTA('PC 07'!A46:L46)=0,"",TEXTJOIN(" | ",TRUE,IF('PC 07'!A46="","Worker ID kosong",""),IF('PC 07'!B46="","Update Date kosong",IF(NOT(ISNUMBER('PC 07'!B46)),"Update Date harus tanggal","")),IF('PC 07'!D46="","Judul kosong",""),IF('PC 07'!F46="","Genre kosong",IF(ISERROR(MATCH(TRIM('PC 07'!F46),{"Pop","Rock","Dangdut","K-Pop","Electronic","Nasional","Daerah"},0)),"Genre di luar daftar","")),IF('PC 07'!G46="","Nama Channel kosong",""),IF('PC 07'!H46="","Link kosong",IF(ISERROR(FIND("youtu",LOWER('PC 07'!H46))),"Link bukan youtube","")),IF('PC 07'!I46="","Tgl Dibuat kosong",IF(NOT(ISNUMBER('PC 07'!I46)),"Tgl Dibuat harus tanggal","")),IF(AND('PC 07'!J46&lt;&gt;"",NOT(ISNUMBER('PC 07'!J46))),"Tgl Publish harus tanggal",""),IF(AND(ISNUMBER('PC 07'!I46),ISNUMBER('PC 07'!J46),'PC 07'!J46&lt;'PC 07'!I46),"Tgl Publish &lt; Tgl Dibuat",""),IF(AND('PC 07'!K46&lt;&gt;"",ISERROR(MATCH(TRIM('PC 07'!K46),{"Draft","Menunggu Review","Revisi","Terjadwal","Publish","Batal","Published"},0))),"Status di luar daftar","")))</f>
        <v>#ERROR!</v>
      </c>
      <c r="D46" s="3" t="str">
        <f>IF(C46="","OK","ADA MASALAH")</f>
        <v>#ERROR!</v>
      </c>
    </row>
    <row r="47">
      <c r="A47" s="5">
        <v>47.0</v>
      </c>
      <c r="B47" s="3" t="str">
        <f>'PC 07'!A47</f>
        <v/>
      </c>
      <c r="C47" s="3" t="str">
        <f>IF(COUNTA('PC 07'!A47:L47)=0,"",TEXTJOIN(" | ",TRUE,IF('PC 07'!A47="","Worker ID kosong",""),IF('PC 07'!B47="","Update Date kosong",IF(NOT(ISNUMBER('PC 07'!B47)),"Update Date harus tanggal","")),IF('PC 07'!D47="","Judul kosong",""),IF('PC 07'!F47="","Genre kosong",IF(ISERROR(MATCH(TRIM('PC 07'!F47),{"Pop","Rock","Dangdut","K-Pop","Electronic","Nasional","Daerah"},0)),"Genre di luar daftar","")),IF('PC 07'!G47="","Nama Channel kosong",""),IF('PC 07'!H47="","Link kosong",IF(ISERROR(FIND("youtu",LOWER('PC 07'!H47))),"Link bukan youtube","")),IF('PC 07'!I47="","Tgl Dibuat kosong",IF(NOT(ISNUMBER('PC 07'!I47)),"Tgl Dibuat harus tanggal","")),IF(AND('PC 07'!J47&lt;&gt;"",NOT(ISNUMBER('PC 07'!J47))),"Tgl Publish harus tanggal",""),IF(AND(ISNUMBER('PC 07'!I47),ISNUMBER('PC 07'!J47),'PC 07'!J47&lt;'PC 07'!I47),"Tgl Publish &lt; Tgl Dibuat",""),IF(AND('PC 07'!K47&lt;&gt;"",ISERROR(MATCH(TRIM('PC 07'!K47),{"Draft","Menunggu Review","Revisi","Terjadwal","Publish","Batal","Published"},0))),"Status di luar daftar","")))</f>
        <v>#ERROR!</v>
      </c>
      <c r="D47" s="3" t="str">
        <f>IF(C47="","OK","ADA MASALAH")</f>
        <v>#ERROR!</v>
      </c>
    </row>
    <row r="48">
      <c r="A48" s="5">
        <v>48.0</v>
      </c>
      <c r="B48" s="3" t="str">
        <f>'PC 07'!A48</f>
        <v/>
      </c>
      <c r="C48" s="3" t="str">
        <f>IF(COUNTA('PC 07'!A48:L48)=0,"",TEXTJOIN(" | ",TRUE,IF('PC 07'!A48="","Worker ID kosong",""),IF('PC 07'!B48="","Update Date kosong",IF(NOT(ISNUMBER('PC 07'!B48)),"Update Date harus tanggal","")),IF('PC 07'!D48="","Judul kosong",""),IF('PC 07'!F48="","Genre kosong",IF(ISERROR(MATCH(TRIM('PC 07'!F48),{"Pop","Rock","Dangdut","K-Pop","Electronic","Nasional","Daerah"},0)),"Genre di luar daftar","")),IF('PC 07'!G48="","Nama Channel kosong",""),IF('PC 07'!H48="","Link kosong",IF(ISERROR(FIND("youtu",LOWER('PC 07'!H48))),"Link bukan youtube","")),IF('PC 07'!I48="","Tgl Dibuat kosong",IF(NOT(ISNUMBER('PC 07'!I48)),"Tgl Dibuat harus tanggal","")),IF(AND('PC 07'!J48&lt;&gt;"",NOT(ISNUMBER('PC 07'!J48))),"Tgl Publish harus tanggal",""),IF(AND(ISNUMBER('PC 07'!I48),ISNUMBER('PC 07'!J48),'PC 07'!J48&lt;'PC 07'!I48),"Tgl Publish &lt; Tgl Dibuat",""),IF(AND('PC 07'!K48&lt;&gt;"",ISERROR(MATCH(TRIM('PC 07'!K48),{"Draft","Menunggu Review","Revisi","Terjadwal","Publish","Batal","Published"},0))),"Status di luar daftar","")))</f>
        <v>#ERROR!</v>
      </c>
      <c r="D48" s="3" t="str">
        <f>IF(C48="","OK","ADA MASALAH")</f>
        <v>#ERROR!</v>
      </c>
    </row>
    <row r="49">
      <c r="A49" s="5">
        <v>49.0</v>
      </c>
      <c r="B49" s="3" t="str">
        <f>'PC 07'!A49</f>
        <v/>
      </c>
      <c r="C49" s="3" t="str">
        <f>IF(COUNTA('PC 07'!A49:L49)=0,"",TEXTJOIN(" | ",TRUE,IF('PC 07'!A49="","Worker ID kosong",""),IF('PC 07'!B49="","Update Date kosong",IF(NOT(ISNUMBER('PC 07'!B49)),"Update Date harus tanggal","")),IF('PC 07'!D49="","Judul kosong",""),IF('PC 07'!F49="","Genre kosong",IF(ISERROR(MATCH(TRIM('PC 07'!F49),{"Pop","Rock","Dangdut","K-Pop","Electronic","Nasional","Daerah"},0)),"Genre di luar daftar","")),IF('PC 07'!G49="","Nama Channel kosong",""),IF('PC 07'!H49="","Link kosong",IF(ISERROR(FIND("youtu",LOWER('PC 07'!H49))),"Link bukan youtube","")),IF('PC 07'!I49="","Tgl Dibuat kosong",IF(NOT(ISNUMBER('PC 07'!I49)),"Tgl Dibuat harus tanggal","")),IF(AND('PC 07'!J49&lt;&gt;"",NOT(ISNUMBER('PC 07'!J49))),"Tgl Publish harus tanggal",""),IF(AND(ISNUMBER('PC 07'!I49),ISNUMBER('PC 07'!J49),'PC 07'!J49&lt;'PC 07'!I49),"Tgl Publish &lt; Tgl Dibuat",""),IF(AND('PC 07'!K49&lt;&gt;"",ISERROR(MATCH(TRIM('PC 07'!K49),{"Draft","Menunggu Review","Revisi","Terjadwal","Publish","Batal","Published"},0))),"Status di luar daftar","")))</f>
        <v>#ERROR!</v>
      </c>
      <c r="D49" s="3" t="str">
        <f>IF(C49="","OK","ADA MASALAH")</f>
        <v>#ERROR!</v>
      </c>
    </row>
    <row r="50">
      <c r="A50" s="5">
        <v>50.0</v>
      </c>
      <c r="B50" s="3" t="str">
        <f>'PC 07'!A50</f>
        <v/>
      </c>
      <c r="C50" s="3" t="str">
        <f>IF(COUNTA('PC 07'!A50:L50)=0,"",TEXTJOIN(" | ",TRUE,IF('PC 07'!A50="","Worker ID kosong",""),IF('PC 07'!B50="","Update Date kosong",IF(NOT(ISNUMBER('PC 07'!B50)),"Update Date harus tanggal","")),IF('PC 07'!D50="","Judul kosong",""),IF('PC 07'!F50="","Genre kosong",IF(ISERROR(MATCH(TRIM('PC 07'!F50),{"Pop","Rock","Dangdut","K-Pop","Electronic","Nasional","Daerah"},0)),"Genre di luar daftar","")),IF('PC 07'!G50="","Nama Channel kosong",""),IF('PC 07'!H50="","Link kosong",IF(ISERROR(FIND("youtu",LOWER('PC 07'!H50))),"Link bukan youtube","")),IF('PC 07'!I50="","Tgl Dibuat kosong",IF(NOT(ISNUMBER('PC 07'!I50)),"Tgl Dibuat harus tanggal","")),IF(AND('PC 07'!J50&lt;&gt;"",NOT(ISNUMBER('PC 07'!J50))),"Tgl Publish harus tanggal",""),IF(AND(ISNUMBER('PC 07'!I50),ISNUMBER('PC 07'!J50),'PC 07'!J50&lt;'PC 07'!I50),"Tgl Publish &lt; Tgl Dibuat",""),IF(AND('PC 07'!K50&lt;&gt;"",ISERROR(MATCH(TRIM('PC 07'!K50),{"Draft","Menunggu Review","Revisi","Terjadwal","Publish","Batal","Published"},0))),"Status di luar daftar","")))</f>
        <v>#ERROR!</v>
      </c>
      <c r="D50" s="3" t="str">
        <f>IF(C50="","OK","ADA MASALAH")</f>
        <v>#ERROR!</v>
      </c>
    </row>
    <row r="51">
      <c r="A51" s="5">
        <v>51.0</v>
      </c>
      <c r="B51" s="3" t="str">
        <f>'PC 07'!A51</f>
        <v/>
      </c>
      <c r="C51" s="3" t="str">
        <f>IF(COUNTA('PC 07'!A51:L51)=0,"",TEXTJOIN(" | ",TRUE,IF('PC 07'!A51="","Worker ID kosong",""),IF('PC 07'!B51="","Update Date kosong",IF(NOT(ISNUMBER('PC 07'!B51)),"Update Date harus tanggal","")),IF('PC 07'!D51="","Judul kosong",""),IF('PC 07'!F51="","Genre kosong",IF(ISERROR(MATCH(TRIM('PC 07'!F51),{"Pop","Rock","Dangdut","K-Pop","Electronic","Nasional","Daerah"},0)),"Genre di luar daftar","")),IF('PC 07'!G51="","Nama Channel kosong",""),IF('PC 07'!H51="","Link kosong",IF(ISERROR(FIND("youtu",LOWER('PC 07'!H51))),"Link bukan youtube","")),IF('PC 07'!I51="","Tgl Dibuat kosong",IF(NOT(ISNUMBER('PC 07'!I51)),"Tgl Dibuat harus tanggal","")),IF(AND('PC 07'!J51&lt;&gt;"",NOT(ISNUMBER('PC 07'!J51))),"Tgl Publish harus tanggal",""),IF(AND(ISNUMBER('PC 07'!I51),ISNUMBER('PC 07'!J51),'PC 07'!J51&lt;'PC 07'!I51),"Tgl Publish &lt; Tgl Dibuat",""),IF(AND('PC 07'!K51&lt;&gt;"",ISERROR(MATCH(TRIM('PC 07'!K51),{"Draft","Menunggu Review","Revisi","Terjadwal","Publish","Batal","Published"},0))),"Status di luar daftar","")))</f>
        <v>#ERROR!</v>
      </c>
      <c r="D51" s="3" t="str">
        <f>IF(C51="","OK","ADA MASALAH")</f>
        <v>#ERROR!</v>
      </c>
    </row>
    <row r="52">
      <c r="A52" s="5">
        <v>52.0</v>
      </c>
      <c r="B52" s="3" t="str">
        <f>'PC 07'!A52</f>
        <v/>
      </c>
      <c r="C52" s="3" t="str">
        <f>IF(COUNTA('PC 07'!A52:L52)=0,"",TEXTJOIN(" | ",TRUE,IF('PC 07'!A52="","Worker ID kosong",""),IF('PC 07'!B52="","Update Date kosong",IF(NOT(ISNUMBER('PC 07'!B52)),"Update Date harus tanggal","")),IF('PC 07'!D52="","Judul kosong",""),IF('PC 07'!F52="","Genre kosong",IF(ISERROR(MATCH(TRIM('PC 07'!F52),{"Pop","Rock","Dangdut","K-Pop","Electronic","Nasional","Daerah"},0)),"Genre di luar daftar","")),IF('PC 07'!G52="","Nama Channel kosong",""),IF('PC 07'!H52="","Link kosong",IF(ISERROR(FIND("youtu",LOWER('PC 07'!H52))),"Link bukan youtube","")),IF('PC 07'!I52="","Tgl Dibuat kosong",IF(NOT(ISNUMBER('PC 07'!I52)),"Tgl Dibuat harus tanggal","")),IF(AND('PC 07'!J52&lt;&gt;"",NOT(ISNUMBER('PC 07'!J52))),"Tgl Publish harus tanggal",""),IF(AND(ISNUMBER('PC 07'!I52),ISNUMBER('PC 07'!J52),'PC 07'!J52&lt;'PC 07'!I52),"Tgl Publish &lt; Tgl Dibuat",""),IF(AND('PC 07'!K52&lt;&gt;"",ISERROR(MATCH(TRIM('PC 07'!K52),{"Draft","Menunggu Review","Revisi","Terjadwal","Publish","Batal","Published"},0))),"Status di luar daftar","")))</f>
        <v>#ERROR!</v>
      </c>
      <c r="D52" s="3" t="str">
        <f>IF(C52="","OK","ADA MASALAH")</f>
        <v>#ERROR!</v>
      </c>
    </row>
    <row r="53">
      <c r="A53" s="5">
        <v>53.0</v>
      </c>
      <c r="B53" s="3" t="str">
        <f>'PC 07'!A53</f>
        <v/>
      </c>
      <c r="C53" s="3" t="str">
        <f>IF(COUNTA('PC 07'!A53:L53)=0,"",TEXTJOIN(" | ",TRUE,IF('PC 07'!A53="","Worker ID kosong",""),IF('PC 07'!B53="","Update Date kosong",IF(NOT(ISNUMBER('PC 07'!B53)),"Update Date harus tanggal","")),IF('PC 07'!D53="","Judul kosong",""),IF('PC 07'!F53="","Genre kosong",IF(ISERROR(MATCH(TRIM('PC 07'!F53),{"Pop","Rock","Dangdut","K-Pop","Electronic","Nasional","Daerah"},0)),"Genre di luar daftar","")),IF('PC 07'!G53="","Nama Channel kosong",""),IF('PC 07'!H53="","Link kosong",IF(ISERROR(FIND("youtu",LOWER('PC 07'!H53))),"Link bukan youtube","")),IF('PC 07'!I53="","Tgl Dibuat kosong",IF(NOT(ISNUMBER('PC 07'!I53)),"Tgl Dibuat harus tanggal","")),IF(AND('PC 07'!J53&lt;&gt;"",NOT(ISNUMBER('PC 07'!J53))),"Tgl Publish harus tanggal",""),IF(AND(ISNUMBER('PC 07'!I53),ISNUMBER('PC 07'!J53),'PC 07'!J53&lt;'PC 07'!I53),"Tgl Publish &lt; Tgl Dibuat",""),IF(AND('PC 07'!K53&lt;&gt;"",ISERROR(MATCH(TRIM('PC 07'!K53),{"Draft","Menunggu Review","Revisi","Terjadwal","Publish","Batal","Published"},0))),"Status di luar daftar","")))</f>
        <v>#ERROR!</v>
      </c>
      <c r="D53" s="3" t="str">
        <f>IF(C53="","OK","ADA MASALAH")</f>
        <v>#ERROR!</v>
      </c>
    </row>
    <row r="54">
      <c r="A54" s="5">
        <v>54.0</v>
      </c>
      <c r="B54" s="3" t="str">
        <f>'PC 07'!A54</f>
        <v/>
      </c>
      <c r="C54" s="3" t="str">
        <f>IF(COUNTA('PC 07'!A54:L54)=0,"",TEXTJOIN(" | ",TRUE,IF('PC 07'!A54="","Worker ID kosong",""),IF('PC 07'!B54="","Update Date kosong",IF(NOT(ISNUMBER('PC 07'!B54)),"Update Date harus tanggal","")),IF('PC 07'!D54="","Judul kosong",""),IF('PC 07'!F54="","Genre kosong",IF(ISERROR(MATCH(TRIM('PC 07'!F54),{"Pop","Rock","Dangdut","K-Pop","Electronic","Nasional","Daerah"},0)),"Genre di luar daftar","")),IF('PC 07'!G54="","Nama Channel kosong",""),IF('PC 07'!H54="","Link kosong",IF(ISERROR(FIND("youtu",LOWER('PC 07'!H54))),"Link bukan youtube","")),IF('PC 07'!I54="","Tgl Dibuat kosong",IF(NOT(ISNUMBER('PC 07'!I54)),"Tgl Dibuat harus tanggal","")),IF(AND('PC 07'!J54&lt;&gt;"",NOT(ISNUMBER('PC 07'!J54))),"Tgl Publish harus tanggal",""),IF(AND(ISNUMBER('PC 07'!I54),ISNUMBER('PC 07'!J54),'PC 07'!J54&lt;'PC 07'!I54),"Tgl Publish &lt; Tgl Dibuat",""),IF(AND('PC 07'!K54&lt;&gt;"",ISERROR(MATCH(TRIM('PC 07'!K54),{"Draft","Menunggu Review","Revisi","Terjadwal","Publish","Batal","Published"},0))),"Status di luar daftar","")))</f>
        <v>#ERROR!</v>
      </c>
      <c r="D54" s="3" t="str">
        <f>IF(C54="","OK","ADA MASALAH")</f>
        <v>#ERROR!</v>
      </c>
    </row>
    <row r="55">
      <c r="A55" s="5">
        <v>55.0</v>
      </c>
      <c r="B55" s="3" t="str">
        <f>'PC 07'!A55</f>
        <v/>
      </c>
      <c r="C55" s="3" t="str">
        <f>IF(COUNTA('PC 07'!A55:L55)=0,"",TEXTJOIN(" | ",TRUE,IF('PC 07'!A55="","Worker ID kosong",""),IF('PC 07'!B55="","Update Date kosong",IF(NOT(ISNUMBER('PC 07'!B55)),"Update Date harus tanggal","")),IF('PC 07'!D55="","Judul kosong",""),IF('PC 07'!F55="","Genre kosong",IF(ISERROR(MATCH(TRIM('PC 07'!F55),{"Pop","Rock","Dangdut","K-Pop","Electronic","Nasional","Daerah"},0)),"Genre di luar daftar","")),IF('PC 07'!G55="","Nama Channel kosong",""),IF('PC 07'!H55="","Link kosong",IF(ISERROR(FIND("youtu",LOWER('PC 07'!H55))),"Link bukan youtube","")),IF('PC 07'!I55="","Tgl Dibuat kosong",IF(NOT(ISNUMBER('PC 07'!I55)),"Tgl Dibuat harus tanggal","")),IF(AND('PC 07'!J55&lt;&gt;"",NOT(ISNUMBER('PC 07'!J55))),"Tgl Publish harus tanggal",""),IF(AND(ISNUMBER('PC 07'!I55),ISNUMBER('PC 07'!J55),'PC 07'!J55&lt;'PC 07'!I55),"Tgl Publish &lt; Tgl Dibuat",""),IF(AND('PC 07'!K55&lt;&gt;"",ISERROR(MATCH(TRIM('PC 07'!K55),{"Draft","Menunggu Review","Revisi","Terjadwal","Publish","Batal","Published"},0))),"Status di luar daftar","")))</f>
        <v>#ERROR!</v>
      </c>
      <c r="D55" s="3" t="str">
        <f>IF(C55="","OK","ADA MASALAH")</f>
        <v>#ERROR!</v>
      </c>
    </row>
    <row r="56">
      <c r="A56" s="5">
        <v>56.0</v>
      </c>
      <c r="B56" s="3" t="str">
        <f>'PC 07'!A56</f>
        <v/>
      </c>
      <c r="C56" s="3" t="str">
        <f>IF(COUNTA('PC 07'!A56:L56)=0,"",TEXTJOIN(" | ",TRUE,IF('PC 07'!A56="","Worker ID kosong",""),IF('PC 07'!B56="","Update Date kosong",IF(NOT(ISNUMBER('PC 07'!B56)),"Update Date harus tanggal","")),IF('PC 07'!D56="","Judul kosong",""),IF('PC 07'!F56="","Genre kosong",IF(ISERROR(MATCH(TRIM('PC 07'!F56),{"Pop","Rock","Dangdut","K-Pop","Electronic","Nasional","Daerah"},0)),"Genre di luar daftar","")),IF('PC 07'!G56="","Nama Channel kosong",""),IF('PC 07'!H56="","Link kosong",IF(ISERROR(FIND("youtu",LOWER('PC 07'!H56))),"Link bukan youtube","")),IF('PC 07'!I56="","Tgl Dibuat kosong",IF(NOT(ISNUMBER('PC 07'!I56)),"Tgl Dibuat harus tanggal","")),IF(AND('PC 07'!J56&lt;&gt;"",NOT(ISNUMBER('PC 07'!J56))),"Tgl Publish harus tanggal",""),IF(AND(ISNUMBER('PC 07'!I56),ISNUMBER('PC 07'!J56),'PC 07'!J56&lt;'PC 07'!I56),"Tgl Publish &lt; Tgl Dibuat",""),IF(AND('PC 07'!K56&lt;&gt;"",ISERROR(MATCH(TRIM('PC 07'!K56),{"Draft","Menunggu Review","Revisi","Terjadwal","Publish","Batal","Published"},0))),"Status di luar daftar","")))</f>
        <v>#ERROR!</v>
      </c>
      <c r="D56" s="3" t="str">
        <f>IF(C56="","OK","ADA MASALAH")</f>
        <v>#ERROR!</v>
      </c>
    </row>
    <row r="57">
      <c r="A57" s="5">
        <v>57.0</v>
      </c>
      <c r="B57" s="3" t="str">
        <f>'PC 07'!A57</f>
        <v/>
      </c>
      <c r="C57" s="3" t="str">
        <f>IF(COUNTA('PC 07'!A57:L57)=0,"",TEXTJOIN(" | ",TRUE,IF('PC 07'!A57="","Worker ID kosong",""),IF('PC 07'!B57="","Update Date kosong",IF(NOT(ISNUMBER('PC 07'!B57)),"Update Date harus tanggal","")),IF('PC 07'!D57="","Judul kosong",""),IF('PC 07'!F57="","Genre kosong",IF(ISERROR(MATCH(TRIM('PC 07'!F57),{"Pop","Rock","Dangdut","K-Pop","Electronic","Nasional","Daerah"},0)),"Genre di luar daftar","")),IF('PC 07'!G57="","Nama Channel kosong",""),IF('PC 07'!H57="","Link kosong",IF(ISERROR(FIND("youtu",LOWER('PC 07'!H57))),"Link bukan youtube","")),IF('PC 07'!I57="","Tgl Dibuat kosong",IF(NOT(ISNUMBER('PC 07'!I57)),"Tgl Dibuat harus tanggal","")),IF(AND('PC 07'!J57&lt;&gt;"",NOT(ISNUMBER('PC 07'!J57))),"Tgl Publish harus tanggal",""),IF(AND(ISNUMBER('PC 07'!I57),ISNUMBER('PC 07'!J57),'PC 07'!J57&lt;'PC 07'!I57),"Tgl Publish &lt; Tgl Dibuat",""),IF(AND('PC 07'!K57&lt;&gt;"",ISERROR(MATCH(TRIM('PC 07'!K57),{"Draft","Menunggu Review","Revisi","Terjadwal","Publish","Batal","Published"},0))),"Status di luar daftar","")))</f>
        <v>#ERROR!</v>
      </c>
      <c r="D57" s="3" t="str">
        <f>IF(C57="","OK","ADA MASALAH")</f>
        <v>#ERROR!</v>
      </c>
    </row>
    <row r="58">
      <c r="A58" s="5">
        <v>58.0</v>
      </c>
      <c r="B58" s="3" t="str">
        <f>'PC 07'!A58</f>
        <v/>
      </c>
      <c r="C58" s="3" t="str">
        <f>IF(COUNTA('PC 07'!A58:L58)=0,"",TEXTJOIN(" | ",TRUE,IF('PC 07'!A58="","Worker ID kosong",""),IF('PC 07'!B58="","Update Date kosong",IF(NOT(ISNUMBER('PC 07'!B58)),"Update Date harus tanggal","")),IF('PC 07'!D58="","Judul kosong",""),IF('PC 07'!F58="","Genre kosong",IF(ISERROR(MATCH(TRIM('PC 07'!F58),{"Pop","Rock","Dangdut","K-Pop","Electronic","Nasional","Daerah"},0)),"Genre di luar daftar","")),IF('PC 07'!G58="","Nama Channel kosong",""),IF('PC 07'!H58="","Link kosong",IF(ISERROR(FIND("youtu",LOWER('PC 07'!H58))),"Link bukan youtube","")),IF('PC 07'!I58="","Tgl Dibuat kosong",IF(NOT(ISNUMBER('PC 07'!I58)),"Tgl Dibuat harus tanggal","")),IF(AND('PC 07'!J58&lt;&gt;"",NOT(ISNUMBER('PC 07'!J58))),"Tgl Publish harus tanggal",""),IF(AND(ISNUMBER('PC 07'!I58),ISNUMBER('PC 07'!J58),'PC 07'!J58&lt;'PC 07'!I58),"Tgl Publish &lt; Tgl Dibuat",""),IF(AND('PC 07'!K58&lt;&gt;"",ISERROR(MATCH(TRIM('PC 07'!K58),{"Draft","Menunggu Review","Revisi","Terjadwal","Publish","Batal","Published"},0))),"Status di luar daftar","")))</f>
        <v>#ERROR!</v>
      </c>
      <c r="D58" s="3" t="str">
        <f>IF(C58="","OK","ADA MASALAH")</f>
        <v>#ERROR!</v>
      </c>
    </row>
    <row r="59">
      <c r="A59" s="5">
        <v>59.0</v>
      </c>
      <c r="B59" s="3" t="str">
        <f>'PC 07'!A59</f>
        <v/>
      </c>
      <c r="C59" s="3" t="str">
        <f>IF(COUNTA('PC 07'!A59:L59)=0,"",TEXTJOIN(" | ",TRUE,IF('PC 07'!A59="","Worker ID kosong",""),IF('PC 07'!B59="","Update Date kosong",IF(NOT(ISNUMBER('PC 07'!B59)),"Update Date harus tanggal","")),IF('PC 07'!D59="","Judul kosong",""),IF('PC 07'!F59="","Genre kosong",IF(ISERROR(MATCH(TRIM('PC 07'!F59),{"Pop","Rock","Dangdut","K-Pop","Electronic","Nasional","Daerah"},0)),"Genre di luar daftar","")),IF('PC 07'!G59="","Nama Channel kosong",""),IF('PC 07'!H59="","Link kosong",IF(ISERROR(FIND("youtu",LOWER('PC 07'!H59))),"Link bukan youtube","")),IF('PC 07'!I59="","Tgl Dibuat kosong",IF(NOT(ISNUMBER('PC 07'!I59)),"Tgl Dibuat harus tanggal","")),IF(AND('PC 07'!J59&lt;&gt;"",NOT(ISNUMBER('PC 07'!J59))),"Tgl Publish harus tanggal",""),IF(AND(ISNUMBER('PC 07'!I59),ISNUMBER('PC 07'!J59),'PC 07'!J59&lt;'PC 07'!I59),"Tgl Publish &lt; Tgl Dibuat",""),IF(AND('PC 07'!K59&lt;&gt;"",ISERROR(MATCH(TRIM('PC 07'!K59),{"Draft","Menunggu Review","Revisi","Terjadwal","Publish","Batal","Published"},0))),"Status di luar daftar","")))</f>
        <v>#ERROR!</v>
      </c>
      <c r="D59" s="3" t="str">
        <f>IF(C59="","OK","ADA MASALAH")</f>
        <v>#ERROR!</v>
      </c>
    </row>
    <row r="60">
      <c r="A60" s="5">
        <v>60.0</v>
      </c>
      <c r="B60" s="3" t="str">
        <f>'PC 07'!A60</f>
        <v/>
      </c>
      <c r="C60" s="3" t="str">
        <f>IF(COUNTA('PC 07'!A60:L60)=0,"",TEXTJOIN(" | ",TRUE,IF('PC 07'!A60="","Worker ID kosong",""),IF('PC 07'!B60="","Update Date kosong",IF(NOT(ISNUMBER('PC 07'!B60)),"Update Date harus tanggal","")),IF('PC 07'!D60="","Judul kosong",""),IF('PC 07'!F60="","Genre kosong",IF(ISERROR(MATCH(TRIM('PC 07'!F60),{"Pop","Rock","Dangdut","K-Pop","Electronic","Nasional","Daerah"},0)),"Genre di luar daftar","")),IF('PC 07'!G60="","Nama Channel kosong",""),IF('PC 07'!H60="","Link kosong",IF(ISERROR(FIND("youtu",LOWER('PC 07'!H60))),"Link bukan youtube","")),IF('PC 07'!I60="","Tgl Dibuat kosong",IF(NOT(ISNUMBER('PC 07'!I60)),"Tgl Dibuat harus tanggal","")),IF(AND('PC 07'!J60&lt;&gt;"",NOT(ISNUMBER('PC 07'!J60))),"Tgl Publish harus tanggal",""),IF(AND(ISNUMBER('PC 07'!I60),ISNUMBER('PC 07'!J60),'PC 07'!J60&lt;'PC 07'!I60),"Tgl Publish &lt; Tgl Dibuat",""),IF(AND('PC 07'!K60&lt;&gt;"",ISERROR(MATCH(TRIM('PC 07'!K60),{"Draft","Menunggu Review","Revisi","Terjadwal","Publish","Batal","Published"},0))),"Status di luar daftar","")))</f>
        <v>#ERROR!</v>
      </c>
      <c r="D60" s="3" t="str">
        <f>IF(C60="","OK","ADA MASALAH")</f>
        <v>#ERROR!</v>
      </c>
    </row>
    <row r="61">
      <c r="A61" s="5">
        <v>61.0</v>
      </c>
      <c r="B61" s="3" t="str">
        <f>'PC 07'!A61</f>
        <v/>
      </c>
      <c r="C61" s="3" t="str">
        <f>IF(COUNTA('PC 07'!A61:L61)=0,"",TEXTJOIN(" | ",TRUE,IF('PC 07'!A61="","Worker ID kosong",""),IF('PC 07'!B61="","Update Date kosong",IF(NOT(ISNUMBER('PC 07'!B61)),"Update Date harus tanggal","")),IF('PC 07'!D61="","Judul kosong",""),IF('PC 07'!F61="","Genre kosong",IF(ISERROR(MATCH(TRIM('PC 07'!F61),{"Pop","Rock","Dangdut","K-Pop","Electronic","Nasional","Daerah"},0)),"Genre di luar daftar","")),IF('PC 07'!G61="","Nama Channel kosong",""),IF('PC 07'!H61="","Link kosong",IF(ISERROR(FIND("youtu",LOWER('PC 07'!H61))),"Link bukan youtube","")),IF('PC 07'!I61="","Tgl Dibuat kosong",IF(NOT(ISNUMBER('PC 07'!I61)),"Tgl Dibuat harus tanggal","")),IF(AND('PC 07'!J61&lt;&gt;"",NOT(ISNUMBER('PC 07'!J61))),"Tgl Publish harus tanggal",""),IF(AND(ISNUMBER('PC 07'!I61),ISNUMBER('PC 07'!J61),'PC 07'!J61&lt;'PC 07'!I61),"Tgl Publish &lt; Tgl Dibuat",""),IF(AND('PC 07'!K61&lt;&gt;"",ISERROR(MATCH(TRIM('PC 07'!K61),{"Draft","Menunggu Review","Revisi","Terjadwal","Publish","Batal","Published"},0))),"Status di luar daftar","")))</f>
        <v>#ERROR!</v>
      </c>
      <c r="D61" s="3" t="str">
        <f>IF(C61="","OK","ADA MASALAH")</f>
        <v>#ERROR!</v>
      </c>
    </row>
    <row r="62">
      <c r="A62" s="5">
        <v>62.0</v>
      </c>
      <c r="B62" s="3" t="str">
        <f>'PC 07'!A62</f>
        <v/>
      </c>
      <c r="C62" s="3" t="str">
        <f>IF(COUNTA('PC 07'!A62:L62)=0,"",TEXTJOIN(" | ",TRUE,IF('PC 07'!A62="","Worker ID kosong",""),IF('PC 07'!B62="","Update Date kosong",IF(NOT(ISNUMBER('PC 07'!B62)),"Update Date harus tanggal","")),IF('PC 07'!D62="","Judul kosong",""),IF('PC 07'!F62="","Genre kosong",IF(ISERROR(MATCH(TRIM('PC 07'!F62),{"Pop","Rock","Dangdut","K-Pop","Electronic","Nasional","Daerah"},0)),"Genre di luar daftar","")),IF('PC 07'!G62="","Nama Channel kosong",""),IF('PC 07'!H62="","Link kosong",IF(ISERROR(FIND("youtu",LOWER('PC 07'!H62))),"Link bukan youtube","")),IF('PC 07'!I62="","Tgl Dibuat kosong",IF(NOT(ISNUMBER('PC 07'!I62)),"Tgl Dibuat harus tanggal","")),IF(AND('PC 07'!J62&lt;&gt;"",NOT(ISNUMBER('PC 07'!J62))),"Tgl Publish harus tanggal",""),IF(AND(ISNUMBER('PC 07'!I62),ISNUMBER('PC 07'!J62),'PC 07'!J62&lt;'PC 07'!I62),"Tgl Publish &lt; Tgl Dibuat",""),IF(AND('PC 07'!K62&lt;&gt;"",ISERROR(MATCH(TRIM('PC 07'!K62),{"Draft","Menunggu Review","Revisi","Terjadwal","Publish","Batal","Published"},0))),"Status di luar daftar","")))</f>
        <v>#ERROR!</v>
      </c>
      <c r="D62" s="3" t="str">
        <f>IF(C62="","OK","ADA MASALAH")</f>
        <v>#ERROR!</v>
      </c>
    </row>
    <row r="63">
      <c r="A63" s="5">
        <v>63.0</v>
      </c>
      <c r="B63" s="3" t="str">
        <f>'PC 07'!A63</f>
        <v/>
      </c>
      <c r="C63" s="3" t="str">
        <f>IF(COUNTA('PC 07'!A63:L63)=0,"",TEXTJOIN(" | ",TRUE,IF('PC 07'!A63="","Worker ID kosong",""),IF('PC 07'!B63="","Update Date kosong",IF(NOT(ISNUMBER('PC 07'!B63)),"Update Date harus tanggal","")),IF('PC 07'!D63="","Judul kosong",""),IF('PC 07'!F63="","Genre kosong",IF(ISERROR(MATCH(TRIM('PC 07'!F63),{"Pop","Rock","Dangdut","K-Pop","Electronic","Nasional","Daerah"},0)),"Genre di luar daftar","")),IF('PC 07'!G63="","Nama Channel kosong",""),IF('PC 07'!H63="","Link kosong",IF(ISERROR(FIND("youtu",LOWER('PC 07'!H63))),"Link bukan youtube","")),IF('PC 07'!I63="","Tgl Dibuat kosong",IF(NOT(ISNUMBER('PC 07'!I63)),"Tgl Dibuat harus tanggal","")),IF(AND('PC 07'!J63&lt;&gt;"",NOT(ISNUMBER('PC 07'!J63))),"Tgl Publish harus tanggal",""),IF(AND(ISNUMBER('PC 07'!I63),ISNUMBER('PC 07'!J63),'PC 07'!J63&lt;'PC 07'!I63),"Tgl Publish &lt; Tgl Dibuat",""),IF(AND('PC 07'!K63&lt;&gt;"",ISERROR(MATCH(TRIM('PC 07'!K63),{"Draft","Menunggu Review","Revisi","Terjadwal","Publish","Batal","Published"},0))),"Status di luar daftar","")))</f>
        <v>#ERROR!</v>
      </c>
      <c r="D63" s="3" t="str">
        <f>IF(C63="","OK","ADA MASALAH")</f>
        <v>#ERROR!</v>
      </c>
    </row>
    <row r="64">
      <c r="A64" s="5">
        <v>64.0</v>
      </c>
      <c r="B64" s="3" t="str">
        <f>'PC 07'!A64</f>
        <v/>
      </c>
      <c r="C64" s="3" t="str">
        <f>IF(COUNTA('PC 07'!A64:L64)=0,"",TEXTJOIN(" | ",TRUE,IF('PC 07'!A64="","Worker ID kosong",""),IF('PC 07'!B64="","Update Date kosong",IF(NOT(ISNUMBER('PC 07'!B64)),"Update Date harus tanggal","")),IF('PC 07'!D64="","Judul kosong",""),IF('PC 07'!F64="","Genre kosong",IF(ISERROR(MATCH(TRIM('PC 07'!F64),{"Pop","Rock","Dangdut","K-Pop","Electronic","Nasional","Daerah"},0)),"Genre di luar daftar","")),IF('PC 07'!G64="","Nama Channel kosong",""),IF('PC 07'!H64="","Link kosong",IF(ISERROR(FIND("youtu",LOWER('PC 07'!H64))),"Link bukan youtube","")),IF('PC 07'!I64="","Tgl Dibuat kosong",IF(NOT(ISNUMBER('PC 07'!I64)),"Tgl Dibuat harus tanggal","")),IF(AND('PC 07'!J64&lt;&gt;"",NOT(ISNUMBER('PC 07'!J64))),"Tgl Publish harus tanggal",""),IF(AND(ISNUMBER('PC 07'!I64),ISNUMBER('PC 07'!J64),'PC 07'!J64&lt;'PC 07'!I64),"Tgl Publish &lt; Tgl Dibuat",""),IF(AND('PC 07'!K64&lt;&gt;"",ISERROR(MATCH(TRIM('PC 07'!K64),{"Draft","Menunggu Review","Revisi","Terjadwal","Publish","Batal","Published"},0))),"Status di luar daftar","")))</f>
        <v>#ERROR!</v>
      </c>
      <c r="D64" s="3" t="str">
        <f>IF(C64="","OK","ADA MASALAH")</f>
        <v>#ERROR!</v>
      </c>
    </row>
    <row r="65">
      <c r="A65" s="5">
        <v>65.0</v>
      </c>
      <c r="B65" s="3" t="str">
        <f>'PC 07'!A65</f>
        <v/>
      </c>
      <c r="C65" s="3" t="str">
        <f>IF(COUNTA('PC 07'!A65:L65)=0,"",TEXTJOIN(" | ",TRUE,IF('PC 07'!A65="","Worker ID kosong",""),IF('PC 07'!B65="","Update Date kosong",IF(NOT(ISNUMBER('PC 07'!B65)),"Update Date harus tanggal","")),IF('PC 07'!D65="","Judul kosong",""),IF('PC 07'!F65="","Genre kosong",IF(ISERROR(MATCH(TRIM('PC 07'!F65),{"Pop","Rock","Dangdut","K-Pop","Electronic","Nasional","Daerah"},0)),"Genre di luar daftar","")),IF('PC 07'!G65="","Nama Channel kosong",""),IF('PC 07'!H65="","Link kosong",IF(ISERROR(FIND("youtu",LOWER('PC 07'!H65))),"Link bukan youtube","")),IF('PC 07'!I65="","Tgl Dibuat kosong",IF(NOT(ISNUMBER('PC 07'!I65)),"Tgl Dibuat harus tanggal","")),IF(AND('PC 07'!J65&lt;&gt;"",NOT(ISNUMBER('PC 07'!J65))),"Tgl Publish harus tanggal",""),IF(AND(ISNUMBER('PC 07'!I65),ISNUMBER('PC 07'!J65),'PC 07'!J65&lt;'PC 07'!I65),"Tgl Publish &lt; Tgl Dibuat",""),IF(AND('PC 07'!K65&lt;&gt;"",ISERROR(MATCH(TRIM('PC 07'!K65),{"Draft","Menunggu Review","Revisi","Terjadwal","Publish","Batal","Published"},0))),"Status di luar daftar","")))</f>
        <v>#ERROR!</v>
      </c>
      <c r="D65" s="3" t="str">
        <f>IF(C65="","OK","ADA MASALAH")</f>
        <v>#ERROR!</v>
      </c>
    </row>
    <row r="66">
      <c r="A66" s="5">
        <v>66.0</v>
      </c>
      <c r="B66" s="3" t="str">
        <f>'PC 07'!A66</f>
        <v/>
      </c>
      <c r="C66" s="3" t="str">
        <f>IF(COUNTA('PC 07'!A66:L66)=0,"",TEXTJOIN(" | ",TRUE,IF('PC 07'!A66="","Worker ID kosong",""),IF('PC 07'!B66="","Update Date kosong",IF(NOT(ISNUMBER('PC 07'!B66)),"Update Date harus tanggal","")),IF('PC 07'!D66="","Judul kosong",""),IF('PC 07'!F66="","Genre kosong",IF(ISERROR(MATCH(TRIM('PC 07'!F66),{"Pop","Rock","Dangdut","K-Pop","Electronic","Nasional","Daerah"},0)),"Genre di luar daftar","")),IF('PC 07'!G66="","Nama Channel kosong",""),IF('PC 07'!H66="","Link kosong",IF(ISERROR(FIND("youtu",LOWER('PC 07'!H66))),"Link bukan youtube","")),IF('PC 07'!I66="","Tgl Dibuat kosong",IF(NOT(ISNUMBER('PC 07'!I66)),"Tgl Dibuat harus tanggal","")),IF(AND('PC 07'!J66&lt;&gt;"",NOT(ISNUMBER('PC 07'!J66))),"Tgl Publish harus tanggal",""),IF(AND(ISNUMBER('PC 07'!I66),ISNUMBER('PC 07'!J66),'PC 07'!J66&lt;'PC 07'!I66),"Tgl Publish &lt; Tgl Dibuat",""),IF(AND('PC 07'!K66&lt;&gt;"",ISERROR(MATCH(TRIM('PC 07'!K66),{"Draft","Menunggu Review","Revisi","Terjadwal","Publish","Batal","Published"},0))),"Status di luar daftar","")))</f>
        <v>#ERROR!</v>
      </c>
      <c r="D66" s="3" t="str">
        <f>IF(C66="","OK","ADA MASALAH")</f>
        <v>#ERROR!</v>
      </c>
    </row>
    <row r="67">
      <c r="A67" s="5">
        <v>67.0</v>
      </c>
      <c r="B67" s="3" t="str">
        <f>'PC 07'!A67</f>
        <v/>
      </c>
      <c r="C67" s="3" t="str">
        <f>IF(COUNTA('PC 07'!A67:L67)=0,"",TEXTJOIN(" | ",TRUE,IF('PC 07'!A67="","Worker ID kosong",""),IF('PC 07'!B67="","Update Date kosong",IF(NOT(ISNUMBER('PC 07'!B67)),"Update Date harus tanggal","")),IF('PC 07'!D67="","Judul kosong",""),IF('PC 07'!F67="","Genre kosong",IF(ISERROR(MATCH(TRIM('PC 07'!F67),{"Pop","Rock","Dangdut","K-Pop","Electronic","Nasional","Daerah"},0)),"Genre di luar daftar","")),IF('PC 07'!G67="","Nama Channel kosong",""),IF('PC 07'!H67="","Link kosong",IF(ISERROR(FIND("youtu",LOWER('PC 07'!H67))),"Link bukan youtube","")),IF('PC 07'!I67="","Tgl Dibuat kosong",IF(NOT(ISNUMBER('PC 07'!I67)),"Tgl Dibuat harus tanggal","")),IF(AND('PC 07'!J67&lt;&gt;"",NOT(ISNUMBER('PC 07'!J67))),"Tgl Publish harus tanggal",""),IF(AND(ISNUMBER('PC 07'!I67),ISNUMBER('PC 07'!J67),'PC 07'!J67&lt;'PC 07'!I67),"Tgl Publish &lt; Tgl Dibuat",""),IF(AND('PC 07'!K67&lt;&gt;"",ISERROR(MATCH(TRIM('PC 07'!K67),{"Draft","Menunggu Review","Revisi","Terjadwal","Publish","Batal","Published"},0))),"Status di luar daftar","")))</f>
        <v>#ERROR!</v>
      </c>
      <c r="D67" s="3" t="str">
        <f>IF(C67="","OK","ADA MASALAH")</f>
        <v>#ERROR!</v>
      </c>
    </row>
    <row r="68">
      <c r="A68" s="5">
        <v>68.0</v>
      </c>
      <c r="B68" s="3" t="str">
        <f>'PC 07'!A68</f>
        <v/>
      </c>
      <c r="C68" s="3" t="str">
        <f>IF(COUNTA('PC 07'!A68:L68)=0,"",TEXTJOIN(" | ",TRUE,IF('PC 07'!A68="","Worker ID kosong",""),IF('PC 07'!B68="","Update Date kosong",IF(NOT(ISNUMBER('PC 07'!B68)),"Update Date harus tanggal","")),IF('PC 07'!D68="","Judul kosong",""),IF('PC 07'!F68="","Genre kosong",IF(ISERROR(MATCH(TRIM('PC 07'!F68),{"Pop","Rock","Dangdut","K-Pop","Electronic","Nasional","Daerah"},0)),"Genre di luar daftar","")),IF('PC 07'!G68="","Nama Channel kosong",""),IF('PC 07'!H68="","Link kosong",IF(ISERROR(FIND("youtu",LOWER('PC 07'!H68))),"Link bukan youtube","")),IF('PC 07'!I68="","Tgl Dibuat kosong",IF(NOT(ISNUMBER('PC 07'!I68)),"Tgl Dibuat harus tanggal","")),IF(AND('PC 07'!J68&lt;&gt;"",NOT(ISNUMBER('PC 07'!J68))),"Tgl Publish harus tanggal",""),IF(AND(ISNUMBER('PC 07'!I68),ISNUMBER('PC 07'!J68),'PC 07'!J68&lt;'PC 07'!I68),"Tgl Publish &lt; Tgl Dibuat",""),IF(AND('PC 07'!K68&lt;&gt;"",ISERROR(MATCH(TRIM('PC 07'!K68),{"Draft","Menunggu Review","Revisi","Terjadwal","Publish","Batal","Published"},0))),"Status di luar daftar","")))</f>
        <v>#ERROR!</v>
      </c>
      <c r="D68" s="3" t="str">
        <f>IF(C68="","OK","ADA MASALAH")</f>
        <v>#ERROR!</v>
      </c>
    </row>
    <row r="69">
      <c r="A69" s="5">
        <v>69.0</v>
      </c>
      <c r="B69" s="3" t="str">
        <f>'PC 07'!A69</f>
        <v/>
      </c>
      <c r="C69" s="3" t="str">
        <f>IF(COUNTA('PC 07'!A69:L69)=0,"",TEXTJOIN(" | ",TRUE,IF('PC 07'!A69="","Worker ID kosong",""),IF('PC 07'!B69="","Update Date kosong",IF(NOT(ISNUMBER('PC 07'!B69)),"Update Date harus tanggal","")),IF('PC 07'!D69="","Judul kosong",""),IF('PC 07'!F69="","Genre kosong",IF(ISERROR(MATCH(TRIM('PC 07'!F69),{"Pop","Rock","Dangdut","K-Pop","Electronic","Nasional","Daerah"},0)),"Genre di luar daftar","")),IF('PC 07'!G69="","Nama Channel kosong",""),IF('PC 07'!H69="","Link kosong",IF(ISERROR(FIND("youtu",LOWER('PC 07'!H69))),"Link bukan youtube","")),IF('PC 07'!I69="","Tgl Dibuat kosong",IF(NOT(ISNUMBER('PC 07'!I69)),"Tgl Dibuat harus tanggal","")),IF(AND('PC 07'!J69&lt;&gt;"",NOT(ISNUMBER('PC 07'!J69))),"Tgl Publish harus tanggal",""),IF(AND(ISNUMBER('PC 07'!I69),ISNUMBER('PC 07'!J69),'PC 07'!J69&lt;'PC 07'!I69),"Tgl Publish &lt; Tgl Dibuat",""),IF(AND('PC 07'!K69&lt;&gt;"",ISERROR(MATCH(TRIM('PC 07'!K69),{"Draft","Menunggu Review","Revisi","Terjadwal","Publish","Batal","Published"},0))),"Status di luar daftar","")))</f>
        <v>#ERROR!</v>
      </c>
      <c r="D69" s="3" t="str">
        <f>IF(C69="","OK","ADA MASALAH")</f>
        <v>#ERROR!</v>
      </c>
    </row>
    <row r="70">
      <c r="A70" s="5">
        <v>70.0</v>
      </c>
      <c r="B70" s="3" t="str">
        <f>'PC 07'!A70</f>
        <v/>
      </c>
      <c r="C70" s="3" t="str">
        <f>IF(COUNTA('PC 07'!A70:L70)=0,"",TEXTJOIN(" | ",TRUE,IF('PC 07'!A70="","Worker ID kosong",""),IF('PC 07'!B70="","Update Date kosong",IF(NOT(ISNUMBER('PC 07'!B70)),"Update Date harus tanggal","")),IF('PC 07'!D70="","Judul kosong",""),IF('PC 07'!F70="","Genre kosong",IF(ISERROR(MATCH(TRIM('PC 07'!F70),{"Pop","Rock","Dangdut","K-Pop","Electronic","Nasional","Daerah"},0)),"Genre di luar daftar","")),IF('PC 07'!G70="","Nama Channel kosong",""),IF('PC 07'!H70="","Link kosong",IF(ISERROR(FIND("youtu",LOWER('PC 07'!H70))),"Link bukan youtube","")),IF('PC 07'!I70="","Tgl Dibuat kosong",IF(NOT(ISNUMBER('PC 07'!I70)),"Tgl Dibuat harus tanggal","")),IF(AND('PC 07'!J70&lt;&gt;"",NOT(ISNUMBER('PC 07'!J70))),"Tgl Publish harus tanggal",""),IF(AND(ISNUMBER('PC 07'!I70),ISNUMBER('PC 07'!J70),'PC 07'!J70&lt;'PC 07'!I70),"Tgl Publish &lt; Tgl Dibuat",""),IF(AND('PC 07'!K70&lt;&gt;"",ISERROR(MATCH(TRIM('PC 07'!K70),{"Draft","Menunggu Review","Revisi","Terjadwal","Publish","Batal","Published"},0))),"Status di luar daftar","")))</f>
        <v>#ERROR!</v>
      </c>
      <c r="D70" s="3" t="str">
        <f>IF(C70="","OK","ADA MASALAH")</f>
        <v>#ERROR!</v>
      </c>
    </row>
    <row r="71">
      <c r="A71" s="5">
        <v>71.0</v>
      </c>
      <c r="B71" s="3" t="str">
        <f>'PC 07'!A71</f>
        <v/>
      </c>
      <c r="C71" s="3" t="str">
        <f>IF(COUNTA('PC 07'!A71:L71)=0,"",TEXTJOIN(" | ",TRUE,IF('PC 07'!A71="","Worker ID kosong",""),IF('PC 07'!B71="","Update Date kosong",IF(NOT(ISNUMBER('PC 07'!B71)),"Update Date harus tanggal","")),IF('PC 07'!D71="","Judul kosong",""),IF('PC 07'!F71="","Genre kosong",IF(ISERROR(MATCH(TRIM('PC 07'!F71),{"Pop","Rock","Dangdut","K-Pop","Electronic","Nasional","Daerah"},0)),"Genre di luar daftar","")),IF('PC 07'!G71="","Nama Channel kosong",""),IF('PC 07'!H71="","Link kosong",IF(ISERROR(FIND("youtu",LOWER('PC 07'!H71))),"Link bukan youtube","")),IF('PC 07'!I71="","Tgl Dibuat kosong",IF(NOT(ISNUMBER('PC 07'!I71)),"Tgl Dibuat harus tanggal","")),IF(AND('PC 07'!J71&lt;&gt;"",NOT(ISNUMBER('PC 07'!J71))),"Tgl Publish harus tanggal",""),IF(AND(ISNUMBER('PC 07'!I71),ISNUMBER('PC 07'!J71),'PC 07'!J71&lt;'PC 07'!I71),"Tgl Publish &lt; Tgl Dibuat",""),IF(AND('PC 07'!K71&lt;&gt;"",ISERROR(MATCH(TRIM('PC 07'!K71),{"Draft","Menunggu Review","Revisi","Terjadwal","Publish","Batal","Published"},0))),"Status di luar daftar","")))</f>
        <v>#ERROR!</v>
      </c>
      <c r="D71" s="3" t="str">
        <f>IF(C71="","OK","ADA MASALAH")</f>
        <v>#ERROR!</v>
      </c>
    </row>
    <row r="72">
      <c r="A72" s="5">
        <v>72.0</v>
      </c>
      <c r="B72" s="3" t="str">
        <f>'PC 07'!A72</f>
        <v/>
      </c>
      <c r="C72" s="3" t="str">
        <f>IF(COUNTA('PC 07'!A72:L72)=0,"",TEXTJOIN(" | ",TRUE,IF('PC 07'!A72="","Worker ID kosong",""),IF('PC 07'!B72="","Update Date kosong",IF(NOT(ISNUMBER('PC 07'!B72)),"Update Date harus tanggal","")),IF('PC 07'!D72="","Judul kosong",""),IF('PC 07'!F72="","Genre kosong",IF(ISERROR(MATCH(TRIM('PC 07'!F72),{"Pop","Rock","Dangdut","K-Pop","Electronic","Nasional","Daerah"},0)),"Genre di luar daftar","")),IF('PC 07'!G72="","Nama Channel kosong",""),IF('PC 07'!H72="","Link kosong",IF(ISERROR(FIND("youtu",LOWER('PC 07'!H72))),"Link bukan youtube","")),IF('PC 07'!I72="","Tgl Dibuat kosong",IF(NOT(ISNUMBER('PC 07'!I72)),"Tgl Dibuat harus tanggal","")),IF(AND('PC 07'!J72&lt;&gt;"",NOT(ISNUMBER('PC 07'!J72))),"Tgl Publish harus tanggal",""),IF(AND(ISNUMBER('PC 07'!I72),ISNUMBER('PC 07'!J72),'PC 07'!J72&lt;'PC 07'!I72),"Tgl Publish &lt; Tgl Dibuat",""),IF(AND('PC 07'!K72&lt;&gt;"",ISERROR(MATCH(TRIM('PC 07'!K72),{"Draft","Menunggu Review","Revisi","Terjadwal","Publish","Batal","Published"},0))),"Status di luar daftar","")))</f>
        <v>#ERROR!</v>
      </c>
      <c r="D72" s="3" t="str">
        <f>IF(C72="","OK","ADA MASALAH")</f>
        <v>#ERROR!</v>
      </c>
    </row>
    <row r="73">
      <c r="A73" s="5">
        <v>73.0</v>
      </c>
      <c r="B73" s="3" t="str">
        <f>'PC 07'!A73</f>
        <v/>
      </c>
      <c r="C73" s="3" t="str">
        <f>IF(COUNTA('PC 07'!A73:L73)=0,"",TEXTJOIN(" | ",TRUE,IF('PC 07'!A73="","Worker ID kosong",""),IF('PC 07'!B73="","Update Date kosong",IF(NOT(ISNUMBER('PC 07'!B73)),"Update Date harus tanggal","")),IF('PC 07'!D73="","Judul kosong",""),IF('PC 07'!F73="","Genre kosong",IF(ISERROR(MATCH(TRIM('PC 07'!F73),{"Pop","Rock","Dangdut","K-Pop","Electronic","Nasional","Daerah"},0)),"Genre di luar daftar","")),IF('PC 07'!G73="","Nama Channel kosong",""),IF('PC 07'!H73="","Link kosong",IF(ISERROR(FIND("youtu",LOWER('PC 07'!H73))),"Link bukan youtube","")),IF('PC 07'!I73="","Tgl Dibuat kosong",IF(NOT(ISNUMBER('PC 07'!I73)),"Tgl Dibuat harus tanggal","")),IF(AND('PC 07'!J73&lt;&gt;"",NOT(ISNUMBER('PC 07'!J73))),"Tgl Publish harus tanggal",""),IF(AND(ISNUMBER('PC 07'!I73),ISNUMBER('PC 07'!J73),'PC 07'!J73&lt;'PC 07'!I73),"Tgl Publish &lt; Tgl Dibuat",""),IF(AND('PC 07'!K73&lt;&gt;"",ISERROR(MATCH(TRIM('PC 07'!K73),{"Draft","Menunggu Review","Revisi","Terjadwal","Publish","Batal","Published"},0))),"Status di luar daftar","")))</f>
        <v>#ERROR!</v>
      </c>
      <c r="D73" s="3" t="str">
        <f>IF(C73="","OK","ADA MASALAH")</f>
        <v>#ERROR!</v>
      </c>
    </row>
    <row r="74">
      <c r="A74" s="5">
        <v>74.0</v>
      </c>
      <c r="B74" s="3" t="str">
        <f>'PC 07'!A74</f>
        <v/>
      </c>
      <c r="C74" s="3" t="str">
        <f>IF(COUNTA('PC 07'!A74:L74)=0,"",TEXTJOIN(" | ",TRUE,IF('PC 07'!A74="","Worker ID kosong",""),IF('PC 07'!B74="","Update Date kosong",IF(NOT(ISNUMBER('PC 07'!B74)),"Update Date harus tanggal","")),IF('PC 07'!D74="","Judul kosong",""),IF('PC 07'!F74="","Genre kosong",IF(ISERROR(MATCH(TRIM('PC 07'!F74),{"Pop","Rock","Dangdut","K-Pop","Electronic","Nasional","Daerah"},0)),"Genre di luar daftar","")),IF('PC 07'!G74="","Nama Channel kosong",""),IF('PC 07'!H74="","Link kosong",IF(ISERROR(FIND("youtu",LOWER('PC 07'!H74))),"Link bukan youtube","")),IF('PC 07'!I74="","Tgl Dibuat kosong",IF(NOT(ISNUMBER('PC 07'!I74)),"Tgl Dibuat harus tanggal","")),IF(AND('PC 07'!J74&lt;&gt;"",NOT(ISNUMBER('PC 07'!J74))),"Tgl Publish harus tanggal",""),IF(AND(ISNUMBER('PC 07'!I74),ISNUMBER('PC 07'!J74),'PC 07'!J74&lt;'PC 07'!I74),"Tgl Publish &lt; Tgl Dibuat",""),IF(AND('PC 07'!K74&lt;&gt;"",ISERROR(MATCH(TRIM('PC 07'!K74),{"Draft","Menunggu Review","Revisi","Terjadwal","Publish","Batal","Published"},0))),"Status di luar daftar","")))</f>
        <v>#ERROR!</v>
      </c>
      <c r="D74" s="3" t="str">
        <f>IF(C74="","OK","ADA MASALAH")</f>
        <v>#ERROR!</v>
      </c>
    </row>
    <row r="75">
      <c r="A75" s="5">
        <v>75.0</v>
      </c>
      <c r="B75" s="3" t="str">
        <f>'PC 07'!A75</f>
        <v/>
      </c>
      <c r="C75" s="3" t="str">
        <f>IF(COUNTA('PC 07'!A75:L75)=0,"",TEXTJOIN(" | ",TRUE,IF('PC 07'!A75="","Worker ID kosong",""),IF('PC 07'!B75="","Update Date kosong",IF(NOT(ISNUMBER('PC 07'!B75)),"Update Date harus tanggal","")),IF('PC 07'!D75="","Judul kosong",""),IF('PC 07'!F75="","Genre kosong",IF(ISERROR(MATCH(TRIM('PC 07'!F75),{"Pop","Rock","Dangdut","K-Pop","Electronic","Nasional","Daerah"},0)),"Genre di luar daftar","")),IF('PC 07'!G75="","Nama Channel kosong",""),IF('PC 07'!H75="","Link kosong",IF(ISERROR(FIND("youtu",LOWER('PC 07'!H75))),"Link bukan youtube","")),IF('PC 07'!I75="","Tgl Dibuat kosong",IF(NOT(ISNUMBER('PC 07'!I75)),"Tgl Dibuat harus tanggal","")),IF(AND('PC 07'!J75&lt;&gt;"",NOT(ISNUMBER('PC 07'!J75))),"Tgl Publish harus tanggal",""),IF(AND(ISNUMBER('PC 07'!I75),ISNUMBER('PC 07'!J75),'PC 07'!J75&lt;'PC 07'!I75),"Tgl Publish &lt; Tgl Dibuat",""),IF(AND('PC 07'!K75&lt;&gt;"",ISERROR(MATCH(TRIM('PC 07'!K75),{"Draft","Menunggu Review","Revisi","Terjadwal","Publish","Batal","Published"},0))),"Status di luar daftar","")))</f>
        <v>#ERROR!</v>
      </c>
      <c r="D75" s="3" t="str">
        <f>IF(C75="","OK","ADA MASALAH")</f>
        <v>#ERROR!</v>
      </c>
    </row>
    <row r="76">
      <c r="A76" s="5">
        <v>76.0</v>
      </c>
      <c r="B76" s="3" t="str">
        <f>'PC 07'!A76</f>
        <v/>
      </c>
      <c r="C76" s="3" t="str">
        <f>IF(COUNTA('PC 07'!A76:L76)=0,"",TEXTJOIN(" | ",TRUE,IF('PC 07'!A76="","Worker ID kosong",""),IF('PC 07'!B76="","Update Date kosong",IF(NOT(ISNUMBER('PC 07'!B76)),"Update Date harus tanggal","")),IF('PC 07'!D76="","Judul kosong",""),IF('PC 07'!F76="","Genre kosong",IF(ISERROR(MATCH(TRIM('PC 07'!F76),{"Pop","Rock","Dangdut","K-Pop","Electronic","Nasional","Daerah"},0)),"Genre di luar daftar","")),IF('PC 07'!G76="","Nama Channel kosong",""),IF('PC 07'!H76="","Link kosong",IF(ISERROR(FIND("youtu",LOWER('PC 07'!H76))),"Link bukan youtube","")),IF('PC 07'!I76="","Tgl Dibuat kosong",IF(NOT(ISNUMBER('PC 07'!I76)),"Tgl Dibuat harus tanggal","")),IF(AND('PC 07'!J76&lt;&gt;"",NOT(ISNUMBER('PC 07'!J76))),"Tgl Publish harus tanggal",""),IF(AND(ISNUMBER('PC 07'!I76),ISNUMBER('PC 07'!J76),'PC 07'!J76&lt;'PC 07'!I76),"Tgl Publish &lt; Tgl Dibuat",""),IF(AND('PC 07'!K76&lt;&gt;"",ISERROR(MATCH(TRIM('PC 07'!K76),{"Draft","Menunggu Review","Revisi","Terjadwal","Publish","Batal","Published"},0))),"Status di luar daftar","")))</f>
        <v>#ERROR!</v>
      </c>
      <c r="D76" s="3" t="str">
        <f>IF(C76="","OK","ADA MASALAH")</f>
        <v>#ERROR!</v>
      </c>
    </row>
    <row r="77">
      <c r="A77" s="5">
        <v>77.0</v>
      </c>
      <c r="B77" s="3" t="str">
        <f>'PC 07'!A77</f>
        <v/>
      </c>
      <c r="C77" s="3" t="str">
        <f>IF(COUNTA('PC 07'!A77:L77)=0,"",TEXTJOIN(" | ",TRUE,IF('PC 07'!A77="","Worker ID kosong",""),IF('PC 07'!B77="","Update Date kosong",IF(NOT(ISNUMBER('PC 07'!B77)),"Update Date harus tanggal","")),IF('PC 07'!D77="","Judul kosong",""),IF('PC 07'!F77="","Genre kosong",IF(ISERROR(MATCH(TRIM('PC 07'!F77),{"Pop","Rock","Dangdut","K-Pop","Electronic","Nasional","Daerah"},0)),"Genre di luar daftar","")),IF('PC 07'!G77="","Nama Channel kosong",""),IF('PC 07'!H77="","Link kosong",IF(ISERROR(FIND("youtu",LOWER('PC 07'!H77))),"Link bukan youtube","")),IF('PC 07'!I77="","Tgl Dibuat kosong",IF(NOT(ISNUMBER('PC 07'!I77)),"Tgl Dibuat harus tanggal","")),IF(AND('PC 07'!J77&lt;&gt;"",NOT(ISNUMBER('PC 07'!J77))),"Tgl Publish harus tanggal",""),IF(AND(ISNUMBER('PC 07'!I77),ISNUMBER('PC 07'!J77),'PC 07'!J77&lt;'PC 07'!I77),"Tgl Publish &lt; Tgl Dibuat",""),IF(AND('PC 07'!K77&lt;&gt;"",ISERROR(MATCH(TRIM('PC 07'!K77),{"Draft","Menunggu Review","Revisi","Terjadwal","Publish","Batal","Published"},0))),"Status di luar daftar","")))</f>
        <v>#ERROR!</v>
      </c>
      <c r="D77" s="3" t="str">
        <f>IF(C77="","OK","ADA MASALAH")</f>
        <v>#ERROR!</v>
      </c>
    </row>
    <row r="78">
      <c r="A78" s="5">
        <v>78.0</v>
      </c>
      <c r="B78" s="3" t="str">
        <f>'PC 07'!A78</f>
        <v/>
      </c>
      <c r="C78" s="3" t="str">
        <f>IF(COUNTA('PC 07'!A78:L78)=0,"",TEXTJOIN(" | ",TRUE,IF('PC 07'!A78="","Worker ID kosong",""),IF('PC 07'!B78="","Update Date kosong",IF(NOT(ISNUMBER('PC 07'!B78)),"Update Date harus tanggal","")),IF('PC 07'!D78="","Judul kosong",""),IF('PC 07'!F78="","Genre kosong",IF(ISERROR(MATCH(TRIM('PC 07'!F78),{"Pop","Rock","Dangdut","K-Pop","Electronic","Nasional","Daerah"},0)),"Genre di luar daftar","")),IF('PC 07'!G78="","Nama Channel kosong",""),IF('PC 07'!H78="","Link kosong",IF(ISERROR(FIND("youtu",LOWER('PC 07'!H78))),"Link bukan youtube","")),IF('PC 07'!I78="","Tgl Dibuat kosong",IF(NOT(ISNUMBER('PC 07'!I78)),"Tgl Dibuat harus tanggal","")),IF(AND('PC 07'!J78&lt;&gt;"",NOT(ISNUMBER('PC 07'!J78))),"Tgl Publish harus tanggal",""),IF(AND(ISNUMBER('PC 07'!I78),ISNUMBER('PC 07'!J78),'PC 07'!J78&lt;'PC 07'!I78),"Tgl Publish &lt; Tgl Dibuat",""),IF(AND('PC 07'!K78&lt;&gt;"",ISERROR(MATCH(TRIM('PC 07'!K78),{"Draft","Menunggu Review","Revisi","Terjadwal","Publish","Batal","Published"},0))),"Status di luar daftar","")))</f>
        <v>#ERROR!</v>
      </c>
      <c r="D78" s="3" t="str">
        <f>IF(C78="","OK","ADA MASALAH")</f>
        <v>#ERROR!</v>
      </c>
    </row>
    <row r="79">
      <c r="A79" s="5">
        <v>79.0</v>
      </c>
      <c r="B79" s="3" t="str">
        <f>'PC 07'!A79</f>
        <v/>
      </c>
      <c r="C79" s="3" t="str">
        <f>IF(COUNTA('PC 07'!A79:L79)=0,"",TEXTJOIN(" | ",TRUE,IF('PC 07'!A79="","Worker ID kosong",""),IF('PC 07'!B79="","Update Date kosong",IF(NOT(ISNUMBER('PC 07'!B79)),"Update Date harus tanggal","")),IF('PC 07'!D79="","Judul kosong",""),IF('PC 07'!F79="","Genre kosong",IF(ISERROR(MATCH(TRIM('PC 07'!F79),{"Pop","Rock","Dangdut","K-Pop","Electronic","Nasional","Daerah"},0)),"Genre di luar daftar","")),IF('PC 07'!G79="","Nama Channel kosong",""),IF('PC 07'!H79="","Link kosong",IF(ISERROR(FIND("youtu",LOWER('PC 07'!H79))),"Link bukan youtube","")),IF('PC 07'!I79="","Tgl Dibuat kosong",IF(NOT(ISNUMBER('PC 07'!I79)),"Tgl Dibuat harus tanggal","")),IF(AND('PC 07'!J79&lt;&gt;"",NOT(ISNUMBER('PC 07'!J79))),"Tgl Publish harus tanggal",""),IF(AND(ISNUMBER('PC 07'!I79),ISNUMBER('PC 07'!J79),'PC 07'!J79&lt;'PC 07'!I79),"Tgl Publish &lt; Tgl Dibuat",""),IF(AND('PC 07'!K79&lt;&gt;"",ISERROR(MATCH(TRIM('PC 07'!K79),{"Draft","Menunggu Review","Revisi","Terjadwal","Publish","Batal","Published"},0))),"Status di luar daftar","")))</f>
        <v>#ERROR!</v>
      </c>
      <c r="D79" s="3" t="str">
        <f>IF(C79="","OK","ADA MASALAH")</f>
        <v>#ERROR!</v>
      </c>
    </row>
    <row r="80">
      <c r="A80" s="5">
        <v>80.0</v>
      </c>
      <c r="B80" s="3" t="str">
        <f>'PC 07'!A80</f>
        <v/>
      </c>
      <c r="C80" s="3" t="str">
        <f>IF(COUNTA('PC 07'!A80:L80)=0,"",TEXTJOIN(" | ",TRUE,IF('PC 07'!A80="","Worker ID kosong",""),IF('PC 07'!B80="","Update Date kosong",IF(NOT(ISNUMBER('PC 07'!B80)),"Update Date harus tanggal","")),IF('PC 07'!D80="","Judul kosong",""),IF('PC 07'!F80="","Genre kosong",IF(ISERROR(MATCH(TRIM('PC 07'!F80),{"Pop","Rock","Dangdut","K-Pop","Electronic","Nasional","Daerah"},0)),"Genre di luar daftar","")),IF('PC 07'!G80="","Nama Channel kosong",""),IF('PC 07'!H80="","Link kosong",IF(ISERROR(FIND("youtu",LOWER('PC 07'!H80))),"Link bukan youtube","")),IF('PC 07'!I80="","Tgl Dibuat kosong",IF(NOT(ISNUMBER('PC 07'!I80)),"Tgl Dibuat harus tanggal","")),IF(AND('PC 07'!J80&lt;&gt;"",NOT(ISNUMBER('PC 07'!J80))),"Tgl Publish harus tanggal",""),IF(AND(ISNUMBER('PC 07'!I80),ISNUMBER('PC 07'!J80),'PC 07'!J80&lt;'PC 07'!I80),"Tgl Publish &lt; Tgl Dibuat",""),IF(AND('PC 07'!K80&lt;&gt;"",ISERROR(MATCH(TRIM('PC 07'!K80),{"Draft","Menunggu Review","Revisi","Terjadwal","Publish","Batal","Published"},0))),"Status di luar daftar","")))</f>
        <v>#ERROR!</v>
      </c>
      <c r="D80" s="3" t="str">
        <f>IF(C80="","OK","ADA MASALAH")</f>
        <v>#ERROR!</v>
      </c>
    </row>
    <row r="81">
      <c r="A81" s="5">
        <v>81.0</v>
      </c>
      <c r="B81" s="3" t="str">
        <f>'PC 07'!A81</f>
        <v/>
      </c>
      <c r="C81" s="3" t="str">
        <f>IF(COUNTA('PC 07'!A81:L81)=0,"",TEXTJOIN(" | ",TRUE,IF('PC 07'!A81="","Worker ID kosong",""),IF('PC 07'!B81="","Update Date kosong",IF(NOT(ISNUMBER('PC 07'!B81)),"Update Date harus tanggal","")),IF('PC 07'!D81="","Judul kosong",""),IF('PC 07'!F81="","Genre kosong",IF(ISERROR(MATCH(TRIM('PC 07'!F81),{"Pop","Rock","Dangdut","K-Pop","Electronic","Nasional","Daerah"},0)),"Genre di luar daftar","")),IF('PC 07'!G81="","Nama Channel kosong",""),IF('PC 07'!H81="","Link kosong",IF(ISERROR(FIND("youtu",LOWER('PC 07'!H81))),"Link bukan youtube","")),IF('PC 07'!I81="","Tgl Dibuat kosong",IF(NOT(ISNUMBER('PC 07'!I81)),"Tgl Dibuat harus tanggal","")),IF(AND('PC 07'!J81&lt;&gt;"",NOT(ISNUMBER('PC 07'!J81))),"Tgl Publish harus tanggal",""),IF(AND(ISNUMBER('PC 07'!I81),ISNUMBER('PC 07'!J81),'PC 07'!J81&lt;'PC 07'!I81),"Tgl Publish &lt; Tgl Dibuat",""),IF(AND('PC 07'!K81&lt;&gt;"",ISERROR(MATCH(TRIM('PC 07'!K81),{"Draft","Menunggu Review","Revisi","Terjadwal","Publish","Batal","Published"},0))),"Status di luar daftar","")))</f>
        <v>#ERROR!</v>
      </c>
      <c r="D81" s="3" t="str">
        <f>IF(C81="","OK","ADA MASALAH")</f>
        <v>#ERROR!</v>
      </c>
    </row>
    <row r="82">
      <c r="A82" s="5">
        <v>82.0</v>
      </c>
      <c r="B82" s="3" t="str">
        <f>'PC 07'!A82</f>
        <v/>
      </c>
      <c r="C82" s="3" t="str">
        <f>IF(COUNTA('PC 07'!A82:L82)=0,"",TEXTJOIN(" | ",TRUE,IF('PC 07'!A82="","Worker ID kosong",""),IF('PC 07'!B82="","Update Date kosong",IF(NOT(ISNUMBER('PC 07'!B82)),"Update Date harus tanggal","")),IF('PC 07'!D82="","Judul kosong",""),IF('PC 07'!F82="","Genre kosong",IF(ISERROR(MATCH(TRIM('PC 07'!F82),{"Pop","Rock","Dangdut","K-Pop","Electronic","Nasional","Daerah"},0)),"Genre di luar daftar","")),IF('PC 07'!G82="","Nama Channel kosong",""),IF('PC 07'!H82="","Link kosong",IF(ISERROR(FIND("youtu",LOWER('PC 07'!H82))),"Link bukan youtube","")),IF('PC 07'!I82="","Tgl Dibuat kosong",IF(NOT(ISNUMBER('PC 07'!I82)),"Tgl Dibuat harus tanggal","")),IF(AND('PC 07'!J82&lt;&gt;"",NOT(ISNUMBER('PC 07'!J82))),"Tgl Publish harus tanggal",""),IF(AND(ISNUMBER('PC 07'!I82),ISNUMBER('PC 07'!J82),'PC 07'!J82&lt;'PC 07'!I82),"Tgl Publish &lt; Tgl Dibuat",""),IF(AND('PC 07'!K82&lt;&gt;"",ISERROR(MATCH(TRIM('PC 07'!K82),{"Draft","Menunggu Review","Revisi","Terjadwal","Publish","Batal","Published"},0))),"Status di luar daftar","")))</f>
        <v>#ERROR!</v>
      </c>
      <c r="D82" s="3" t="str">
        <f>IF(C82="","OK","ADA MASALAH")</f>
        <v>#ERROR!</v>
      </c>
    </row>
    <row r="83">
      <c r="A83" s="5">
        <v>83.0</v>
      </c>
      <c r="B83" s="3" t="str">
        <f>'PC 07'!A83</f>
        <v/>
      </c>
      <c r="C83" s="3" t="str">
        <f>IF(COUNTA('PC 07'!A83:L83)=0,"",TEXTJOIN(" | ",TRUE,IF('PC 07'!A83="","Worker ID kosong",""),IF('PC 07'!B83="","Update Date kosong",IF(NOT(ISNUMBER('PC 07'!B83)),"Update Date harus tanggal","")),IF('PC 07'!D83="","Judul kosong",""),IF('PC 07'!F83="","Genre kosong",IF(ISERROR(MATCH(TRIM('PC 07'!F83),{"Pop","Rock","Dangdut","K-Pop","Electronic","Nasional","Daerah"},0)),"Genre di luar daftar","")),IF('PC 07'!G83="","Nama Channel kosong",""),IF('PC 07'!H83="","Link kosong",IF(ISERROR(FIND("youtu",LOWER('PC 07'!H83))),"Link bukan youtube","")),IF('PC 07'!I83="","Tgl Dibuat kosong",IF(NOT(ISNUMBER('PC 07'!I83)),"Tgl Dibuat harus tanggal","")),IF(AND('PC 07'!J83&lt;&gt;"",NOT(ISNUMBER('PC 07'!J83))),"Tgl Publish harus tanggal",""),IF(AND(ISNUMBER('PC 07'!I83),ISNUMBER('PC 07'!J83),'PC 07'!J83&lt;'PC 07'!I83),"Tgl Publish &lt; Tgl Dibuat",""),IF(AND('PC 07'!K83&lt;&gt;"",ISERROR(MATCH(TRIM('PC 07'!K83),{"Draft","Menunggu Review","Revisi","Terjadwal","Publish","Batal","Published"},0))),"Status di luar daftar","")))</f>
        <v>#ERROR!</v>
      </c>
      <c r="D83" s="3" t="str">
        <f>IF(C83="","OK","ADA MASALAH")</f>
        <v>#ERROR!</v>
      </c>
    </row>
    <row r="84">
      <c r="A84" s="5">
        <v>84.0</v>
      </c>
      <c r="B84" s="3" t="str">
        <f>'PC 07'!A84</f>
        <v/>
      </c>
      <c r="C84" s="3" t="str">
        <f>IF(COUNTA('PC 07'!A84:L84)=0,"",TEXTJOIN(" | ",TRUE,IF('PC 07'!A84="","Worker ID kosong",""),IF('PC 07'!B84="","Update Date kosong",IF(NOT(ISNUMBER('PC 07'!B84)),"Update Date harus tanggal","")),IF('PC 07'!D84="","Judul kosong",""),IF('PC 07'!F84="","Genre kosong",IF(ISERROR(MATCH(TRIM('PC 07'!F84),{"Pop","Rock","Dangdut","K-Pop","Electronic","Nasional","Daerah"},0)),"Genre di luar daftar","")),IF('PC 07'!G84="","Nama Channel kosong",""),IF('PC 07'!H84="","Link kosong",IF(ISERROR(FIND("youtu",LOWER('PC 07'!H84))),"Link bukan youtube","")),IF('PC 07'!I84="","Tgl Dibuat kosong",IF(NOT(ISNUMBER('PC 07'!I84)),"Tgl Dibuat harus tanggal","")),IF(AND('PC 07'!J84&lt;&gt;"",NOT(ISNUMBER('PC 07'!J84))),"Tgl Publish harus tanggal",""),IF(AND(ISNUMBER('PC 07'!I84),ISNUMBER('PC 07'!J84),'PC 07'!J84&lt;'PC 07'!I84),"Tgl Publish &lt; Tgl Dibuat",""),IF(AND('PC 07'!K84&lt;&gt;"",ISERROR(MATCH(TRIM('PC 07'!K84),{"Draft","Menunggu Review","Revisi","Terjadwal","Publish","Batal","Published"},0))),"Status di luar daftar","")))</f>
        <v>#ERROR!</v>
      </c>
      <c r="D84" s="3" t="str">
        <f>IF(C84="","OK","ADA MASALAH")</f>
        <v>#ERROR!</v>
      </c>
    </row>
    <row r="85">
      <c r="A85" s="5">
        <v>85.0</v>
      </c>
      <c r="B85" s="3" t="str">
        <f>'PC 07'!A85</f>
        <v/>
      </c>
      <c r="C85" s="3" t="str">
        <f>IF(COUNTA('PC 07'!A85:L85)=0,"",TEXTJOIN(" | ",TRUE,IF('PC 07'!A85="","Worker ID kosong",""),IF('PC 07'!B85="","Update Date kosong",IF(NOT(ISNUMBER('PC 07'!B85)),"Update Date harus tanggal","")),IF('PC 07'!D85="","Judul kosong",""),IF('PC 07'!F85="","Genre kosong",IF(ISERROR(MATCH(TRIM('PC 07'!F85),{"Pop","Rock","Dangdut","K-Pop","Electronic","Nasional","Daerah"},0)),"Genre di luar daftar","")),IF('PC 07'!G85="","Nama Channel kosong",""),IF('PC 07'!H85="","Link kosong",IF(ISERROR(FIND("youtu",LOWER('PC 07'!H85))),"Link bukan youtube","")),IF('PC 07'!I85="","Tgl Dibuat kosong",IF(NOT(ISNUMBER('PC 07'!I85)),"Tgl Dibuat harus tanggal","")),IF(AND('PC 07'!J85&lt;&gt;"",NOT(ISNUMBER('PC 07'!J85))),"Tgl Publish harus tanggal",""),IF(AND(ISNUMBER('PC 07'!I85),ISNUMBER('PC 07'!J85),'PC 07'!J85&lt;'PC 07'!I85),"Tgl Publish &lt; Tgl Dibuat",""),IF(AND('PC 07'!K85&lt;&gt;"",ISERROR(MATCH(TRIM('PC 07'!K85),{"Draft","Menunggu Review","Revisi","Terjadwal","Publish","Batal","Published"},0))),"Status di luar daftar","")))</f>
        <v>#ERROR!</v>
      </c>
      <c r="D85" s="3" t="str">
        <f>IF(C85="","OK","ADA MASALAH")</f>
        <v>#ERROR!</v>
      </c>
    </row>
    <row r="86">
      <c r="A86" s="5">
        <v>86.0</v>
      </c>
      <c r="B86" s="3" t="str">
        <f>'PC 07'!A86</f>
        <v/>
      </c>
      <c r="C86" s="3" t="str">
        <f>IF(COUNTA('PC 07'!A86:L86)=0,"",TEXTJOIN(" | ",TRUE,IF('PC 07'!A86="","Worker ID kosong",""),IF('PC 07'!B86="","Update Date kosong",IF(NOT(ISNUMBER('PC 07'!B86)),"Update Date harus tanggal","")),IF('PC 07'!D86="","Judul kosong",""),IF('PC 07'!F86="","Genre kosong",IF(ISERROR(MATCH(TRIM('PC 07'!F86),{"Pop","Rock","Dangdut","K-Pop","Electronic","Nasional","Daerah"},0)),"Genre di luar daftar","")),IF('PC 07'!G86="","Nama Channel kosong",""),IF('PC 07'!H86="","Link kosong",IF(ISERROR(FIND("youtu",LOWER('PC 07'!H86))),"Link bukan youtube","")),IF('PC 07'!I86="","Tgl Dibuat kosong",IF(NOT(ISNUMBER('PC 07'!I86)),"Tgl Dibuat harus tanggal","")),IF(AND('PC 07'!J86&lt;&gt;"",NOT(ISNUMBER('PC 07'!J86))),"Tgl Publish harus tanggal",""),IF(AND(ISNUMBER('PC 07'!I86),ISNUMBER('PC 07'!J86),'PC 07'!J86&lt;'PC 07'!I86),"Tgl Publish &lt; Tgl Dibuat",""),IF(AND('PC 07'!K86&lt;&gt;"",ISERROR(MATCH(TRIM('PC 07'!K86),{"Draft","Menunggu Review","Revisi","Terjadwal","Publish","Batal","Published"},0))),"Status di luar daftar","")))</f>
        <v>#ERROR!</v>
      </c>
      <c r="D86" s="3" t="str">
        <f>IF(C86="","OK","ADA MASALAH")</f>
        <v>#ERROR!</v>
      </c>
    </row>
    <row r="87">
      <c r="A87" s="5">
        <v>87.0</v>
      </c>
      <c r="B87" s="3" t="str">
        <f>'PC 07'!A87</f>
        <v/>
      </c>
      <c r="C87" s="3" t="str">
        <f>IF(COUNTA('PC 07'!A87:L87)=0,"",TEXTJOIN(" | ",TRUE,IF('PC 07'!A87="","Worker ID kosong",""),IF('PC 07'!B87="","Update Date kosong",IF(NOT(ISNUMBER('PC 07'!B87)),"Update Date harus tanggal","")),IF('PC 07'!D87="","Judul kosong",""),IF('PC 07'!F87="","Genre kosong",IF(ISERROR(MATCH(TRIM('PC 07'!F87),{"Pop","Rock","Dangdut","K-Pop","Electronic","Nasional","Daerah"},0)),"Genre di luar daftar","")),IF('PC 07'!G87="","Nama Channel kosong",""),IF('PC 07'!H87="","Link kosong",IF(ISERROR(FIND("youtu",LOWER('PC 07'!H87))),"Link bukan youtube","")),IF('PC 07'!I87="","Tgl Dibuat kosong",IF(NOT(ISNUMBER('PC 07'!I87)),"Tgl Dibuat harus tanggal","")),IF(AND('PC 07'!J87&lt;&gt;"",NOT(ISNUMBER('PC 07'!J87))),"Tgl Publish harus tanggal",""),IF(AND(ISNUMBER('PC 07'!I87),ISNUMBER('PC 07'!J87),'PC 07'!J87&lt;'PC 07'!I87),"Tgl Publish &lt; Tgl Dibuat",""),IF(AND('PC 07'!K87&lt;&gt;"",ISERROR(MATCH(TRIM('PC 07'!K87),{"Draft","Menunggu Review","Revisi","Terjadwal","Publish","Batal","Published"},0))),"Status di luar daftar","")))</f>
        <v>#ERROR!</v>
      </c>
      <c r="D87" s="3" t="str">
        <f>IF(C87="","OK","ADA MASALAH")</f>
        <v>#ERROR!</v>
      </c>
    </row>
    <row r="88">
      <c r="A88" s="5">
        <v>88.0</v>
      </c>
      <c r="B88" s="3" t="str">
        <f>'PC 07'!A88</f>
        <v/>
      </c>
      <c r="C88" s="3" t="str">
        <f>IF(COUNTA('PC 07'!A88:L88)=0,"",TEXTJOIN(" | ",TRUE,IF('PC 07'!A88="","Worker ID kosong",""),IF('PC 07'!B88="","Update Date kosong",IF(NOT(ISNUMBER('PC 07'!B88)),"Update Date harus tanggal","")),IF('PC 07'!D88="","Judul kosong",""),IF('PC 07'!F88="","Genre kosong",IF(ISERROR(MATCH(TRIM('PC 07'!F88),{"Pop","Rock","Dangdut","K-Pop","Electronic","Nasional","Daerah"},0)),"Genre di luar daftar","")),IF('PC 07'!G88="","Nama Channel kosong",""),IF('PC 07'!H88="","Link kosong",IF(ISERROR(FIND("youtu",LOWER('PC 07'!H88))),"Link bukan youtube","")),IF('PC 07'!I88="","Tgl Dibuat kosong",IF(NOT(ISNUMBER('PC 07'!I88)),"Tgl Dibuat harus tanggal","")),IF(AND('PC 07'!J88&lt;&gt;"",NOT(ISNUMBER('PC 07'!J88))),"Tgl Publish harus tanggal",""),IF(AND(ISNUMBER('PC 07'!I88),ISNUMBER('PC 07'!J88),'PC 07'!J88&lt;'PC 07'!I88),"Tgl Publish &lt; Tgl Dibuat",""),IF(AND('PC 07'!K88&lt;&gt;"",ISERROR(MATCH(TRIM('PC 07'!K88),{"Draft","Menunggu Review","Revisi","Terjadwal","Publish","Batal","Published"},0))),"Status di luar daftar","")))</f>
        <v>#ERROR!</v>
      </c>
      <c r="D88" s="3" t="str">
        <f>IF(C88="","OK","ADA MASALAH")</f>
        <v>#ERROR!</v>
      </c>
    </row>
    <row r="89">
      <c r="A89" s="5">
        <v>89.0</v>
      </c>
      <c r="B89" s="3" t="str">
        <f>'PC 07'!A89</f>
        <v/>
      </c>
      <c r="C89" s="3" t="str">
        <f>IF(COUNTA('PC 07'!A89:L89)=0,"",TEXTJOIN(" | ",TRUE,IF('PC 07'!A89="","Worker ID kosong",""),IF('PC 07'!B89="","Update Date kosong",IF(NOT(ISNUMBER('PC 07'!B89)),"Update Date harus tanggal","")),IF('PC 07'!D89="","Judul kosong",""),IF('PC 07'!F89="","Genre kosong",IF(ISERROR(MATCH(TRIM('PC 07'!F89),{"Pop","Rock","Dangdut","K-Pop","Electronic","Nasional","Daerah"},0)),"Genre di luar daftar","")),IF('PC 07'!G89="","Nama Channel kosong",""),IF('PC 07'!H89="","Link kosong",IF(ISERROR(FIND("youtu",LOWER('PC 07'!H89))),"Link bukan youtube","")),IF('PC 07'!I89="","Tgl Dibuat kosong",IF(NOT(ISNUMBER('PC 07'!I89)),"Tgl Dibuat harus tanggal","")),IF(AND('PC 07'!J89&lt;&gt;"",NOT(ISNUMBER('PC 07'!J89))),"Tgl Publish harus tanggal",""),IF(AND(ISNUMBER('PC 07'!I89),ISNUMBER('PC 07'!J89),'PC 07'!J89&lt;'PC 07'!I89),"Tgl Publish &lt; Tgl Dibuat",""),IF(AND('PC 07'!K89&lt;&gt;"",ISERROR(MATCH(TRIM('PC 07'!K89),{"Draft","Menunggu Review","Revisi","Terjadwal","Publish","Batal","Published"},0))),"Status di luar daftar","")))</f>
        <v>#ERROR!</v>
      </c>
      <c r="D89" s="3" t="str">
        <f>IF(C89="","OK","ADA MASALAH")</f>
        <v>#ERROR!</v>
      </c>
    </row>
    <row r="90">
      <c r="A90" s="5">
        <v>90.0</v>
      </c>
      <c r="B90" s="3" t="str">
        <f>'PC 07'!A90</f>
        <v/>
      </c>
      <c r="C90" s="3" t="str">
        <f>IF(COUNTA('PC 07'!A90:L90)=0,"",TEXTJOIN(" | ",TRUE,IF('PC 07'!A90="","Worker ID kosong",""),IF('PC 07'!B90="","Update Date kosong",IF(NOT(ISNUMBER('PC 07'!B90)),"Update Date harus tanggal","")),IF('PC 07'!D90="","Judul kosong",""),IF('PC 07'!F90="","Genre kosong",IF(ISERROR(MATCH(TRIM('PC 07'!F90),{"Pop","Rock","Dangdut","K-Pop","Electronic","Nasional","Daerah"},0)),"Genre di luar daftar","")),IF('PC 07'!G90="","Nama Channel kosong",""),IF('PC 07'!H90="","Link kosong",IF(ISERROR(FIND("youtu",LOWER('PC 07'!H90))),"Link bukan youtube","")),IF('PC 07'!I90="","Tgl Dibuat kosong",IF(NOT(ISNUMBER('PC 07'!I90)),"Tgl Dibuat harus tanggal","")),IF(AND('PC 07'!J90&lt;&gt;"",NOT(ISNUMBER('PC 07'!J90))),"Tgl Publish harus tanggal",""),IF(AND(ISNUMBER('PC 07'!I90),ISNUMBER('PC 07'!J90),'PC 07'!J90&lt;'PC 07'!I90),"Tgl Publish &lt; Tgl Dibuat",""),IF(AND('PC 07'!K90&lt;&gt;"",ISERROR(MATCH(TRIM('PC 07'!K90),{"Draft","Menunggu Review","Revisi","Terjadwal","Publish","Batal","Published"},0))),"Status di luar daftar","")))</f>
        <v>#ERROR!</v>
      </c>
      <c r="D90" s="3" t="str">
        <f>IF(C90="","OK","ADA MASALAH")</f>
        <v>#ERROR!</v>
      </c>
    </row>
    <row r="91">
      <c r="A91" s="5">
        <v>91.0</v>
      </c>
      <c r="B91" s="3" t="str">
        <f>'PC 07'!A91</f>
        <v/>
      </c>
      <c r="C91" s="3" t="str">
        <f>IF(COUNTA('PC 07'!A91:L91)=0,"",TEXTJOIN(" | ",TRUE,IF('PC 07'!A91="","Worker ID kosong",""),IF('PC 07'!B91="","Update Date kosong",IF(NOT(ISNUMBER('PC 07'!B91)),"Update Date harus tanggal","")),IF('PC 07'!D91="","Judul kosong",""),IF('PC 07'!F91="","Genre kosong",IF(ISERROR(MATCH(TRIM('PC 07'!F91),{"Pop","Rock","Dangdut","K-Pop","Electronic","Nasional","Daerah"},0)),"Genre di luar daftar","")),IF('PC 07'!G91="","Nama Channel kosong",""),IF('PC 07'!H91="","Link kosong",IF(ISERROR(FIND("youtu",LOWER('PC 07'!H91))),"Link bukan youtube","")),IF('PC 07'!I91="","Tgl Dibuat kosong",IF(NOT(ISNUMBER('PC 07'!I91)),"Tgl Dibuat harus tanggal","")),IF(AND('PC 07'!J91&lt;&gt;"",NOT(ISNUMBER('PC 07'!J91))),"Tgl Publish harus tanggal",""),IF(AND(ISNUMBER('PC 07'!I91),ISNUMBER('PC 07'!J91),'PC 07'!J91&lt;'PC 07'!I91),"Tgl Publish &lt; Tgl Dibuat",""),IF(AND('PC 07'!K91&lt;&gt;"",ISERROR(MATCH(TRIM('PC 07'!K91),{"Draft","Menunggu Review","Revisi","Terjadwal","Publish","Batal","Published"},0))),"Status di luar daftar","")))</f>
        <v>#ERROR!</v>
      </c>
      <c r="D91" s="3" t="str">
        <f>IF(C91="","OK","ADA MASALAH")</f>
        <v>#ERROR!</v>
      </c>
    </row>
    <row r="92">
      <c r="A92" s="5">
        <v>92.0</v>
      </c>
      <c r="B92" s="3" t="str">
        <f>'PC 07'!A92</f>
        <v/>
      </c>
      <c r="C92" s="3" t="str">
        <f>IF(COUNTA('PC 07'!A92:L92)=0,"",TEXTJOIN(" | ",TRUE,IF('PC 07'!A92="","Worker ID kosong",""),IF('PC 07'!B92="","Update Date kosong",IF(NOT(ISNUMBER('PC 07'!B92)),"Update Date harus tanggal","")),IF('PC 07'!D92="","Judul kosong",""),IF('PC 07'!F92="","Genre kosong",IF(ISERROR(MATCH(TRIM('PC 07'!F92),{"Pop","Rock","Dangdut","K-Pop","Electronic","Nasional","Daerah"},0)),"Genre di luar daftar","")),IF('PC 07'!G92="","Nama Channel kosong",""),IF('PC 07'!H92="","Link kosong",IF(ISERROR(FIND("youtu",LOWER('PC 07'!H92))),"Link bukan youtube","")),IF('PC 07'!I92="","Tgl Dibuat kosong",IF(NOT(ISNUMBER('PC 07'!I92)),"Tgl Dibuat harus tanggal","")),IF(AND('PC 07'!J92&lt;&gt;"",NOT(ISNUMBER('PC 07'!J92))),"Tgl Publish harus tanggal",""),IF(AND(ISNUMBER('PC 07'!I92),ISNUMBER('PC 07'!J92),'PC 07'!J92&lt;'PC 07'!I92),"Tgl Publish &lt; Tgl Dibuat",""),IF(AND('PC 07'!K92&lt;&gt;"",ISERROR(MATCH(TRIM('PC 07'!K92),{"Draft","Menunggu Review","Revisi","Terjadwal","Publish","Batal","Published"},0))),"Status di luar daftar","")))</f>
        <v>#ERROR!</v>
      </c>
      <c r="D92" s="3" t="str">
        <f>IF(C92="","OK","ADA MASALAH")</f>
        <v>#ERROR!</v>
      </c>
    </row>
    <row r="93">
      <c r="A93" s="5">
        <v>93.0</v>
      </c>
      <c r="B93" s="3" t="str">
        <f>'PC 07'!A93</f>
        <v/>
      </c>
      <c r="C93" s="3" t="str">
        <f>IF(COUNTA('PC 07'!A93:L93)=0,"",TEXTJOIN(" | ",TRUE,IF('PC 07'!A93="","Worker ID kosong",""),IF('PC 07'!B93="","Update Date kosong",IF(NOT(ISNUMBER('PC 07'!B93)),"Update Date harus tanggal","")),IF('PC 07'!D93="","Judul kosong",""),IF('PC 07'!F93="","Genre kosong",IF(ISERROR(MATCH(TRIM('PC 07'!F93),{"Pop","Rock","Dangdut","K-Pop","Electronic","Nasional","Daerah"},0)),"Genre di luar daftar","")),IF('PC 07'!G93="","Nama Channel kosong",""),IF('PC 07'!H93="","Link kosong",IF(ISERROR(FIND("youtu",LOWER('PC 07'!H93))),"Link bukan youtube","")),IF('PC 07'!I93="","Tgl Dibuat kosong",IF(NOT(ISNUMBER('PC 07'!I93)),"Tgl Dibuat harus tanggal","")),IF(AND('PC 07'!J93&lt;&gt;"",NOT(ISNUMBER('PC 07'!J93))),"Tgl Publish harus tanggal",""),IF(AND(ISNUMBER('PC 07'!I93),ISNUMBER('PC 07'!J93),'PC 07'!J93&lt;'PC 07'!I93),"Tgl Publish &lt; Tgl Dibuat",""),IF(AND('PC 07'!K93&lt;&gt;"",ISERROR(MATCH(TRIM('PC 07'!K93),{"Draft","Menunggu Review","Revisi","Terjadwal","Publish","Batal","Published"},0))),"Status di luar daftar","")))</f>
        <v>#ERROR!</v>
      </c>
      <c r="D93" s="3" t="str">
        <f>IF(C93="","OK","ADA MASALAH")</f>
        <v>#ERROR!</v>
      </c>
    </row>
    <row r="94">
      <c r="A94" s="5">
        <v>94.0</v>
      </c>
      <c r="B94" s="3" t="str">
        <f>'PC 07'!A94</f>
        <v/>
      </c>
      <c r="C94" s="3" t="str">
        <f>IF(COUNTA('PC 07'!A94:L94)=0,"",TEXTJOIN(" | ",TRUE,IF('PC 07'!A94="","Worker ID kosong",""),IF('PC 07'!B94="","Update Date kosong",IF(NOT(ISNUMBER('PC 07'!B94)),"Update Date harus tanggal","")),IF('PC 07'!D94="","Judul kosong",""),IF('PC 07'!F94="","Genre kosong",IF(ISERROR(MATCH(TRIM('PC 07'!F94),{"Pop","Rock","Dangdut","K-Pop","Electronic","Nasional","Daerah"},0)),"Genre di luar daftar","")),IF('PC 07'!G94="","Nama Channel kosong",""),IF('PC 07'!H94="","Link kosong",IF(ISERROR(FIND("youtu",LOWER('PC 07'!H94))),"Link bukan youtube","")),IF('PC 07'!I94="","Tgl Dibuat kosong",IF(NOT(ISNUMBER('PC 07'!I94)),"Tgl Dibuat harus tanggal","")),IF(AND('PC 07'!J94&lt;&gt;"",NOT(ISNUMBER('PC 07'!J94))),"Tgl Publish harus tanggal",""),IF(AND(ISNUMBER('PC 07'!I94),ISNUMBER('PC 07'!J94),'PC 07'!J94&lt;'PC 07'!I94),"Tgl Publish &lt; Tgl Dibuat",""),IF(AND('PC 07'!K94&lt;&gt;"",ISERROR(MATCH(TRIM('PC 07'!K94),{"Draft","Menunggu Review","Revisi","Terjadwal","Publish","Batal","Published"},0))),"Status di luar daftar","")))</f>
        <v>#ERROR!</v>
      </c>
      <c r="D94" s="3" t="str">
        <f>IF(C94="","OK","ADA MASALAH")</f>
        <v>#ERROR!</v>
      </c>
    </row>
    <row r="95">
      <c r="A95" s="5">
        <v>95.0</v>
      </c>
      <c r="B95" s="3" t="str">
        <f>'PC 07'!A95</f>
        <v/>
      </c>
      <c r="C95" s="3" t="str">
        <f>IF(COUNTA('PC 07'!A95:L95)=0,"",TEXTJOIN(" | ",TRUE,IF('PC 07'!A95="","Worker ID kosong",""),IF('PC 07'!B95="","Update Date kosong",IF(NOT(ISNUMBER('PC 07'!B95)),"Update Date harus tanggal","")),IF('PC 07'!D95="","Judul kosong",""),IF('PC 07'!F95="","Genre kosong",IF(ISERROR(MATCH(TRIM('PC 07'!F95),{"Pop","Rock","Dangdut","K-Pop","Electronic","Nasional","Daerah"},0)),"Genre di luar daftar","")),IF('PC 07'!G95="","Nama Channel kosong",""),IF('PC 07'!H95="","Link kosong",IF(ISERROR(FIND("youtu",LOWER('PC 07'!H95))),"Link bukan youtube","")),IF('PC 07'!I95="","Tgl Dibuat kosong",IF(NOT(ISNUMBER('PC 07'!I95)),"Tgl Dibuat harus tanggal","")),IF(AND('PC 07'!J95&lt;&gt;"",NOT(ISNUMBER('PC 07'!J95))),"Tgl Publish harus tanggal",""),IF(AND(ISNUMBER('PC 07'!I95),ISNUMBER('PC 07'!J95),'PC 07'!J95&lt;'PC 07'!I95),"Tgl Publish &lt; Tgl Dibuat",""),IF(AND('PC 07'!K95&lt;&gt;"",ISERROR(MATCH(TRIM('PC 07'!K95),{"Draft","Menunggu Review","Revisi","Terjadwal","Publish","Batal","Published"},0))),"Status di luar daftar","")))</f>
        <v>#ERROR!</v>
      </c>
      <c r="D95" s="3" t="str">
        <f>IF(C95="","OK","ADA MASALAH")</f>
        <v>#ERROR!</v>
      </c>
    </row>
    <row r="96">
      <c r="A96" s="5">
        <v>96.0</v>
      </c>
      <c r="B96" s="3" t="str">
        <f>'PC 07'!A96</f>
        <v/>
      </c>
      <c r="C96" s="3" t="str">
        <f>IF(COUNTA('PC 07'!A96:L96)=0,"",TEXTJOIN(" | ",TRUE,IF('PC 07'!A96="","Worker ID kosong",""),IF('PC 07'!B96="","Update Date kosong",IF(NOT(ISNUMBER('PC 07'!B96)),"Update Date harus tanggal","")),IF('PC 07'!D96="","Judul kosong",""),IF('PC 07'!F96="","Genre kosong",IF(ISERROR(MATCH(TRIM('PC 07'!F96),{"Pop","Rock","Dangdut","K-Pop","Electronic","Nasional","Daerah"},0)),"Genre di luar daftar","")),IF('PC 07'!G96="","Nama Channel kosong",""),IF('PC 07'!H96="","Link kosong",IF(ISERROR(FIND("youtu",LOWER('PC 07'!H96))),"Link bukan youtube","")),IF('PC 07'!I96="","Tgl Dibuat kosong",IF(NOT(ISNUMBER('PC 07'!I96)),"Tgl Dibuat harus tanggal","")),IF(AND('PC 07'!J96&lt;&gt;"",NOT(ISNUMBER('PC 07'!J96))),"Tgl Publish harus tanggal",""),IF(AND(ISNUMBER('PC 07'!I96),ISNUMBER('PC 07'!J96),'PC 07'!J96&lt;'PC 07'!I96),"Tgl Publish &lt; Tgl Dibuat",""),IF(AND('PC 07'!K96&lt;&gt;"",ISERROR(MATCH(TRIM('PC 07'!K96),{"Draft","Menunggu Review","Revisi","Terjadwal","Publish","Batal","Published"},0))),"Status di luar daftar","")))</f>
        <v>#ERROR!</v>
      </c>
      <c r="D96" s="3" t="str">
        <f>IF(C96="","OK","ADA MASALAH")</f>
        <v>#ERROR!</v>
      </c>
    </row>
    <row r="97">
      <c r="A97" s="5">
        <v>97.0</v>
      </c>
      <c r="B97" s="3" t="str">
        <f>'PC 07'!A97</f>
        <v/>
      </c>
      <c r="C97" s="3" t="str">
        <f>IF(COUNTA('PC 07'!A97:L97)=0,"",TEXTJOIN(" | ",TRUE,IF('PC 07'!A97="","Worker ID kosong",""),IF('PC 07'!B97="","Update Date kosong",IF(NOT(ISNUMBER('PC 07'!B97)),"Update Date harus tanggal","")),IF('PC 07'!D97="","Judul kosong",""),IF('PC 07'!F97="","Genre kosong",IF(ISERROR(MATCH(TRIM('PC 07'!F97),{"Pop","Rock","Dangdut","K-Pop","Electronic","Nasional","Daerah"},0)),"Genre di luar daftar","")),IF('PC 07'!G97="","Nama Channel kosong",""),IF('PC 07'!H97="","Link kosong",IF(ISERROR(FIND("youtu",LOWER('PC 07'!H97))),"Link bukan youtube","")),IF('PC 07'!I97="","Tgl Dibuat kosong",IF(NOT(ISNUMBER('PC 07'!I97)),"Tgl Dibuat harus tanggal","")),IF(AND('PC 07'!J97&lt;&gt;"",NOT(ISNUMBER('PC 07'!J97))),"Tgl Publish harus tanggal",""),IF(AND(ISNUMBER('PC 07'!I97),ISNUMBER('PC 07'!J97),'PC 07'!J97&lt;'PC 07'!I97),"Tgl Publish &lt; Tgl Dibuat",""),IF(AND('PC 07'!K97&lt;&gt;"",ISERROR(MATCH(TRIM('PC 07'!K97),{"Draft","Menunggu Review","Revisi","Terjadwal","Publish","Batal","Published"},0))),"Status di luar daftar","")))</f>
        <v>#ERROR!</v>
      </c>
      <c r="D97" s="3" t="str">
        <f>IF(C97="","OK","ADA MASALAH")</f>
        <v>#ERROR!</v>
      </c>
    </row>
    <row r="98">
      <c r="A98" s="5">
        <v>98.0</v>
      </c>
      <c r="B98" s="3" t="str">
        <f>'PC 07'!A98</f>
        <v/>
      </c>
      <c r="C98" s="3" t="str">
        <f>IF(COUNTA('PC 07'!A98:L98)=0,"",TEXTJOIN(" | ",TRUE,IF('PC 07'!A98="","Worker ID kosong",""),IF('PC 07'!B98="","Update Date kosong",IF(NOT(ISNUMBER('PC 07'!B98)),"Update Date harus tanggal","")),IF('PC 07'!D98="","Judul kosong",""),IF('PC 07'!F98="","Genre kosong",IF(ISERROR(MATCH(TRIM('PC 07'!F98),{"Pop","Rock","Dangdut","K-Pop","Electronic","Nasional","Daerah"},0)),"Genre di luar daftar","")),IF('PC 07'!G98="","Nama Channel kosong",""),IF('PC 07'!H98="","Link kosong",IF(ISERROR(FIND("youtu",LOWER('PC 07'!H98))),"Link bukan youtube","")),IF('PC 07'!I98="","Tgl Dibuat kosong",IF(NOT(ISNUMBER('PC 07'!I98)),"Tgl Dibuat harus tanggal","")),IF(AND('PC 07'!J98&lt;&gt;"",NOT(ISNUMBER('PC 07'!J98))),"Tgl Publish harus tanggal",""),IF(AND(ISNUMBER('PC 07'!I98),ISNUMBER('PC 07'!J98),'PC 07'!J98&lt;'PC 07'!I98),"Tgl Publish &lt; Tgl Dibuat",""),IF(AND('PC 07'!K98&lt;&gt;"",ISERROR(MATCH(TRIM('PC 07'!K98),{"Draft","Menunggu Review","Revisi","Terjadwal","Publish","Batal","Published"},0))),"Status di luar daftar","")))</f>
        <v>#ERROR!</v>
      </c>
      <c r="D98" s="3" t="str">
        <f>IF(C98="","OK","ADA MASALAH")</f>
        <v>#ERROR!</v>
      </c>
    </row>
    <row r="99">
      <c r="A99" s="5">
        <v>99.0</v>
      </c>
      <c r="B99" s="3" t="str">
        <f>'PC 07'!A99</f>
        <v/>
      </c>
      <c r="C99" s="3" t="str">
        <f>IF(COUNTA('PC 07'!A99:L99)=0,"",TEXTJOIN(" | ",TRUE,IF('PC 07'!A99="","Worker ID kosong",""),IF('PC 07'!B99="","Update Date kosong",IF(NOT(ISNUMBER('PC 07'!B99)),"Update Date harus tanggal","")),IF('PC 07'!D99="","Judul kosong",""),IF('PC 07'!F99="","Genre kosong",IF(ISERROR(MATCH(TRIM('PC 07'!F99),{"Pop","Rock","Dangdut","K-Pop","Electronic","Nasional","Daerah"},0)),"Genre di luar daftar","")),IF('PC 07'!G99="","Nama Channel kosong",""),IF('PC 07'!H99="","Link kosong",IF(ISERROR(FIND("youtu",LOWER('PC 07'!H99))),"Link bukan youtube","")),IF('PC 07'!I99="","Tgl Dibuat kosong",IF(NOT(ISNUMBER('PC 07'!I99)),"Tgl Dibuat harus tanggal","")),IF(AND('PC 07'!J99&lt;&gt;"",NOT(ISNUMBER('PC 07'!J99))),"Tgl Publish harus tanggal",""),IF(AND(ISNUMBER('PC 07'!I99),ISNUMBER('PC 07'!J99),'PC 07'!J99&lt;'PC 07'!I99),"Tgl Publish &lt; Tgl Dibuat",""),IF(AND('PC 07'!K99&lt;&gt;"",ISERROR(MATCH(TRIM('PC 07'!K99),{"Draft","Menunggu Review","Revisi","Terjadwal","Publish","Batal","Published"},0))),"Status di luar daftar","")))</f>
        <v>#ERROR!</v>
      </c>
      <c r="D99" s="3" t="str">
        <f>IF(C99="","OK","ADA MASALAH")</f>
        <v>#ERROR!</v>
      </c>
    </row>
    <row r="100">
      <c r="A100" s="5">
        <v>100.0</v>
      </c>
      <c r="B100" s="3" t="str">
        <f>'PC 07'!A100</f>
        <v/>
      </c>
      <c r="C100" s="3" t="str">
        <f>IF(COUNTA('PC 07'!A100:L100)=0,"",TEXTJOIN(" | ",TRUE,IF('PC 07'!A100="","Worker ID kosong",""),IF('PC 07'!B100="","Update Date kosong",IF(NOT(ISNUMBER('PC 07'!B100)),"Update Date harus tanggal","")),IF('PC 07'!D100="","Judul kosong",""),IF('PC 07'!F100="","Genre kosong",IF(ISERROR(MATCH(TRIM('PC 07'!F100),{"Pop","Rock","Dangdut","K-Pop","Electronic","Nasional","Daerah"},0)),"Genre di luar daftar","")),IF('PC 07'!G100="","Nama Channel kosong",""),IF('PC 07'!H100="","Link kosong",IF(ISERROR(FIND("youtu",LOWER('PC 07'!H100))),"Link bukan youtube","")),IF('PC 07'!I100="","Tgl Dibuat kosong",IF(NOT(ISNUMBER('PC 07'!I100)),"Tgl Dibuat harus tanggal","")),IF(AND('PC 07'!J100&lt;&gt;"",NOT(ISNUMBER('PC 07'!J100))),"Tgl Publish harus tanggal",""),IF(AND(ISNUMBER('PC 07'!I100),ISNUMBER('PC 07'!J100),'PC 07'!J100&lt;'PC 07'!I100),"Tgl Publish &lt; Tgl Dibuat",""),IF(AND('PC 07'!K100&lt;&gt;"",ISERROR(MATCH(TRIM('PC 07'!K100),{"Draft","Menunggu Review","Revisi","Terjadwal","Publish","Batal","Published"},0))),"Status di luar daftar","")))</f>
        <v>#ERROR!</v>
      </c>
      <c r="D100" s="3" t="str">
        <f>IF(C100="","OK","ADA MASALAH")</f>
        <v>#ERROR!</v>
      </c>
    </row>
    <row r="101">
      <c r="A101" s="5">
        <v>101.0</v>
      </c>
      <c r="B101" s="3" t="str">
        <f>'PC 07'!A101</f>
        <v/>
      </c>
      <c r="C101" s="3" t="str">
        <f>IF(COUNTA('PC 07'!A101:L101)=0,"",TEXTJOIN(" | ",TRUE,IF('PC 07'!A101="","Worker ID kosong",""),IF('PC 07'!B101="","Update Date kosong",IF(NOT(ISNUMBER('PC 07'!B101)),"Update Date harus tanggal","")),IF('PC 07'!D101="","Judul kosong",""),IF('PC 07'!F101="","Genre kosong",IF(ISERROR(MATCH(TRIM('PC 07'!F101),{"Pop","Rock","Dangdut","K-Pop","Electronic","Nasional","Daerah"},0)),"Genre di luar daftar","")),IF('PC 07'!G101="","Nama Channel kosong",""),IF('PC 07'!H101="","Link kosong",IF(ISERROR(FIND("youtu",LOWER('PC 07'!H101))),"Link bukan youtube","")),IF('PC 07'!I101="","Tgl Dibuat kosong",IF(NOT(ISNUMBER('PC 07'!I101)),"Tgl Dibuat harus tanggal","")),IF(AND('PC 07'!J101&lt;&gt;"",NOT(ISNUMBER('PC 07'!J101))),"Tgl Publish harus tanggal",""),IF(AND(ISNUMBER('PC 07'!I101),ISNUMBER('PC 07'!J101),'PC 07'!J101&lt;'PC 07'!I101),"Tgl Publish &lt; Tgl Dibuat",""),IF(AND('PC 07'!K101&lt;&gt;"",ISERROR(MATCH(TRIM('PC 07'!K101),{"Draft","Menunggu Review","Revisi","Terjadwal","Publish","Batal","Published"},0))),"Status di luar daftar","")))</f>
        <v>#ERROR!</v>
      </c>
      <c r="D101" s="3" t="str">
        <f>IF(C101="","OK","ADA MASALAH")</f>
        <v>#ERROR!</v>
      </c>
    </row>
    <row r="102">
      <c r="A102" s="5">
        <v>102.0</v>
      </c>
      <c r="B102" s="3" t="str">
        <f>'PC 07'!A102</f>
        <v/>
      </c>
      <c r="C102" s="3" t="str">
        <f>IF(COUNTA('PC 07'!A102:L102)=0,"",TEXTJOIN(" | ",TRUE,IF('PC 07'!A102="","Worker ID kosong",""),IF('PC 07'!B102="","Update Date kosong",IF(NOT(ISNUMBER('PC 07'!B102)),"Update Date harus tanggal","")),IF('PC 07'!D102="","Judul kosong",""),IF('PC 07'!F102="","Genre kosong",IF(ISERROR(MATCH(TRIM('PC 07'!F102),{"Pop","Rock","Dangdut","K-Pop","Electronic","Nasional","Daerah"},0)),"Genre di luar daftar","")),IF('PC 07'!G102="","Nama Channel kosong",""),IF('PC 07'!H102="","Link kosong",IF(ISERROR(FIND("youtu",LOWER('PC 07'!H102))),"Link bukan youtube","")),IF('PC 07'!I102="","Tgl Dibuat kosong",IF(NOT(ISNUMBER('PC 07'!I102)),"Tgl Dibuat harus tanggal","")),IF(AND('PC 07'!J102&lt;&gt;"",NOT(ISNUMBER('PC 07'!J102))),"Tgl Publish harus tanggal",""),IF(AND(ISNUMBER('PC 07'!I102),ISNUMBER('PC 07'!J102),'PC 07'!J102&lt;'PC 07'!I102),"Tgl Publish &lt; Tgl Dibuat",""),IF(AND('PC 07'!K102&lt;&gt;"",ISERROR(MATCH(TRIM('PC 07'!K102),{"Draft","Menunggu Review","Revisi","Terjadwal","Publish","Batal","Published"},0))),"Status di luar daftar","")))</f>
        <v>#ERROR!</v>
      </c>
      <c r="D102" s="3" t="str">
        <f>IF(C102="","OK","ADA MASALAH")</f>
        <v>#ERROR!</v>
      </c>
    </row>
    <row r="103">
      <c r="A103" s="5">
        <v>103.0</v>
      </c>
      <c r="B103" s="3" t="str">
        <f>'PC 07'!A103</f>
        <v/>
      </c>
      <c r="C103" s="3" t="str">
        <f>IF(COUNTA('PC 07'!A103:L103)=0,"",TEXTJOIN(" | ",TRUE,IF('PC 07'!A103="","Worker ID kosong",""),IF('PC 07'!B103="","Update Date kosong",IF(NOT(ISNUMBER('PC 07'!B103)),"Update Date harus tanggal","")),IF('PC 07'!D103="","Judul kosong",""),IF('PC 07'!F103="","Genre kosong",IF(ISERROR(MATCH(TRIM('PC 07'!F103),{"Pop","Rock","Dangdut","K-Pop","Electronic","Nasional","Daerah"},0)),"Genre di luar daftar","")),IF('PC 07'!G103="","Nama Channel kosong",""),IF('PC 07'!H103="","Link kosong",IF(ISERROR(FIND("youtu",LOWER('PC 07'!H103))),"Link bukan youtube","")),IF('PC 07'!I103="","Tgl Dibuat kosong",IF(NOT(ISNUMBER('PC 07'!I103)),"Tgl Dibuat harus tanggal","")),IF(AND('PC 07'!J103&lt;&gt;"",NOT(ISNUMBER('PC 07'!J103))),"Tgl Publish harus tanggal",""),IF(AND(ISNUMBER('PC 07'!I103),ISNUMBER('PC 07'!J103),'PC 07'!J103&lt;'PC 07'!I103),"Tgl Publish &lt; Tgl Dibuat",""),IF(AND('PC 07'!K103&lt;&gt;"",ISERROR(MATCH(TRIM('PC 07'!K103),{"Draft","Menunggu Review","Revisi","Terjadwal","Publish","Batal","Published"},0))),"Status di luar daftar","")))</f>
        <v>#ERROR!</v>
      </c>
      <c r="D103" s="3" t="str">
        <f>IF(C103="","OK","ADA MASALAH")</f>
        <v>#ERROR!</v>
      </c>
    </row>
    <row r="104">
      <c r="A104" s="5">
        <v>104.0</v>
      </c>
      <c r="B104" s="3" t="str">
        <f>'PC 07'!A104</f>
        <v/>
      </c>
      <c r="C104" s="3" t="str">
        <f>IF(COUNTA('PC 07'!A104:L104)=0,"",TEXTJOIN(" | ",TRUE,IF('PC 07'!A104="","Worker ID kosong",""),IF('PC 07'!B104="","Update Date kosong",IF(NOT(ISNUMBER('PC 07'!B104)),"Update Date harus tanggal","")),IF('PC 07'!D104="","Judul kosong",""),IF('PC 07'!F104="","Genre kosong",IF(ISERROR(MATCH(TRIM('PC 07'!F104),{"Pop","Rock","Dangdut","K-Pop","Electronic","Nasional","Daerah"},0)),"Genre di luar daftar","")),IF('PC 07'!G104="","Nama Channel kosong",""),IF('PC 07'!H104="","Link kosong",IF(ISERROR(FIND("youtu",LOWER('PC 07'!H104))),"Link bukan youtube","")),IF('PC 07'!I104="","Tgl Dibuat kosong",IF(NOT(ISNUMBER('PC 07'!I104)),"Tgl Dibuat harus tanggal","")),IF(AND('PC 07'!J104&lt;&gt;"",NOT(ISNUMBER('PC 07'!J104))),"Tgl Publish harus tanggal",""),IF(AND(ISNUMBER('PC 07'!I104),ISNUMBER('PC 07'!J104),'PC 07'!J104&lt;'PC 07'!I104),"Tgl Publish &lt; Tgl Dibuat",""),IF(AND('PC 07'!K104&lt;&gt;"",ISERROR(MATCH(TRIM('PC 07'!K104),{"Draft","Menunggu Review","Revisi","Terjadwal","Publish","Batal","Published"},0))),"Status di luar daftar","")))</f>
        <v>#ERROR!</v>
      </c>
      <c r="D104" s="3" t="str">
        <f>IF(C104="","OK","ADA MASALAH")</f>
        <v>#ERROR!</v>
      </c>
    </row>
    <row r="105">
      <c r="A105" s="5">
        <v>105.0</v>
      </c>
      <c r="B105" s="3" t="str">
        <f>'PC 07'!A105</f>
        <v/>
      </c>
      <c r="C105" s="3" t="str">
        <f>IF(COUNTA('PC 07'!A105:L105)=0,"",TEXTJOIN(" | ",TRUE,IF('PC 07'!A105="","Worker ID kosong",""),IF('PC 07'!B105="","Update Date kosong",IF(NOT(ISNUMBER('PC 07'!B105)),"Update Date harus tanggal","")),IF('PC 07'!D105="","Judul kosong",""),IF('PC 07'!F105="","Genre kosong",IF(ISERROR(MATCH(TRIM('PC 07'!F105),{"Pop","Rock","Dangdut","K-Pop","Electronic","Nasional","Daerah"},0)),"Genre di luar daftar","")),IF('PC 07'!G105="","Nama Channel kosong",""),IF('PC 07'!H105="","Link kosong",IF(ISERROR(FIND("youtu",LOWER('PC 07'!H105))),"Link bukan youtube","")),IF('PC 07'!I105="","Tgl Dibuat kosong",IF(NOT(ISNUMBER('PC 07'!I105)),"Tgl Dibuat harus tanggal","")),IF(AND('PC 07'!J105&lt;&gt;"",NOT(ISNUMBER('PC 07'!J105))),"Tgl Publish harus tanggal",""),IF(AND(ISNUMBER('PC 07'!I105),ISNUMBER('PC 07'!J105),'PC 07'!J105&lt;'PC 07'!I105),"Tgl Publish &lt; Tgl Dibuat",""),IF(AND('PC 07'!K105&lt;&gt;"",ISERROR(MATCH(TRIM('PC 07'!K105),{"Draft","Menunggu Review","Revisi","Terjadwal","Publish","Batal","Published"},0))),"Status di luar daftar","")))</f>
        <v>#ERROR!</v>
      </c>
      <c r="D105" s="3" t="str">
        <f>IF(C105="","OK","ADA MASALAH")</f>
        <v>#ERROR!</v>
      </c>
    </row>
    <row r="106">
      <c r="A106" s="5">
        <v>106.0</v>
      </c>
      <c r="B106" s="3" t="str">
        <f>'PC 07'!A106</f>
        <v/>
      </c>
      <c r="C106" s="3" t="str">
        <f>IF(COUNTA('PC 07'!A106:L106)=0,"",TEXTJOIN(" | ",TRUE,IF('PC 07'!A106="","Worker ID kosong",""),IF('PC 07'!B106="","Update Date kosong",IF(NOT(ISNUMBER('PC 07'!B106)),"Update Date harus tanggal","")),IF('PC 07'!D106="","Judul kosong",""),IF('PC 07'!F106="","Genre kosong",IF(ISERROR(MATCH(TRIM('PC 07'!F106),{"Pop","Rock","Dangdut","K-Pop","Electronic","Nasional","Daerah"},0)),"Genre di luar daftar","")),IF('PC 07'!G106="","Nama Channel kosong",""),IF('PC 07'!H106="","Link kosong",IF(ISERROR(FIND("youtu",LOWER('PC 07'!H106))),"Link bukan youtube","")),IF('PC 07'!I106="","Tgl Dibuat kosong",IF(NOT(ISNUMBER('PC 07'!I106)),"Tgl Dibuat harus tanggal","")),IF(AND('PC 07'!J106&lt;&gt;"",NOT(ISNUMBER('PC 07'!J106))),"Tgl Publish harus tanggal",""),IF(AND(ISNUMBER('PC 07'!I106),ISNUMBER('PC 07'!J106),'PC 07'!J106&lt;'PC 07'!I106),"Tgl Publish &lt; Tgl Dibuat",""),IF(AND('PC 07'!K106&lt;&gt;"",ISERROR(MATCH(TRIM('PC 07'!K106),{"Draft","Menunggu Review","Revisi","Terjadwal","Publish","Batal","Published"},0))),"Status di luar daftar","")))</f>
        <v>#ERROR!</v>
      </c>
      <c r="D106" s="3" t="str">
        <f>IF(C106="","OK","ADA MASALAH")</f>
        <v>#ERROR!</v>
      </c>
    </row>
    <row r="107">
      <c r="A107" s="5">
        <v>107.0</v>
      </c>
      <c r="B107" s="3" t="str">
        <f>'PC 07'!A107</f>
        <v/>
      </c>
      <c r="C107" s="3" t="str">
        <f>IF(COUNTA('PC 07'!A107:L107)=0,"",TEXTJOIN(" | ",TRUE,IF('PC 07'!A107="","Worker ID kosong",""),IF('PC 07'!B107="","Update Date kosong",IF(NOT(ISNUMBER('PC 07'!B107)),"Update Date harus tanggal","")),IF('PC 07'!D107="","Judul kosong",""),IF('PC 07'!F107="","Genre kosong",IF(ISERROR(MATCH(TRIM('PC 07'!F107),{"Pop","Rock","Dangdut","K-Pop","Electronic","Nasional","Daerah"},0)),"Genre di luar daftar","")),IF('PC 07'!G107="","Nama Channel kosong",""),IF('PC 07'!H107="","Link kosong",IF(ISERROR(FIND("youtu",LOWER('PC 07'!H107))),"Link bukan youtube","")),IF('PC 07'!I107="","Tgl Dibuat kosong",IF(NOT(ISNUMBER('PC 07'!I107)),"Tgl Dibuat harus tanggal","")),IF(AND('PC 07'!J107&lt;&gt;"",NOT(ISNUMBER('PC 07'!J107))),"Tgl Publish harus tanggal",""),IF(AND(ISNUMBER('PC 07'!I107),ISNUMBER('PC 07'!J107),'PC 07'!J107&lt;'PC 07'!I107),"Tgl Publish &lt; Tgl Dibuat",""),IF(AND('PC 07'!K107&lt;&gt;"",ISERROR(MATCH(TRIM('PC 07'!K107),{"Draft","Menunggu Review","Revisi","Terjadwal","Publish","Batal","Published"},0))),"Status di luar daftar","")))</f>
        <v>#ERROR!</v>
      </c>
      <c r="D107" s="3" t="str">
        <f>IF(C107="","OK","ADA MASALAH")</f>
        <v>#ERROR!</v>
      </c>
    </row>
    <row r="108">
      <c r="A108" s="5">
        <v>108.0</v>
      </c>
      <c r="B108" s="3" t="str">
        <f>'PC 07'!A108</f>
        <v/>
      </c>
      <c r="C108" s="3" t="str">
        <f>IF(COUNTA('PC 07'!A108:L108)=0,"",TEXTJOIN(" | ",TRUE,IF('PC 07'!A108="","Worker ID kosong",""),IF('PC 07'!B108="","Update Date kosong",IF(NOT(ISNUMBER('PC 07'!B108)),"Update Date harus tanggal","")),IF('PC 07'!D108="","Judul kosong",""),IF('PC 07'!F108="","Genre kosong",IF(ISERROR(MATCH(TRIM('PC 07'!F108),{"Pop","Rock","Dangdut","K-Pop","Electronic","Nasional","Daerah"},0)),"Genre di luar daftar","")),IF('PC 07'!G108="","Nama Channel kosong",""),IF('PC 07'!H108="","Link kosong",IF(ISERROR(FIND("youtu",LOWER('PC 07'!H108))),"Link bukan youtube","")),IF('PC 07'!I108="","Tgl Dibuat kosong",IF(NOT(ISNUMBER('PC 07'!I108)),"Tgl Dibuat harus tanggal","")),IF(AND('PC 07'!J108&lt;&gt;"",NOT(ISNUMBER('PC 07'!J108))),"Tgl Publish harus tanggal",""),IF(AND(ISNUMBER('PC 07'!I108),ISNUMBER('PC 07'!J108),'PC 07'!J108&lt;'PC 07'!I108),"Tgl Publish &lt; Tgl Dibuat",""),IF(AND('PC 07'!K108&lt;&gt;"",ISERROR(MATCH(TRIM('PC 07'!K108),{"Draft","Menunggu Review","Revisi","Terjadwal","Publish","Batal","Published"},0))),"Status di luar daftar","")))</f>
        <v>#ERROR!</v>
      </c>
      <c r="D108" s="3" t="str">
        <f>IF(C108="","OK","ADA MASALAH")</f>
        <v>#ERROR!</v>
      </c>
    </row>
    <row r="109">
      <c r="A109" s="5">
        <v>109.0</v>
      </c>
      <c r="B109" s="3" t="str">
        <f>'PC 07'!A109</f>
        <v/>
      </c>
      <c r="C109" s="3" t="str">
        <f>IF(COUNTA('PC 07'!A109:L109)=0,"",TEXTJOIN(" | ",TRUE,IF('PC 07'!A109="","Worker ID kosong",""),IF('PC 07'!B109="","Update Date kosong",IF(NOT(ISNUMBER('PC 07'!B109)),"Update Date harus tanggal","")),IF('PC 07'!D109="","Judul kosong",""),IF('PC 07'!F109="","Genre kosong",IF(ISERROR(MATCH(TRIM('PC 07'!F109),{"Pop","Rock","Dangdut","K-Pop","Electronic","Nasional","Daerah"},0)),"Genre di luar daftar","")),IF('PC 07'!G109="","Nama Channel kosong",""),IF('PC 07'!H109="","Link kosong",IF(ISERROR(FIND("youtu",LOWER('PC 07'!H109))),"Link bukan youtube","")),IF('PC 07'!I109="","Tgl Dibuat kosong",IF(NOT(ISNUMBER('PC 07'!I109)),"Tgl Dibuat harus tanggal","")),IF(AND('PC 07'!J109&lt;&gt;"",NOT(ISNUMBER('PC 07'!J109))),"Tgl Publish harus tanggal",""),IF(AND(ISNUMBER('PC 07'!I109),ISNUMBER('PC 07'!J109),'PC 07'!J109&lt;'PC 07'!I109),"Tgl Publish &lt; Tgl Dibuat",""),IF(AND('PC 07'!K109&lt;&gt;"",ISERROR(MATCH(TRIM('PC 07'!K109),{"Draft","Menunggu Review","Revisi","Terjadwal","Publish","Batal","Published"},0))),"Status di luar daftar","")))</f>
        <v>#ERROR!</v>
      </c>
      <c r="D109" s="3" t="str">
        <f>IF(C109="","OK","ADA MASALAH")</f>
        <v>#ERROR!</v>
      </c>
    </row>
    <row r="110">
      <c r="A110" s="5">
        <v>110.0</v>
      </c>
      <c r="B110" s="3" t="str">
        <f>'PC 07'!A110</f>
        <v/>
      </c>
      <c r="C110" s="3" t="str">
        <f>IF(COUNTA('PC 07'!A110:L110)=0,"",TEXTJOIN(" | ",TRUE,IF('PC 07'!A110="","Worker ID kosong",""),IF('PC 07'!B110="","Update Date kosong",IF(NOT(ISNUMBER('PC 07'!B110)),"Update Date harus tanggal","")),IF('PC 07'!D110="","Judul kosong",""),IF('PC 07'!F110="","Genre kosong",IF(ISERROR(MATCH(TRIM('PC 07'!F110),{"Pop","Rock","Dangdut","K-Pop","Electronic","Nasional","Daerah"},0)),"Genre di luar daftar","")),IF('PC 07'!G110="","Nama Channel kosong",""),IF('PC 07'!H110="","Link kosong",IF(ISERROR(FIND("youtu",LOWER('PC 07'!H110))),"Link bukan youtube","")),IF('PC 07'!I110="","Tgl Dibuat kosong",IF(NOT(ISNUMBER('PC 07'!I110)),"Tgl Dibuat harus tanggal","")),IF(AND('PC 07'!J110&lt;&gt;"",NOT(ISNUMBER('PC 07'!J110))),"Tgl Publish harus tanggal",""),IF(AND(ISNUMBER('PC 07'!I110),ISNUMBER('PC 07'!J110),'PC 07'!J110&lt;'PC 07'!I110),"Tgl Publish &lt; Tgl Dibuat",""),IF(AND('PC 07'!K110&lt;&gt;"",ISERROR(MATCH(TRIM('PC 07'!K110),{"Draft","Menunggu Review","Revisi","Terjadwal","Publish","Batal","Published"},0))),"Status di luar daftar","")))</f>
        <v>#ERROR!</v>
      </c>
      <c r="D110" s="3" t="str">
        <f>IF(C110="","OK","ADA MASALAH")</f>
        <v>#ERROR!</v>
      </c>
    </row>
    <row r="111">
      <c r="A111" s="5">
        <v>111.0</v>
      </c>
      <c r="B111" s="3" t="str">
        <f>'PC 07'!A111</f>
        <v/>
      </c>
      <c r="C111" s="3" t="str">
        <f>IF(COUNTA('PC 07'!A111:L111)=0,"",TEXTJOIN(" | ",TRUE,IF('PC 07'!A111="","Worker ID kosong",""),IF('PC 07'!B111="","Update Date kosong",IF(NOT(ISNUMBER('PC 07'!B111)),"Update Date harus tanggal","")),IF('PC 07'!D111="","Judul kosong",""),IF('PC 07'!F111="","Genre kosong",IF(ISERROR(MATCH(TRIM('PC 07'!F111),{"Pop","Rock","Dangdut","K-Pop","Electronic","Nasional","Daerah"},0)),"Genre di luar daftar","")),IF('PC 07'!G111="","Nama Channel kosong",""),IF('PC 07'!H111="","Link kosong",IF(ISERROR(FIND("youtu",LOWER('PC 07'!H111))),"Link bukan youtube","")),IF('PC 07'!I111="","Tgl Dibuat kosong",IF(NOT(ISNUMBER('PC 07'!I111)),"Tgl Dibuat harus tanggal","")),IF(AND('PC 07'!J111&lt;&gt;"",NOT(ISNUMBER('PC 07'!J111))),"Tgl Publish harus tanggal",""),IF(AND(ISNUMBER('PC 07'!I111),ISNUMBER('PC 07'!J111),'PC 07'!J111&lt;'PC 07'!I111),"Tgl Publish &lt; Tgl Dibuat",""),IF(AND('PC 07'!K111&lt;&gt;"",ISERROR(MATCH(TRIM('PC 07'!K111),{"Draft","Menunggu Review","Revisi","Terjadwal","Publish","Batal","Published"},0))),"Status di luar daftar","")))</f>
        <v>#ERROR!</v>
      </c>
      <c r="D111" s="3" t="str">
        <f>IF(C111="","OK","ADA MASALAH")</f>
        <v>#ERROR!</v>
      </c>
    </row>
    <row r="112">
      <c r="A112" s="5">
        <v>112.0</v>
      </c>
      <c r="B112" s="3" t="str">
        <f>'PC 07'!A112</f>
        <v/>
      </c>
      <c r="C112" s="3" t="str">
        <f>IF(COUNTA('PC 07'!A112:L112)=0,"",TEXTJOIN(" | ",TRUE,IF('PC 07'!A112="","Worker ID kosong",""),IF('PC 07'!B112="","Update Date kosong",IF(NOT(ISNUMBER('PC 07'!B112)),"Update Date harus tanggal","")),IF('PC 07'!D112="","Judul kosong",""),IF('PC 07'!F112="","Genre kosong",IF(ISERROR(MATCH(TRIM('PC 07'!F112),{"Pop","Rock","Dangdut","K-Pop","Electronic","Nasional","Daerah"},0)),"Genre di luar daftar","")),IF('PC 07'!G112="","Nama Channel kosong",""),IF('PC 07'!H112="","Link kosong",IF(ISERROR(FIND("youtu",LOWER('PC 07'!H112))),"Link bukan youtube","")),IF('PC 07'!I112="","Tgl Dibuat kosong",IF(NOT(ISNUMBER('PC 07'!I112)),"Tgl Dibuat harus tanggal","")),IF(AND('PC 07'!J112&lt;&gt;"",NOT(ISNUMBER('PC 07'!J112))),"Tgl Publish harus tanggal",""),IF(AND(ISNUMBER('PC 07'!I112),ISNUMBER('PC 07'!J112),'PC 07'!J112&lt;'PC 07'!I112),"Tgl Publish &lt; Tgl Dibuat",""),IF(AND('PC 07'!K112&lt;&gt;"",ISERROR(MATCH(TRIM('PC 07'!K112),{"Draft","Menunggu Review","Revisi","Terjadwal","Publish","Batal","Published"},0))),"Status di luar daftar","")))</f>
        <v>#ERROR!</v>
      </c>
      <c r="D112" s="3" t="str">
        <f>IF(C112="","OK","ADA MASALAH")</f>
        <v>#ERROR!</v>
      </c>
    </row>
    <row r="113">
      <c r="A113" s="5">
        <v>113.0</v>
      </c>
      <c r="B113" s="3" t="str">
        <f>'PC 07'!A113</f>
        <v/>
      </c>
      <c r="C113" s="3" t="str">
        <f>IF(COUNTA('PC 07'!A113:L113)=0,"",TEXTJOIN(" | ",TRUE,IF('PC 07'!A113="","Worker ID kosong",""),IF('PC 07'!B113="","Update Date kosong",IF(NOT(ISNUMBER('PC 07'!B113)),"Update Date harus tanggal","")),IF('PC 07'!D113="","Judul kosong",""),IF('PC 07'!F113="","Genre kosong",IF(ISERROR(MATCH(TRIM('PC 07'!F113),{"Pop","Rock","Dangdut","K-Pop","Electronic","Nasional","Daerah"},0)),"Genre di luar daftar","")),IF('PC 07'!G113="","Nama Channel kosong",""),IF('PC 07'!H113="","Link kosong",IF(ISERROR(FIND("youtu",LOWER('PC 07'!H113))),"Link bukan youtube","")),IF('PC 07'!I113="","Tgl Dibuat kosong",IF(NOT(ISNUMBER('PC 07'!I113)),"Tgl Dibuat harus tanggal","")),IF(AND('PC 07'!J113&lt;&gt;"",NOT(ISNUMBER('PC 07'!J113))),"Tgl Publish harus tanggal",""),IF(AND(ISNUMBER('PC 07'!I113),ISNUMBER('PC 07'!J113),'PC 07'!J113&lt;'PC 07'!I113),"Tgl Publish &lt; Tgl Dibuat",""),IF(AND('PC 07'!K113&lt;&gt;"",ISERROR(MATCH(TRIM('PC 07'!K113),{"Draft","Menunggu Review","Revisi","Terjadwal","Publish","Batal","Published"},0))),"Status di luar daftar","")))</f>
        <v>#ERROR!</v>
      </c>
      <c r="D113" s="3" t="str">
        <f>IF(C113="","OK","ADA MASALAH")</f>
        <v>#ERROR!</v>
      </c>
    </row>
    <row r="114">
      <c r="A114" s="5">
        <v>114.0</v>
      </c>
      <c r="B114" s="3" t="str">
        <f>'PC 07'!A114</f>
        <v/>
      </c>
      <c r="C114" s="3" t="str">
        <f>IF(COUNTA('PC 07'!A114:L114)=0,"",TEXTJOIN(" | ",TRUE,IF('PC 07'!A114="","Worker ID kosong",""),IF('PC 07'!B114="","Update Date kosong",IF(NOT(ISNUMBER('PC 07'!B114)),"Update Date harus tanggal","")),IF('PC 07'!D114="","Judul kosong",""),IF('PC 07'!F114="","Genre kosong",IF(ISERROR(MATCH(TRIM('PC 07'!F114),{"Pop","Rock","Dangdut","K-Pop","Electronic","Nasional","Daerah"},0)),"Genre di luar daftar","")),IF('PC 07'!G114="","Nama Channel kosong",""),IF('PC 07'!H114="","Link kosong",IF(ISERROR(FIND("youtu",LOWER('PC 07'!H114))),"Link bukan youtube","")),IF('PC 07'!I114="","Tgl Dibuat kosong",IF(NOT(ISNUMBER('PC 07'!I114)),"Tgl Dibuat harus tanggal","")),IF(AND('PC 07'!J114&lt;&gt;"",NOT(ISNUMBER('PC 07'!J114))),"Tgl Publish harus tanggal",""),IF(AND(ISNUMBER('PC 07'!I114),ISNUMBER('PC 07'!J114),'PC 07'!J114&lt;'PC 07'!I114),"Tgl Publish &lt; Tgl Dibuat",""),IF(AND('PC 07'!K114&lt;&gt;"",ISERROR(MATCH(TRIM('PC 07'!K114),{"Draft","Menunggu Review","Revisi","Terjadwal","Publish","Batal","Published"},0))),"Status di luar daftar","")))</f>
        <v>#ERROR!</v>
      </c>
      <c r="D114" s="3" t="str">
        <f>IF(C114="","OK","ADA MASALAH")</f>
        <v>#ERROR!</v>
      </c>
    </row>
    <row r="115">
      <c r="A115" s="5">
        <v>115.0</v>
      </c>
      <c r="B115" s="3" t="str">
        <f>'PC 07'!A115</f>
        <v/>
      </c>
      <c r="C115" s="3" t="str">
        <f>IF(COUNTA('PC 07'!A115:L115)=0,"",TEXTJOIN(" | ",TRUE,IF('PC 07'!A115="","Worker ID kosong",""),IF('PC 07'!B115="","Update Date kosong",IF(NOT(ISNUMBER('PC 07'!B115)),"Update Date harus tanggal","")),IF('PC 07'!D115="","Judul kosong",""),IF('PC 07'!F115="","Genre kosong",IF(ISERROR(MATCH(TRIM('PC 07'!F115),{"Pop","Rock","Dangdut","K-Pop","Electronic","Nasional","Daerah"},0)),"Genre di luar daftar","")),IF('PC 07'!G115="","Nama Channel kosong",""),IF('PC 07'!H115="","Link kosong",IF(ISERROR(FIND("youtu",LOWER('PC 07'!H115))),"Link bukan youtube","")),IF('PC 07'!I115="","Tgl Dibuat kosong",IF(NOT(ISNUMBER('PC 07'!I115)),"Tgl Dibuat harus tanggal","")),IF(AND('PC 07'!J115&lt;&gt;"",NOT(ISNUMBER('PC 07'!J115))),"Tgl Publish harus tanggal",""),IF(AND(ISNUMBER('PC 07'!I115),ISNUMBER('PC 07'!J115),'PC 07'!J115&lt;'PC 07'!I115),"Tgl Publish &lt; Tgl Dibuat",""),IF(AND('PC 07'!K115&lt;&gt;"",ISERROR(MATCH(TRIM('PC 07'!K115),{"Draft","Menunggu Review","Revisi","Terjadwal","Publish","Batal","Published"},0))),"Status di luar daftar","")))</f>
        <v>#ERROR!</v>
      </c>
      <c r="D115" s="3" t="str">
        <f>IF(C115="","OK","ADA MASALAH")</f>
        <v>#ERROR!</v>
      </c>
    </row>
    <row r="116">
      <c r="A116" s="5">
        <v>116.0</v>
      </c>
      <c r="B116" s="3" t="str">
        <f>'PC 07'!A116</f>
        <v/>
      </c>
      <c r="C116" s="3" t="str">
        <f>IF(COUNTA('PC 07'!A116:L116)=0,"",TEXTJOIN(" | ",TRUE,IF('PC 07'!A116="","Worker ID kosong",""),IF('PC 07'!B116="","Update Date kosong",IF(NOT(ISNUMBER('PC 07'!B116)),"Update Date harus tanggal","")),IF('PC 07'!D116="","Judul kosong",""),IF('PC 07'!F116="","Genre kosong",IF(ISERROR(MATCH(TRIM('PC 07'!F116),{"Pop","Rock","Dangdut","K-Pop","Electronic","Nasional","Daerah"},0)),"Genre di luar daftar","")),IF('PC 07'!G116="","Nama Channel kosong",""),IF('PC 07'!H116="","Link kosong",IF(ISERROR(FIND("youtu",LOWER('PC 07'!H116))),"Link bukan youtube","")),IF('PC 07'!I116="","Tgl Dibuat kosong",IF(NOT(ISNUMBER('PC 07'!I116)),"Tgl Dibuat harus tanggal","")),IF(AND('PC 07'!J116&lt;&gt;"",NOT(ISNUMBER('PC 07'!J116))),"Tgl Publish harus tanggal",""),IF(AND(ISNUMBER('PC 07'!I116),ISNUMBER('PC 07'!J116),'PC 07'!J116&lt;'PC 07'!I116),"Tgl Publish &lt; Tgl Dibuat",""),IF(AND('PC 07'!K116&lt;&gt;"",ISERROR(MATCH(TRIM('PC 07'!K116),{"Draft","Menunggu Review","Revisi","Terjadwal","Publish","Batal","Published"},0))),"Status di luar daftar","")))</f>
        <v>#ERROR!</v>
      </c>
      <c r="D116" s="3" t="str">
        <f>IF(C116="","OK","ADA MASALAH")</f>
        <v>#ERROR!</v>
      </c>
    </row>
    <row r="117">
      <c r="A117" s="5">
        <v>117.0</v>
      </c>
      <c r="B117" s="3" t="str">
        <f>'PC 07'!A117</f>
        <v/>
      </c>
      <c r="C117" s="3" t="str">
        <f>IF(COUNTA('PC 07'!A117:L117)=0,"",TEXTJOIN(" | ",TRUE,IF('PC 07'!A117="","Worker ID kosong",""),IF('PC 07'!B117="","Update Date kosong",IF(NOT(ISNUMBER('PC 07'!B117)),"Update Date harus tanggal","")),IF('PC 07'!D117="","Judul kosong",""),IF('PC 07'!F117="","Genre kosong",IF(ISERROR(MATCH(TRIM('PC 07'!F117),{"Pop","Rock","Dangdut","K-Pop","Electronic","Nasional","Daerah"},0)),"Genre di luar daftar","")),IF('PC 07'!G117="","Nama Channel kosong",""),IF('PC 07'!H117="","Link kosong",IF(ISERROR(FIND("youtu",LOWER('PC 07'!H117))),"Link bukan youtube","")),IF('PC 07'!I117="","Tgl Dibuat kosong",IF(NOT(ISNUMBER('PC 07'!I117)),"Tgl Dibuat harus tanggal","")),IF(AND('PC 07'!J117&lt;&gt;"",NOT(ISNUMBER('PC 07'!J117))),"Tgl Publish harus tanggal",""),IF(AND(ISNUMBER('PC 07'!I117),ISNUMBER('PC 07'!J117),'PC 07'!J117&lt;'PC 07'!I117),"Tgl Publish &lt; Tgl Dibuat",""),IF(AND('PC 07'!K117&lt;&gt;"",ISERROR(MATCH(TRIM('PC 07'!K117),{"Draft","Menunggu Review","Revisi","Terjadwal","Publish","Batal","Published"},0))),"Status di luar daftar","")))</f>
        <v>#ERROR!</v>
      </c>
      <c r="D117" s="3" t="str">
        <f>IF(C117="","OK","ADA MASALAH")</f>
        <v>#ERROR!</v>
      </c>
    </row>
    <row r="118">
      <c r="A118" s="5">
        <v>118.0</v>
      </c>
      <c r="B118" s="3" t="str">
        <f>'PC 07'!A118</f>
        <v/>
      </c>
      <c r="C118" s="3" t="str">
        <f>IF(COUNTA('PC 07'!A118:L118)=0,"",TEXTJOIN(" | ",TRUE,IF('PC 07'!A118="","Worker ID kosong",""),IF('PC 07'!B118="","Update Date kosong",IF(NOT(ISNUMBER('PC 07'!B118)),"Update Date harus tanggal","")),IF('PC 07'!D118="","Judul kosong",""),IF('PC 07'!F118="","Genre kosong",IF(ISERROR(MATCH(TRIM('PC 07'!F118),{"Pop","Rock","Dangdut","K-Pop","Electronic","Nasional","Daerah"},0)),"Genre di luar daftar","")),IF('PC 07'!G118="","Nama Channel kosong",""),IF('PC 07'!H118="","Link kosong",IF(ISERROR(FIND("youtu",LOWER('PC 07'!H118))),"Link bukan youtube","")),IF('PC 07'!I118="","Tgl Dibuat kosong",IF(NOT(ISNUMBER('PC 07'!I118)),"Tgl Dibuat harus tanggal","")),IF(AND('PC 07'!J118&lt;&gt;"",NOT(ISNUMBER('PC 07'!J118))),"Tgl Publish harus tanggal",""),IF(AND(ISNUMBER('PC 07'!I118),ISNUMBER('PC 07'!J118),'PC 07'!J118&lt;'PC 07'!I118),"Tgl Publish &lt; Tgl Dibuat",""),IF(AND('PC 07'!K118&lt;&gt;"",ISERROR(MATCH(TRIM('PC 07'!K118),{"Draft","Menunggu Review","Revisi","Terjadwal","Publish","Batal","Published"},0))),"Status di luar daftar","")))</f>
        <v>#ERROR!</v>
      </c>
      <c r="D118" s="3" t="str">
        <f>IF(C118="","OK","ADA MASALAH")</f>
        <v>#ERROR!</v>
      </c>
    </row>
    <row r="119">
      <c r="A119" s="5">
        <v>119.0</v>
      </c>
      <c r="B119" s="3" t="str">
        <f>'PC 07'!A119</f>
        <v/>
      </c>
      <c r="C119" s="3" t="str">
        <f>IF(COUNTA('PC 07'!A119:L119)=0,"",TEXTJOIN(" | ",TRUE,IF('PC 07'!A119="","Worker ID kosong",""),IF('PC 07'!B119="","Update Date kosong",IF(NOT(ISNUMBER('PC 07'!B119)),"Update Date harus tanggal","")),IF('PC 07'!D119="","Judul kosong",""),IF('PC 07'!F119="","Genre kosong",IF(ISERROR(MATCH(TRIM('PC 07'!F119),{"Pop","Rock","Dangdut","K-Pop","Electronic","Nasional","Daerah"},0)),"Genre di luar daftar","")),IF('PC 07'!G119="","Nama Channel kosong",""),IF('PC 07'!H119="","Link kosong",IF(ISERROR(FIND("youtu",LOWER('PC 07'!H119))),"Link bukan youtube","")),IF('PC 07'!I119="","Tgl Dibuat kosong",IF(NOT(ISNUMBER('PC 07'!I119)),"Tgl Dibuat harus tanggal","")),IF(AND('PC 07'!J119&lt;&gt;"",NOT(ISNUMBER('PC 07'!J119))),"Tgl Publish harus tanggal",""),IF(AND(ISNUMBER('PC 07'!I119),ISNUMBER('PC 07'!J119),'PC 07'!J119&lt;'PC 07'!I119),"Tgl Publish &lt; Tgl Dibuat",""),IF(AND('PC 07'!K119&lt;&gt;"",ISERROR(MATCH(TRIM('PC 07'!K119),{"Draft","Menunggu Review","Revisi","Terjadwal","Publish","Batal","Published"},0))),"Status di luar daftar","")))</f>
        <v>#ERROR!</v>
      </c>
      <c r="D119" s="3" t="str">
        <f>IF(C119="","OK","ADA MASALAH")</f>
        <v>#ERROR!</v>
      </c>
    </row>
    <row r="120">
      <c r="A120" s="5">
        <v>120.0</v>
      </c>
      <c r="B120" s="3" t="str">
        <f>'PC 07'!A120</f>
        <v/>
      </c>
      <c r="C120" s="3" t="str">
        <f>IF(COUNTA('PC 07'!A120:L120)=0,"",TEXTJOIN(" | ",TRUE,IF('PC 07'!A120="","Worker ID kosong",""),IF('PC 07'!B120="","Update Date kosong",IF(NOT(ISNUMBER('PC 07'!B120)),"Update Date harus tanggal","")),IF('PC 07'!D120="","Judul kosong",""),IF('PC 07'!F120="","Genre kosong",IF(ISERROR(MATCH(TRIM('PC 07'!F120),{"Pop","Rock","Dangdut","K-Pop","Electronic","Nasional","Daerah"},0)),"Genre di luar daftar","")),IF('PC 07'!G120="","Nama Channel kosong",""),IF('PC 07'!H120="","Link kosong",IF(ISERROR(FIND("youtu",LOWER('PC 07'!H120))),"Link bukan youtube","")),IF('PC 07'!I120="","Tgl Dibuat kosong",IF(NOT(ISNUMBER('PC 07'!I120)),"Tgl Dibuat harus tanggal","")),IF(AND('PC 07'!J120&lt;&gt;"",NOT(ISNUMBER('PC 07'!J120))),"Tgl Publish harus tanggal",""),IF(AND(ISNUMBER('PC 07'!I120),ISNUMBER('PC 07'!J120),'PC 07'!J120&lt;'PC 07'!I120),"Tgl Publish &lt; Tgl Dibuat",""),IF(AND('PC 07'!K120&lt;&gt;"",ISERROR(MATCH(TRIM('PC 07'!K120),{"Draft","Menunggu Review","Revisi","Terjadwal","Publish","Batal","Published"},0))),"Status di luar daftar","")))</f>
        <v>#ERROR!</v>
      </c>
      <c r="D120" s="3" t="str">
        <f>IF(C120="","OK","ADA MASALAH")</f>
        <v>#ERROR!</v>
      </c>
    </row>
    <row r="121">
      <c r="A121" s="5">
        <v>121.0</v>
      </c>
      <c r="B121" s="3" t="str">
        <f>'PC 07'!A121</f>
        <v/>
      </c>
      <c r="C121" s="3" t="str">
        <f>IF(COUNTA('PC 07'!A121:L121)=0,"",TEXTJOIN(" | ",TRUE,IF('PC 07'!A121="","Worker ID kosong",""),IF('PC 07'!B121="","Update Date kosong",IF(NOT(ISNUMBER('PC 07'!B121)),"Update Date harus tanggal","")),IF('PC 07'!D121="","Judul kosong",""),IF('PC 07'!F121="","Genre kosong",IF(ISERROR(MATCH(TRIM('PC 07'!F121),{"Pop","Rock","Dangdut","K-Pop","Electronic","Nasional","Daerah"},0)),"Genre di luar daftar","")),IF('PC 07'!G121="","Nama Channel kosong",""),IF('PC 07'!H121="","Link kosong",IF(ISERROR(FIND("youtu",LOWER('PC 07'!H121))),"Link bukan youtube","")),IF('PC 07'!I121="","Tgl Dibuat kosong",IF(NOT(ISNUMBER('PC 07'!I121)),"Tgl Dibuat harus tanggal","")),IF(AND('PC 07'!J121&lt;&gt;"",NOT(ISNUMBER('PC 07'!J121))),"Tgl Publish harus tanggal",""),IF(AND(ISNUMBER('PC 07'!I121),ISNUMBER('PC 07'!J121),'PC 07'!J121&lt;'PC 07'!I121),"Tgl Publish &lt; Tgl Dibuat",""),IF(AND('PC 07'!K121&lt;&gt;"",ISERROR(MATCH(TRIM('PC 07'!K121),{"Draft","Menunggu Review","Revisi","Terjadwal","Publish","Batal","Published"},0))),"Status di luar daftar","")))</f>
        <v>#ERROR!</v>
      </c>
      <c r="D121" s="3" t="str">
        <f>IF(C121="","OK","ADA MASALAH")</f>
        <v>#ERROR!</v>
      </c>
    </row>
    <row r="122">
      <c r="A122" s="5">
        <v>122.0</v>
      </c>
      <c r="B122" s="3" t="str">
        <f>'PC 07'!A122</f>
        <v/>
      </c>
      <c r="C122" s="3" t="str">
        <f>IF(COUNTA('PC 07'!A122:L122)=0,"",TEXTJOIN(" | ",TRUE,IF('PC 07'!A122="","Worker ID kosong",""),IF('PC 07'!B122="","Update Date kosong",IF(NOT(ISNUMBER('PC 07'!B122)),"Update Date harus tanggal","")),IF('PC 07'!D122="","Judul kosong",""),IF('PC 07'!F122="","Genre kosong",IF(ISERROR(MATCH(TRIM('PC 07'!F122),{"Pop","Rock","Dangdut","K-Pop","Electronic","Nasional","Daerah"},0)),"Genre di luar daftar","")),IF('PC 07'!G122="","Nama Channel kosong",""),IF('PC 07'!H122="","Link kosong",IF(ISERROR(FIND("youtu",LOWER('PC 07'!H122))),"Link bukan youtube","")),IF('PC 07'!I122="","Tgl Dibuat kosong",IF(NOT(ISNUMBER('PC 07'!I122)),"Tgl Dibuat harus tanggal","")),IF(AND('PC 07'!J122&lt;&gt;"",NOT(ISNUMBER('PC 07'!J122))),"Tgl Publish harus tanggal",""),IF(AND(ISNUMBER('PC 07'!I122),ISNUMBER('PC 07'!J122),'PC 07'!J122&lt;'PC 07'!I122),"Tgl Publish &lt; Tgl Dibuat",""),IF(AND('PC 07'!K122&lt;&gt;"",ISERROR(MATCH(TRIM('PC 07'!K122),{"Draft","Menunggu Review","Revisi","Terjadwal","Publish","Batal","Published"},0))),"Status di luar daftar","")))</f>
        <v>#ERROR!</v>
      </c>
      <c r="D122" s="3" t="str">
        <f>IF(C122="","OK","ADA MASALAH")</f>
        <v>#ERROR!</v>
      </c>
    </row>
    <row r="123">
      <c r="A123" s="5">
        <v>123.0</v>
      </c>
      <c r="B123" s="3" t="str">
        <f>'PC 07'!A123</f>
        <v/>
      </c>
      <c r="C123" s="3" t="str">
        <f>IF(COUNTA('PC 07'!A123:L123)=0,"",TEXTJOIN(" | ",TRUE,IF('PC 07'!A123="","Worker ID kosong",""),IF('PC 07'!B123="","Update Date kosong",IF(NOT(ISNUMBER('PC 07'!B123)),"Update Date harus tanggal","")),IF('PC 07'!D123="","Judul kosong",""),IF('PC 07'!F123="","Genre kosong",IF(ISERROR(MATCH(TRIM('PC 07'!F123),{"Pop","Rock","Dangdut","K-Pop","Electronic","Nasional","Daerah"},0)),"Genre di luar daftar","")),IF('PC 07'!G123="","Nama Channel kosong",""),IF('PC 07'!H123="","Link kosong",IF(ISERROR(FIND("youtu",LOWER('PC 07'!H123))),"Link bukan youtube","")),IF('PC 07'!I123="","Tgl Dibuat kosong",IF(NOT(ISNUMBER('PC 07'!I123)),"Tgl Dibuat harus tanggal","")),IF(AND('PC 07'!J123&lt;&gt;"",NOT(ISNUMBER('PC 07'!J123))),"Tgl Publish harus tanggal",""),IF(AND(ISNUMBER('PC 07'!I123),ISNUMBER('PC 07'!J123),'PC 07'!J123&lt;'PC 07'!I123),"Tgl Publish &lt; Tgl Dibuat",""),IF(AND('PC 07'!K123&lt;&gt;"",ISERROR(MATCH(TRIM('PC 07'!K123),{"Draft","Menunggu Review","Revisi","Terjadwal","Publish","Batal","Published"},0))),"Status di luar daftar","")))</f>
        <v>#ERROR!</v>
      </c>
      <c r="D123" s="3" t="str">
        <f>IF(C123="","OK","ADA MASALAH")</f>
        <v>#ERROR!</v>
      </c>
    </row>
    <row r="124">
      <c r="A124" s="5">
        <v>124.0</v>
      </c>
      <c r="B124" s="3" t="str">
        <f>'PC 07'!A124</f>
        <v/>
      </c>
      <c r="C124" s="3" t="str">
        <f>IF(COUNTA('PC 07'!A124:L124)=0,"",TEXTJOIN(" | ",TRUE,IF('PC 07'!A124="","Worker ID kosong",""),IF('PC 07'!B124="","Update Date kosong",IF(NOT(ISNUMBER('PC 07'!B124)),"Update Date harus tanggal","")),IF('PC 07'!D124="","Judul kosong",""),IF('PC 07'!F124="","Genre kosong",IF(ISERROR(MATCH(TRIM('PC 07'!F124),{"Pop","Rock","Dangdut","K-Pop","Electronic","Nasional","Daerah"},0)),"Genre di luar daftar","")),IF('PC 07'!G124="","Nama Channel kosong",""),IF('PC 07'!H124="","Link kosong",IF(ISERROR(FIND("youtu",LOWER('PC 07'!H124))),"Link bukan youtube","")),IF('PC 07'!I124="","Tgl Dibuat kosong",IF(NOT(ISNUMBER('PC 07'!I124)),"Tgl Dibuat harus tanggal","")),IF(AND('PC 07'!J124&lt;&gt;"",NOT(ISNUMBER('PC 07'!J124))),"Tgl Publish harus tanggal",""),IF(AND(ISNUMBER('PC 07'!I124),ISNUMBER('PC 07'!J124),'PC 07'!J124&lt;'PC 07'!I124),"Tgl Publish &lt; Tgl Dibuat",""),IF(AND('PC 07'!K124&lt;&gt;"",ISERROR(MATCH(TRIM('PC 07'!K124),{"Draft","Menunggu Review","Revisi","Terjadwal","Publish","Batal","Published"},0))),"Status di luar daftar","")))</f>
        <v>#ERROR!</v>
      </c>
      <c r="D124" s="3" t="str">
        <f>IF(C124="","OK","ADA MASALAH")</f>
        <v>#ERROR!</v>
      </c>
    </row>
    <row r="125">
      <c r="A125" s="5">
        <v>125.0</v>
      </c>
      <c r="B125" s="3" t="str">
        <f>'PC 07'!A125</f>
        <v/>
      </c>
      <c r="C125" s="3" t="str">
        <f>IF(COUNTA('PC 07'!A125:L125)=0,"",TEXTJOIN(" | ",TRUE,IF('PC 07'!A125="","Worker ID kosong",""),IF('PC 07'!B125="","Update Date kosong",IF(NOT(ISNUMBER('PC 07'!B125)),"Update Date harus tanggal","")),IF('PC 07'!D125="","Judul kosong",""),IF('PC 07'!F125="","Genre kosong",IF(ISERROR(MATCH(TRIM('PC 07'!F125),{"Pop","Rock","Dangdut","K-Pop","Electronic","Nasional","Daerah"},0)),"Genre di luar daftar","")),IF('PC 07'!G125="","Nama Channel kosong",""),IF('PC 07'!H125="","Link kosong",IF(ISERROR(FIND("youtu",LOWER('PC 07'!H125))),"Link bukan youtube","")),IF('PC 07'!I125="","Tgl Dibuat kosong",IF(NOT(ISNUMBER('PC 07'!I125)),"Tgl Dibuat harus tanggal","")),IF(AND('PC 07'!J125&lt;&gt;"",NOT(ISNUMBER('PC 07'!J125))),"Tgl Publish harus tanggal",""),IF(AND(ISNUMBER('PC 07'!I125),ISNUMBER('PC 07'!J125),'PC 07'!J125&lt;'PC 07'!I125),"Tgl Publish &lt; Tgl Dibuat",""),IF(AND('PC 07'!K125&lt;&gt;"",ISERROR(MATCH(TRIM('PC 07'!K125),{"Draft","Menunggu Review","Revisi","Terjadwal","Publish","Batal","Published"},0))),"Status di luar daftar","")))</f>
        <v>#ERROR!</v>
      </c>
      <c r="D125" s="3" t="str">
        <f>IF(C125="","OK","ADA MASALAH")</f>
        <v>#ERROR!</v>
      </c>
    </row>
    <row r="126">
      <c r="A126" s="5">
        <v>126.0</v>
      </c>
      <c r="B126" s="3" t="str">
        <f>'PC 07'!A126</f>
        <v/>
      </c>
      <c r="C126" s="3" t="str">
        <f>IF(COUNTA('PC 07'!A126:L126)=0,"",TEXTJOIN(" | ",TRUE,IF('PC 07'!A126="","Worker ID kosong",""),IF('PC 07'!B126="","Update Date kosong",IF(NOT(ISNUMBER('PC 07'!B126)),"Update Date harus tanggal","")),IF('PC 07'!D126="","Judul kosong",""),IF('PC 07'!F126="","Genre kosong",IF(ISERROR(MATCH(TRIM('PC 07'!F126),{"Pop","Rock","Dangdut","K-Pop","Electronic","Nasional","Daerah"},0)),"Genre di luar daftar","")),IF('PC 07'!G126="","Nama Channel kosong",""),IF('PC 07'!H126="","Link kosong",IF(ISERROR(FIND("youtu",LOWER('PC 07'!H126))),"Link bukan youtube","")),IF('PC 07'!I126="","Tgl Dibuat kosong",IF(NOT(ISNUMBER('PC 07'!I126)),"Tgl Dibuat harus tanggal","")),IF(AND('PC 07'!J126&lt;&gt;"",NOT(ISNUMBER('PC 07'!J126))),"Tgl Publish harus tanggal",""),IF(AND(ISNUMBER('PC 07'!I126),ISNUMBER('PC 07'!J126),'PC 07'!J126&lt;'PC 07'!I126),"Tgl Publish &lt; Tgl Dibuat",""),IF(AND('PC 07'!K126&lt;&gt;"",ISERROR(MATCH(TRIM('PC 07'!K126),{"Draft","Menunggu Review","Revisi","Terjadwal","Publish","Batal","Published"},0))),"Status di luar daftar","")))</f>
        <v>#ERROR!</v>
      </c>
      <c r="D126" s="3" t="str">
        <f>IF(C126="","OK","ADA MASALAH")</f>
        <v>#ERROR!</v>
      </c>
    </row>
    <row r="127">
      <c r="A127" s="5">
        <v>127.0</v>
      </c>
      <c r="B127" s="3" t="str">
        <f>'PC 07'!A127</f>
        <v/>
      </c>
      <c r="C127" s="3" t="str">
        <f>IF(COUNTA('PC 07'!A127:L127)=0,"",TEXTJOIN(" | ",TRUE,IF('PC 07'!A127="","Worker ID kosong",""),IF('PC 07'!B127="","Update Date kosong",IF(NOT(ISNUMBER('PC 07'!B127)),"Update Date harus tanggal","")),IF('PC 07'!D127="","Judul kosong",""),IF('PC 07'!F127="","Genre kosong",IF(ISERROR(MATCH(TRIM('PC 07'!F127),{"Pop","Rock","Dangdut","K-Pop","Electronic","Nasional","Daerah"},0)),"Genre di luar daftar","")),IF('PC 07'!G127="","Nama Channel kosong",""),IF('PC 07'!H127="","Link kosong",IF(ISERROR(FIND("youtu",LOWER('PC 07'!H127))),"Link bukan youtube","")),IF('PC 07'!I127="","Tgl Dibuat kosong",IF(NOT(ISNUMBER('PC 07'!I127)),"Tgl Dibuat harus tanggal","")),IF(AND('PC 07'!J127&lt;&gt;"",NOT(ISNUMBER('PC 07'!J127))),"Tgl Publish harus tanggal",""),IF(AND(ISNUMBER('PC 07'!I127),ISNUMBER('PC 07'!J127),'PC 07'!J127&lt;'PC 07'!I127),"Tgl Publish &lt; Tgl Dibuat",""),IF(AND('PC 07'!K127&lt;&gt;"",ISERROR(MATCH(TRIM('PC 07'!K127),{"Draft","Menunggu Review","Revisi","Terjadwal","Publish","Batal","Published"},0))),"Status di luar daftar","")))</f>
        <v>#ERROR!</v>
      </c>
      <c r="D127" s="3" t="str">
        <f>IF(C127="","OK","ADA MASALAH")</f>
        <v>#ERROR!</v>
      </c>
    </row>
    <row r="128">
      <c r="A128" s="5">
        <v>128.0</v>
      </c>
      <c r="B128" s="3" t="str">
        <f>'PC 07'!A128</f>
        <v/>
      </c>
      <c r="C128" s="3" t="str">
        <f>IF(COUNTA('PC 07'!A128:L128)=0,"",TEXTJOIN(" | ",TRUE,IF('PC 07'!A128="","Worker ID kosong",""),IF('PC 07'!B128="","Update Date kosong",IF(NOT(ISNUMBER('PC 07'!B128)),"Update Date harus tanggal","")),IF('PC 07'!D128="","Judul kosong",""),IF('PC 07'!F128="","Genre kosong",IF(ISERROR(MATCH(TRIM('PC 07'!F128),{"Pop","Rock","Dangdut","K-Pop","Electronic","Nasional","Daerah"},0)),"Genre di luar daftar","")),IF('PC 07'!G128="","Nama Channel kosong",""),IF('PC 07'!H128="","Link kosong",IF(ISERROR(FIND("youtu",LOWER('PC 07'!H128))),"Link bukan youtube","")),IF('PC 07'!I128="","Tgl Dibuat kosong",IF(NOT(ISNUMBER('PC 07'!I128)),"Tgl Dibuat harus tanggal","")),IF(AND('PC 07'!J128&lt;&gt;"",NOT(ISNUMBER('PC 07'!J128))),"Tgl Publish harus tanggal",""),IF(AND(ISNUMBER('PC 07'!I128),ISNUMBER('PC 07'!J128),'PC 07'!J128&lt;'PC 07'!I128),"Tgl Publish &lt; Tgl Dibuat",""),IF(AND('PC 07'!K128&lt;&gt;"",ISERROR(MATCH(TRIM('PC 07'!K128),{"Draft","Menunggu Review","Revisi","Terjadwal","Publish","Batal","Published"},0))),"Status di luar daftar","")))</f>
        <v>#ERROR!</v>
      </c>
      <c r="D128" s="3" t="str">
        <f>IF(C128="","OK","ADA MASALAH")</f>
        <v>#ERROR!</v>
      </c>
    </row>
    <row r="129">
      <c r="A129" s="5">
        <v>129.0</v>
      </c>
      <c r="B129" s="3" t="str">
        <f>'PC 07'!A129</f>
        <v/>
      </c>
      <c r="C129" s="3" t="str">
        <f>IF(COUNTA('PC 07'!A129:L129)=0,"",TEXTJOIN(" | ",TRUE,IF('PC 07'!A129="","Worker ID kosong",""),IF('PC 07'!B129="","Update Date kosong",IF(NOT(ISNUMBER('PC 07'!B129)),"Update Date harus tanggal","")),IF('PC 07'!D129="","Judul kosong",""),IF('PC 07'!F129="","Genre kosong",IF(ISERROR(MATCH(TRIM('PC 07'!F129),{"Pop","Rock","Dangdut","K-Pop","Electronic","Nasional","Daerah"},0)),"Genre di luar daftar","")),IF('PC 07'!G129="","Nama Channel kosong",""),IF('PC 07'!H129="","Link kosong",IF(ISERROR(FIND("youtu",LOWER('PC 07'!H129))),"Link bukan youtube","")),IF('PC 07'!I129="","Tgl Dibuat kosong",IF(NOT(ISNUMBER('PC 07'!I129)),"Tgl Dibuat harus tanggal","")),IF(AND('PC 07'!J129&lt;&gt;"",NOT(ISNUMBER('PC 07'!J129))),"Tgl Publish harus tanggal",""),IF(AND(ISNUMBER('PC 07'!I129),ISNUMBER('PC 07'!J129),'PC 07'!J129&lt;'PC 07'!I129),"Tgl Publish &lt; Tgl Dibuat",""),IF(AND('PC 07'!K129&lt;&gt;"",ISERROR(MATCH(TRIM('PC 07'!K129),{"Draft","Menunggu Review","Revisi","Terjadwal","Publish","Batal","Published"},0))),"Status di luar daftar","")))</f>
        <v>#ERROR!</v>
      </c>
      <c r="D129" s="3" t="str">
        <f>IF(C129="","OK","ADA MASALAH")</f>
        <v>#ERROR!</v>
      </c>
    </row>
    <row r="130">
      <c r="A130" s="5">
        <v>130.0</v>
      </c>
      <c r="B130" s="3" t="str">
        <f>'PC 07'!A130</f>
        <v/>
      </c>
      <c r="C130" s="3" t="str">
        <f>IF(COUNTA('PC 07'!A130:L130)=0,"",TEXTJOIN(" | ",TRUE,IF('PC 07'!A130="","Worker ID kosong",""),IF('PC 07'!B130="","Update Date kosong",IF(NOT(ISNUMBER('PC 07'!B130)),"Update Date harus tanggal","")),IF('PC 07'!D130="","Judul kosong",""),IF('PC 07'!F130="","Genre kosong",IF(ISERROR(MATCH(TRIM('PC 07'!F130),{"Pop","Rock","Dangdut","K-Pop","Electronic","Nasional","Daerah"},0)),"Genre di luar daftar","")),IF('PC 07'!G130="","Nama Channel kosong",""),IF('PC 07'!H130="","Link kosong",IF(ISERROR(FIND("youtu",LOWER('PC 07'!H130))),"Link bukan youtube","")),IF('PC 07'!I130="","Tgl Dibuat kosong",IF(NOT(ISNUMBER('PC 07'!I130)),"Tgl Dibuat harus tanggal","")),IF(AND('PC 07'!J130&lt;&gt;"",NOT(ISNUMBER('PC 07'!J130))),"Tgl Publish harus tanggal",""),IF(AND(ISNUMBER('PC 07'!I130),ISNUMBER('PC 07'!J130),'PC 07'!J130&lt;'PC 07'!I130),"Tgl Publish &lt; Tgl Dibuat",""),IF(AND('PC 07'!K130&lt;&gt;"",ISERROR(MATCH(TRIM('PC 07'!K130),{"Draft","Menunggu Review","Revisi","Terjadwal","Publish","Batal","Published"},0))),"Status di luar daftar","")))</f>
        <v>#ERROR!</v>
      </c>
      <c r="D130" s="3" t="str">
        <f>IF(C130="","OK","ADA MASALAH")</f>
        <v>#ERROR!</v>
      </c>
    </row>
    <row r="131">
      <c r="A131" s="5">
        <v>131.0</v>
      </c>
      <c r="B131" s="3" t="str">
        <f>'PC 07'!A131</f>
        <v/>
      </c>
      <c r="C131" s="3" t="str">
        <f>IF(COUNTA('PC 07'!A131:L131)=0,"",TEXTJOIN(" | ",TRUE,IF('PC 07'!A131="","Worker ID kosong",""),IF('PC 07'!B131="","Update Date kosong",IF(NOT(ISNUMBER('PC 07'!B131)),"Update Date harus tanggal","")),IF('PC 07'!D131="","Judul kosong",""),IF('PC 07'!F131="","Genre kosong",IF(ISERROR(MATCH(TRIM('PC 07'!F131),{"Pop","Rock","Dangdut","K-Pop","Electronic","Nasional","Daerah"},0)),"Genre di luar daftar","")),IF('PC 07'!G131="","Nama Channel kosong",""),IF('PC 07'!H131="","Link kosong",IF(ISERROR(FIND("youtu",LOWER('PC 07'!H131))),"Link bukan youtube","")),IF('PC 07'!I131="","Tgl Dibuat kosong",IF(NOT(ISNUMBER('PC 07'!I131)),"Tgl Dibuat harus tanggal","")),IF(AND('PC 07'!J131&lt;&gt;"",NOT(ISNUMBER('PC 07'!J131))),"Tgl Publish harus tanggal",""),IF(AND(ISNUMBER('PC 07'!I131),ISNUMBER('PC 07'!J131),'PC 07'!J131&lt;'PC 07'!I131),"Tgl Publish &lt; Tgl Dibuat",""),IF(AND('PC 07'!K131&lt;&gt;"",ISERROR(MATCH(TRIM('PC 07'!K131),{"Draft","Menunggu Review","Revisi","Terjadwal","Publish","Batal","Published"},0))),"Status di luar daftar","")))</f>
        <v>#ERROR!</v>
      </c>
      <c r="D131" s="3" t="str">
        <f>IF(C131="","OK","ADA MASALAH")</f>
        <v>#ERROR!</v>
      </c>
    </row>
    <row r="132">
      <c r="A132" s="5">
        <v>132.0</v>
      </c>
      <c r="B132" s="3" t="str">
        <f>'PC 07'!A132</f>
        <v/>
      </c>
      <c r="C132" s="3" t="str">
        <f>IF(COUNTA('PC 07'!A132:L132)=0,"",TEXTJOIN(" | ",TRUE,IF('PC 07'!A132="","Worker ID kosong",""),IF('PC 07'!B132="","Update Date kosong",IF(NOT(ISNUMBER('PC 07'!B132)),"Update Date harus tanggal","")),IF('PC 07'!D132="","Judul kosong",""),IF('PC 07'!F132="","Genre kosong",IF(ISERROR(MATCH(TRIM('PC 07'!F132),{"Pop","Rock","Dangdut","K-Pop","Electronic","Nasional","Daerah"},0)),"Genre di luar daftar","")),IF('PC 07'!G132="","Nama Channel kosong",""),IF('PC 07'!H132="","Link kosong",IF(ISERROR(FIND("youtu",LOWER('PC 07'!H132))),"Link bukan youtube","")),IF('PC 07'!I132="","Tgl Dibuat kosong",IF(NOT(ISNUMBER('PC 07'!I132)),"Tgl Dibuat harus tanggal","")),IF(AND('PC 07'!J132&lt;&gt;"",NOT(ISNUMBER('PC 07'!J132))),"Tgl Publish harus tanggal",""),IF(AND(ISNUMBER('PC 07'!I132),ISNUMBER('PC 07'!J132),'PC 07'!J132&lt;'PC 07'!I132),"Tgl Publish &lt; Tgl Dibuat",""),IF(AND('PC 07'!K132&lt;&gt;"",ISERROR(MATCH(TRIM('PC 07'!K132),{"Draft","Menunggu Review","Revisi","Terjadwal","Publish","Batal","Published"},0))),"Status di luar daftar","")))</f>
        <v>#ERROR!</v>
      </c>
      <c r="D132" s="3" t="str">
        <f>IF(C132="","OK","ADA MASALAH")</f>
        <v>#ERROR!</v>
      </c>
    </row>
    <row r="133">
      <c r="A133" s="5">
        <v>133.0</v>
      </c>
      <c r="B133" s="3" t="str">
        <f>'PC 07'!A133</f>
        <v/>
      </c>
      <c r="C133" s="3" t="str">
        <f>IF(COUNTA('PC 07'!A133:L133)=0,"",TEXTJOIN(" | ",TRUE,IF('PC 07'!A133="","Worker ID kosong",""),IF('PC 07'!B133="","Update Date kosong",IF(NOT(ISNUMBER('PC 07'!B133)),"Update Date harus tanggal","")),IF('PC 07'!D133="","Judul kosong",""),IF('PC 07'!F133="","Genre kosong",IF(ISERROR(MATCH(TRIM('PC 07'!F133),{"Pop","Rock","Dangdut","K-Pop","Electronic","Nasional","Daerah"},0)),"Genre di luar daftar","")),IF('PC 07'!G133="","Nama Channel kosong",""),IF('PC 07'!H133="","Link kosong",IF(ISERROR(FIND("youtu",LOWER('PC 07'!H133))),"Link bukan youtube","")),IF('PC 07'!I133="","Tgl Dibuat kosong",IF(NOT(ISNUMBER('PC 07'!I133)),"Tgl Dibuat harus tanggal","")),IF(AND('PC 07'!J133&lt;&gt;"",NOT(ISNUMBER('PC 07'!J133))),"Tgl Publish harus tanggal",""),IF(AND(ISNUMBER('PC 07'!I133),ISNUMBER('PC 07'!J133),'PC 07'!J133&lt;'PC 07'!I133),"Tgl Publish &lt; Tgl Dibuat",""),IF(AND('PC 07'!K133&lt;&gt;"",ISERROR(MATCH(TRIM('PC 07'!K133),{"Draft","Menunggu Review","Revisi","Terjadwal","Publish","Batal","Published"},0))),"Status di luar daftar","")))</f>
        <v>#ERROR!</v>
      </c>
      <c r="D133" s="3" t="str">
        <f>IF(C133="","OK","ADA MASALAH")</f>
        <v>#ERROR!</v>
      </c>
    </row>
    <row r="134">
      <c r="A134" s="5">
        <v>134.0</v>
      </c>
      <c r="B134" s="3" t="str">
        <f>'PC 07'!A134</f>
        <v/>
      </c>
      <c r="C134" s="3" t="str">
        <f>IF(COUNTA('PC 07'!A134:L134)=0,"",TEXTJOIN(" | ",TRUE,IF('PC 07'!A134="","Worker ID kosong",""),IF('PC 07'!B134="","Update Date kosong",IF(NOT(ISNUMBER('PC 07'!B134)),"Update Date harus tanggal","")),IF('PC 07'!D134="","Judul kosong",""),IF('PC 07'!F134="","Genre kosong",IF(ISERROR(MATCH(TRIM('PC 07'!F134),{"Pop","Rock","Dangdut","K-Pop","Electronic","Nasional","Daerah"},0)),"Genre di luar daftar","")),IF('PC 07'!G134="","Nama Channel kosong",""),IF('PC 07'!H134="","Link kosong",IF(ISERROR(FIND("youtu",LOWER('PC 07'!H134))),"Link bukan youtube","")),IF('PC 07'!I134="","Tgl Dibuat kosong",IF(NOT(ISNUMBER('PC 07'!I134)),"Tgl Dibuat harus tanggal","")),IF(AND('PC 07'!J134&lt;&gt;"",NOT(ISNUMBER('PC 07'!J134))),"Tgl Publish harus tanggal",""),IF(AND(ISNUMBER('PC 07'!I134),ISNUMBER('PC 07'!J134),'PC 07'!J134&lt;'PC 07'!I134),"Tgl Publish &lt; Tgl Dibuat",""),IF(AND('PC 07'!K134&lt;&gt;"",ISERROR(MATCH(TRIM('PC 07'!K134),{"Draft","Menunggu Review","Revisi","Terjadwal","Publish","Batal","Published"},0))),"Status di luar daftar","")))</f>
        <v>#ERROR!</v>
      </c>
      <c r="D134" s="3" t="str">
        <f>IF(C134="","OK","ADA MASALAH")</f>
        <v>#ERROR!</v>
      </c>
    </row>
    <row r="135">
      <c r="A135" s="5">
        <v>135.0</v>
      </c>
      <c r="B135" s="3" t="str">
        <f>'PC 07'!A135</f>
        <v/>
      </c>
      <c r="C135" s="3" t="str">
        <f>IF(COUNTA('PC 07'!A135:L135)=0,"",TEXTJOIN(" | ",TRUE,IF('PC 07'!A135="","Worker ID kosong",""),IF('PC 07'!B135="","Update Date kosong",IF(NOT(ISNUMBER('PC 07'!B135)),"Update Date harus tanggal","")),IF('PC 07'!D135="","Judul kosong",""),IF('PC 07'!F135="","Genre kosong",IF(ISERROR(MATCH(TRIM('PC 07'!F135),{"Pop","Rock","Dangdut","K-Pop","Electronic","Nasional","Daerah"},0)),"Genre di luar daftar","")),IF('PC 07'!G135="","Nama Channel kosong",""),IF('PC 07'!H135="","Link kosong",IF(ISERROR(FIND("youtu",LOWER('PC 07'!H135))),"Link bukan youtube","")),IF('PC 07'!I135="","Tgl Dibuat kosong",IF(NOT(ISNUMBER('PC 07'!I135)),"Tgl Dibuat harus tanggal","")),IF(AND('PC 07'!J135&lt;&gt;"",NOT(ISNUMBER('PC 07'!J135))),"Tgl Publish harus tanggal",""),IF(AND(ISNUMBER('PC 07'!I135),ISNUMBER('PC 07'!J135),'PC 07'!J135&lt;'PC 07'!I135),"Tgl Publish &lt; Tgl Dibuat",""),IF(AND('PC 07'!K135&lt;&gt;"",ISERROR(MATCH(TRIM('PC 07'!K135),{"Draft","Menunggu Review","Revisi","Terjadwal","Publish","Batal","Published"},0))),"Status di luar daftar","")))</f>
        <v>#ERROR!</v>
      </c>
      <c r="D135" s="3" t="str">
        <f>IF(C135="","OK","ADA MASALAH")</f>
        <v>#ERROR!</v>
      </c>
    </row>
    <row r="136">
      <c r="A136" s="5">
        <v>136.0</v>
      </c>
      <c r="B136" s="3" t="str">
        <f>'PC 07'!A136</f>
        <v/>
      </c>
      <c r="C136" s="3" t="str">
        <f>IF(COUNTA('PC 07'!A136:L136)=0,"",TEXTJOIN(" | ",TRUE,IF('PC 07'!A136="","Worker ID kosong",""),IF('PC 07'!B136="","Update Date kosong",IF(NOT(ISNUMBER('PC 07'!B136)),"Update Date harus tanggal","")),IF('PC 07'!D136="","Judul kosong",""),IF('PC 07'!F136="","Genre kosong",IF(ISERROR(MATCH(TRIM('PC 07'!F136),{"Pop","Rock","Dangdut","K-Pop","Electronic","Nasional","Daerah"},0)),"Genre di luar daftar","")),IF('PC 07'!G136="","Nama Channel kosong",""),IF('PC 07'!H136="","Link kosong",IF(ISERROR(FIND("youtu",LOWER('PC 07'!H136))),"Link bukan youtube","")),IF('PC 07'!I136="","Tgl Dibuat kosong",IF(NOT(ISNUMBER('PC 07'!I136)),"Tgl Dibuat harus tanggal","")),IF(AND('PC 07'!J136&lt;&gt;"",NOT(ISNUMBER('PC 07'!J136))),"Tgl Publish harus tanggal",""),IF(AND(ISNUMBER('PC 07'!I136),ISNUMBER('PC 07'!J136),'PC 07'!J136&lt;'PC 07'!I136),"Tgl Publish &lt; Tgl Dibuat",""),IF(AND('PC 07'!K136&lt;&gt;"",ISERROR(MATCH(TRIM('PC 07'!K136),{"Draft","Menunggu Review","Revisi","Terjadwal","Publish","Batal","Published"},0))),"Status di luar daftar","")))</f>
        <v>#ERROR!</v>
      </c>
      <c r="D136" s="3" t="str">
        <f>IF(C136="","OK","ADA MASALAH")</f>
        <v>#ERROR!</v>
      </c>
    </row>
    <row r="137">
      <c r="A137" s="5">
        <v>137.0</v>
      </c>
      <c r="B137" s="3" t="str">
        <f>'PC 07'!A137</f>
        <v/>
      </c>
      <c r="C137" s="3" t="str">
        <f>IF(COUNTA('PC 07'!A137:L137)=0,"",TEXTJOIN(" | ",TRUE,IF('PC 07'!A137="","Worker ID kosong",""),IF('PC 07'!B137="","Update Date kosong",IF(NOT(ISNUMBER('PC 07'!B137)),"Update Date harus tanggal","")),IF('PC 07'!D137="","Judul kosong",""),IF('PC 07'!F137="","Genre kosong",IF(ISERROR(MATCH(TRIM('PC 07'!F137),{"Pop","Rock","Dangdut","K-Pop","Electronic","Nasional","Daerah"},0)),"Genre di luar daftar","")),IF('PC 07'!G137="","Nama Channel kosong",""),IF('PC 07'!H137="","Link kosong",IF(ISERROR(FIND("youtu",LOWER('PC 07'!H137))),"Link bukan youtube","")),IF('PC 07'!I137="","Tgl Dibuat kosong",IF(NOT(ISNUMBER('PC 07'!I137)),"Tgl Dibuat harus tanggal","")),IF(AND('PC 07'!J137&lt;&gt;"",NOT(ISNUMBER('PC 07'!J137))),"Tgl Publish harus tanggal",""),IF(AND(ISNUMBER('PC 07'!I137),ISNUMBER('PC 07'!J137),'PC 07'!J137&lt;'PC 07'!I137),"Tgl Publish &lt; Tgl Dibuat",""),IF(AND('PC 07'!K137&lt;&gt;"",ISERROR(MATCH(TRIM('PC 07'!K137),{"Draft","Menunggu Review","Revisi","Terjadwal","Publish","Batal","Published"},0))),"Status di luar daftar","")))</f>
        <v>#ERROR!</v>
      </c>
      <c r="D137" s="3" t="str">
        <f>IF(C137="","OK","ADA MASALAH")</f>
        <v>#ERROR!</v>
      </c>
    </row>
    <row r="138">
      <c r="A138" s="5">
        <v>138.0</v>
      </c>
      <c r="B138" s="3" t="str">
        <f>'PC 07'!A138</f>
        <v/>
      </c>
      <c r="C138" s="3" t="str">
        <f>IF(COUNTA('PC 07'!A138:L138)=0,"",TEXTJOIN(" | ",TRUE,IF('PC 07'!A138="","Worker ID kosong",""),IF('PC 07'!B138="","Update Date kosong",IF(NOT(ISNUMBER('PC 07'!B138)),"Update Date harus tanggal","")),IF('PC 07'!D138="","Judul kosong",""),IF('PC 07'!F138="","Genre kosong",IF(ISERROR(MATCH(TRIM('PC 07'!F138),{"Pop","Rock","Dangdut","K-Pop","Electronic","Nasional","Daerah"},0)),"Genre di luar daftar","")),IF('PC 07'!G138="","Nama Channel kosong",""),IF('PC 07'!H138="","Link kosong",IF(ISERROR(FIND("youtu",LOWER('PC 07'!H138))),"Link bukan youtube","")),IF('PC 07'!I138="","Tgl Dibuat kosong",IF(NOT(ISNUMBER('PC 07'!I138)),"Tgl Dibuat harus tanggal","")),IF(AND('PC 07'!J138&lt;&gt;"",NOT(ISNUMBER('PC 07'!J138))),"Tgl Publish harus tanggal",""),IF(AND(ISNUMBER('PC 07'!I138),ISNUMBER('PC 07'!J138),'PC 07'!J138&lt;'PC 07'!I138),"Tgl Publish &lt; Tgl Dibuat",""),IF(AND('PC 07'!K138&lt;&gt;"",ISERROR(MATCH(TRIM('PC 07'!K138),{"Draft","Menunggu Review","Revisi","Terjadwal","Publish","Batal","Published"},0))),"Status di luar daftar","")))</f>
        <v>#ERROR!</v>
      </c>
      <c r="D138" s="3" t="str">
        <f>IF(C138="","OK","ADA MASALAH")</f>
        <v>#ERROR!</v>
      </c>
    </row>
    <row r="139">
      <c r="A139" s="5">
        <v>139.0</v>
      </c>
      <c r="B139" s="3" t="str">
        <f>'PC 07'!A139</f>
        <v/>
      </c>
      <c r="C139" s="3" t="str">
        <f>IF(COUNTA('PC 07'!A139:L139)=0,"",TEXTJOIN(" | ",TRUE,IF('PC 07'!A139="","Worker ID kosong",""),IF('PC 07'!B139="","Update Date kosong",IF(NOT(ISNUMBER('PC 07'!B139)),"Update Date harus tanggal","")),IF('PC 07'!D139="","Judul kosong",""),IF('PC 07'!F139="","Genre kosong",IF(ISERROR(MATCH(TRIM('PC 07'!F139),{"Pop","Rock","Dangdut","K-Pop","Electronic","Nasional","Daerah"},0)),"Genre di luar daftar","")),IF('PC 07'!G139="","Nama Channel kosong",""),IF('PC 07'!H139="","Link kosong",IF(ISERROR(FIND("youtu",LOWER('PC 07'!H139))),"Link bukan youtube","")),IF('PC 07'!I139="","Tgl Dibuat kosong",IF(NOT(ISNUMBER('PC 07'!I139)),"Tgl Dibuat harus tanggal","")),IF(AND('PC 07'!J139&lt;&gt;"",NOT(ISNUMBER('PC 07'!J139))),"Tgl Publish harus tanggal",""),IF(AND(ISNUMBER('PC 07'!I139),ISNUMBER('PC 07'!J139),'PC 07'!J139&lt;'PC 07'!I139),"Tgl Publish &lt; Tgl Dibuat",""),IF(AND('PC 07'!K139&lt;&gt;"",ISERROR(MATCH(TRIM('PC 07'!K139),{"Draft","Menunggu Review","Revisi","Terjadwal","Publish","Batal","Published"},0))),"Status di luar daftar","")))</f>
        <v>#ERROR!</v>
      </c>
      <c r="D139" s="3" t="str">
        <f>IF(C139="","OK","ADA MASALAH")</f>
        <v>#ERROR!</v>
      </c>
    </row>
    <row r="140">
      <c r="A140" s="5">
        <v>140.0</v>
      </c>
      <c r="B140" s="3" t="str">
        <f>'PC 07'!A140</f>
        <v/>
      </c>
      <c r="C140" s="3" t="str">
        <f>IF(COUNTA('PC 07'!A140:L140)=0,"",TEXTJOIN(" | ",TRUE,IF('PC 07'!A140="","Worker ID kosong",""),IF('PC 07'!B140="","Update Date kosong",IF(NOT(ISNUMBER('PC 07'!B140)),"Update Date harus tanggal","")),IF('PC 07'!D140="","Judul kosong",""),IF('PC 07'!F140="","Genre kosong",IF(ISERROR(MATCH(TRIM('PC 07'!F140),{"Pop","Rock","Dangdut","K-Pop","Electronic","Nasional","Daerah"},0)),"Genre di luar daftar","")),IF('PC 07'!G140="","Nama Channel kosong",""),IF('PC 07'!H140="","Link kosong",IF(ISERROR(FIND("youtu",LOWER('PC 07'!H140))),"Link bukan youtube","")),IF('PC 07'!I140="","Tgl Dibuat kosong",IF(NOT(ISNUMBER('PC 07'!I140)),"Tgl Dibuat harus tanggal","")),IF(AND('PC 07'!J140&lt;&gt;"",NOT(ISNUMBER('PC 07'!J140))),"Tgl Publish harus tanggal",""),IF(AND(ISNUMBER('PC 07'!I140),ISNUMBER('PC 07'!J140),'PC 07'!J140&lt;'PC 07'!I140),"Tgl Publish &lt; Tgl Dibuat",""),IF(AND('PC 07'!K140&lt;&gt;"",ISERROR(MATCH(TRIM('PC 07'!K140),{"Draft","Menunggu Review","Revisi","Terjadwal","Publish","Batal","Published"},0))),"Status di luar daftar","")))</f>
        <v>#ERROR!</v>
      </c>
      <c r="D140" s="3" t="str">
        <f>IF(C140="","OK","ADA MASALAH")</f>
        <v>#ERROR!</v>
      </c>
    </row>
    <row r="141">
      <c r="A141" s="5">
        <v>141.0</v>
      </c>
      <c r="B141" s="3" t="str">
        <f>'PC 07'!A141</f>
        <v/>
      </c>
      <c r="C141" s="3" t="str">
        <f>IF(COUNTA('PC 07'!A141:L141)=0,"",TEXTJOIN(" | ",TRUE,IF('PC 07'!A141="","Worker ID kosong",""),IF('PC 07'!B141="","Update Date kosong",IF(NOT(ISNUMBER('PC 07'!B141)),"Update Date harus tanggal","")),IF('PC 07'!D141="","Judul kosong",""),IF('PC 07'!F141="","Genre kosong",IF(ISERROR(MATCH(TRIM('PC 07'!F141),{"Pop","Rock","Dangdut","K-Pop","Electronic","Nasional","Daerah"},0)),"Genre di luar daftar","")),IF('PC 07'!G141="","Nama Channel kosong",""),IF('PC 07'!H141="","Link kosong",IF(ISERROR(FIND("youtu",LOWER('PC 07'!H141))),"Link bukan youtube","")),IF('PC 07'!I141="","Tgl Dibuat kosong",IF(NOT(ISNUMBER('PC 07'!I141)),"Tgl Dibuat harus tanggal","")),IF(AND('PC 07'!J141&lt;&gt;"",NOT(ISNUMBER('PC 07'!J141))),"Tgl Publish harus tanggal",""),IF(AND(ISNUMBER('PC 07'!I141),ISNUMBER('PC 07'!J141),'PC 07'!J141&lt;'PC 07'!I141),"Tgl Publish &lt; Tgl Dibuat",""),IF(AND('PC 07'!K141&lt;&gt;"",ISERROR(MATCH(TRIM('PC 07'!K141),{"Draft","Menunggu Review","Revisi","Terjadwal","Publish","Batal","Published"},0))),"Status di luar daftar","")))</f>
        <v>#ERROR!</v>
      </c>
      <c r="D141" s="3" t="str">
        <f>IF(C141="","OK","ADA MASALAH")</f>
        <v>#ERROR!</v>
      </c>
    </row>
    <row r="142">
      <c r="A142" s="5">
        <v>142.0</v>
      </c>
      <c r="B142" s="3" t="str">
        <f>'PC 07'!A142</f>
        <v/>
      </c>
      <c r="C142" s="3" t="str">
        <f>IF(COUNTA('PC 07'!A142:L142)=0,"",TEXTJOIN(" | ",TRUE,IF('PC 07'!A142="","Worker ID kosong",""),IF('PC 07'!B142="","Update Date kosong",IF(NOT(ISNUMBER('PC 07'!B142)),"Update Date harus tanggal","")),IF('PC 07'!D142="","Judul kosong",""),IF('PC 07'!F142="","Genre kosong",IF(ISERROR(MATCH(TRIM('PC 07'!F142),{"Pop","Rock","Dangdut","K-Pop","Electronic","Nasional","Daerah"},0)),"Genre di luar daftar","")),IF('PC 07'!G142="","Nama Channel kosong",""),IF('PC 07'!H142="","Link kosong",IF(ISERROR(FIND("youtu",LOWER('PC 07'!H142))),"Link bukan youtube","")),IF('PC 07'!I142="","Tgl Dibuat kosong",IF(NOT(ISNUMBER('PC 07'!I142)),"Tgl Dibuat harus tanggal","")),IF(AND('PC 07'!J142&lt;&gt;"",NOT(ISNUMBER('PC 07'!J142))),"Tgl Publish harus tanggal",""),IF(AND(ISNUMBER('PC 07'!I142),ISNUMBER('PC 07'!J142),'PC 07'!J142&lt;'PC 07'!I142),"Tgl Publish &lt; Tgl Dibuat",""),IF(AND('PC 07'!K142&lt;&gt;"",ISERROR(MATCH(TRIM('PC 07'!K142),{"Draft","Menunggu Review","Revisi","Terjadwal","Publish","Batal","Published"},0))),"Status di luar daftar","")))</f>
        <v>#ERROR!</v>
      </c>
      <c r="D142" s="3" t="str">
        <f>IF(C142="","OK","ADA MASALAH")</f>
        <v>#ERROR!</v>
      </c>
    </row>
    <row r="143">
      <c r="A143" s="5">
        <v>143.0</v>
      </c>
      <c r="B143" s="3" t="str">
        <f>'PC 07'!A143</f>
        <v/>
      </c>
      <c r="C143" s="3" t="str">
        <f>IF(COUNTA('PC 07'!A143:L143)=0,"",TEXTJOIN(" | ",TRUE,IF('PC 07'!A143="","Worker ID kosong",""),IF('PC 07'!B143="","Update Date kosong",IF(NOT(ISNUMBER('PC 07'!B143)),"Update Date harus tanggal","")),IF('PC 07'!D143="","Judul kosong",""),IF('PC 07'!F143="","Genre kosong",IF(ISERROR(MATCH(TRIM('PC 07'!F143),{"Pop","Rock","Dangdut","K-Pop","Electronic","Nasional","Daerah"},0)),"Genre di luar daftar","")),IF('PC 07'!G143="","Nama Channel kosong",""),IF('PC 07'!H143="","Link kosong",IF(ISERROR(FIND("youtu",LOWER('PC 07'!H143))),"Link bukan youtube","")),IF('PC 07'!I143="","Tgl Dibuat kosong",IF(NOT(ISNUMBER('PC 07'!I143)),"Tgl Dibuat harus tanggal","")),IF(AND('PC 07'!J143&lt;&gt;"",NOT(ISNUMBER('PC 07'!J143))),"Tgl Publish harus tanggal",""),IF(AND(ISNUMBER('PC 07'!I143),ISNUMBER('PC 07'!J143),'PC 07'!J143&lt;'PC 07'!I143),"Tgl Publish &lt; Tgl Dibuat",""),IF(AND('PC 07'!K143&lt;&gt;"",ISERROR(MATCH(TRIM('PC 07'!K143),{"Draft","Menunggu Review","Revisi","Terjadwal","Publish","Batal","Published"},0))),"Status di luar daftar","")))</f>
        <v>#ERROR!</v>
      </c>
      <c r="D143" s="3" t="str">
        <f>IF(C143="","OK","ADA MASALAH")</f>
        <v>#ERROR!</v>
      </c>
    </row>
    <row r="144">
      <c r="A144" s="5">
        <v>144.0</v>
      </c>
      <c r="B144" s="3" t="str">
        <f>'PC 07'!A144</f>
        <v/>
      </c>
      <c r="C144" s="3" t="str">
        <f>IF(COUNTA('PC 07'!A144:L144)=0,"",TEXTJOIN(" | ",TRUE,IF('PC 07'!A144="","Worker ID kosong",""),IF('PC 07'!B144="","Update Date kosong",IF(NOT(ISNUMBER('PC 07'!B144)),"Update Date harus tanggal","")),IF('PC 07'!D144="","Judul kosong",""),IF('PC 07'!F144="","Genre kosong",IF(ISERROR(MATCH(TRIM('PC 07'!F144),{"Pop","Rock","Dangdut","K-Pop","Electronic","Nasional","Daerah"},0)),"Genre di luar daftar","")),IF('PC 07'!G144="","Nama Channel kosong",""),IF('PC 07'!H144="","Link kosong",IF(ISERROR(FIND("youtu",LOWER('PC 07'!H144))),"Link bukan youtube","")),IF('PC 07'!I144="","Tgl Dibuat kosong",IF(NOT(ISNUMBER('PC 07'!I144)),"Tgl Dibuat harus tanggal","")),IF(AND('PC 07'!J144&lt;&gt;"",NOT(ISNUMBER('PC 07'!J144))),"Tgl Publish harus tanggal",""),IF(AND(ISNUMBER('PC 07'!I144),ISNUMBER('PC 07'!J144),'PC 07'!J144&lt;'PC 07'!I144),"Tgl Publish &lt; Tgl Dibuat",""),IF(AND('PC 07'!K144&lt;&gt;"",ISERROR(MATCH(TRIM('PC 07'!K144),{"Draft","Menunggu Review","Revisi","Terjadwal","Publish","Batal","Published"},0))),"Status di luar daftar","")))</f>
        <v>#ERROR!</v>
      </c>
      <c r="D144" s="3" t="str">
        <f>IF(C144="","OK","ADA MASALAH")</f>
        <v>#ERROR!</v>
      </c>
    </row>
    <row r="145">
      <c r="A145" s="5">
        <v>145.0</v>
      </c>
      <c r="B145" s="3" t="str">
        <f>'PC 07'!A145</f>
        <v/>
      </c>
      <c r="C145" s="3" t="str">
        <f>IF(COUNTA('PC 07'!A145:L145)=0,"",TEXTJOIN(" | ",TRUE,IF('PC 07'!A145="","Worker ID kosong",""),IF('PC 07'!B145="","Update Date kosong",IF(NOT(ISNUMBER('PC 07'!B145)),"Update Date harus tanggal","")),IF('PC 07'!D145="","Judul kosong",""),IF('PC 07'!F145="","Genre kosong",IF(ISERROR(MATCH(TRIM('PC 07'!F145),{"Pop","Rock","Dangdut","K-Pop","Electronic","Nasional","Daerah"},0)),"Genre di luar daftar","")),IF('PC 07'!G145="","Nama Channel kosong",""),IF('PC 07'!H145="","Link kosong",IF(ISERROR(FIND("youtu",LOWER('PC 07'!H145))),"Link bukan youtube","")),IF('PC 07'!I145="","Tgl Dibuat kosong",IF(NOT(ISNUMBER('PC 07'!I145)),"Tgl Dibuat harus tanggal","")),IF(AND('PC 07'!J145&lt;&gt;"",NOT(ISNUMBER('PC 07'!J145))),"Tgl Publish harus tanggal",""),IF(AND(ISNUMBER('PC 07'!I145),ISNUMBER('PC 07'!J145),'PC 07'!J145&lt;'PC 07'!I145),"Tgl Publish &lt; Tgl Dibuat",""),IF(AND('PC 07'!K145&lt;&gt;"",ISERROR(MATCH(TRIM('PC 07'!K145),{"Draft","Menunggu Review","Revisi","Terjadwal","Publish","Batal","Published"},0))),"Status di luar daftar","")))</f>
        <v>#ERROR!</v>
      </c>
      <c r="D145" s="3" t="str">
        <f>IF(C145="","OK","ADA MASALAH")</f>
        <v>#ERROR!</v>
      </c>
    </row>
    <row r="146">
      <c r="A146" s="5">
        <v>146.0</v>
      </c>
      <c r="B146" s="3" t="str">
        <f>'PC 07'!A146</f>
        <v/>
      </c>
      <c r="C146" s="3" t="str">
        <f>IF(COUNTA('PC 07'!A146:L146)=0,"",TEXTJOIN(" | ",TRUE,IF('PC 07'!A146="","Worker ID kosong",""),IF('PC 07'!B146="","Update Date kosong",IF(NOT(ISNUMBER('PC 07'!B146)),"Update Date harus tanggal","")),IF('PC 07'!D146="","Judul kosong",""),IF('PC 07'!F146="","Genre kosong",IF(ISERROR(MATCH(TRIM('PC 07'!F146),{"Pop","Rock","Dangdut","K-Pop","Electronic","Nasional","Daerah"},0)),"Genre di luar daftar","")),IF('PC 07'!G146="","Nama Channel kosong",""),IF('PC 07'!H146="","Link kosong",IF(ISERROR(FIND("youtu",LOWER('PC 07'!H146))),"Link bukan youtube","")),IF('PC 07'!I146="","Tgl Dibuat kosong",IF(NOT(ISNUMBER('PC 07'!I146)),"Tgl Dibuat harus tanggal","")),IF(AND('PC 07'!J146&lt;&gt;"",NOT(ISNUMBER('PC 07'!J146))),"Tgl Publish harus tanggal",""),IF(AND(ISNUMBER('PC 07'!I146),ISNUMBER('PC 07'!J146),'PC 07'!J146&lt;'PC 07'!I146),"Tgl Publish &lt; Tgl Dibuat",""),IF(AND('PC 07'!K146&lt;&gt;"",ISERROR(MATCH(TRIM('PC 07'!K146),{"Draft","Menunggu Review","Revisi","Terjadwal","Publish","Batal","Published"},0))),"Status di luar daftar","")))</f>
        <v>#ERROR!</v>
      </c>
      <c r="D146" s="3" t="str">
        <f>IF(C146="","OK","ADA MASALAH")</f>
        <v>#ERROR!</v>
      </c>
    </row>
    <row r="147">
      <c r="A147" s="5">
        <v>147.0</v>
      </c>
      <c r="B147" s="3" t="str">
        <f>'PC 07'!A147</f>
        <v/>
      </c>
      <c r="C147" s="3" t="str">
        <f>IF(COUNTA('PC 07'!A147:L147)=0,"",TEXTJOIN(" | ",TRUE,IF('PC 07'!A147="","Worker ID kosong",""),IF('PC 07'!B147="","Update Date kosong",IF(NOT(ISNUMBER('PC 07'!B147)),"Update Date harus tanggal","")),IF('PC 07'!D147="","Judul kosong",""),IF('PC 07'!F147="","Genre kosong",IF(ISERROR(MATCH(TRIM('PC 07'!F147),{"Pop","Rock","Dangdut","K-Pop","Electronic","Nasional","Daerah"},0)),"Genre di luar daftar","")),IF('PC 07'!G147="","Nama Channel kosong",""),IF('PC 07'!H147="","Link kosong",IF(ISERROR(FIND("youtu",LOWER('PC 07'!H147))),"Link bukan youtube","")),IF('PC 07'!I147="","Tgl Dibuat kosong",IF(NOT(ISNUMBER('PC 07'!I147)),"Tgl Dibuat harus tanggal","")),IF(AND('PC 07'!J147&lt;&gt;"",NOT(ISNUMBER('PC 07'!J147))),"Tgl Publish harus tanggal",""),IF(AND(ISNUMBER('PC 07'!I147),ISNUMBER('PC 07'!J147),'PC 07'!J147&lt;'PC 07'!I147),"Tgl Publish &lt; Tgl Dibuat",""),IF(AND('PC 07'!K147&lt;&gt;"",ISERROR(MATCH(TRIM('PC 07'!K147),{"Draft","Menunggu Review","Revisi","Terjadwal","Publish","Batal","Published"},0))),"Status di luar daftar","")))</f>
        <v>#ERROR!</v>
      </c>
      <c r="D147" s="3" t="str">
        <f>IF(C147="","OK","ADA MASALAH")</f>
        <v>#ERROR!</v>
      </c>
    </row>
    <row r="148">
      <c r="A148" s="5">
        <v>148.0</v>
      </c>
      <c r="B148" s="3" t="str">
        <f>'PC 07'!A148</f>
        <v/>
      </c>
      <c r="C148" s="3" t="str">
        <f>IF(COUNTA('PC 07'!A148:L148)=0,"",TEXTJOIN(" | ",TRUE,IF('PC 07'!A148="","Worker ID kosong",""),IF('PC 07'!B148="","Update Date kosong",IF(NOT(ISNUMBER('PC 07'!B148)),"Update Date harus tanggal","")),IF('PC 07'!D148="","Judul kosong",""),IF('PC 07'!F148="","Genre kosong",IF(ISERROR(MATCH(TRIM('PC 07'!F148),{"Pop","Rock","Dangdut","K-Pop","Electronic","Nasional","Daerah"},0)),"Genre di luar daftar","")),IF('PC 07'!G148="","Nama Channel kosong",""),IF('PC 07'!H148="","Link kosong",IF(ISERROR(FIND("youtu",LOWER('PC 07'!H148))),"Link bukan youtube","")),IF('PC 07'!I148="","Tgl Dibuat kosong",IF(NOT(ISNUMBER('PC 07'!I148)),"Tgl Dibuat harus tanggal","")),IF(AND('PC 07'!J148&lt;&gt;"",NOT(ISNUMBER('PC 07'!J148))),"Tgl Publish harus tanggal",""),IF(AND(ISNUMBER('PC 07'!I148),ISNUMBER('PC 07'!J148),'PC 07'!J148&lt;'PC 07'!I148),"Tgl Publish &lt; Tgl Dibuat",""),IF(AND('PC 07'!K148&lt;&gt;"",ISERROR(MATCH(TRIM('PC 07'!K148),{"Draft","Menunggu Review","Revisi","Terjadwal","Publish","Batal","Published"},0))),"Status di luar daftar","")))</f>
        <v>#ERROR!</v>
      </c>
      <c r="D148" s="3" t="str">
        <f>IF(C148="","OK","ADA MASALAH")</f>
        <v>#ERROR!</v>
      </c>
    </row>
    <row r="149">
      <c r="A149" s="5">
        <v>149.0</v>
      </c>
      <c r="B149" s="3" t="str">
        <f>'PC 07'!A149</f>
        <v/>
      </c>
      <c r="C149" s="3" t="str">
        <f>IF(COUNTA('PC 07'!A149:L149)=0,"",TEXTJOIN(" | ",TRUE,IF('PC 07'!A149="","Worker ID kosong",""),IF('PC 07'!B149="","Update Date kosong",IF(NOT(ISNUMBER('PC 07'!B149)),"Update Date harus tanggal","")),IF('PC 07'!D149="","Judul kosong",""),IF('PC 07'!F149="","Genre kosong",IF(ISERROR(MATCH(TRIM('PC 07'!F149),{"Pop","Rock","Dangdut","K-Pop","Electronic","Nasional","Daerah"},0)),"Genre di luar daftar","")),IF('PC 07'!G149="","Nama Channel kosong",""),IF('PC 07'!H149="","Link kosong",IF(ISERROR(FIND("youtu",LOWER('PC 07'!H149))),"Link bukan youtube","")),IF('PC 07'!I149="","Tgl Dibuat kosong",IF(NOT(ISNUMBER('PC 07'!I149)),"Tgl Dibuat harus tanggal","")),IF(AND('PC 07'!J149&lt;&gt;"",NOT(ISNUMBER('PC 07'!J149))),"Tgl Publish harus tanggal",""),IF(AND(ISNUMBER('PC 07'!I149),ISNUMBER('PC 07'!J149),'PC 07'!J149&lt;'PC 07'!I149),"Tgl Publish &lt; Tgl Dibuat",""),IF(AND('PC 07'!K149&lt;&gt;"",ISERROR(MATCH(TRIM('PC 07'!K149),{"Draft","Menunggu Review","Revisi","Terjadwal","Publish","Batal","Published"},0))),"Status di luar daftar","")))</f>
        <v>#ERROR!</v>
      </c>
      <c r="D149" s="3" t="str">
        <f>IF(C149="","OK","ADA MASALAH")</f>
        <v>#ERROR!</v>
      </c>
    </row>
    <row r="150">
      <c r="A150" s="5">
        <v>150.0</v>
      </c>
      <c r="B150" s="3" t="str">
        <f>'PC 07'!A150</f>
        <v/>
      </c>
      <c r="C150" s="3" t="str">
        <f>IF(COUNTA('PC 07'!A150:L150)=0,"",TEXTJOIN(" | ",TRUE,IF('PC 07'!A150="","Worker ID kosong",""),IF('PC 07'!B150="","Update Date kosong",IF(NOT(ISNUMBER('PC 07'!B150)),"Update Date harus tanggal","")),IF('PC 07'!D150="","Judul kosong",""),IF('PC 07'!F150="","Genre kosong",IF(ISERROR(MATCH(TRIM('PC 07'!F150),{"Pop","Rock","Dangdut","K-Pop","Electronic","Nasional","Daerah"},0)),"Genre di luar daftar","")),IF('PC 07'!G150="","Nama Channel kosong",""),IF('PC 07'!H150="","Link kosong",IF(ISERROR(FIND("youtu",LOWER('PC 07'!H150))),"Link bukan youtube","")),IF('PC 07'!I150="","Tgl Dibuat kosong",IF(NOT(ISNUMBER('PC 07'!I150)),"Tgl Dibuat harus tanggal","")),IF(AND('PC 07'!J150&lt;&gt;"",NOT(ISNUMBER('PC 07'!J150))),"Tgl Publish harus tanggal",""),IF(AND(ISNUMBER('PC 07'!I150),ISNUMBER('PC 07'!J150),'PC 07'!J150&lt;'PC 07'!I150),"Tgl Publish &lt; Tgl Dibuat",""),IF(AND('PC 07'!K150&lt;&gt;"",ISERROR(MATCH(TRIM('PC 07'!K150),{"Draft","Menunggu Review","Revisi","Terjadwal","Publish","Batal","Published"},0))),"Status di luar daftar","")))</f>
        <v>#ERROR!</v>
      </c>
      <c r="D150" s="3" t="str">
        <f>IF(C150="","OK","ADA MASALAH")</f>
        <v>#ERROR!</v>
      </c>
    </row>
    <row r="151">
      <c r="A151" s="5">
        <v>151.0</v>
      </c>
      <c r="B151" s="3" t="str">
        <f>'PC 07'!A151</f>
        <v/>
      </c>
      <c r="C151" s="3" t="str">
        <f>IF(COUNTA('PC 07'!A151:L151)=0,"",TEXTJOIN(" | ",TRUE,IF('PC 07'!A151="","Worker ID kosong",""),IF('PC 07'!B151="","Update Date kosong",IF(NOT(ISNUMBER('PC 07'!B151)),"Update Date harus tanggal","")),IF('PC 07'!D151="","Judul kosong",""),IF('PC 07'!F151="","Genre kosong",IF(ISERROR(MATCH(TRIM('PC 07'!F151),{"Pop","Rock","Dangdut","K-Pop","Electronic","Nasional","Daerah"},0)),"Genre di luar daftar","")),IF('PC 07'!G151="","Nama Channel kosong",""),IF('PC 07'!H151="","Link kosong",IF(ISERROR(FIND("youtu",LOWER('PC 07'!H151))),"Link bukan youtube","")),IF('PC 07'!I151="","Tgl Dibuat kosong",IF(NOT(ISNUMBER('PC 07'!I151)),"Tgl Dibuat harus tanggal","")),IF(AND('PC 07'!J151&lt;&gt;"",NOT(ISNUMBER('PC 07'!J151))),"Tgl Publish harus tanggal",""),IF(AND(ISNUMBER('PC 07'!I151),ISNUMBER('PC 07'!J151),'PC 07'!J151&lt;'PC 07'!I151),"Tgl Publish &lt; Tgl Dibuat",""),IF(AND('PC 07'!K151&lt;&gt;"",ISERROR(MATCH(TRIM('PC 07'!K151),{"Draft","Menunggu Review","Revisi","Terjadwal","Publish","Batal","Published"},0))),"Status di luar daftar","")))</f>
        <v>#ERROR!</v>
      </c>
      <c r="D151" s="3" t="str">
        <f>IF(C151="","OK","ADA MASALAH")</f>
        <v>#ERROR!</v>
      </c>
    </row>
    <row r="152">
      <c r="A152" s="5">
        <v>152.0</v>
      </c>
      <c r="B152" s="3" t="str">
        <f>'PC 07'!A152</f>
        <v/>
      </c>
      <c r="C152" s="3" t="str">
        <f>IF(COUNTA('PC 07'!A152:L152)=0,"",TEXTJOIN(" | ",TRUE,IF('PC 07'!A152="","Worker ID kosong",""),IF('PC 07'!B152="","Update Date kosong",IF(NOT(ISNUMBER('PC 07'!B152)),"Update Date harus tanggal","")),IF('PC 07'!D152="","Judul kosong",""),IF('PC 07'!F152="","Genre kosong",IF(ISERROR(MATCH(TRIM('PC 07'!F152),{"Pop","Rock","Dangdut","K-Pop","Electronic","Nasional","Daerah"},0)),"Genre di luar daftar","")),IF('PC 07'!G152="","Nama Channel kosong",""),IF('PC 07'!H152="","Link kosong",IF(ISERROR(FIND("youtu",LOWER('PC 07'!H152))),"Link bukan youtube","")),IF('PC 07'!I152="","Tgl Dibuat kosong",IF(NOT(ISNUMBER('PC 07'!I152)),"Tgl Dibuat harus tanggal","")),IF(AND('PC 07'!J152&lt;&gt;"",NOT(ISNUMBER('PC 07'!J152))),"Tgl Publish harus tanggal",""),IF(AND(ISNUMBER('PC 07'!I152),ISNUMBER('PC 07'!J152),'PC 07'!J152&lt;'PC 07'!I152),"Tgl Publish &lt; Tgl Dibuat",""),IF(AND('PC 07'!K152&lt;&gt;"",ISERROR(MATCH(TRIM('PC 07'!K152),{"Draft","Menunggu Review","Revisi","Terjadwal","Publish","Batal","Published"},0))),"Status di luar daftar","")))</f>
        <v>#ERROR!</v>
      </c>
      <c r="D152" s="3" t="str">
        <f>IF(C152="","OK","ADA MASALAH")</f>
        <v>#ERROR!</v>
      </c>
    </row>
    <row r="153">
      <c r="A153" s="5">
        <v>153.0</v>
      </c>
      <c r="B153" s="3" t="str">
        <f>'PC 07'!A153</f>
        <v/>
      </c>
      <c r="C153" s="3" t="str">
        <f>IF(COUNTA('PC 07'!A153:L153)=0,"",TEXTJOIN(" | ",TRUE,IF('PC 07'!A153="","Worker ID kosong",""),IF('PC 07'!B153="","Update Date kosong",IF(NOT(ISNUMBER('PC 07'!B153)),"Update Date harus tanggal","")),IF('PC 07'!D153="","Judul kosong",""),IF('PC 07'!F153="","Genre kosong",IF(ISERROR(MATCH(TRIM('PC 07'!F153),{"Pop","Rock","Dangdut","K-Pop","Electronic","Nasional","Daerah"},0)),"Genre di luar daftar","")),IF('PC 07'!G153="","Nama Channel kosong",""),IF('PC 07'!H153="","Link kosong",IF(ISERROR(FIND("youtu",LOWER('PC 07'!H153))),"Link bukan youtube","")),IF('PC 07'!I153="","Tgl Dibuat kosong",IF(NOT(ISNUMBER('PC 07'!I153)),"Tgl Dibuat harus tanggal","")),IF(AND('PC 07'!J153&lt;&gt;"",NOT(ISNUMBER('PC 07'!J153))),"Tgl Publish harus tanggal",""),IF(AND(ISNUMBER('PC 07'!I153),ISNUMBER('PC 07'!J153),'PC 07'!J153&lt;'PC 07'!I153),"Tgl Publish &lt; Tgl Dibuat",""),IF(AND('PC 07'!K153&lt;&gt;"",ISERROR(MATCH(TRIM('PC 07'!K153),{"Draft","Menunggu Review","Revisi","Terjadwal","Publish","Batal","Published"},0))),"Status di luar daftar","")))</f>
        <v>#ERROR!</v>
      </c>
      <c r="D153" s="3" t="str">
        <f>IF(C153="","OK","ADA MASALAH")</f>
        <v>#ERROR!</v>
      </c>
    </row>
    <row r="154">
      <c r="A154" s="5">
        <v>154.0</v>
      </c>
      <c r="B154" s="3" t="str">
        <f>'PC 07'!A154</f>
        <v/>
      </c>
      <c r="C154" s="3" t="str">
        <f>IF(COUNTA('PC 07'!A154:L154)=0,"",TEXTJOIN(" | ",TRUE,IF('PC 07'!A154="","Worker ID kosong",""),IF('PC 07'!B154="","Update Date kosong",IF(NOT(ISNUMBER('PC 07'!B154)),"Update Date harus tanggal","")),IF('PC 07'!D154="","Judul kosong",""),IF('PC 07'!F154="","Genre kosong",IF(ISERROR(MATCH(TRIM('PC 07'!F154),{"Pop","Rock","Dangdut","K-Pop","Electronic","Nasional","Daerah"},0)),"Genre di luar daftar","")),IF('PC 07'!G154="","Nama Channel kosong",""),IF('PC 07'!H154="","Link kosong",IF(ISERROR(FIND("youtu",LOWER('PC 07'!H154))),"Link bukan youtube","")),IF('PC 07'!I154="","Tgl Dibuat kosong",IF(NOT(ISNUMBER('PC 07'!I154)),"Tgl Dibuat harus tanggal","")),IF(AND('PC 07'!J154&lt;&gt;"",NOT(ISNUMBER('PC 07'!J154))),"Tgl Publish harus tanggal",""),IF(AND(ISNUMBER('PC 07'!I154),ISNUMBER('PC 07'!J154),'PC 07'!J154&lt;'PC 07'!I154),"Tgl Publish &lt; Tgl Dibuat",""),IF(AND('PC 07'!K154&lt;&gt;"",ISERROR(MATCH(TRIM('PC 07'!K154),{"Draft","Menunggu Review","Revisi","Terjadwal","Publish","Batal","Published"},0))),"Status di luar daftar","")))</f>
        <v>#ERROR!</v>
      </c>
      <c r="D154" s="3" t="str">
        <f>IF(C154="","OK","ADA MASALAH")</f>
        <v>#ERROR!</v>
      </c>
    </row>
    <row r="155">
      <c r="A155" s="5">
        <v>155.0</v>
      </c>
      <c r="B155" s="3" t="str">
        <f>'PC 07'!A155</f>
        <v/>
      </c>
      <c r="C155" s="3" t="str">
        <f>IF(COUNTA('PC 07'!A155:L155)=0,"",TEXTJOIN(" | ",TRUE,IF('PC 07'!A155="","Worker ID kosong",""),IF('PC 07'!B155="","Update Date kosong",IF(NOT(ISNUMBER('PC 07'!B155)),"Update Date harus tanggal","")),IF('PC 07'!D155="","Judul kosong",""),IF('PC 07'!F155="","Genre kosong",IF(ISERROR(MATCH(TRIM('PC 07'!F155),{"Pop","Rock","Dangdut","K-Pop","Electronic","Nasional","Daerah"},0)),"Genre di luar daftar","")),IF('PC 07'!G155="","Nama Channel kosong",""),IF('PC 07'!H155="","Link kosong",IF(ISERROR(FIND("youtu",LOWER('PC 07'!H155))),"Link bukan youtube","")),IF('PC 07'!I155="","Tgl Dibuat kosong",IF(NOT(ISNUMBER('PC 07'!I155)),"Tgl Dibuat harus tanggal","")),IF(AND('PC 07'!J155&lt;&gt;"",NOT(ISNUMBER('PC 07'!J155))),"Tgl Publish harus tanggal",""),IF(AND(ISNUMBER('PC 07'!I155),ISNUMBER('PC 07'!J155),'PC 07'!J155&lt;'PC 07'!I155),"Tgl Publish &lt; Tgl Dibuat",""),IF(AND('PC 07'!K155&lt;&gt;"",ISERROR(MATCH(TRIM('PC 07'!K155),{"Draft","Menunggu Review","Revisi","Terjadwal","Publish","Batal","Published"},0))),"Status di luar daftar","")))</f>
        <v>#ERROR!</v>
      </c>
      <c r="D155" s="3" t="str">
        <f>IF(C155="","OK","ADA MASALAH")</f>
        <v>#ERROR!</v>
      </c>
    </row>
    <row r="156">
      <c r="A156" s="5">
        <v>156.0</v>
      </c>
      <c r="B156" s="3" t="str">
        <f>'PC 07'!A156</f>
        <v/>
      </c>
      <c r="C156" s="3" t="str">
        <f>IF(COUNTA('PC 07'!A156:L156)=0,"",TEXTJOIN(" | ",TRUE,IF('PC 07'!A156="","Worker ID kosong",""),IF('PC 07'!B156="","Update Date kosong",IF(NOT(ISNUMBER('PC 07'!B156)),"Update Date harus tanggal","")),IF('PC 07'!D156="","Judul kosong",""),IF('PC 07'!F156="","Genre kosong",IF(ISERROR(MATCH(TRIM('PC 07'!F156),{"Pop","Rock","Dangdut","K-Pop","Electronic","Nasional","Daerah"},0)),"Genre di luar daftar","")),IF('PC 07'!G156="","Nama Channel kosong",""),IF('PC 07'!H156="","Link kosong",IF(ISERROR(FIND("youtu",LOWER('PC 07'!H156))),"Link bukan youtube","")),IF('PC 07'!I156="","Tgl Dibuat kosong",IF(NOT(ISNUMBER('PC 07'!I156)),"Tgl Dibuat harus tanggal","")),IF(AND('PC 07'!J156&lt;&gt;"",NOT(ISNUMBER('PC 07'!J156))),"Tgl Publish harus tanggal",""),IF(AND(ISNUMBER('PC 07'!I156),ISNUMBER('PC 07'!J156),'PC 07'!J156&lt;'PC 07'!I156),"Tgl Publish &lt; Tgl Dibuat",""),IF(AND('PC 07'!K156&lt;&gt;"",ISERROR(MATCH(TRIM('PC 07'!K156),{"Draft","Menunggu Review","Revisi","Terjadwal","Publish","Batal","Published"},0))),"Status di luar daftar","")))</f>
        <v>#ERROR!</v>
      </c>
      <c r="D156" s="3" t="str">
        <f>IF(C156="","OK","ADA MASALAH")</f>
        <v>#ERROR!</v>
      </c>
    </row>
    <row r="157">
      <c r="A157" s="5">
        <v>157.0</v>
      </c>
      <c r="B157" s="3" t="str">
        <f>'PC 07'!A157</f>
        <v/>
      </c>
      <c r="C157" s="3" t="str">
        <f>IF(COUNTA('PC 07'!A157:L157)=0,"",TEXTJOIN(" | ",TRUE,IF('PC 07'!A157="","Worker ID kosong",""),IF('PC 07'!B157="","Update Date kosong",IF(NOT(ISNUMBER('PC 07'!B157)),"Update Date harus tanggal","")),IF('PC 07'!D157="","Judul kosong",""),IF('PC 07'!F157="","Genre kosong",IF(ISERROR(MATCH(TRIM('PC 07'!F157),{"Pop","Rock","Dangdut","K-Pop","Electronic","Nasional","Daerah"},0)),"Genre di luar daftar","")),IF('PC 07'!G157="","Nama Channel kosong",""),IF('PC 07'!H157="","Link kosong",IF(ISERROR(FIND("youtu",LOWER('PC 07'!H157))),"Link bukan youtube","")),IF('PC 07'!I157="","Tgl Dibuat kosong",IF(NOT(ISNUMBER('PC 07'!I157)),"Tgl Dibuat harus tanggal","")),IF(AND('PC 07'!J157&lt;&gt;"",NOT(ISNUMBER('PC 07'!J157))),"Tgl Publish harus tanggal",""),IF(AND(ISNUMBER('PC 07'!I157),ISNUMBER('PC 07'!J157),'PC 07'!J157&lt;'PC 07'!I157),"Tgl Publish &lt; Tgl Dibuat",""),IF(AND('PC 07'!K157&lt;&gt;"",ISERROR(MATCH(TRIM('PC 07'!K157),{"Draft","Menunggu Review","Revisi","Terjadwal","Publish","Batal","Published"},0))),"Status di luar daftar","")))</f>
        <v>#ERROR!</v>
      </c>
      <c r="D157" s="3" t="str">
        <f>IF(C157="","OK","ADA MASALAH")</f>
        <v>#ERROR!</v>
      </c>
    </row>
    <row r="158">
      <c r="A158" s="5">
        <v>158.0</v>
      </c>
      <c r="B158" s="3" t="str">
        <f>'PC 07'!A158</f>
        <v/>
      </c>
      <c r="C158" s="3" t="str">
        <f>IF(COUNTA('PC 07'!A158:L158)=0,"",TEXTJOIN(" | ",TRUE,IF('PC 07'!A158="","Worker ID kosong",""),IF('PC 07'!B158="","Update Date kosong",IF(NOT(ISNUMBER('PC 07'!B158)),"Update Date harus tanggal","")),IF('PC 07'!D158="","Judul kosong",""),IF('PC 07'!F158="","Genre kosong",IF(ISERROR(MATCH(TRIM('PC 07'!F158),{"Pop","Rock","Dangdut","K-Pop","Electronic","Nasional","Daerah"},0)),"Genre di luar daftar","")),IF('PC 07'!G158="","Nama Channel kosong",""),IF('PC 07'!H158="","Link kosong",IF(ISERROR(FIND("youtu",LOWER('PC 07'!H158))),"Link bukan youtube","")),IF('PC 07'!I158="","Tgl Dibuat kosong",IF(NOT(ISNUMBER('PC 07'!I158)),"Tgl Dibuat harus tanggal","")),IF(AND('PC 07'!J158&lt;&gt;"",NOT(ISNUMBER('PC 07'!J158))),"Tgl Publish harus tanggal",""),IF(AND(ISNUMBER('PC 07'!I158),ISNUMBER('PC 07'!J158),'PC 07'!J158&lt;'PC 07'!I158),"Tgl Publish &lt; Tgl Dibuat",""),IF(AND('PC 07'!K158&lt;&gt;"",ISERROR(MATCH(TRIM('PC 07'!K158),{"Draft","Menunggu Review","Revisi","Terjadwal","Publish","Batal","Published"},0))),"Status di luar daftar","")))</f>
        <v>#ERROR!</v>
      </c>
      <c r="D158" s="3" t="str">
        <f>IF(C158="","OK","ADA MASALAH")</f>
        <v>#ERROR!</v>
      </c>
    </row>
    <row r="159">
      <c r="A159" s="5">
        <v>159.0</v>
      </c>
      <c r="B159" s="3" t="str">
        <f>'PC 07'!A159</f>
        <v/>
      </c>
      <c r="C159" s="3" t="str">
        <f>IF(COUNTA('PC 07'!A159:L159)=0,"",TEXTJOIN(" | ",TRUE,IF('PC 07'!A159="","Worker ID kosong",""),IF('PC 07'!B159="","Update Date kosong",IF(NOT(ISNUMBER('PC 07'!B159)),"Update Date harus tanggal","")),IF('PC 07'!D159="","Judul kosong",""),IF('PC 07'!F159="","Genre kosong",IF(ISERROR(MATCH(TRIM('PC 07'!F159),{"Pop","Rock","Dangdut","K-Pop","Electronic","Nasional","Daerah"},0)),"Genre di luar daftar","")),IF('PC 07'!G159="","Nama Channel kosong",""),IF('PC 07'!H159="","Link kosong",IF(ISERROR(FIND("youtu",LOWER('PC 07'!H159))),"Link bukan youtube","")),IF('PC 07'!I159="","Tgl Dibuat kosong",IF(NOT(ISNUMBER('PC 07'!I159)),"Tgl Dibuat harus tanggal","")),IF(AND('PC 07'!J159&lt;&gt;"",NOT(ISNUMBER('PC 07'!J159))),"Tgl Publish harus tanggal",""),IF(AND(ISNUMBER('PC 07'!I159),ISNUMBER('PC 07'!J159),'PC 07'!J159&lt;'PC 07'!I159),"Tgl Publish &lt; Tgl Dibuat",""),IF(AND('PC 07'!K159&lt;&gt;"",ISERROR(MATCH(TRIM('PC 07'!K159),{"Draft","Menunggu Review","Revisi","Terjadwal","Publish","Batal","Published"},0))),"Status di luar daftar","")))</f>
        <v>#ERROR!</v>
      </c>
      <c r="D159" s="3" t="str">
        <f>IF(C159="","OK","ADA MASALAH")</f>
        <v>#ERROR!</v>
      </c>
    </row>
    <row r="160">
      <c r="A160" s="5">
        <v>160.0</v>
      </c>
      <c r="B160" s="3" t="str">
        <f>'PC 07'!A160</f>
        <v/>
      </c>
      <c r="C160" s="3" t="str">
        <f>IF(COUNTA('PC 07'!A160:L160)=0,"",TEXTJOIN(" | ",TRUE,IF('PC 07'!A160="","Worker ID kosong",""),IF('PC 07'!B160="","Update Date kosong",IF(NOT(ISNUMBER('PC 07'!B160)),"Update Date harus tanggal","")),IF('PC 07'!D160="","Judul kosong",""),IF('PC 07'!F160="","Genre kosong",IF(ISERROR(MATCH(TRIM('PC 07'!F160),{"Pop","Rock","Dangdut","K-Pop","Electronic","Nasional","Daerah"},0)),"Genre di luar daftar","")),IF('PC 07'!G160="","Nama Channel kosong",""),IF('PC 07'!H160="","Link kosong",IF(ISERROR(FIND("youtu",LOWER('PC 07'!H160))),"Link bukan youtube","")),IF('PC 07'!I160="","Tgl Dibuat kosong",IF(NOT(ISNUMBER('PC 07'!I160)),"Tgl Dibuat harus tanggal","")),IF(AND('PC 07'!J160&lt;&gt;"",NOT(ISNUMBER('PC 07'!J160))),"Tgl Publish harus tanggal",""),IF(AND(ISNUMBER('PC 07'!I160),ISNUMBER('PC 07'!J160),'PC 07'!J160&lt;'PC 07'!I160),"Tgl Publish &lt; Tgl Dibuat",""),IF(AND('PC 07'!K160&lt;&gt;"",ISERROR(MATCH(TRIM('PC 07'!K160),{"Draft","Menunggu Review","Revisi","Terjadwal","Publish","Batal","Published"},0))),"Status di luar daftar","")))</f>
        <v>#ERROR!</v>
      </c>
      <c r="D160" s="3" t="str">
        <f>IF(C160="","OK","ADA MASALAH")</f>
        <v>#ERROR!</v>
      </c>
    </row>
    <row r="161">
      <c r="A161" s="5">
        <v>161.0</v>
      </c>
      <c r="B161" s="3" t="str">
        <f>'PC 07'!A161</f>
        <v/>
      </c>
      <c r="C161" s="3" t="str">
        <f>IF(COUNTA('PC 07'!A161:L161)=0,"",TEXTJOIN(" | ",TRUE,IF('PC 07'!A161="","Worker ID kosong",""),IF('PC 07'!B161="","Update Date kosong",IF(NOT(ISNUMBER('PC 07'!B161)),"Update Date harus tanggal","")),IF('PC 07'!D161="","Judul kosong",""),IF('PC 07'!F161="","Genre kosong",IF(ISERROR(MATCH(TRIM('PC 07'!F161),{"Pop","Rock","Dangdut","K-Pop","Electronic","Nasional","Daerah"},0)),"Genre di luar daftar","")),IF('PC 07'!G161="","Nama Channel kosong",""),IF('PC 07'!H161="","Link kosong",IF(ISERROR(FIND("youtu",LOWER('PC 07'!H161))),"Link bukan youtube","")),IF('PC 07'!I161="","Tgl Dibuat kosong",IF(NOT(ISNUMBER('PC 07'!I161)),"Tgl Dibuat harus tanggal","")),IF(AND('PC 07'!J161&lt;&gt;"",NOT(ISNUMBER('PC 07'!J161))),"Tgl Publish harus tanggal",""),IF(AND(ISNUMBER('PC 07'!I161),ISNUMBER('PC 07'!J161),'PC 07'!J161&lt;'PC 07'!I161),"Tgl Publish &lt; Tgl Dibuat",""),IF(AND('PC 07'!K161&lt;&gt;"",ISERROR(MATCH(TRIM('PC 07'!K161),{"Draft","Menunggu Review","Revisi","Terjadwal","Publish","Batal","Published"},0))),"Status di luar daftar","")))</f>
        <v>#ERROR!</v>
      </c>
      <c r="D161" s="3" t="str">
        <f>IF(C161="","OK","ADA MASALAH")</f>
        <v>#ERROR!</v>
      </c>
    </row>
    <row r="162">
      <c r="A162" s="5">
        <v>162.0</v>
      </c>
      <c r="B162" s="3" t="str">
        <f>'PC 07'!A162</f>
        <v/>
      </c>
      <c r="C162" s="3" t="str">
        <f>IF(COUNTA('PC 07'!A162:L162)=0,"",TEXTJOIN(" | ",TRUE,IF('PC 07'!A162="","Worker ID kosong",""),IF('PC 07'!B162="","Update Date kosong",IF(NOT(ISNUMBER('PC 07'!B162)),"Update Date harus tanggal","")),IF('PC 07'!D162="","Judul kosong",""),IF('PC 07'!F162="","Genre kosong",IF(ISERROR(MATCH(TRIM('PC 07'!F162),{"Pop","Rock","Dangdut","K-Pop","Electronic","Nasional","Daerah"},0)),"Genre di luar daftar","")),IF('PC 07'!G162="","Nama Channel kosong",""),IF('PC 07'!H162="","Link kosong",IF(ISERROR(FIND("youtu",LOWER('PC 07'!H162))),"Link bukan youtube","")),IF('PC 07'!I162="","Tgl Dibuat kosong",IF(NOT(ISNUMBER('PC 07'!I162)),"Tgl Dibuat harus tanggal","")),IF(AND('PC 07'!J162&lt;&gt;"",NOT(ISNUMBER('PC 07'!J162))),"Tgl Publish harus tanggal",""),IF(AND(ISNUMBER('PC 07'!I162),ISNUMBER('PC 07'!J162),'PC 07'!J162&lt;'PC 07'!I162),"Tgl Publish &lt; Tgl Dibuat",""),IF(AND('PC 07'!K162&lt;&gt;"",ISERROR(MATCH(TRIM('PC 07'!K162),{"Draft","Menunggu Review","Revisi","Terjadwal","Publish","Batal","Published"},0))),"Status di luar daftar","")))</f>
        <v>#ERROR!</v>
      </c>
      <c r="D162" s="3" t="str">
        <f>IF(C162="","OK","ADA MASALAH")</f>
        <v>#ERROR!</v>
      </c>
    </row>
    <row r="163">
      <c r="A163" s="5">
        <v>163.0</v>
      </c>
      <c r="B163" s="3" t="str">
        <f>'PC 07'!A163</f>
        <v/>
      </c>
      <c r="C163" s="3" t="str">
        <f>IF(COUNTA('PC 07'!A163:L163)=0,"",TEXTJOIN(" | ",TRUE,IF('PC 07'!A163="","Worker ID kosong",""),IF('PC 07'!B163="","Update Date kosong",IF(NOT(ISNUMBER('PC 07'!B163)),"Update Date harus tanggal","")),IF('PC 07'!D163="","Judul kosong",""),IF('PC 07'!F163="","Genre kosong",IF(ISERROR(MATCH(TRIM('PC 07'!F163),{"Pop","Rock","Dangdut","K-Pop","Electronic","Nasional","Daerah"},0)),"Genre di luar daftar","")),IF('PC 07'!G163="","Nama Channel kosong",""),IF('PC 07'!H163="","Link kosong",IF(ISERROR(FIND("youtu",LOWER('PC 07'!H163))),"Link bukan youtube","")),IF('PC 07'!I163="","Tgl Dibuat kosong",IF(NOT(ISNUMBER('PC 07'!I163)),"Tgl Dibuat harus tanggal","")),IF(AND('PC 07'!J163&lt;&gt;"",NOT(ISNUMBER('PC 07'!J163))),"Tgl Publish harus tanggal",""),IF(AND(ISNUMBER('PC 07'!I163),ISNUMBER('PC 07'!J163),'PC 07'!J163&lt;'PC 07'!I163),"Tgl Publish &lt; Tgl Dibuat",""),IF(AND('PC 07'!K163&lt;&gt;"",ISERROR(MATCH(TRIM('PC 07'!K163),{"Draft","Menunggu Review","Revisi","Terjadwal","Publish","Batal","Published"},0))),"Status di luar daftar","")))</f>
        <v>#ERROR!</v>
      </c>
      <c r="D163" s="3" t="str">
        <f>IF(C163="","OK","ADA MASALAH")</f>
        <v>#ERROR!</v>
      </c>
    </row>
    <row r="164">
      <c r="A164" s="5">
        <v>164.0</v>
      </c>
      <c r="B164" s="3" t="str">
        <f>'PC 07'!A164</f>
        <v/>
      </c>
      <c r="C164" s="3" t="str">
        <f>IF(COUNTA('PC 07'!A164:L164)=0,"",TEXTJOIN(" | ",TRUE,IF('PC 07'!A164="","Worker ID kosong",""),IF('PC 07'!B164="","Update Date kosong",IF(NOT(ISNUMBER('PC 07'!B164)),"Update Date harus tanggal","")),IF('PC 07'!D164="","Judul kosong",""),IF('PC 07'!F164="","Genre kosong",IF(ISERROR(MATCH(TRIM('PC 07'!F164),{"Pop","Rock","Dangdut","K-Pop","Electronic","Nasional","Daerah"},0)),"Genre di luar daftar","")),IF('PC 07'!G164="","Nama Channel kosong",""),IF('PC 07'!H164="","Link kosong",IF(ISERROR(FIND("youtu",LOWER('PC 07'!H164))),"Link bukan youtube","")),IF('PC 07'!I164="","Tgl Dibuat kosong",IF(NOT(ISNUMBER('PC 07'!I164)),"Tgl Dibuat harus tanggal","")),IF(AND('PC 07'!J164&lt;&gt;"",NOT(ISNUMBER('PC 07'!J164))),"Tgl Publish harus tanggal",""),IF(AND(ISNUMBER('PC 07'!I164),ISNUMBER('PC 07'!J164),'PC 07'!J164&lt;'PC 07'!I164),"Tgl Publish &lt; Tgl Dibuat",""),IF(AND('PC 07'!K164&lt;&gt;"",ISERROR(MATCH(TRIM('PC 07'!K164),{"Draft","Menunggu Review","Revisi","Terjadwal","Publish","Batal","Published"},0))),"Status di luar daftar","")))</f>
        <v>#ERROR!</v>
      </c>
      <c r="D164" s="3" t="str">
        <f>IF(C164="","OK","ADA MASALAH")</f>
        <v>#ERROR!</v>
      </c>
    </row>
    <row r="165">
      <c r="A165" s="5">
        <v>165.0</v>
      </c>
      <c r="B165" s="3" t="str">
        <f>'PC 07'!A165</f>
        <v/>
      </c>
      <c r="C165" s="3" t="str">
        <f>IF(COUNTA('PC 07'!A165:L165)=0,"",TEXTJOIN(" | ",TRUE,IF('PC 07'!A165="","Worker ID kosong",""),IF('PC 07'!B165="","Update Date kosong",IF(NOT(ISNUMBER('PC 07'!B165)),"Update Date harus tanggal","")),IF('PC 07'!D165="","Judul kosong",""),IF('PC 07'!F165="","Genre kosong",IF(ISERROR(MATCH(TRIM('PC 07'!F165),{"Pop","Rock","Dangdut","K-Pop","Electronic","Nasional","Daerah"},0)),"Genre di luar daftar","")),IF('PC 07'!G165="","Nama Channel kosong",""),IF('PC 07'!H165="","Link kosong",IF(ISERROR(FIND("youtu",LOWER('PC 07'!H165))),"Link bukan youtube","")),IF('PC 07'!I165="","Tgl Dibuat kosong",IF(NOT(ISNUMBER('PC 07'!I165)),"Tgl Dibuat harus tanggal","")),IF(AND('PC 07'!J165&lt;&gt;"",NOT(ISNUMBER('PC 07'!J165))),"Tgl Publish harus tanggal",""),IF(AND(ISNUMBER('PC 07'!I165),ISNUMBER('PC 07'!J165),'PC 07'!J165&lt;'PC 07'!I165),"Tgl Publish &lt; Tgl Dibuat",""),IF(AND('PC 07'!K165&lt;&gt;"",ISERROR(MATCH(TRIM('PC 07'!K165),{"Draft","Menunggu Review","Revisi","Terjadwal","Publish","Batal","Published"},0))),"Status di luar daftar","")))</f>
        <v>#ERROR!</v>
      </c>
      <c r="D165" s="3" t="str">
        <f>IF(C165="","OK","ADA MASALAH")</f>
        <v>#ERROR!</v>
      </c>
    </row>
    <row r="166">
      <c r="A166" s="5">
        <v>166.0</v>
      </c>
      <c r="B166" s="3" t="str">
        <f>'PC 07'!A166</f>
        <v/>
      </c>
      <c r="C166" s="3" t="str">
        <f>IF(COUNTA('PC 07'!A166:L166)=0,"",TEXTJOIN(" | ",TRUE,IF('PC 07'!A166="","Worker ID kosong",""),IF('PC 07'!B166="","Update Date kosong",IF(NOT(ISNUMBER('PC 07'!B166)),"Update Date harus tanggal","")),IF('PC 07'!D166="","Judul kosong",""),IF('PC 07'!F166="","Genre kosong",IF(ISERROR(MATCH(TRIM('PC 07'!F166),{"Pop","Rock","Dangdut","K-Pop","Electronic","Nasional","Daerah"},0)),"Genre di luar daftar","")),IF('PC 07'!G166="","Nama Channel kosong",""),IF('PC 07'!H166="","Link kosong",IF(ISERROR(FIND("youtu",LOWER('PC 07'!H166))),"Link bukan youtube","")),IF('PC 07'!I166="","Tgl Dibuat kosong",IF(NOT(ISNUMBER('PC 07'!I166)),"Tgl Dibuat harus tanggal","")),IF(AND('PC 07'!J166&lt;&gt;"",NOT(ISNUMBER('PC 07'!J166))),"Tgl Publish harus tanggal",""),IF(AND(ISNUMBER('PC 07'!I166),ISNUMBER('PC 07'!J166),'PC 07'!J166&lt;'PC 07'!I166),"Tgl Publish &lt; Tgl Dibuat",""),IF(AND('PC 07'!K166&lt;&gt;"",ISERROR(MATCH(TRIM('PC 07'!K166),{"Draft","Menunggu Review","Revisi","Terjadwal","Publish","Batal","Published"},0))),"Status di luar daftar","")))</f>
        <v>#ERROR!</v>
      </c>
      <c r="D166" s="3" t="str">
        <f>IF(C166="","OK","ADA MASALAH")</f>
        <v>#ERROR!</v>
      </c>
    </row>
    <row r="167">
      <c r="A167" s="5">
        <v>167.0</v>
      </c>
      <c r="B167" s="3" t="str">
        <f>'PC 07'!A167</f>
        <v/>
      </c>
      <c r="C167" s="3" t="str">
        <f>IF(COUNTA('PC 07'!A167:L167)=0,"",TEXTJOIN(" | ",TRUE,IF('PC 07'!A167="","Worker ID kosong",""),IF('PC 07'!B167="","Update Date kosong",IF(NOT(ISNUMBER('PC 07'!B167)),"Update Date harus tanggal","")),IF('PC 07'!D167="","Judul kosong",""),IF('PC 07'!F167="","Genre kosong",IF(ISERROR(MATCH(TRIM('PC 07'!F167),{"Pop","Rock","Dangdut","K-Pop","Electronic","Nasional","Daerah"},0)),"Genre di luar daftar","")),IF('PC 07'!G167="","Nama Channel kosong",""),IF('PC 07'!H167="","Link kosong",IF(ISERROR(FIND("youtu",LOWER('PC 07'!H167))),"Link bukan youtube","")),IF('PC 07'!I167="","Tgl Dibuat kosong",IF(NOT(ISNUMBER('PC 07'!I167)),"Tgl Dibuat harus tanggal","")),IF(AND('PC 07'!J167&lt;&gt;"",NOT(ISNUMBER('PC 07'!J167))),"Tgl Publish harus tanggal",""),IF(AND(ISNUMBER('PC 07'!I167),ISNUMBER('PC 07'!J167),'PC 07'!J167&lt;'PC 07'!I167),"Tgl Publish &lt; Tgl Dibuat",""),IF(AND('PC 07'!K167&lt;&gt;"",ISERROR(MATCH(TRIM('PC 07'!K167),{"Draft","Menunggu Review","Revisi","Terjadwal","Publish","Batal","Published"},0))),"Status di luar daftar","")))</f>
        <v>#ERROR!</v>
      </c>
      <c r="D167" s="3" t="str">
        <f>IF(C167="","OK","ADA MASALAH")</f>
        <v>#ERROR!</v>
      </c>
    </row>
    <row r="168">
      <c r="A168" s="5">
        <v>168.0</v>
      </c>
      <c r="B168" s="3" t="str">
        <f>'PC 07'!A168</f>
        <v/>
      </c>
      <c r="C168" s="3" t="str">
        <f>IF(COUNTA('PC 07'!A168:L168)=0,"",TEXTJOIN(" | ",TRUE,IF('PC 07'!A168="","Worker ID kosong",""),IF('PC 07'!B168="","Update Date kosong",IF(NOT(ISNUMBER('PC 07'!B168)),"Update Date harus tanggal","")),IF('PC 07'!D168="","Judul kosong",""),IF('PC 07'!F168="","Genre kosong",IF(ISERROR(MATCH(TRIM('PC 07'!F168),{"Pop","Rock","Dangdut","K-Pop","Electronic","Nasional","Daerah"},0)),"Genre di luar daftar","")),IF('PC 07'!G168="","Nama Channel kosong",""),IF('PC 07'!H168="","Link kosong",IF(ISERROR(FIND("youtu",LOWER('PC 07'!H168))),"Link bukan youtube","")),IF('PC 07'!I168="","Tgl Dibuat kosong",IF(NOT(ISNUMBER('PC 07'!I168)),"Tgl Dibuat harus tanggal","")),IF(AND('PC 07'!J168&lt;&gt;"",NOT(ISNUMBER('PC 07'!J168))),"Tgl Publish harus tanggal",""),IF(AND(ISNUMBER('PC 07'!I168),ISNUMBER('PC 07'!J168),'PC 07'!J168&lt;'PC 07'!I168),"Tgl Publish &lt; Tgl Dibuat",""),IF(AND('PC 07'!K168&lt;&gt;"",ISERROR(MATCH(TRIM('PC 07'!K168),{"Draft","Menunggu Review","Revisi","Terjadwal","Publish","Batal","Published"},0))),"Status di luar daftar","")))</f>
        <v>#ERROR!</v>
      </c>
      <c r="D168" s="3" t="str">
        <f>IF(C168="","OK","ADA MASALAH")</f>
        <v>#ERROR!</v>
      </c>
    </row>
    <row r="169">
      <c r="A169" s="5">
        <v>169.0</v>
      </c>
      <c r="B169" s="3" t="str">
        <f>'PC 07'!A169</f>
        <v/>
      </c>
      <c r="C169" s="3" t="str">
        <f>IF(COUNTA('PC 07'!A169:L169)=0,"",TEXTJOIN(" | ",TRUE,IF('PC 07'!A169="","Worker ID kosong",""),IF('PC 07'!B169="","Update Date kosong",IF(NOT(ISNUMBER('PC 07'!B169)),"Update Date harus tanggal","")),IF('PC 07'!D169="","Judul kosong",""),IF('PC 07'!F169="","Genre kosong",IF(ISERROR(MATCH(TRIM('PC 07'!F169),{"Pop","Rock","Dangdut","K-Pop","Electronic","Nasional","Daerah"},0)),"Genre di luar daftar","")),IF('PC 07'!G169="","Nama Channel kosong",""),IF('PC 07'!H169="","Link kosong",IF(ISERROR(FIND("youtu",LOWER('PC 07'!H169))),"Link bukan youtube","")),IF('PC 07'!I169="","Tgl Dibuat kosong",IF(NOT(ISNUMBER('PC 07'!I169)),"Tgl Dibuat harus tanggal","")),IF(AND('PC 07'!J169&lt;&gt;"",NOT(ISNUMBER('PC 07'!J169))),"Tgl Publish harus tanggal",""),IF(AND(ISNUMBER('PC 07'!I169),ISNUMBER('PC 07'!J169),'PC 07'!J169&lt;'PC 07'!I169),"Tgl Publish &lt; Tgl Dibuat",""),IF(AND('PC 07'!K169&lt;&gt;"",ISERROR(MATCH(TRIM('PC 07'!K169),{"Draft","Menunggu Review","Revisi","Terjadwal","Publish","Batal","Published"},0))),"Status di luar daftar","")))</f>
        <v>#ERROR!</v>
      </c>
      <c r="D169" s="3" t="str">
        <f>IF(C169="","OK","ADA MASALAH")</f>
        <v>#ERROR!</v>
      </c>
    </row>
    <row r="170">
      <c r="A170" s="5">
        <v>170.0</v>
      </c>
      <c r="B170" s="3" t="str">
        <f>'PC 07'!A170</f>
        <v/>
      </c>
      <c r="C170" s="3" t="str">
        <f>IF(COUNTA('PC 07'!A170:L170)=0,"",TEXTJOIN(" | ",TRUE,IF('PC 07'!A170="","Worker ID kosong",""),IF('PC 07'!B170="","Update Date kosong",IF(NOT(ISNUMBER('PC 07'!B170)),"Update Date harus tanggal","")),IF('PC 07'!D170="","Judul kosong",""),IF('PC 07'!F170="","Genre kosong",IF(ISERROR(MATCH(TRIM('PC 07'!F170),{"Pop","Rock","Dangdut","K-Pop","Electronic","Nasional","Daerah"},0)),"Genre di luar daftar","")),IF('PC 07'!G170="","Nama Channel kosong",""),IF('PC 07'!H170="","Link kosong",IF(ISERROR(FIND("youtu",LOWER('PC 07'!H170))),"Link bukan youtube","")),IF('PC 07'!I170="","Tgl Dibuat kosong",IF(NOT(ISNUMBER('PC 07'!I170)),"Tgl Dibuat harus tanggal","")),IF(AND('PC 07'!J170&lt;&gt;"",NOT(ISNUMBER('PC 07'!J170))),"Tgl Publish harus tanggal",""),IF(AND(ISNUMBER('PC 07'!I170),ISNUMBER('PC 07'!J170),'PC 07'!J170&lt;'PC 07'!I170),"Tgl Publish &lt; Tgl Dibuat",""),IF(AND('PC 07'!K170&lt;&gt;"",ISERROR(MATCH(TRIM('PC 07'!K170),{"Draft","Menunggu Review","Revisi","Terjadwal","Publish","Batal","Published"},0))),"Status di luar daftar","")))</f>
        <v>#ERROR!</v>
      </c>
      <c r="D170" s="3" t="str">
        <f>IF(C170="","OK","ADA MASALAH")</f>
        <v>#ERROR!</v>
      </c>
    </row>
    <row r="171">
      <c r="A171" s="5">
        <v>171.0</v>
      </c>
      <c r="B171" s="3" t="str">
        <f>'PC 07'!A171</f>
        <v/>
      </c>
      <c r="C171" s="3" t="str">
        <f>IF(COUNTA('PC 07'!A171:L171)=0,"",TEXTJOIN(" | ",TRUE,IF('PC 07'!A171="","Worker ID kosong",""),IF('PC 07'!B171="","Update Date kosong",IF(NOT(ISNUMBER('PC 07'!B171)),"Update Date harus tanggal","")),IF('PC 07'!D171="","Judul kosong",""),IF('PC 07'!F171="","Genre kosong",IF(ISERROR(MATCH(TRIM('PC 07'!F171),{"Pop","Rock","Dangdut","K-Pop","Electronic","Nasional","Daerah"},0)),"Genre di luar daftar","")),IF('PC 07'!G171="","Nama Channel kosong",""),IF('PC 07'!H171="","Link kosong",IF(ISERROR(FIND("youtu",LOWER('PC 07'!H171))),"Link bukan youtube","")),IF('PC 07'!I171="","Tgl Dibuat kosong",IF(NOT(ISNUMBER('PC 07'!I171)),"Tgl Dibuat harus tanggal","")),IF(AND('PC 07'!J171&lt;&gt;"",NOT(ISNUMBER('PC 07'!J171))),"Tgl Publish harus tanggal",""),IF(AND(ISNUMBER('PC 07'!I171),ISNUMBER('PC 07'!J171),'PC 07'!J171&lt;'PC 07'!I171),"Tgl Publish &lt; Tgl Dibuat",""),IF(AND('PC 07'!K171&lt;&gt;"",ISERROR(MATCH(TRIM('PC 07'!K171),{"Draft","Menunggu Review","Revisi","Terjadwal","Publish","Batal","Published"},0))),"Status di luar daftar","")))</f>
        <v>#ERROR!</v>
      </c>
      <c r="D171" s="3" t="str">
        <f>IF(C171="","OK","ADA MASALAH")</f>
        <v>#ERROR!</v>
      </c>
    </row>
    <row r="172">
      <c r="A172" s="5">
        <v>172.0</v>
      </c>
      <c r="B172" s="3" t="str">
        <f>'PC 07'!A172</f>
        <v/>
      </c>
      <c r="C172" s="3" t="str">
        <f>IF(COUNTA('PC 07'!A172:L172)=0,"",TEXTJOIN(" | ",TRUE,IF('PC 07'!A172="","Worker ID kosong",""),IF('PC 07'!B172="","Update Date kosong",IF(NOT(ISNUMBER('PC 07'!B172)),"Update Date harus tanggal","")),IF('PC 07'!D172="","Judul kosong",""),IF('PC 07'!F172="","Genre kosong",IF(ISERROR(MATCH(TRIM('PC 07'!F172),{"Pop","Rock","Dangdut","K-Pop","Electronic","Nasional","Daerah"},0)),"Genre di luar daftar","")),IF('PC 07'!G172="","Nama Channel kosong",""),IF('PC 07'!H172="","Link kosong",IF(ISERROR(FIND("youtu",LOWER('PC 07'!H172))),"Link bukan youtube","")),IF('PC 07'!I172="","Tgl Dibuat kosong",IF(NOT(ISNUMBER('PC 07'!I172)),"Tgl Dibuat harus tanggal","")),IF(AND('PC 07'!J172&lt;&gt;"",NOT(ISNUMBER('PC 07'!J172))),"Tgl Publish harus tanggal",""),IF(AND(ISNUMBER('PC 07'!I172),ISNUMBER('PC 07'!J172),'PC 07'!J172&lt;'PC 07'!I172),"Tgl Publish &lt; Tgl Dibuat",""),IF(AND('PC 07'!K172&lt;&gt;"",ISERROR(MATCH(TRIM('PC 07'!K172),{"Draft","Menunggu Review","Revisi","Terjadwal","Publish","Batal","Published"},0))),"Status di luar daftar","")))</f>
        <v>#ERROR!</v>
      </c>
      <c r="D172" s="3" t="str">
        <f>IF(C172="","OK","ADA MASALAH")</f>
        <v>#ERROR!</v>
      </c>
    </row>
    <row r="173">
      <c r="A173" s="5">
        <v>173.0</v>
      </c>
      <c r="B173" s="3" t="str">
        <f>'PC 07'!A173</f>
        <v/>
      </c>
      <c r="C173" s="3" t="str">
        <f>IF(COUNTA('PC 07'!A173:L173)=0,"",TEXTJOIN(" | ",TRUE,IF('PC 07'!A173="","Worker ID kosong",""),IF('PC 07'!B173="","Update Date kosong",IF(NOT(ISNUMBER('PC 07'!B173)),"Update Date harus tanggal","")),IF('PC 07'!D173="","Judul kosong",""),IF('PC 07'!F173="","Genre kosong",IF(ISERROR(MATCH(TRIM('PC 07'!F173),{"Pop","Rock","Dangdut","K-Pop","Electronic","Nasional","Daerah"},0)),"Genre di luar daftar","")),IF('PC 07'!G173="","Nama Channel kosong",""),IF('PC 07'!H173="","Link kosong",IF(ISERROR(FIND("youtu",LOWER('PC 07'!H173))),"Link bukan youtube","")),IF('PC 07'!I173="","Tgl Dibuat kosong",IF(NOT(ISNUMBER('PC 07'!I173)),"Tgl Dibuat harus tanggal","")),IF(AND('PC 07'!J173&lt;&gt;"",NOT(ISNUMBER('PC 07'!J173))),"Tgl Publish harus tanggal",""),IF(AND(ISNUMBER('PC 07'!I173),ISNUMBER('PC 07'!J173),'PC 07'!J173&lt;'PC 07'!I173),"Tgl Publish &lt; Tgl Dibuat",""),IF(AND('PC 07'!K173&lt;&gt;"",ISERROR(MATCH(TRIM('PC 07'!K173),{"Draft","Menunggu Review","Revisi","Terjadwal","Publish","Batal","Published"},0))),"Status di luar daftar","")))</f>
        <v>#ERROR!</v>
      </c>
      <c r="D173" s="3" t="str">
        <f>IF(C173="","OK","ADA MASALAH")</f>
        <v>#ERROR!</v>
      </c>
    </row>
    <row r="174">
      <c r="A174" s="5">
        <v>174.0</v>
      </c>
      <c r="B174" s="3" t="str">
        <f>'PC 07'!A174</f>
        <v/>
      </c>
      <c r="C174" s="3" t="str">
        <f>IF(COUNTA('PC 07'!A174:L174)=0,"",TEXTJOIN(" | ",TRUE,IF('PC 07'!A174="","Worker ID kosong",""),IF('PC 07'!B174="","Update Date kosong",IF(NOT(ISNUMBER('PC 07'!B174)),"Update Date harus tanggal","")),IF('PC 07'!D174="","Judul kosong",""),IF('PC 07'!F174="","Genre kosong",IF(ISERROR(MATCH(TRIM('PC 07'!F174),{"Pop","Rock","Dangdut","K-Pop","Electronic","Nasional","Daerah"},0)),"Genre di luar daftar","")),IF('PC 07'!G174="","Nama Channel kosong",""),IF('PC 07'!H174="","Link kosong",IF(ISERROR(FIND("youtu",LOWER('PC 07'!H174))),"Link bukan youtube","")),IF('PC 07'!I174="","Tgl Dibuat kosong",IF(NOT(ISNUMBER('PC 07'!I174)),"Tgl Dibuat harus tanggal","")),IF(AND('PC 07'!J174&lt;&gt;"",NOT(ISNUMBER('PC 07'!J174))),"Tgl Publish harus tanggal",""),IF(AND(ISNUMBER('PC 07'!I174),ISNUMBER('PC 07'!J174),'PC 07'!J174&lt;'PC 07'!I174),"Tgl Publish &lt; Tgl Dibuat",""),IF(AND('PC 07'!K174&lt;&gt;"",ISERROR(MATCH(TRIM('PC 07'!K174),{"Draft","Menunggu Review","Revisi","Terjadwal","Publish","Batal","Published"},0))),"Status di luar daftar","")))</f>
        <v>#ERROR!</v>
      </c>
      <c r="D174" s="3" t="str">
        <f>IF(C174="","OK","ADA MASALAH")</f>
        <v>#ERROR!</v>
      </c>
    </row>
    <row r="175">
      <c r="A175" s="5">
        <v>175.0</v>
      </c>
      <c r="B175" s="3" t="str">
        <f>'PC 07'!A175</f>
        <v/>
      </c>
      <c r="C175" s="3" t="str">
        <f>IF(COUNTA('PC 07'!A175:L175)=0,"",TEXTJOIN(" | ",TRUE,IF('PC 07'!A175="","Worker ID kosong",""),IF('PC 07'!B175="","Update Date kosong",IF(NOT(ISNUMBER('PC 07'!B175)),"Update Date harus tanggal","")),IF('PC 07'!D175="","Judul kosong",""),IF('PC 07'!F175="","Genre kosong",IF(ISERROR(MATCH(TRIM('PC 07'!F175),{"Pop","Rock","Dangdut","K-Pop","Electronic","Nasional","Daerah"},0)),"Genre di luar daftar","")),IF('PC 07'!G175="","Nama Channel kosong",""),IF('PC 07'!H175="","Link kosong",IF(ISERROR(FIND("youtu",LOWER('PC 07'!H175))),"Link bukan youtube","")),IF('PC 07'!I175="","Tgl Dibuat kosong",IF(NOT(ISNUMBER('PC 07'!I175)),"Tgl Dibuat harus tanggal","")),IF(AND('PC 07'!J175&lt;&gt;"",NOT(ISNUMBER('PC 07'!J175))),"Tgl Publish harus tanggal",""),IF(AND(ISNUMBER('PC 07'!I175),ISNUMBER('PC 07'!J175),'PC 07'!J175&lt;'PC 07'!I175),"Tgl Publish &lt; Tgl Dibuat",""),IF(AND('PC 07'!K175&lt;&gt;"",ISERROR(MATCH(TRIM('PC 07'!K175),{"Draft","Menunggu Review","Revisi","Terjadwal","Publish","Batal","Published"},0))),"Status di luar daftar","")))</f>
        <v>#ERROR!</v>
      </c>
      <c r="D175" s="3" t="str">
        <f>IF(C175="","OK","ADA MASALAH")</f>
        <v>#ERROR!</v>
      </c>
    </row>
    <row r="176">
      <c r="A176" s="5">
        <v>176.0</v>
      </c>
      <c r="B176" s="3" t="str">
        <f>'PC 07'!A176</f>
        <v/>
      </c>
      <c r="C176" s="3" t="str">
        <f>IF(COUNTA('PC 07'!A176:L176)=0,"",TEXTJOIN(" | ",TRUE,IF('PC 07'!A176="","Worker ID kosong",""),IF('PC 07'!B176="","Update Date kosong",IF(NOT(ISNUMBER('PC 07'!B176)),"Update Date harus tanggal","")),IF('PC 07'!D176="","Judul kosong",""),IF('PC 07'!F176="","Genre kosong",IF(ISERROR(MATCH(TRIM('PC 07'!F176),{"Pop","Rock","Dangdut","K-Pop","Electronic","Nasional","Daerah"},0)),"Genre di luar daftar","")),IF('PC 07'!G176="","Nama Channel kosong",""),IF('PC 07'!H176="","Link kosong",IF(ISERROR(FIND("youtu",LOWER('PC 07'!H176))),"Link bukan youtube","")),IF('PC 07'!I176="","Tgl Dibuat kosong",IF(NOT(ISNUMBER('PC 07'!I176)),"Tgl Dibuat harus tanggal","")),IF(AND('PC 07'!J176&lt;&gt;"",NOT(ISNUMBER('PC 07'!J176))),"Tgl Publish harus tanggal",""),IF(AND(ISNUMBER('PC 07'!I176),ISNUMBER('PC 07'!J176),'PC 07'!J176&lt;'PC 07'!I176),"Tgl Publish &lt; Tgl Dibuat",""),IF(AND('PC 07'!K176&lt;&gt;"",ISERROR(MATCH(TRIM('PC 07'!K176),{"Draft","Menunggu Review","Revisi","Terjadwal","Publish","Batal","Published"},0))),"Status di luar daftar","")))</f>
        <v>#ERROR!</v>
      </c>
      <c r="D176" s="3" t="str">
        <f>IF(C176="","OK","ADA MASALAH")</f>
        <v>#ERROR!</v>
      </c>
    </row>
    <row r="177">
      <c r="A177" s="5">
        <v>177.0</v>
      </c>
      <c r="B177" s="3" t="str">
        <f>'PC 07'!A177</f>
        <v/>
      </c>
      <c r="C177" s="3" t="str">
        <f>IF(COUNTA('PC 07'!A177:L177)=0,"",TEXTJOIN(" | ",TRUE,IF('PC 07'!A177="","Worker ID kosong",""),IF('PC 07'!B177="","Update Date kosong",IF(NOT(ISNUMBER('PC 07'!B177)),"Update Date harus tanggal","")),IF('PC 07'!D177="","Judul kosong",""),IF('PC 07'!F177="","Genre kosong",IF(ISERROR(MATCH(TRIM('PC 07'!F177),{"Pop","Rock","Dangdut","K-Pop","Electronic","Nasional","Daerah"},0)),"Genre di luar daftar","")),IF('PC 07'!G177="","Nama Channel kosong",""),IF('PC 07'!H177="","Link kosong",IF(ISERROR(FIND("youtu",LOWER('PC 07'!H177))),"Link bukan youtube","")),IF('PC 07'!I177="","Tgl Dibuat kosong",IF(NOT(ISNUMBER('PC 07'!I177)),"Tgl Dibuat harus tanggal","")),IF(AND('PC 07'!J177&lt;&gt;"",NOT(ISNUMBER('PC 07'!J177))),"Tgl Publish harus tanggal",""),IF(AND(ISNUMBER('PC 07'!I177),ISNUMBER('PC 07'!J177),'PC 07'!J177&lt;'PC 07'!I177),"Tgl Publish &lt; Tgl Dibuat",""),IF(AND('PC 07'!K177&lt;&gt;"",ISERROR(MATCH(TRIM('PC 07'!K177),{"Draft","Menunggu Review","Revisi","Terjadwal","Publish","Batal","Published"},0))),"Status di luar daftar","")))</f>
        <v>#ERROR!</v>
      </c>
      <c r="D177" s="3" t="str">
        <f>IF(C177="","OK","ADA MASALAH")</f>
        <v>#ERROR!</v>
      </c>
    </row>
    <row r="178">
      <c r="A178" s="5">
        <v>178.0</v>
      </c>
      <c r="B178" s="3" t="str">
        <f>'PC 07'!A178</f>
        <v/>
      </c>
      <c r="C178" s="3" t="str">
        <f>IF(COUNTA('PC 07'!A178:L178)=0,"",TEXTJOIN(" | ",TRUE,IF('PC 07'!A178="","Worker ID kosong",""),IF('PC 07'!B178="","Update Date kosong",IF(NOT(ISNUMBER('PC 07'!B178)),"Update Date harus tanggal","")),IF('PC 07'!D178="","Judul kosong",""),IF('PC 07'!F178="","Genre kosong",IF(ISERROR(MATCH(TRIM('PC 07'!F178),{"Pop","Rock","Dangdut","K-Pop","Electronic","Nasional","Daerah"},0)),"Genre di luar daftar","")),IF('PC 07'!G178="","Nama Channel kosong",""),IF('PC 07'!H178="","Link kosong",IF(ISERROR(FIND("youtu",LOWER('PC 07'!H178))),"Link bukan youtube","")),IF('PC 07'!I178="","Tgl Dibuat kosong",IF(NOT(ISNUMBER('PC 07'!I178)),"Tgl Dibuat harus tanggal","")),IF(AND('PC 07'!J178&lt;&gt;"",NOT(ISNUMBER('PC 07'!J178))),"Tgl Publish harus tanggal",""),IF(AND(ISNUMBER('PC 07'!I178),ISNUMBER('PC 07'!J178),'PC 07'!J178&lt;'PC 07'!I178),"Tgl Publish &lt; Tgl Dibuat",""),IF(AND('PC 07'!K178&lt;&gt;"",ISERROR(MATCH(TRIM('PC 07'!K178),{"Draft","Menunggu Review","Revisi","Terjadwal","Publish","Batal","Published"},0))),"Status di luar daftar","")))</f>
        <v>#ERROR!</v>
      </c>
      <c r="D178" s="3" t="str">
        <f>IF(C178="","OK","ADA MASALAH")</f>
        <v>#ERROR!</v>
      </c>
    </row>
    <row r="179">
      <c r="A179" s="5">
        <v>179.0</v>
      </c>
      <c r="B179" s="3" t="str">
        <f>'PC 07'!A179</f>
        <v/>
      </c>
      <c r="C179" s="3" t="str">
        <f>IF(COUNTA('PC 07'!A179:L179)=0,"",TEXTJOIN(" | ",TRUE,IF('PC 07'!A179="","Worker ID kosong",""),IF('PC 07'!B179="","Update Date kosong",IF(NOT(ISNUMBER('PC 07'!B179)),"Update Date harus tanggal","")),IF('PC 07'!D179="","Judul kosong",""),IF('PC 07'!F179="","Genre kosong",IF(ISERROR(MATCH(TRIM('PC 07'!F179),{"Pop","Rock","Dangdut","K-Pop","Electronic","Nasional","Daerah"},0)),"Genre di luar daftar","")),IF('PC 07'!G179="","Nama Channel kosong",""),IF('PC 07'!H179="","Link kosong",IF(ISERROR(FIND("youtu",LOWER('PC 07'!H179))),"Link bukan youtube","")),IF('PC 07'!I179="","Tgl Dibuat kosong",IF(NOT(ISNUMBER('PC 07'!I179)),"Tgl Dibuat harus tanggal","")),IF(AND('PC 07'!J179&lt;&gt;"",NOT(ISNUMBER('PC 07'!J179))),"Tgl Publish harus tanggal",""),IF(AND(ISNUMBER('PC 07'!I179),ISNUMBER('PC 07'!J179),'PC 07'!J179&lt;'PC 07'!I179),"Tgl Publish &lt; Tgl Dibuat",""),IF(AND('PC 07'!K179&lt;&gt;"",ISERROR(MATCH(TRIM('PC 07'!K179),{"Draft","Menunggu Review","Revisi","Terjadwal","Publish","Batal","Published"},0))),"Status di luar daftar","")))</f>
        <v>#ERROR!</v>
      </c>
      <c r="D179" s="3" t="str">
        <f>IF(C179="","OK","ADA MASALAH")</f>
        <v>#ERROR!</v>
      </c>
    </row>
    <row r="180">
      <c r="A180" s="5">
        <v>180.0</v>
      </c>
      <c r="B180" s="3" t="str">
        <f>'PC 07'!A180</f>
        <v/>
      </c>
      <c r="C180" s="3" t="str">
        <f>IF(COUNTA('PC 07'!A180:L180)=0,"",TEXTJOIN(" | ",TRUE,IF('PC 07'!A180="","Worker ID kosong",""),IF('PC 07'!B180="","Update Date kosong",IF(NOT(ISNUMBER('PC 07'!B180)),"Update Date harus tanggal","")),IF('PC 07'!D180="","Judul kosong",""),IF('PC 07'!F180="","Genre kosong",IF(ISERROR(MATCH(TRIM('PC 07'!F180),{"Pop","Rock","Dangdut","K-Pop","Electronic","Nasional","Daerah"},0)),"Genre di luar daftar","")),IF('PC 07'!G180="","Nama Channel kosong",""),IF('PC 07'!H180="","Link kosong",IF(ISERROR(FIND("youtu",LOWER('PC 07'!H180))),"Link bukan youtube","")),IF('PC 07'!I180="","Tgl Dibuat kosong",IF(NOT(ISNUMBER('PC 07'!I180)),"Tgl Dibuat harus tanggal","")),IF(AND('PC 07'!J180&lt;&gt;"",NOT(ISNUMBER('PC 07'!J180))),"Tgl Publish harus tanggal",""),IF(AND(ISNUMBER('PC 07'!I180),ISNUMBER('PC 07'!J180),'PC 07'!J180&lt;'PC 07'!I180),"Tgl Publish &lt; Tgl Dibuat",""),IF(AND('PC 07'!K180&lt;&gt;"",ISERROR(MATCH(TRIM('PC 07'!K180),{"Draft","Menunggu Review","Revisi","Terjadwal","Publish","Batal","Published"},0))),"Status di luar daftar","")))</f>
        <v>#ERROR!</v>
      </c>
      <c r="D180" s="3" t="str">
        <f>IF(C180="","OK","ADA MASALAH")</f>
        <v>#ERROR!</v>
      </c>
    </row>
    <row r="181">
      <c r="A181" s="5">
        <v>181.0</v>
      </c>
      <c r="B181" s="3" t="str">
        <f>'PC 07'!A181</f>
        <v/>
      </c>
      <c r="C181" s="3" t="str">
        <f>IF(COUNTA('PC 07'!A181:L181)=0,"",TEXTJOIN(" | ",TRUE,IF('PC 07'!A181="","Worker ID kosong",""),IF('PC 07'!B181="","Update Date kosong",IF(NOT(ISNUMBER('PC 07'!B181)),"Update Date harus tanggal","")),IF('PC 07'!D181="","Judul kosong",""),IF('PC 07'!F181="","Genre kosong",IF(ISERROR(MATCH(TRIM('PC 07'!F181),{"Pop","Rock","Dangdut","K-Pop","Electronic","Nasional","Daerah"},0)),"Genre di luar daftar","")),IF('PC 07'!G181="","Nama Channel kosong",""),IF('PC 07'!H181="","Link kosong",IF(ISERROR(FIND("youtu",LOWER('PC 07'!H181))),"Link bukan youtube","")),IF('PC 07'!I181="","Tgl Dibuat kosong",IF(NOT(ISNUMBER('PC 07'!I181)),"Tgl Dibuat harus tanggal","")),IF(AND('PC 07'!J181&lt;&gt;"",NOT(ISNUMBER('PC 07'!J181))),"Tgl Publish harus tanggal",""),IF(AND(ISNUMBER('PC 07'!I181),ISNUMBER('PC 07'!J181),'PC 07'!J181&lt;'PC 07'!I181),"Tgl Publish &lt; Tgl Dibuat",""),IF(AND('PC 07'!K181&lt;&gt;"",ISERROR(MATCH(TRIM('PC 07'!K181),{"Draft","Menunggu Review","Revisi","Terjadwal","Publish","Batal","Published"},0))),"Status di luar daftar","")))</f>
        <v>#ERROR!</v>
      </c>
      <c r="D181" s="3" t="str">
        <f>IF(C181="","OK","ADA MASALAH")</f>
        <v>#ERROR!</v>
      </c>
    </row>
    <row r="182">
      <c r="A182" s="5">
        <v>182.0</v>
      </c>
      <c r="B182" s="3" t="str">
        <f>'PC 07'!A182</f>
        <v/>
      </c>
      <c r="C182" s="3" t="str">
        <f>IF(COUNTA('PC 07'!A182:L182)=0,"",TEXTJOIN(" | ",TRUE,IF('PC 07'!A182="","Worker ID kosong",""),IF('PC 07'!B182="","Update Date kosong",IF(NOT(ISNUMBER('PC 07'!B182)),"Update Date harus tanggal","")),IF('PC 07'!D182="","Judul kosong",""),IF('PC 07'!F182="","Genre kosong",IF(ISERROR(MATCH(TRIM('PC 07'!F182),{"Pop","Rock","Dangdut","K-Pop","Electronic","Nasional","Daerah"},0)),"Genre di luar daftar","")),IF('PC 07'!G182="","Nama Channel kosong",""),IF('PC 07'!H182="","Link kosong",IF(ISERROR(FIND("youtu",LOWER('PC 07'!H182))),"Link bukan youtube","")),IF('PC 07'!I182="","Tgl Dibuat kosong",IF(NOT(ISNUMBER('PC 07'!I182)),"Tgl Dibuat harus tanggal","")),IF(AND('PC 07'!J182&lt;&gt;"",NOT(ISNUMBER('PC 07'!J182))),"Tgl Publish harus tanggal",""),IF(AND(ISNUMBER('PC 07'!I182),ISNUMBER('PC 07'!J182),'PC 07'!J182&lt;'PC 07'!I182),"Tgl Publish &lt; Tgl Dibuat",""),IF(AND('PC 07'!K182&lt;&gt;"",ISERROR(MATCH(TRIM('PC 07'!K182),{"Draft","Menunggu Review","Revisi","Terjadwal","Publish","Batal","Published"},0))),"Status di luar daftar","")))</f>
        <v>#ERROR!</v>
      </c>
      <c r="D182" s="3" t="str">
        <f>IF(C182="","OK","ADA MASALAH")</f>
        <v>#ERROR!</v>
      </c>
    </row>
    <row r="183">
      <c r="A183" s="5">
        <v>183.0</v>
      </c>
      <c r="B183" s="3" t="str">
        <f>'PC 07'!A183</f>
        <v/>
      </c>
      <c r="C183" s="3" t="str">
        <f>IF(COUNTA('PC 07'!A183:L183)=0,"",TEXTJOIN(" | ",TRUE,IF('PC 07'!A183="","Worker ID kosong",""),IF('PC 07'!B183="","Update Date kosong",IF(NOT(ISNUMBER('PC 07'!B183)),"Update Date harus tanggal","")),IF('PC 07'!D183="","Judul kosong",""),IF('PC 07'!F183="","Genre kosong",IF(ISERROR(MATCH(TRIM('PC 07'!F183),{"Pop","Rock","Dangdut","K-Pop","Electronic","Nasional","Daerah"},0)),"Genre di luar daftar","")),IF('PC 07'!G183="","Nama Channel kosong",""),IF('PC 07'!H183="","Link kosong",IF(ISERROR(FIND("youtu",LOWER('PC 07'!H183))),"Link bukan youtube","")),IF('PC 07'!I183="","Tgl Dibuat kosong",IF(NOT(ISNUMBER('PC 07'!I183)),"Tgl Dibuat harus tanggal","")),IF(AND('PC 07'!J183&lt;&gt;"",NOT(ISNUMBER('PC 07'!J183))),"Tgl Publish harus tanggal",""),IF(AND(ISNUMBER('PC 07'!I183),ISNUMBER('PC 07'!J183),'PC 07'!J183&lt;'PC 07'!I183),"Tgl Publish &lt; Tgl Dibuat",""),IF(AND('PC 07'!K183&lt;&gt;"",ISERROR(MATCH(TRIM('PC 07'!K183),{"Draft","Menunggu Review","Revisi","Terjadwal","Publish","Batal","Published"},0))),"Status di luar daftar","")))</f>
        <v>#ERROR!</v>
      </c>
      <c r="D183" s="3" t="str">
        <f>IF(C183="","OK","ADA MASALAH")</f>
        <v>#ERROR!</v>
      </c>
    </row>
    <row r="184">
      <c r="A184" s="5">
        <v>184.0</v>
      </c>
      <c r="B184" s="3" t="str">
        <f>'PC 07'!A184</f>
        <v/>
      </c>
      <c r="C184" s="3" t="str">
        <f>IF(COUNTA('PC 07'!A184:L184)=0,"",TEXTJOIN(" | ",TRUE,IF('PC 07'!A184="","Worker ID kosong",""),IF('PC 07'!B184="","Update Date kosong",IF(NOT(ISNUMBER('PC 07'!B184)),"Update Date harus tanggal","")),IF('PC 07'!D184="","Judul kosong",""),IF('PC 07'!F184="","Genre kosong",IF(ISERROR(MATCH(TRIM('PC 07'!F184),{"Pop","Rock","Dangdut","K-Pop","Electronic","Nasional","Daerah"},0)),"Genre di luar daftar","")),IF('PC 07'!G184="","Nama Channel kosong",""),IF('PC 07'!H184="","Link kosong",IF(ISERROR(FIND("youtu",LOWER('PC 07'!H184))),"Link bukan youtube","")),IF('PC 07'!I184="","Tgl Dibuat kosong",IF(NOT(ISNUMBER('PC 07'!I184)),"Tgl Dibuat harus tanggal","")),IF(AND('PC 07'!J184&lt;&gt;"",NOT(ISNUMBER('PC 07'!J184))),"Tgl Publish harus tanggal",""),IF(AND(ISNUMBER('PC 07'!I184),ISNUMBER('PC 07'!J184),'PC 07'!J184&lt;'PC 07'!I184),"Tgl Publish &lt; Tgl Dibuat",""),IF(AND('PC 07'!K184&lt;&gt;"",ISERROR(MATCH(TRIM('PC 07'!K184),{"Draft","Menunggu Review","Revisi","Terjadwal","Publish","Batal","Published"},0))),"Status di luar daftar","")))</f>
        <v>#ERROR!</v>
      </c>
      <c r="D184" s="3" t="str">
        <f>IF(C184="","OK","ADA MASALAH")</f>
        <v>#ERROR!</v>
      </c>
    </row>
    <row r="185">
      <c r="A185" s="5">
        <v>185.0</v>
      </c>
      <c r="B185" s="3" t="str">
        <f>'PC 07'!A185</f>
        <v/>
      </c>
      <c r="C185" s="3" t="str">
        <f>IF(COUNTA('PC 07'!A185:L185)=0,"",TEXTJOIN(" | ",TRUE,IF('PC 07'!A185="","Worker ID kosong",""),IF('PC 07'!B185="","Update Date kosong",IF(NOT(ISNUMBER('PC 07'!B185)),"Update Date harus tanggal","")),IF('PC 07'!D185="","Judul kosong",""),IF('PC 07'!F185="","Genre kosong",IF(ISERROR(MATCH(TRIM('PC 07'!F185),{"Pop","Rock","Dangdut","K-Pop","Electronic","Nasional","Daerah"},0)),"Genre di luar daftar","")),IF('PC 07'!G185="","Nama Channel kosong",""),IF('PC 07'!H185="","Link kosong",IF(ISERROR(FIND("youtu",LOWER('PC 07'!H185))),"Link bukan youtube","")),IF('PC 07'!I185="","Tgl Dibuat kosong",IF(NOT(ISNUMBER('PC 07'!I185)),"Tgl Dibuat harus tanggal","")),IF(AND('PC 07'!J185&lt;&gt;"",NOT(ISNUMBER('PC 07'!J185))),"Tgl Publish harus tanggal",""),IF(AND(ISNUMBER('PC 07'!I185),ISNUMBER('PC 07'!J185),'PC 07'!J185&lt;'PC 07'!I185),"Tgl Publish &lt; Tgl Dibuat",""),IF(AND('PC 07'!K185&lt;&gt;"",ISERROR(MATCH(TRIM('PC 07'!K185),{"Draft","Menunggu Review","Revisi","Terjadwal","Publish","Batal","Published"},0))),"Status di luar daftar","")))</f>
        <v>#ERROR!</v>
      </c>
      <c r="D185" s="3" t="str">
        <f>IF(C185="","OK","ADA MASALAH")</f>
        <v>#ERROR!</v>
      </c>
    </row>
    <row r="186">
      <c r="A186" s="5">
        <v>186.0</v>
      </c>
      <c r="B186" s="3" t="str">
        <f>'PC 07'!A186</f>
        <v/>
      </c>
      <c r="C186" s="3" t="str">
        <f>IF(COUNTA('PC 07'!A186:L186)=0,"",TEXTJOIN(" | ",TRUE,IF('PC 07'!A186="","Worker ID kosong",""),IF('PC 07'!B186="","Update Date kosong",IF(NOT(ISNUMBER('PC 07'!B186)),"Update Date harus tanggal","")),IF('PC 07'!D186="","Judul kosong",""),IF('PC 07'!F186="","Genre kosong",IF(ISERROR(MATCH(TRIM('PC 07'!F186),{"Pop","Rock","Dangdut","K-Pop","Electronic","Nasional","Daerah"},0)),"Genre di luar daftar","")),IF('PC 07'!G186="","Nama Channel kosong",""),IF('PC 07'!H186="","Link kosong",IF(ISERROR(FIND("youtu",LOWER('PC 07'!H186))),"Link bukan youtube","")),IF('PC 07'!I186="","Tgl Dibuat kosong",IF(NOT(ISNUMBER('PC 07'!I186)),"Tgl Dibuat harus tanggal","")),IF(AND('PC 07'!J186&lt;&gt;"",NOT(ISNUMBER('PC 07'!J186))),"Tgl Publish harus tanggal",""),IF(AND(ISNUMBER('PC 07'!I186),ISNUMBER('PC 07'!J186),'PC 07'!J186&lt;'PC 07'!I186),"Tgl Publish &lt; Tgl Dibuat",""),IF(AND('PC 07'!K186&lt;&gt;"",ISERROR(MATCH(TRIM('PC 07'!K186),{"Draft","Menunggu Review","Revisi","Terjadwal","Publish","Batal","Published"},0))),"Status di luar daftar","")))</f>
        <v>#ERROR!</v>
      </c>
      <c r="D186" s="3" t="str">
        <f>IF(C186="","OK","ADA MASALAH")</f>
        <v>#ERROR!</v>
      </c>
    </row>
    <row r="187">
      <c r="A187" s="5">
        <v>187.0</v>
      </c>
      <c r="B187" s="3" t="str">
        <f>'PC 07'!A187</f>
        <v/>
      </c>
      <c r="C187" s="3" t="str">
        <f>IF(COUNTA('PC 07'!A187:L187)=0,"",TEXTJOIN(" | ",TRUE,IF('PC 07'!A187="","Worker ID kosong",""),IF('PC 07'!B187="","Update Date kosong",IF(NOT(ISNUMBER('PC 07'!B187)),"Update Date harus tanggal","")),IF('PC 07'!D187="","Judul kosong",""),IF('PC 07'!F187="","Genre kosong",IF(ISERROR(MATCH(TRIM('PC 07'!F187),{"Pop","Rock","Dangdut","K-Pop","Electronic","Nasional","Daerah"},0)),"Genre di luar daftar","")),IF('PC 07'!G187="","Nama Channel kosong",""),IF('PC 07'!H187="","Link kosong",IF(ISERROR(FIND("youtu",LOWER('PC 07'!H187))),"Link bukan youtube","")),IF('PC 07'!I187="","Tgl Dibuat kosong",IF(NOT(ISNUMBER('PC 07'!I187)),"Tgl Dibuat harus tanggal","")),IF(AND('PC 07'!J187&lt;&gt;"",NOT(ISNUMBER('PC 07'!J187))),"Tgl Publish harus tanggal",""),IF(AND(ISNUMBER('PC 07'!I187),ISNUMBER('PC 07'!J187),'PC 07'!J187&lt;'PC 07'!I187),"Tgl Publish &lt; Tgl Dibuat",""),IF(AND('PC 07'!K187&lt;&gt;"",ISERROR(MATCH(TRIM('PC 07'!K187),{"Draft","Menunggu Review","Revisi","Terjadwal","Publish","Batal","Published"},0))),"Status di luar daftar","")))</f>
        <v>#ERROR!</v>
      </c>
      <c r="D187" s="3" t="str">
        <f>IF(C187="","OK","ADA MASALAH")</f>
        <v>#ERROR!</v>
      </c>
    </row>
    <row r="188">
      <c r="A188" s="5">
        <v>188.0</v>
      </c>
      <c r="B188" s="3" t="str">
        <f>'PC 07'!A188</f>
        <v/>
      </c>
      <c r="C188" s="3" t="str">
        <f>IF(COUNTA('PC 07'!A188:L188)=0,"",TEXTJOIN(" | ",TRUE,IF('PC 07'!A188="","Worker ID kosong",""),IF('PC 07'!B188="","Update Date kosong",IF(NOT(ISNUMBER('PC 07'!B188)),"Update Date harus tanggal","")),IF('PC 07'!D188="","Judul kosong",""),IF('PC 07'!F188="","Genre kosong",IF(ISERROR(MATCH(TRIM('PC 07'!F188),{"Pop","Rock","Dangdut","K-Pop","Electronic","Nasional","Daerah"},0)),"Genre di luar daftar","")),IF('PC 07'!G188="","Nama Channel kosong",""),IF('PC 07'!H188="","Link kosong",IF(ISERROR(FIND("youtu",LOWER('PC 07'!H188))),"Link bukan youtube","")),IF('PC 07'!I188="","Tgl Dibuat kosong",IF(NOT(ISNUMBER('PC 07'!I188)),"Tgl Dibuat harus tanggal","")),IF(AND('PC 07'!J188&lt;&gt;"",NOT(ISNUMBER('PC 07'!J188))),"Tgl Publish harus tanggal",""),IF(AND(ISNUMBER('PC 07'!I188),ISNUMBER('PC 07'!J188),'PC 07'!J188&lt;'PC 07'!I188),"Tgl Publish &lt; Tgl Dibuat",""),IF(AND('PC 07'!K188&lt;&gt;"",ISERROR(MATCH(TRIM('PC 07'!K188),{"Draft","Menunggu Review","Revisi","Terjadwal","Publish","Batal","Published"},0))),"Status di luar daftar","")))</f>
        <v>#ERROR!</v>
      </c>
      <c r="D188" s="3" t="str">
        <f>IF(C188="","OK","ADA MASALAH")</f>
        <v>#ERROR!</v>
      </c>
    </row>
    <row r="189">
      <c r="A189" s="5">
        <v>189.0</v>
      </c>
      <c r="B189" s="3" t="str">
        <f>'PC 07'!A189</f>
        <v/>
      </c>
      <c r="C189" s="3" t="str">
        <f>IF(COUNTA('PC 07'!A189:L189)=0,"",TEXTJOIN(" | ",TRUE,IF('PC 07'!A189="","Worker ID kosong",""),IF('PC 07'!B189="","Update Date kosong",IF(NOT(ISNUMBER('PC 07'!B189)),"Update Date harus tanggal","")),IF('PC 07'!D189="","Judul kosong",""),IF('PC 07'!F189="","Genre kosong",IF(ISERROR(MATCH(TRIM('PC 07'!F189),{"Pop","Rock","Dangdut","K-Pop","Electronic","Nasional","Daerah"},0)),"Genre di luar daftar","")),IF('PC 07'!G189="","Nama Channel kosong",""),IF('PC 07'!H189="","Link kosong",IF(ISERROR(FIND("youtu",LOWER('PC 07'!H189))),"Link bukan youtube","")),IF('PC 07'!I189="","Tgl Dibuat kosong",IF(NOT(ISNUMBER('PC 07'!I189)),"Tgl Dibuat harus tanggal","")),IF(AND('PC 07'!J189&lt;&gt;"",NOT(ISNUMBER('PC 07'!J189))),"Tgl Publish harus tanggal",""),IF(AND(ISNUMBER('PC 07'!I189),ISNUMBER('PC 07'!J189),'PC 07'!J189&lt;'PC 07'!I189),"Tgl Publish &lt; Tgl Dibuat",""),IF(AND('PC 07'!K189&lt;&gt;"",ISERROR(MATCH(TRIM('PC 07'!K189),{"Draft","Menunggu Review","Revisi","Terjadwal","Publish","Batal","Published"},0))),"Status di luar daftar","")))</f>
        <v>#ERROR!</v>
      </c>
      <c r="D189" s="3" t="str">
        <f>IF(C189="","OK","ADA MASALAH")</f>
        <v>#ERROR!</v>
      </c>
    </row>
    <row r="190">
      <c r="A190" s="5">
        <v>190.0</v>
      </c>
      <c r="B190" s="3" t="str">
        <f>'PC 07'!A190</f>
        <v/>
      </c>
      <c r="C190" s="3" t="str">
        <f>IF(COUNTA('PC 07'!A190:L190)=0,"",TEXTJOIN(" | ",TRUE,IF('PC 07'!A190="","Worker ID kosong",""),IF('PC 07'!B190="","Update Date kosong",IF(NOT(ISNUMBER('PC 07'!B190)),"Update Date harus tanggal","")),IF('PC 07'!D190="","Judul kosong",""),IF('PC 07'!F190="","Genre kosong",IF(ISERROR(MATCH(TRIM('PC 07'!F190),{"Pop","Rock","Dangdut","K-Pop","Electronic","Nasional","Daerah"},0)),"Genre di luar daftar","")),IF('PC 07'!G190="","Nama Channel kosong",""),IF('PC 07'!H190="","Link kosong",IF(ISERROR(FIND("youtu",LOWER('PC 07'!H190))),"Link bukan youtube","")),IF('PC 07'!I190="","Tgl Dibuat kosong",IF(NOT(ISNUMBER('PC 07'!I190)),"Tgl Dibuat harus tanggal","")),IF(AND('PC 07'!J190&lt;&gt;"",NOT(ISNUMBER('PC 07'!J190))),"Tgl Publish harus tanggal",""),IF(AND(ISNUMBER('PC 07'!I190),ISNUMBER('PC 07'!J190),'PC 07'!J190&lt;'PC 07'!I190),"Tgl Publish &lt; Tgl Dibuat",""),IF(AND('PC 07'!K190&lt;&gt;"",ISERROR(MATCH(TRIM('PC 07'!K190),{"Draft","Menunggu Review","Revisi","Terjadwal","Publish","Batal","Published"},0))),"Status di luar daftar","")))</f>
        <v>#ERROR!</v>
      </c>
      <c r="D190" s="3" t="str">
        <f>IF(C190="","OK","ADA MASALAH")</f>
        <v>#ERROR!</v>
      </c>
    </row>
    <row r="191">
      <c r="A191" s="5">
        <v>191.0</v>
      </c>
      <c r="B191" s="3" t="str">
        <f>'PC 07'!A191</f>
        <v/>
      </c>
      <c r="C191" s="3" t="str">
        <f>IF(COUNTA('PC 07'!A191:L191)=0,"",TEXTJOIN(" | ",TRUE,IF('PC 07'!A191="","Worker ID kosong",""),IF('PC 07'!B191="","Update Date kosong",IF(NOT(ISNUMBER('PC 07'!B191)),"Update Date harus tanggal","")),IF('PC 07'!D191="","Judul kosong",""),IF('PC 07'!F191="","Genre kosong",IF(ISERROR(MATCH(TRIM('PC 07'!F191),{"Pop","Rock","Dangdut","K-Pop","Electronic","Nasional","Daerah"},0)),"Genre di luar daftar","")),IF('PC 07'!G191="","Nama Channel kosong",""),IF('PC 07'!H191="","Link kosong",IF(ISERROR(FIND("youtu",LOWER('PC 07'!H191))),"Link bukan youtube","")),IF('PC 07'!I191="","Tgl Dibuat kosong",IF(NOT(ISNUMBER('PC 07'!I191)),"Tgl Dibuat harus tanggal","")),IF(AND('PC 07'!J191&lt;&gt;"",NOT(ISNUMBER('PC 07'!J191))),"Tgl Publish harus tanggal",""),IF(AND(ISNUMBER('PC 07'!I191),ISNUMBER('PC 07'!J191),'PC 07'!J191&lt;'PC 07'!I191),"Tgl Publish &lt; Tgl Dibuat",""),IF(AND('PC 07'!K191&lt;&gt;"",ISERROR(MATCH(TRIM('PC 07'!K191),{"Draft","Menunggu Review","Revisi","Terjadwal","Publish","Batal","Published"},0))),"Status di luar daftar","")))</f>
        <v>#ERROR!</v>
      </c>
      <c r="D191" s="3" t="str">
        <f>IF(C191="","OK","ADA MASALAH")</f>
        <v>#ERROR!</v>
      </c>
    </row>
    <row r="192">
      <c r="A192" s="5">
        <v>192.0</v>
      </c>
      <c r="B192" s="3" t="str">
        <f>'PC 07'!A192</f>
        <v/>
      </c>
      <c r="C192" s="3" t="str">
        <f>IF(COUNTA('PC 07'!A192:L192)=0,"",TEXTJOIN(" | ",TRUE,IF('PC 07'!A192="","Worker ID kosong",""),IF('PC 07'!B192="","Update Date kosong",IF(NOT(ISNUMBER('PC 07'!B192)),"Update Date harus tanggal","")),IF('PC 07'!D192="","Judul kosong",""),IF('PC 07'!F192="","Genre kosong",IF(ISERROR(MATCH(TRIM('PC 07'!F192),{"Pop","Rock","Dangdut","K-Pop","Electronic","Nasional","Daerah"},0)),"Genre di luar daftar","")),IF('PC 07'!G192="","Nama Channel kosong",""),IF('PC 07'!H192="","Link kosong",IF(ISERROR(FIND("youtu",LOWER('PC 07'!H192))),"Link bukan youtube","")),IF('PC 07'!I192="","Tgl Dibuat kosong",IF(NOT(ISNUMBER('PC 07'!I192)),"Tgl Dibuat harus tanggal","")),IF(AND('PC 07'!J192&lt;&gt;"",NOT(ISNUMBER('PC 07'!J192))),"Tgl Publish harus tanggal",""),IF(AND(ISNUMBER('PC 07'!I192),ISNUMBER('PC 07'!J192),'PC 07'!J192&lt;'PC 07'!I192),"Tgl Publish &lt; Tgl Dibuat",""),IF(AND('PC 07'!K192&lt;&gt;"",ISERROR(MATCH(TRIM('PC 07'!K192),{"Draft","Menunggu Review","Revisi","Terjadwal","Publish","Batal","Published"},0))),"Status di luar daftar","")))</f>
        <v>#ERROR!</v>
      </c>
      <c r="D192" s="3" t="str">
        <f>IF(C192="","OK","ADA MASALAH")</f>
        <v>#ERROR!</v>
      </c>
    </row>
    <row r="193">
      <c r="A193" s="5">
        <v>193.0</v>
      </c>
      <c r="B193" s="3" t="str">
        <f>'PC 07'!A193</f>
        <v/>
      </c>
      <c r="C193" s="3" t="str">
        <f>IF(COUNTA('PC 07'!A193:L193)=0,"",TEXTJOIN(" | ",TRUE,IF('PC 07'!A193="","Worker ID kosong",""),IF('PC 07'!B193="","Update Date kosong",IF(NOT(ISNUMBER('PC 07'!B193)),"Update Date harus tanggal","")),IF('PC 07'!D193="","Judul kosong",""),IF('PC 07'!F193="","Genre kosong",IF(ISERROR(MATCH(TRIM('PC 07'!F193),{"Pop","Rock","Dangdut","K-Pop","Electronic","Nasional","Daerah"},0)),"Genre di luar daftar","")),IF('PC 07'!G193="","Nama Channel kosong",""),IF('PC 07'!H193="","Link kosong",IF(ISERROR(FIND("youtu",LOWER('PC 07'!H193))),"Link bukan youtube","")),IF('PC 07'!I193="","Tgl Dibuat kosong",IF(NOT(ISNUMBER('PC 07'!I193)),"Tgl Dibuat harus tanggal","")),IF(AND('PC 07'!J193&lt;&gt;"",NOT(ISNUMBER('PC 07'!J193))),"Tgl Publish harus tanggal",""),IF(AND(ISNUMBER('PC 07'!I193),ISNUMBER('PC 07'!J193),'PC 07'!J193&lt;'PC 07'!I193),"Tgl Publish &lt; Tgl Dibuat",""),IF(AND('PC 07'!K193&lt;&gt;"",ISERROR(MATCH(TRIM('PC 07'!K193),{"Draft","Menunggu Review","Revisi","Terjadwal","Publish","Batal","Published"},0))),"Status di luar daftar","")))</f>
        <v>#ERROR!</v>
      </c>
      <c r="D193" s="3" t="str">
        <f>IF(C193="","OK","ADA MASALAH")</f>
        <v>#ERROR!</v>
      </c>
    </row>
    <row r="194">
      <c r="A194" s="5">
        <v>194.0</v>
      </c>
      <c r="B194" s="3" t="str">
        <f>'PC 07'!A194</f>
        <v/>
      </c>
      <c r="C194" s="3" t="str">
        <f>IF(COUNTA('PC 07'!A194:L194)=0,"",TEXTJOIN(" | ",TRUE,IF('PC 07'!A194="","Worker ID kosong",""),IF('PC 07'!B194="","Update Date kosong",IF(NOT(ISNUMBER('PC 07'!B194)),"Update Date harus tanggal","")),IF('PC 07'!D194="","Judul kosong",""),IF('PC 07'!F194="","Genre kosong",IF(ISERROR(MATCH(TRIM('PC 07'!F194),{"Pop","Rock","Dangdut","K-Pop","Electronic","Nasional","Daerah"},0)),"Genre di luar daftar","")),IF('PC 07'!G194="","Nama Channel kosong",""),IF('PC 07'!H194="","Link kosong",IF(ISERROR(FIND("youtu",LOWER('PC 07'!H194))),"Link bukan youtube","")),IF('PC 07'!I194="","Tgl Dibuat kosong",IF(NOT(ISNUMBER('PC 07'!I194)),"Tgl Dibuat harus tanggal","")),IF(AND('PC 07'!J194&lt;&gt;"",NOT(ISNUMBER('PC 07'!J194))),"Tgl Publish harus tanggal",""),IF(AND(ISNUMBER('PC 07'!I194),ISNUMBER('PC 07'!J194),'PC 07'!J194&lt;'PC 07'!I194),"Tgl Publish &lt; Tgl Dibuat",""),IF(AND('PC 07'!K194&lt;&gt;"",ISERROR(MATCH(TRIM('PC 07'!K194),{"Draft","Menunggu Review","Revisi","Terjadwal","Publish","Batal","Published"},0))),"Status di luar daftar","")))</f>
        <v>#ERROR!</v>
      </c>
      <c r="D194" s="3" t="str">
        <f>IF(C194="","OK","ADA MASALAH")</f>
        <v>#ERROR!</v>
      </c>
    </row>
    <row r="195">
      <c r="A195" s="5">
        <v>195.0</v>
      </c>
      <c r="B195" s="3" t="str">
        <f>'PC 07'!A195</f>
        <v/>
      </c>
      <c r="C195" s="3" t="str">
        <f>IF(COUNTA('PC 07'!A195:L195)=0,"",TEXTJOIN(" | ",TRUE,IF('PC 07'!A195="","Worker ID kosong",""),IF('PC 07'!B195="","Update Date kosong",IF(NOT(ISNUMBER('PC 07'!B195)),"Update Date harus tanggal","")),IF('PC 07'!D195="","Judul kosong",""),IF('PC 07'!F195="","Genre kosong",IF(ISERROR(MATCH(TRIM('PC 07'!F195),{"Pop","Rock","Dangdut","K-Pop","Electronic","Nasional","Daerah"},0)),"Genre di luar daftar","")),IF('PC 07'!G195="","Nama Channel kosong",""),IF('PC 07'!H195="","Link kosong",IF(ISERROR(FIND("youtu",LOWER('PC 07'!H195))),"Link bukan youtube","")),IF('PC 07'!I195="","Tgl Dibuat kosong",IF(NOT(ISNUMBER('PC 07'!I195)),"Tgl Dibuat harus tanggal","")),IF(AND('PC 07'!J195&lt;&gt;"",NOT(ISNUMBER('PC 07'!J195))),"Tgl Publish harus tanggal",""),IF(AND(ISNUMBER('PC 07'!I195),ISNUMBER('PC 07'!J195),'PC 07'!J195&lt;'PC 07'!I195),"Tgl Publish &lt; Tgl Dibuat",""),IF(AND('PC 07'!K195&lt;&gt;"",ISERROR(MATCH(TRIM('PC 07'!K195),{"Draft","Menunggu Review","Revisi","Terjadwal","Publish","Batal","Published"},0))),"Status di luar daftar","")))</f>
        <v>#ERROR!</v>
      </c>
      <c r="D195" s="3" t="str">
        <f>IF(C195="","OK","ADA MASALAH")</f>
        <v>#ERROR!</v>
      </c>
    </row>
    <row r="196">
      <c r="A196" s="5">
        <v>196.0</v>
      </c>
      <c r="B196" s="3" t="str">
        <f>'PC 07'!A196</f>
        <v/>
      </c>
      <c r="C196" s="3" t="str">
        <f>IF(COUNTA('PC 07'!A196:L196)=0,"",TEXTJOIN(" | ",TRUE,IF('PC 07'!A196="","Worker ID kosong",""),IF('PC 07'!B196="","Update Date kosong",IF(NOT(ISNUMBER('PC 07'!B196)),"Update Date harus tanggal","")),IF('PC 07'!D196="","Judul kosong",""),IF('PC 07'!F196="","Genre kosong",IF(ISERROR(MATCH(TRIM('PC 07'!F196),{"Pop","Rock","Dangdut","K-Pop","Electronic","Nasional","Daerah"},0)),"Genre di luar daftar","")),IF('PC 07'!G196="","Nama Channel kosong",""),IF('PC 07'!H196="","Link kosong",IF(ISERROR(FIND("youtu",LOWER('PC 07'!H196))),"Link bukan youtube","")),IF('PC 07'!I196="","Tgl Dibuat kosong",IF(NOT(ISNUMBER('PC 07'!I196)),"Tgl Dibuat harus tanggal","")),IF(AND('PC 07'!J196&lt;&gt;"",NOT(ISNUMBER('PC 07'!J196))),"Tgl Publish harus tanggal",""),IF(AND(ISNUMBER('PC 07'!I196),ISNUMBER('PC 07'!J196),'PC 07'!J196&lt;'PC 07'!I196),"Tgl Publish &lt; Tgl Dibuat",""),IF(AND('PC 07'!K196&lt;&gt;"",ISERROR(MATCH(TRIM('PC 07'!K196),{"Draft","Menunggu Review","Revisi","Terjadwal","Publish","Batal","Published"},0))),"Status di luar daftar","")))</f>
        <v>#ERROR!</v>
      </c>
      <c r="D196" s="3" t="str">
        <f>IF(C196="","OK","ADA MASALAH")</f>
        <v>#ERROR!</v>
      </c>
    </row>
    <row r="197">
      <c r="A197" s="5">
        <v>197.0</v>
      </c>
      <c r="B197" s="3" t="str">
        <f>'PC 07'!A197</f>
        <v/>
      </c>
      <c r="C197" s="3" t="str">
        <f>IF(COUNTA('PC 07'!A197:L197)=0,"",TEXTJOIN(" | ",TRUE,IF('PC 07'!A197="","Worker ID kosong",""),IF('PC 07'!B197="","Update Date kosong",IF(NOT(ISNUMBER('PC 07'!B197)),"Update Date harus tanggal","")),IF('PC 07'!D197="","Judul kosong",""),IF('PC 07'!F197="","Genre kosong",IF(ISERROR(MATCH(TRIM('PC 07'!F197),{"Pop","Rock","Dangdut","K-Pop","Electronic","Nasional","Daerah"},0)),"Genre di luar daftar","")),IF('PC 07'!G197="","Nama Channel kosong",""),IF('PC 07'!H197="","Link kosong",IF(ISERROR(FIND("youtu",LOWER('PC 07'!H197))),"Link bukan youtube","")),IF('PC 07'!I197="","Tgl Dibuat kosong",IF(NOT(ISNUMBER('PC 07'!I197)),"Tgl Dibuat harus tanggal","")),IF(AND('PC 07'!J197&lt;&gt;"",NOT(ISNUMBER('PC 07'!J197))),"Tgl Publish harus tanggal",""),IF(AND(ISNUMBER('PC 07'!I197),ISNUMBER('PC 07'!J197),'PC 07'!J197&lt;'PC 07'!I197),"Tgl Publish &lt; Tgl Dibuat",""),IF(AND('PC 07'!K197&lt;&gt;"",ISERROR(MATCH(TRIM('PC 07'!K197),{"Draft","Menunggu Review","Revisi","Terjadwal","Publish","Batal","Published"},0))),"Status di luar daftar","")))</f>
        <v>#ERROR!</v>
      </c>
      <c r="D197" s="3" t="str">
        <f>IF(C197="","OK","ADA MASALAH")</f>
        <v>#ERROR!</v>
      </c>
    </row>
    <row r="198">
      <c r="A198" s="5">
        <v>198.0</v>
      </c>
      <c r="B198" s="3" t="str">
        <f>'PC 07'!A198</f>
        <v/>
      </c>
      <c r="C198" s="3" t="str">
        <f>IF(COUNTA('PC 07'!A198:L198)=0,"",TEXTJOIN(" | ",TRUE,IF('PC 07'!A198="","Worker ID kosong",""),IF('PC 07'!B198="","Update Date kosong",IF(NOT(ISNUMBER('PC 07'!B198)),"Update Date harus tanggal","")),IF('PC 07'!D198="","Judul kosong",""),IF('PC 07'!F198="","Genre kosong",IF(ISERROR(MATCH(TRIM('PC 07'!F198),{"Pop","Rock","Dangdut","K-Pop","Electronic","Nasional","Daerah"},0)),"Genre di luar daftar","")),IF('PC 07'!G198="","Nama Channel kosong",""),IF('PC 07'!H198="","Link kosong",IF(ISERROR(FIND("youtu",LOWER('PC 07'!H198))),"Link bukan youtube","")),IF('PC 07'!I198="","Tgl Dibuat kosong",IF(NOT(ISNUMBER('PC 07'!I198)),"Tgl Dibuat harus tanggal","")),IF(AND('PC 07'!J198&lt;&gt;"",NOT(ISNUMBER('PC 07'!J198))),"Tgl Publish harus tanggal",""),IF(AND(ISNUMBER('PC 07'!I198),ISNUMBER('PC 07'!J198),'PC 07'!J198&lt;'PC 07'!I198),"Tgl Publish &lt; Tgl Dibuat",""),IF(AND('PC 07'!K198&lt;&gt;"",ISERROR(MATCH(TRIM('PC 07'!K198),{"Draft","Menunggu Review","Revisi","Terjadwal","Publish","Batal","Published"},0))),"Status di luar daftar","")))</f>
        <v>#ERROR!</v>
      </c>
      <c r="D198" s="3" t="str">
        <f>IF(C198="","OK","ADA MASALAH")</f>
        <v>#ERROR!</v>
      </c>
    </row>
    <row r="199">
      <c r="A199" s="5">
        <v>199.0</v>
      </c>
      <c r="B199" s="3" t="str">
        <f>'PC 07'!A199</f>
        <v/>
      </c>
      <c r="C199" s="3" t="str">
        <f>IF(COUNTA('PC 07'!A199:L199)=0,"",TEXTJOIN(" | ",TRUE,IF('PC 07'!A199="","Worker ID kosong",""),IF('PC 07'!B199="","Update Date kosong",IF(NOT(ISNUMBER('PC 07'!B199)),"Update Date harus tanggal","")),IF('PC 07'!D199="","Judul kosong",""),IF('PC 07'!F199="","Genre kosong",IF(ISERROR(MATCH(TRIM('PC 07'!F199),{"Pop","Rock","Dangdut","K-Pop","Electronic","Nasional","Daerah"},0)),"Genre di luar daftar","")),IF('PC 07'!G199="","Nama Channel kosong",""),IF('PC 07'!H199="","Link kosong",IF(ISERROR(FIND("youtu",LOWER('PC 07'!H199))),"Link bukan youtube","")),IF('PC 07'!I199="","Tgl Dibuat kosong",IF(NOT(ISNUMBER('PC 07'!I199)),"Tgl Dibuat harus tanggal","")),IF(AND('PC 07'!J199&lt;&gt;"",NOT(ISNUMBER('PC 07'!J199))),"Tgl Publish harus tanggal",""),IF(AND(ISNUMBER('PC 07'!I199),ISNUMBER('PC 07'!J199),'PC 07'!J199&lt;'PC 07'!I199),"Tgl Publish &lt; Tgl Dibuat",""),IF(AND('PC 07'!K199&lt;&gt;"",ISERROR(MATCH(TRIM('PC 07'!K199),{"Draft","Menunggu Review","Revisi","Terjadwal","Publish","Batal","Published"},0))),"Status di luar daftar","")))</f>
        <v>#ERROR!</v>
      </c>
      <c r="D199" s="3" t="str">
        <f>IF(C199="","OK","ADA MASALAH")</f>
        <v>#ERROR!</v>
      </c>
    </row>
    <row r="200">
      <c r="A200" s="5">
        <v>200.0</v>
      </c>
      <c r="B200" s="3" t="str">
        <f>'PC 07'!A200</f>
        <v/>
      </c>
      <c r="C200" s="3" t="str">
        <f>IF(COUNTA('PC 07'!A200:L200)=0,"",TEXTJOIN(" | ",TRUE,IF('PC 07'!A200="","Worker ID kosong",""),IF('PC 07'!B200="","Update Date kosong",IF(NOT(ISNUMBER('PC 07'!B200)),"Update Date harus tanggal","")),IF('PC 07'!D200="","Judul kosong",""),IF('PC 07'!F200="","Genre kosong",IF(ISERROR(MATCH(TRIM('PC 07'!F200),{"Pop","Rock","Dangdut","K-Pop","Electronic","Nasional","Daerah"},0)),"Genre di luar daftar","")),IF('PC 07'!G200="","Nama Channel kosong",""),IF('PC 07'!H200="","Link kosong",IF(ISERROR(FIND("youtu",LOWER('PC 07'!H200))),"Link bukan youtube","")),IF('PC 07'!I200="","Tgl Dibuat kosong",IF(NOT(ISNUMBER('PC 07'!I200)),"Tgl Dibuat harus tanggal","")),IF(AND('PC 07'!J200&lt;&gt;"",NOT(ISNUMBER('PC 07'!J200))),"Tgl Publish harus tanggal",""),IF(AND(ISNUMBER('PC 07'!I200),ISNUMBER('PC 07'!J200),'PC 07'!J200&lt;'PC 07'!I200),"Tgl Publish &lt; Tgl Dibuat",""),IF(AND('PC 07'!K200&lt;&gt;"",ISERROR(MATCH(TRIM('PC 07'!K200),{"Draft","Menunggu Review","Revisi","Terjadwal","Publish","Batal","Published"},0))),"Status di luar daftar","")))</f>
        <v>#ERROR!</v>
      </c>
      <c r="D200" s="3" t="str">
        <f>IF(C200="","OK","ADA MASALAH")</f>
        <v>#ERROR!</v>
      </c>
    </row>
    <row r="201">
      <c r="A201" s="5">
        <v>201.0</v>
      </c>
      <c r="B201" s="3" t="str">
        <f>'PC 07'!A201</f>
        <v/>
      </c>
      <c r="C201" s="3" t="str">
        <f>IF(COUNTA('PC 07'!A201:L201)=0,"",TEXTJOIN(" | ",TRUE,IF('PC 07'!A201="","Worker ID kosong",""),IF('PC 07'!B201="","Update Date kosong",IF(NOT(ISNUMBER('PC 07'!B201)),"Update Date harus tanggal","")),IF('PC 07'!D201="","Judul kosong",""),IF('PC 07'!F201="","Genre kosong",IF(ISERROR(MATCH(TRIM('PC 07'!F201),{"Pop","Rock","Dangdut","K-Pop","Electronic","Nasional","Daerah"},0)),"Genre di luar daftar","")),IF('PC 07'!G201="","Nama Channel kosong",""),IF('PC 07'!H201="","Link kosong",IF(ISERROR(FIND("youtu",LOWER('PC 07'!H201))),"Link bukan youtube","")),IF('PC 07'!I201="","Tgl Dibuat kosong",IF(NOT(ISNUMBER('PC 07'!I201)),"Tgl Dibuat harus tanggal","")),IF(AND('PC 07'!J201&lt;&gt;"",NOT(ISNUMBER('PC 07'!J201))),"Tgl Publish harus tanggal",""),IF(AND(ISNUMBER('PC 07'!I201),ISNUMBER('PC 07'!J201),'PC 07'!J201&lt;'PC 07'!I201),"Tgl Publish &lt; Tgl Dibuat",""),IF(AND('PC 07'!K201&lt;&gt;"",ISERROR(MATCH(TRIM('PC 07'!K201),{"Draft","Menunggu Review","Revisi","Terjadwal","Publish","Batal","Published"},0))),"Status di luar daftar","")))</f>
        <v>#ERROR!</v>
      </c>
      <c r="D201" s="3" t="str">
        <f>IF(C201="","OK","ADA MASALAH")</f>
        <v>#ERROR!</v>
      </c>
    </row>
    <row r="202">
      <c r="A202" s="5">
        <v>202.0</v>
      </c>
      <c r="B202" s="3" t="str">
        <f>'PC 07'!A202</f>
        <v/>
      </c>
      <c r="C202" s="3" t="str">
        <f>IF(COUNTA('PC 07'!A202:L202)=0,"",TEXTJOIN(" | ",TRUE,IF('PC 07'!A202="","Worker ID kosong",""),IF('PC 07'!B202="","Update Date kosong",IF(NOT(ISNUMBER('PC 07'!B202)),"Update Date harus tanggal","")),IF('PC 07'!D202="","Judul kosong",""),IF('PC 07'!F202="","Genre kosong",IF(ISERROR(MATCH(TRIM('PC 07'!F202),{"Pop","Rock","Dangdut","K-Pop","Electronic","Nasional","Daerah"},0)),"Genre di luar daftar","")),IF('PC 07'!G202="","Nama Channel kosong",""),IF('PC 07'!H202="","Link kosong",IF(ISERROR(FIND("youtu",LOWER('PC 07'!H202))),"Link bukan youtube","")),IF('PC 07'!I202="","Tgl Dibuat kosong",IF(NOT(ISNUMBER('PC 07'!I202)),"Tgl Dibuat harus tanggal","")),IF(AND('PC 07'!J202&lt;&gt;"",NOT(ISNUMBER('PC 07'!J202))),"Tgl Publish harus tanggal",""),IF(AND(ISNUMBER('PC 07'!I202),ISNUMBER('PC 07'!J202),'PC 07'!J202&lt;'PC 07'!I202),"Tgl Publish &lt; Tgl Dibuat",""),IF(AND('PC 07'!K202&lt;&gt;"",ISERROR(MATCH(TRIM('PC 07'!K202),{"Draft","Menunggu Review","Revisi","Terjadwal","Publish","Batal","Published"},0))),"Status di luar daftar","")))</f>
        <v>#ERROR!</v>
      </c>
      <c r="D202" s="3" t="str">
        <f>IF(C202="","OK","ADA MASALAH")</f>
        <v>#ERROR!</v>
      </c>
    </row>
    <row r="203">
      <c r="A203" s="5">
        <v>203.0</v>
      </c>
      <c r="B203" s="3" t="str">
        <f>'PC 07'!A203</f>
        <v/>
      </c>
      <c r="C203" s="3" t="str">
        <f>IF(COUNTA('PC 07'!A203:L203)=0,"",TEXTJOIN(" | ",TRUE,IF('PC 07'!A203="","Worker ID kosong",""),IF('PC 07'!B203="","Update Date kosong",IF(NOT(ISNUMBER('PC 07'!B203)),"Update Date harus tanggal","")),IF('PC 07'!D203="","Judul kosong",""),IF('PC 07'!F203="","Genre kosong",IF(ISERROR(MATCH(TRIM('PC 07'!F203),{"Pop","Rock","Dangdut","K-Pop","Electronic","Nasional","Daerah"},0)),"Genre di luar daftar","")),IF('PC 07'!G203="","Nama Channel kosong",""),IF('PC 07'!H203="","Link kosong",IF(ISERROR(FIND("youtu",LOWER('PC 07'!H203))),"Link bukan youtube","")),IF('PC 07'!I203="","Tgl Dibuat kosong",IF(NOT(ISNUMBER('PC 07'!I203)),"Tgl Dibuat harus tanggal","")),IF(AND('PC 07'!J203&lt;&gt;"",NOT(ISNUMBER('PC 07'!J203))),"Tgl Publish harus tanggal",""),IF(AND(ISNUMBER('PC 07'!I203),ISNUMBER('PC 07'!J203),'PC 07'!J203&lt;'PC 07'!I203),"Tgl Publish &lt; Tgl Dibuat",""),IF(AND('PC 07'!K203&lt;&gt;"",ISERROR(MATCH(TRIM('PC 07'!K203),{"Draft","Menunggu Review","Revisi","Terjadwal","Publish","Batal","Published"},0))),"Status di luar daftar","")))</f>
        <v>#ERROR!</v>
      </c>
      <c r="D203" s="3" t="str">
        <f>IF(C203="","OK","ADA MASALAH")</f>
        <v>#ERROR!</v>
      </c>
    </row>
    <row r="204">
      <c r="A204" s="5">
        <v>204.0</v>
      </c>
      <c r="B204" s="3" t="str">
        <f>'PC 07'!A204</f>
        <v/>
      </c>
      <c r="C204" s="3" t="str">
        <f>IF(COUNTA('PC 07'!A204:L204)=0,"",TEXTJOIN(" | ",TRUE,IF('PC 07'!A204="","Worker ID kosong",""),IF('PC 07'!B204="","Update Date kosong",IF(NOT(ISNUMBER('PC 07'!B204)),"Update Date harus tanggal","")),IF('PC 07'!D204="","Judul kosong",""),IF('PC 07'!F204="","Genre kosong",IF(ISERROR(MATCH(TRIM('PC 07'!F204),{"Pop","Rock","Dangdut","K-Pop","Electronic","Nasional","Daerah"},0)),"Genre di luar daftar","")),IF('PC 07'!G204="","Nama Channel kosong",""),IF('PC 07'!H204="","Link kosong",IF(ISERROR(FIND("youtu",LOWER('PC 07'!H204))),"Link bukan youtube","")),IF('PC 07'!I204="","Tgl Dibuat kosong",IF(NOT(ISNUMBER('PC 07'!I204)),"Tgl Dibuat harus tanggal","")),IF(AND('PC 07'!J204&lt;&gt;"",NOT(ISNUMBER('PC 07'!J204))),"Tgl Publish harus tanggal",""),IF(AND(ISNUMBER('PC 07'!I204),ISNUMBER('PC 07'!J204),'PC 07'!J204&lt;'PC 07'!I204),"Tgl Publish &lt; Tgl Dibuat",""),IF(AND('PC 07'!K204&lt;&gt;"",ISERROR(MATCH(TRIM('PC 07'!K204),{"Draft","Menunggu Review","Revisi","Terjadwal","Publish","Batal","Published"},0))),"Status di luar daftar","")))</f>
        <v>#ERROR!</v>
      </c>
      <c r="D204" s="3" t="str">
        <f>IF(C204="","OK","ADA MASALAH")</f>
        <v>#ERROR!</v>
      </c>
    </row>
    <row r="205">
      <c r="A205" s="5">
        <v>205.0</v>
      </c>
      <c r="B205" s="3" t="str">
        <f>'PC 07'!A205</f>
        <v/>
      </c>
      <c r="C205" s="3" t="str">
        <f>IF(COUNTA('PC 07'!A205:L205)=0,"",TEXTJOIN(" | ",TRUE,IF('PC 07'!A205="","Worker ID kosong",""),IF('PC 07'!B205="","Update Date kosong",IF(NOT(ISNUMBER('PC 07'!B205)),"Update Date harus tanggal","")),IF('PC 07'!D205="","Judul kosong",""),IF('PC 07'!F205="","Genre kosong",IF(ISERROR(MATCH(TRIM('PC 07'!F205),{"Pop","Rock","Dangdut","K-Pop","Electronic","Nasional","Daerah"},0)),"Genre di luar daftar","")),IF('PC 07'!G205="","Nama Channel kosong",""),IF('PC 07'!H205="","Link kosong",IF(ISERROR(FIND("youtu",LOWER('PC 07'!H205))),"Link bukan youtube","")),IF('PC 07'!I205="","Tgl Dibuat kosong",IF(NOT(ISNUMBER('PC 07'!I205)),"Tgl Dibuat harus tanggal","")),IF(AND('PC 07'!J205&lt;&gt;"",NOT(ISNUMBER('PC 07'!J205))),"Tgl Publish harus tanggal",""),IF(AND(ISNUMBER('PC 07'!I205),ISNUMBER('PC 07'!J205),'PC 07'!J205&lt;'PC 07'!I205),"Tgl Publish &lt; Tgl Dibuat",""),IF(AND('PC 07'!K205&lt;&gt;"",ISERROR(MATCH(TRIM('PC 07'!K205),{"Draft","Menunggu Review","Revisi","Terjadwal","Publish","Batal","Published"},0))),"Status di luar daftar","")))</f>
        <v>#ERROR!</v>
      </c>
      <c r="D205" s="3" t="str">
        <f>IF(C205="","OK","ADA MASALAH")</f>
        <v>#ERROR!</v>
      </c>
    </row>
    <row r="206">
      <c r="A206" s="5">
        <v>206.0</v>
      </c>
      <c r="B206" s="3" t="str">
        <f>'PC 07'!A206</f>
        <v/>
      </c>
      <c r="C206" s="3" t="str">
        <f>IF(COUNTA('PC 07'!A206:L206)=0,"",TEXTJOIN(" | ",TRUE,IF('PC 07'!A206="","Worker ID kosong",""),IF('PC 07'!B206="","Update Date kosong",IF(NOT(ISNUMBER('PC 07'!B206)),"Update Date harus tanggal","")),IF('PC 07'!D206="","Judul kosong",""),IF('PC 07'!F206="","Genre kosong",IF(ISERROR(MATCH(TRIM('PC 07'!F206),{"Pop","Rock","Dangdut","K-Pop","Electronic","Nasional","Daerah"},0)),"Genre di luar daftar","")),IF('PC 07'!G206="","Nama Channel kosong",""),IF('PC 07'!H206="","Link kosong",IF(ISERROR(FIND("youtu",LOWER('PC 07'!H206))),"Link bukan youtube","")),IF('PC 07'!I206="","Tgl Dibuat kosong",IF(NOT(ISNUMBER('PC 07'!I206)),"Tgl Dibuat harus tanggal","")),IF(AND('PC 07'!J206&lt;&gt;"",NOT(ISNUMBER('PC 07'!J206))),"Tgl Publish harus tanggal",""),IF(AND(ISNUMBER('PC 07'!I206),ISNUMBER('PC 07'!J206),'PC 07'!J206&lt;'PC 07'!I206),"Tgl Publish &lt; Tgl Dibuat",""),IF(AND('PC 07'!K206&lt;&gt;"",ISERROR(MATCH(TRIM('PC 07'!K206),{"Draft","Menunggu Review","Revisi","Terjadwal","Publish","Batal","Published"},0))),"Status di luar daftar","")))</f>
        <v>#ERROR!</v>
      </c>
      <c r="D206" s="3" t="str">
        <f>IF(C206="","OK","ADA MASALAH")</f>
        <v>#ERROR!</v>
      </c>
    </row>
    <row r="207">
      <c r="A207" s="5">
        <v>207.0</v>
      </c>
      <c r="B207" s="3" t="str">
        <f>'PC 07'!A207</f>
        <v/>
      </c>
      <c r="C207" s="3" t="str">
        <f>IF(COUNTA('PC 07'!A207:L207)=0,"",TEXTJOIN(" | ",TRUE,IF('PC 07'!A207="","Worker ID kosong",""),IF('PC 07'!B207="","Update Date kosong",IF(NOT(ISNUMBER('PC 07'!B207)),"Update Date harus tanggal","")),IF('PC 07'!D207="","Judul kosong",""),IF('PC 07'!F207="","Genre kosong",IF(ISERROR(MATCH(TRIM('PC 07'!F207),{"Pop","Rock","Dangdut","K-Pop","Electronic","Nasional","Daerah"},0)),"Genre di luar daftar","")),IF('PC 07'!G207="","Nama Channel kosong",""),IF('PC 07'!H207="","Link kosong",IF(ISERROR(FIND("youtu",LOWER('PC 07'!H207))),"Link bukan youtube","")),IF('PC 07'!I207="","Tgl Dibuat kosong",IF(NOT(ISNUMBER('PC 07'!I207)),"Tgl Dibuat harus tanggal","")),IF(AND('PC 07'!J207&lt;&gt;"",NOT(ISNUMBER('PC 07'!J207))),"Tgl Publish harus tanggal",""),IF(AND(ISNUMBER('PC 07'!I207),ISNUMBER('PC 07'!J207),'PC 07'!J207&lt;'PC 07'!I207),"Tgl Publish &lt; Tgl Dibuat",""),IF(AND('PC 07'!K207&lt;&gt;"",ISERROR(MATCH(TRIM('PC 07'!K207),{"Draft","Menunggu Review","Revisi","Terjadwal","Publish","Batal","Published"},0))),"Status di luar daftar","")))</f>
        <v>#ERROR!</v>
      </c>
      <c r="D207" s="3" t="str">
        <f>IF(C207="","OK","ADA MASALAH")</f>
        <v>#ERROR!</v>
      </c>
    </row>
    <row r="208">
      <c r="A208" s="5">
        <v>208.0</v>
      </c>
      <c r="B208" s="3" t="str">
        <f>'PC 07'!A208</f>
        <v/>
      </c>
      <c r="C208" s="3" t="str">
        <f>IF(COUNTA('PC 07'!A208:L208)=0,"",TEXTJOIN(" | ",TRUE,IF('PC 07'!A208="","Worker ID kosong",""),IF('PC 07'!B208="","Update Date kosong",IF(NOT(ISNUMBER('PC 07'!B208)),"Update Date harus tanggal","")),IF('PC 07'!D208="","Judul kosong",""),IF('PC 07'!F208="","Genre kosong",IF(ISERROR(MATCH(TRIM('PC 07'!F208),{"Pop","Rock","Dangdut","K-Pop","Electronic","Nasional","Daerah"},0)),"Genre di luar daftar","")),IF('PC 07'!G208="","Nama Channel kosong",""),IF('PC 07'!H208="","Link kosong",IF(ISERROR(FIND("youtu",LOWER('PC 07'!H208))),"Link bukan youtube","")),IF('PC 07'!I208="","Tgl Dibuat kosong",IF(NOT(ISNUMBER('PC 07'!I208)),"Tgl Dibuat harus tanggal","")),IF(AND('PC 07'!J208&lt;&gt;"",NOT(ISNUMBER('PC 07'!J208))),"Tgl Publish harus tanggal",""),IF(AND(ISNUMBER('PC 07'!I208),ISNUMBER('PC 07'!J208),'PC 07'!J208&lt;'PC 07'!I208),"Tgl Publish &lt; Tgl Dibuat",""),IF(AND('PC 07'!K208&lt;&gt;"",ISERROR(MATCH(TRIM('PC 07'!K208),{"Draft","Menunggu Review","Revisi","Terjadwal","Publish","Batal","Published"},0))),"Status di luar daftar","")))</f>
        <v>#ERROR!</v>
      </c>
      <c r="D208" s="3" t="str">
        <f>IF(C208="","OK","ADA MASALAH")</f>
        <v>#ERROR!</v>
      </c>
    </row>
    <row r="209">
      <c r="A209" s="5">
        <v>209.0</v>
      </c>
      <c r="B209" s="3" t="str">
        <f>'PC 07'!A209</f>
        <v/>
      </c>
      <c r="C209" s="3" t="str">
        <f>IF(COUNTA('PC 07'!A209:L209)=0,"",TEXTJOIN(" | ",TRUE,IF('PC 07'!A209="","Worker ID kosong",""),IF('PC 07'!B209="","Update Date kosong",IF(NOT(ISNUMBER('PC 07'!B209)),"Update Date harus tanggal","")),IF('PC 07'!D209="","Judul kosong",""),IF('PC 07'!F209="","Genre kosong",IF(ISERROR(MATCH(TRIM('PC 07'!F209),{"Pop","Rock","Dangdut","K-Pop","Electronic","Nasional","Daerah"},0)),"Genre di luar daftar","")),IF('PC 07'!G209="","Nama Channel kosong",""),IF('PC 07'!H209="","Link kosong",IF(ISERROR(FIND("youtu",LOWER('PC 07'!H209))),"Link bukan youtube","")),IF('PC 07'!I209="","Tgl Dibuat kosong",IF(NOT(ISNUMBER('PC 07'!I209)),"Tgl Dibuat harus tanggal","")),IF(AND('PC 07'!J209&lt;&gt;"",NOT(ISNUMBER('PC 07'!J209))),"Tgl Publish harus tanggal",""),IF(AND(ISNUMBER('PC 07'!I209),ISNUMBER('PC 07'!J209),'PC 07'!J209&lt;'PC 07'!I209),"Tgl Publish &lt; Tgl Dibuat",""),IF(AND('PC 07'!K209&lt;&gt;"",ISERROR(MATCH(TRIM('PC 07'!K209),{"Draft","Menunggu Review","Revisi","Terjadwal","Publish","Batal","Published"},0))),"Status di luar daftar","")))</f>
        <v>#ERROR!</v>
      </c>
      <c r="D209" s="3" t="str">
        <f>IF(C209="","OK","ADA MASALAH")</f>
        <v>#ERROR!</v>
      </c>
    </row>
    <row r="210">
      <c r="A210" s="5">
        <v>210.0</v>
      </c>
      <c r="B210" s="3" t="str">
        <f>'PC 07'!A210</f>
        <v/>
      </c>
      <c r="C210" s="3" t="str">
        <f>IF(COUNTA('PC 07'!A210:L210)=0,"",TEXTJOIN(" | ",TRUE,IF('PC 07'!A210="","Worker ID kosong",""),IF('PC 07'!B210="","Update Date kosong",IF(NOT(ISNUMBER('PC 07'!B210)),"Update Date harus tanggal","")),IF('PC 07'!D210="","Judul kosong",""),IF('PC 07'!F210="","Genre kosong",IF(ISERROR(MATCH(TRIM('PC 07'!F210),{"Pop","Rock","Dangdut","K-Pop","Electronic","Nasional","Daerah"},0)),"Genre di luar daftar","")),IF('PC 07'!G210="","Nama Channel kosong",""),IF('PC 07'!H210="","Link kosong",IF(ISERROR(FIND("youtu",LOWER('PC 07'!H210))),"Link bukan youtube","")),IF('PC 07'!I210="","Tgl Dibuat kosong",IF(NOT(ISNUMBER('PC 07'!I210)),"Tgl Dibuat harus tanggal","")),IF(AND('PC 07'!J210&lt;&gt;"",NOT(ISNUMBER('PC 07'!J210))),"Tgl Publish harus tanggal",""),IF(AND(ISNUMBER('PC 07'!I210),ISNUMBER('PC 07'!J210),'PC 07'!J210&lt;'PC 07'!I210),"Tgl Publish &lt; Tgl Dibuat",""),IF(AND('PC 07'!K210&lt;&gt;"",ISERROR(MATCH(TRIM('PC 07'!K210),{"Draft","Menunggu Review","Revisi","Terjadwal","Publish","Batal","Published"},0))),"Status di luar daftar","")))</f>
        <v>#ERROR!</v>
      </c>
      <c r="D210" s="3" t="str">
        <f>IF(C210="","OK","ADA MASALAH")</f>
        <v>#ERROR!</v>
      </c>
    </row>
    <row r="211">
      <c r="A211" s="5">
        <v>211.0</v>
      </c>
      <c r="B211" s="3" t="str">
        <f>'PC 07'!A211</f>
        <v/>
      </c>
      <c r="C211" s="3" t="str">
        <f>IF(COUNTA('PC 07'!A211:L211)=0,"",TEXTJOIN(" | ",TRUE,IF('PC 07'!A211="","Worker ID kosong",""),IF('PC 07'!B211="","Update Date kosong",IF(NOT(ISNUMBER('PC 07'!B211)),"Update Date harus tanggal","")),IF('PC 07'!D211="","Judul kosong",""),IF('PC 07'!F211="","Genre kosong",IF(ISERROR(MATCH(TRIM('PC 07'!F211),{"Pop","Rock","Dangdut","K-Pop","Electronic","Nasional","Daerah"},0)),"Genre di luar daftar","")),IF('PC 07'!G211="","Nama Channel kosong",""),IF('PC 07'!H211="","Link kosong",IF(ISERROR(FIND("youtu",LOWER('PC 07'!H211))),"Link bukan youtube","")),IF('PC 07'!I211="","Tgl Dibuat kosong",IF(NOT(ISNUMBER('PC 07'!I211)),"Tgl Dibuat harus tanggal","")),IF(AND('PC 07'!J211&lt;&gt;"",NOT(ISNUMBER('PC 07'!J211))),"Tgl Publish harus tanggal",""),IF(AND(ISNUMBER('PC 07'!I211),ISNUMBER('PC 07'!J211),'PC 07'!J211&lt;'PC 07'!I211),"Tgl Publish &lt; Tgl Dibuat",""),IF(AND('PC 07'!K211&lt;&gt;"",ISERROR(MATCH(TRIM('PC 07'!K211),{"Draft","Menunggu Review","Revisi","Terjadwal","Publish","Batal","Published"},0))),"Status di luar daftar","")))</f>
        <v>#ERROR!</v>
      </c>
      <c r="D211" s="3" t="str">
        <f>IF(C211="","OK","ADA MASALAH")</f>
        <v>#ERROR!</v>
      </c>
    </row>
    <row r="212">
      <c r="A212" s="5">
        <v>212.0</v>
      </c>
      <c r="B212" s="3" t="str">
        <f>'PC 07'!A212</f>
        <v/>
      </c>
      <c r="C212" s="3" t="str">
        <f>IF(COUNTA('PC 07'!A212:L212)=0,"",TEXTJOIN(" | ",TRUE,IF('PC 07'!A212="","Worker ID kosong",""),IF('PC 07'!B212="","Update Date kosong",IF(NOT(ISNUMBER('PC 07'!B212)),"Update Date harus tanggal","")),IF('PC 07'!D212="","Judul kosong",""),IF('PC 07'!F212="","Genre kosong",IF(ISERROR(MATCH(TRIM('PC 07'!F212),{"Pop","Rock","Dangdut","K-Pop","Electronic","Nasional","Daerah"},0)),"Genre di luar daftar","")),IF('PC 07'!G212="","Nama Channel kosong",""),IF('PC 07'!H212="","Link kosong",IF(ISERROR(FIND("youtu",LOWER('PC 07'!H212))),"Link bukan youtube","")),IF('PC 07'!I212="","Tgl Dibuat kosong",IF(NOT(ISNUMBER('PC 07'!I212)),"Tgl Dibuat harus tanggal","")),IF(AND('PC 07'!J212&lt;&gt;"",NOT(ISNUMBER('PC 07'!J212))),"Tgl Publish harus tanggal",""),IF(AND(ISNUMBER('PC 07'!I212),ISNUMBER('PC 07'!J212),'PC 07'!J212&lt;'PC 07'!I212),"Tgl Publish &lt; Tgl Dibuat",""),IF(AND('PC 07'!K212&lt;&gt;"",ISERROR(MATCH(TRIM('PC 07'!K212),{"Draft","Menunggu Review","Revisi","Terjadwal","Publish","Batal","Published"},0))),"Status di luar daftar","")))</f>
        <v>#ERROR!</v>
      </c>
      <c r="D212" s="3" t="str">
        <f>IF(C212="","OK","ADA MASALAH")</f>
        <v>#ERROR!</v>
      </c>
    </row>
    <row r="213">
      <c r="A213" s="5">
        <v>213.0</v>
      </c>
      <c r="B213" s="3" t="str">
        <f>'PC 07'!A213</f>
        <v/>
      </c>
      <c r="C213" s="3" t="str">
        <f>IF(COUNTA('PC 07'!A213:L213)=0,"",TEXTJOIN(" | ",TRUE,IF('PC 07'!A213="","Worker ID kosong",""),IF('PC 07'!B213="","Update Date kosong",IF(NOT(ISNUMBER('PC 07'!B213)),"Update Date harus tanggal","")),IF('PC 07'!D213="","Judul kosong",""),IF('PC 07'!F213="","Genre kosong",IF(ISERROR(MATCH(TRIM('PC 07'!F213),{"Pop","Rock","Dangdut","K-Pop","Electronic","Nasional","Daerah"},0)),"Genre di luar daftar","")),IF('PC 07'!G213="","Nama Channel kosong",""),IF('PC 07'!H213="","Link kosong",IF(ISERROR(FIND("youtu",LOWER('PC 07'!H213))),"Link bukan youtube","")),IF('PC 07'!I213="","Tgl Dibuat kosong",IF(NOT(ISNUMBER('PC 07'!I213)),"Tgl Dibuat harus tanggal","")),IF(AND('PC 07'!J213&lt;&gt;"",NOT(ISNUMBER('PC 07'!J213))),"Tgl Publish harus tanggal",""),IF(AND(ISNUMBER('PC 07'!I213),ISNUMBER('PC 07'!J213),'PC 07'!J213&lt;'PC 07'!I213),"Tgl Publish &lt; Tgl Dibuat",""),IF(AND('PC 07'!K213&lt;&gt;"",ISERROR(MATCH(TRIM('PC 07'!K213),{"Draft","Menunggu Review","Revisi","Terjadwal","Publish","Batal","Published"},0))),"Status di luar daftar","")))</f>
        <v>#ERROR!</v>
      </c>
      <c r="D213" s="3" t="str">
        <f>IF(C213="","OK","ADA MASALAH")</f>
        <v>#ERROR!</v>
      </c>
    </row>
    <row r="214">
      <c r="A214" s="5">
        <v>214.0</v>
      </c>
      <c r="B214" s="3" t="str">
        <f>'PC 07'!A214</f>
        <v/>
      </c>
      <c r="C214" s="3" t="str">
        <f>IF(COUNTA('PC 07'!A214:L214)=0,"",TEXTJOIN(" | ",TRUE,IF('PC 07'!A214="","Worker ID kosong",""),IF('PC 07'!B214="","Update Date kosong",IF(NOT(ISNUMBER('PC 07'!B214)),"Update Date harus tanggal","")),IF('PC 07'!D214="","Judul kosong",""),IF('PC 07'!F214="","Genre kosong",IF(ISERROR(MATCH(TRIM('PC 07'!F214),{"Pop","Rock","Dangdut","K-Pop","Electronic","Nasional","Daerah"},0)),"Genre di luar daftar","")),IF('PC 07'!G214="","Nama Channel kosong",""),IF('PC 07'!H214="","Link kosong",IF(ISERROR(FIND("youtu",LOWER('PC 07'!H214))),"Link bukan youtube","")),IF('PC 07'!I214="","Tgl Dibuat kosong",IF(NOT(ISNUMBER('PC 07'!I214)),"Tgl Dibuat harus tanggal","")),IF(AND('PC 07'!J214&lt;&gt;"",NOT(ISNUMBER('PC 07'!J214))),"Tgl Publish harus tanggal",""),IF(AND(ISNUMBER('PC 07'!I214),ISNUMBER('PC 07'!J214),'PC 07'!J214&lt;'PC 07'!I214),"Tgl Publish &lt; Tgl Dibuat",""),IF(AND('PC 07'!K214&lt;&gt;"",ISERROR(MATCH(TRIM('PC 07'!K214),{"Draft","Menunggu Review","Revisi","Terjadwal","Publish","Batal","Published"},0))),"Status di luar daftar","")))</f>
        <v>#ERROR!</v>
      </c>
      <c r="D214" s="3" t="str">
        <f>IF(C214="","OK","ADA MASALAH")</f>
        <v>#ERROR!</v>
      </c>
    </row>
    <row r="215">
      <c r="A215" s="5">
        <v>215.0</v>
      </c>
      <c r="B215" s="3" t="str">
        <f>'PC 07'!A215</f>
        <v/>
      </c>
      <c r="C215" s="3" t="str">
        <f>IF(COUNTA('PC 07'!A215:L215)=0,"",TEXTJOIN(" | ",TRUE,IF('PC 07'!A215="","Worker ID kosong",""),IF('PC 07'!B215="","Update Date kosong",IF(NOT(ISNUMBER('PC 07'!B215)),"Update Date harus tanggal","")),IF('PC 07'!D215="","Judul kosong",""),IF('PC 07'!F215="","Genre kosong",IF(ISERROR(MATCH(TRIM('PC 07'!F215),{"Pop","Rock","Dangdut","K-Pop","Electronic","Nasional","Daerah"},0)),"Genre di luar daftar","")),IF('PC 07'!G215="","Nama Channel kosong",""),IF('PC 07'!H215="","Link kosong",IF(ISERROR(FIND("youtu",LOWER('PC 07'!H215))),"Link bukan youtube","")),IF('PC 07'!I215="","Tgl Dibuat kosong",IF(NOT(ISNUMBER('PC 07'!I215)),"Tgl Dibuat harus tanggal","")),IF(AND('PC 07'!J215&lt;&gt;"",NOT(ISNUMBER('PC 07'!J215))),"Tgl Publish harus tanggal",""),IF(AND(ISNUMBER('PC 07'!I215),ISNUMBER('PC 07'!J215),'PC 07'!J215&lt;'PC 07'!I215),"Tgl Publish &lt; Tgl Dibuat",""),IF(AND('PC 07'!K215&lt;&gt;"",ISERROR(MATCH(TRIM('PC 07'!K215),{"Draft","Menunggu Review","Revisi","Terjadwal","Publish","Batal","Published"},0))),"Status di luar daftar","")))</f>
        <v>#ERROR!</v>
      </c>
      <c r="D215" s="3" t="str">
        <f>IF(C215="","OK","ADA MASALAH")</f>
        <v>#ERROR!</v>
      </c>
    </row>
    <row r="216">
      <c r="A216" s="5">
        <v>216.0</v>
      </c>
      <c r="B216" s="3" t="str">
        <f>'PC 07'!A216</f>
        <v/>
      </c>
      <c r="C216" s="3" t="str">
        <f>IF(COUNTA('PC 07'!A216:L216)=0,"",TEXTJOIN(" | ",TRUE,IF('PC 07'!A216="","Worker ID kosong",""),IF('PC 07'!B216="","Update Date kosong",IF(NOT(ISNUMBER('PC 07'!B216)),"Update Date harus tanggal","")),IF('PC 07'!D216="","Judul kosong",""),IF('PC 07'!F216="","Genre kosong",IF(ISERROR(MATCH(TRIM('PC 07'!F216),{"Pop","Rock","Dangdut","K-Pop","Electronic","Nasional","Daerah"},0)),"Genre di luar daftar","")),IF('PC 07'!G216="","Nama Channel kosong",""),IF('PC 07'!H216="","Link kosong",IF(ISERROR(FIND("youtu",LOWER('PC 07'!H216))),"Link bukan youtube","")),IF('PC 07'!I216="","Tgl Dibuat kosong",IF(NOT(ISNUMBER('PC 07'!I216)),"Tgl Dibuat harus tanggal","")),IF(AND('PC 07'!J216&lt;&gt;"",NOT(ISNUMBER('PC 07'!J216))),"Tgl Publish harus tanggal",""),IF(AND(ISNUMBER('PC 07'!I216),ISNUMBER('PC 07'!J216),'PC 07'!J216&lt;'PC 07'!I216),"Tgl Publish &lt; Tgl Dibuat",""),IF(AND('PC 07'!K216&lt;&gt;"",ISERROR(MATCH(TRIM('PC 07'!K216),{"Draft","Menunggu Review","Revisi","Terjadwal","Publish","Batal","Published"},0))),"Status di luar daftar","")))</f>
        <v>#ERROR!</v>
      </c>
      <c r="D216" s="3" t="str">
        <f>IF(C216="","OK","ADA MASALAH")</f>
        <v>#ERROR!</v>
      </c>
    </row>
    <row r="217">
      <c r="A217" s="5">
        <v>217.0</v>
      </c>
      <c r="B217" s="3" t="str">
        <f>'PC 07'!A217</f>
        <v/>
      </c>
      <c r="C217" s="3" t="str">
        <f>IF(COUNTA('PC 07'!A217:L217)=0,"",TEXTJOIN(" | ",TRUE,IF('PC 07'!A217="","Worker ID kosong",""),IF('PC 07'!B217="","Update Date kosong",IF(NOT(ISNUMBER('PC 07'!B217)),"Update Date harus tanggal","")),IF('PC 07'!D217="","Judul kosong",""),IF('PC 07'!F217="","Genre kosong",IF(ISERROR(MATCH(TRIM('PC 07'!F217),{"Pop","Rock","Dangdut","K-Pop","Electronic","Nasional","Daerah"},0)),"Genre di luar daftar","")),IF('PC 07'!G217="","Nama Channel kosong",""),IF('PC 07'!H217="","Link kosong",IF(ISERROR(FIND("youtu",LOWER('PC 07'!H217))),"Link bukan youtube","")),IF('PC 07'!I217="","Tgl Dibuat kosong",IF(NOT(ISNUMBER('PC 07'!I217)),"Tgl Dibuat harus tanggal","")),IF(AND('PC 07'!J217&lt;&gt;"",NOT(ISNUMBER('PC 07'!J217))),"Tgl Publish harus tanggal",""),IF(AND(ISNUMBER('PC 07'!I217),ISNUMBER('PC 07'!J217),'PC 07'!J217&lt;'PC 07'!I217),"Tgl Publish &lt; Tgl Dibuat",""),IF(AND('PC 07'!K217&lt;&gt;"",ISERROR(MATCH(TRIM('PC 07'!K217),{"Draft","Menunggu Review","Revisi","Terjadwal","Publish","Batal","Published"},0))),"Status di luar daftar","")))</f>
        <v>#ERROR!</v>
      </c>
      <c r="D217" s="3" t="str">
        <f>IF(C217="","OK","ADA MASALAH")</f>
        <v>#ERROR!</v>
      </c>
    </row>
    <row r="218">
      <c r="A218" s="5">
        <v>218.0</v>
      </c>
      <c r="B218" s="3" t="str">
        <f>'PC 07'!A218</f>
        <v/>
      </c>
      <c r="C218" s="3" t="str">
        <f>IF(COUNTA('PC 07'!A218:L218)=0,"",TEXTJOIN(" | ",TRUE,IF('PC 07'!A218="","Worker ID kosong",""),IF('PC 07'!B218="","Update Date kosong",IF(NOT(ISNUMBER('PC 07'!B218)),"Update Date harus tanggal","")),IF('PC 07'!D218="","Judul kosong",""),IF('PC 07'!F218="","Genre kosong",IF(ISERROR(MATCH(TRIM('PC 07'!F218),{"Pop","Rock","Dangdut","K-Pop","Electronic","Nasional","Daerah"},0)),"Genre di luar daftar","")),IF('PC 07'!G218="","Nama Channel kosong",""),IF('PC 07'!H218="","Link kosong",IF(ISERROR(FIND("youtu",LOWER('PC 07'!H218))),"Link bukan youtube","")),IF('PC 07'!I218="","Tgl Dibuat kosong",IF(NOT(ISNUMBER('PC 07'!I218)),"Tgl Dibuat harus tanggal","")),IF(AND('PC 07'!J218&lt;&gt;"",NOT(ISNUMBER('PC 07'!J218))),"Tgl Publish harus tanggal",""),IF(AND(ISNUMBER('PC 07'!I218),ISNUMBER('PC 07'!J218),'PC 07'!J218&lt;'PC 07'!I218),"Tgl Publish &lt; Tgl Dibuat",""),IF(AND('PC 07'!K218&lt;&gt;"",ISERROR(MATCH(TRIM('PC 07'!K218),{"Draft","Menunggu Review","Revisi","Terjadwal","Publish","Batal","Published"},0))),"Status di luar daftar","")))</f>
        <v>#ERROR!</v>
      </c>
      <c r="D218" s="3" t="str">
        <f>IF(C218="","OK","ADA MASALAH")</f>
        <v>#ERROR!</v>
      </c>
    </row>
    <row r="219">
      <c r="A219" s="5">
        <v>219.0</v>
      </c>
      <c r="B219" s="3" t="str">
        <f>'PC 07'!A219</f>
        <v/>
      </c>
      <c r="C219" s="3" t="str">
        <f>IF(COUNTA('PC 07'!A219:L219)=0,"",TEXTJOIN(" | ",TRUE,IF('PC 07'!A219="","Worker ID kosong",""),IF('PC 07'!B219="","Update Date kosong",IF(NOT(ISNUMBER('PC 07'!B219)),"Update Date harus tanggal","")),IF('PC 07'!D219="","Judul kosong",""),IF('PC 07'!F219="","Genre kosong",IF(ISERROR(MATCH(TRIM('PC 07'!F219),{"Pop","Rock","Dangdut","K-Pop","Electronic","Nasional","Daerah"},0)),"Genre di luar daftar","")),IF('PC 07'!G219="","Nama Channel kosong",""),IF('PC 07'!H219="","Link kosong",IF(ISERROR(FIND("youtu",LOWER('PC 07'!H219))),"Link bukan youtube","")),IF('PC 07'!I219="","Tgl Dibuat kosong",IF(NOT(ISNUMBER('PC 07'!I219)),"Tgl Dibuat harus tanggal","")),IF(AND('PC 07'!J219&lt;&gt;"",NOT(ISNUMBER('PC 07'!J219))),"Tgl Publish harus tanggal",""),IF(AND(ISNUMBER('PC 07'!I219),ISNUMBER('PC 07'!J219),'PC 07'!J219&lt;'PC 07'!I219),"Tgl Publish &lt; Tgl Dibuat",""),IF(AND('PC 07'!K219&lt;&gt;"",ISERROR(MATCH(TRIM('PC 07'!K219),{"Draft","Menunggu Review","Revisi","Terjadwal","Publish","Batal","Published"},0))),"Status di luar daftar","")))</f>
        <v>#ERROR!</v>
      </c>
      <c r="D219" s="3" t="str">
        <f>IF(C219="","OK","ADA MASALAH")</f>
        <v>#ERROR!</v>
      </c>
    </row>
    <row r="220">
      <c r="A220" s="5">
        <v>220.0</v>
      </c>
      <c r="B220" s="3" t="str">
        <f>'PC 07'!A220</f>
        <v/>
      </c>
      <c r="C220" s="3" t="str">
        <f>IF(COUNTA('PC 07'!A220:L220)=0,"",TEXTJOIN(" | ",TRUE,IF('PC 07'!A220="","Worker ID kosong",""),IF('PC 07'!B220="","Update Date kosong",IF(NOT(ISNUMBER('PC 07'!B220)),"Update Date harus tanggal","")),IF('PC 07'!D220="","Judul kosong",""),IF('PC 07'!F220="","Genre kosong",IF(ISERROR(MATCH(TRIM('PC 07'!F220),{"Pop","Rock","Dangdut","K-Pop","Electronic","Nasional","Daerah"},0)),"Genre di luar daftar","")),IF('PC 07'!G220="","Nama Channel kosong",""),IF('PC 07'!H220="","Link kosong",IF(ISERROR(FIND("youtu",LOWER('PC 07'!H220))),"Link bukan youtube","")),IF('PC 07'!I220="","Tgl Dibuat kosong",IF(NOT(ISNUMBER('PC 07'!I220)),"Tgl Dibuat harus tanggal","")),IF(AND('PC 07'!J220&lt;&gt;"",NOT(ISNUMBER('PC 07'!J220))),"Tgl Publish harus tanggal",""),IF(AND(ISNUMBER('PC 07'!I220),ISNUMBER('PC 07'!J220),'PC 07'!J220&lt;'PC 07'!I220),"Tgl Publish &lt; Tgl Dibuat",""),IF(AND('PC 07'!K220&lt;&gt;"",ISERROR(MATCH(TRIM('PC 07'!K220),{"Draft","Menunggu Review","Revisi","Terjadwal","Publish","Batal","Published"},0))),"Status di luar daftar","")))</f>
        <v>#ERROR!</v>
      </c>
      <c r="D220" s="3" t="str">
        <f>IF(C220="","OK","ADA MASALAH")</f>
        <v>#ERROR!</v>
      </c>
    </row>
    <row r="221">
      <c r="A221" s="5">
        <v>221.0</v>
      </c>
      <c r="B221" s="3" t="str">
        <f>'PC 07'!A221</f>
        <v/>
      </c>
      <c r="C221" s="3" t="str">
        <f>IF(COUNTA('PC 07'!A221:L221)=0,"",TEXTJOIN(" | ",TRUE,IF('PC 07'!A221="","Worker ID kosong",""),IF('PC 07'!B221="","Update Date kosong",IF(NOT(ISNUMBER('PC 07'!B221)),"Update Date harus tanggal","")),IF('PC 07'!D221="","Judul kosong",""),IF('PC 07'!F221="","Genre kosong",IF(ISERROR(MATCH(TRIM('PC 07'!F221),{"Pop","Rock","Dangdut","K-Pop","Electronic","Nasional","Daerah"},0)),"Genre di luar daftar","")),IF('PC 07'!G221="","Nama Channel kosong",""),IF('PC 07'!H221="","Link kosong",IF(ISERROR(FIND("youtu",LOWER('PC 07'!H221))),"Link bukan youtube","")),IF('PC 07'!I221="","Tgl Dibuat kosong",IF(NOT(ISNUMBER('PC 07'!I221)),"Tgl Dibuat harus tanggal","")),IF(AND('PC 07'!J221&lt;&gt;"",NOT(ISNUMBER('PC 07'!J221))),"Tgl Publish harus tanggal",""),IF(AND(ISNUMBER('PC 07'!I221),ISNUMBER('PC 07'!J221),'PC 07'!J221&lt;'PC 07'!I221),"Tgl Publish &lt; Tgl Dibuat",""),IF(AND('PC 07'!K221&lt;&gt;"",ISERROR(MATCH(TRIM('PC 07'!K221),{"Draft","Menunggu Review","Revisi","Terjadwal","Publish","Batal","Published"},0))),"Status di luar daftar","")))</f>
        <v>#ERROR!</v>
      </c>
      <c r="D221" s="3" t="str">
        <f>IF(C221="","OK","ADA MASALAH")</f>
        <v>#ERROR!</v>
      </c>
    </row>
    <row r="222">
      <c r="A222" s="5">
        <v>222.0</v>
      </c>
      <c r="B222" s="3" t="str">
        <f>'PC 07'!A222</f>
        <v/>
      </c>
      <c r="C222" s="3" t="str">
        <f>IF(COUNTA('PC 07'!A222:L222)=0,"",TEXTJOIN(" | ",TRUE,IF('PC 07'!A222="","Worker ID kosong",""),IF('PC 07'!B222="","Update Date kosong",IF(NOT(ISNUMBER('PC 07'!B222)),"Update Date harus tanggal","")),IF('PC 07'!D222="","Judul kosong",""),IF('PC 07'!F222="","Genre kosong",IF(ISERROR(MATCH(TRIM('PC 07'!F222),{"Pop","Rock","Dangdut","K-Pop","Electronic","Nasional","Daerah"},0)),"Genre di luar daftar","")),IF('PC 07'!G222="","Nama Channel kosong",""),IF('PC 07'!H222="","Link kosong",IF(ISERROR(FIND("youtu",LOWER('PC 07'!H222))),"Link bukan youtube","")),IF('PC 07'!I222="","Tgl Dibuat kosong",IF(NOT(ISNUMBER('PC 07'!I222)),"Tgl Dibuat harus tanggal","")),IF(AND('PC 07'!J222&lt;&gt;"",NOT(ISNUMBER('PC 07'!J222))),"Tgl Publish harus tanggal",""),IF(AND(ISNUMBER('PC 07'!I222),ISNUMBER('PC 07'!J222),'PC 07'!J222&lt;'PC 07'!I222),"Tgl Publish &lt; Tgl Dibuat",""),IF(AND('PC 07'!K222&lt;&gt;"",ISERROR(MATCH(TRIM('PC 07'!K222),{"Draft","Menunggu Review","Revisi","Terjadwal","Publish","Batal","Published"},0))),"Status di luar daftar","")))</f>
        <v>#ERROR!</v>
      </c>
      <c r="D222" s="3" t="str">
        <f>IF(C222="","OK","ADA MASALAH")</f>
        <v>#ERROR!</v>
      </c>
    </row>
    <row r="223">
      <c r="A223" s="5">
        <v>223.0</v>
      </c>
      <c r="B223" s="3" t="str">
        <f>'PC 07'!A223</f>
        <v/>
      </c>
      <c r="C223" s="3" t="str">
        <f>IF(COUNTA('PC 07'!A223:L223)=0,"",TEXTJOIN(" | ",TRUE,IF('PC 07'!A223="","Worker ID kosong",""),IF('PC 07'!B223="","Update Date kosong",IF(NOT(ISNUMBER('PC 07'!B223)),"Update Date harus tanggal","")),IF('PC 07'!D223="","Judul kosong",""),IF('PC 07'!F223="","Genre kosong",IF(ISERROR(MATCH(TRIM('PC 07'!F223),{"Pop","Rock","Dangdut","K-Pop","Electronic","Nasional","Daerah"},0)),"Genre di luar daftar","")),IF('PC 07'!G223="","Nama Channel kosong",""),IF('PC 07'!H223="","Link kosong",IF(ISERROR(FIND("youtu",LOWER('PC 07'!H223))),"Link bukan youtube","")),IF('PC 07'!I223="","Tgl Dibuat kosong",IF(NOT(ISNUMBER('PC 07'!I223)),"Tgl Dibuat harus tanggal","")),IF(AND('PC 07'!J223&lt;&gt;"",NOT(ISNUMBER('PC 07'!J223))),"Tgl Publish harus tanggal",""),IF(AND(ISNUMBER('PC 07'!I223),ISNUMBER('PC 07'!J223),'PC 07'!J223&lt;'PC 07'!I223),"Tgl Publish &lt; Tgl Dibuat",""),IF(AND('PC 07'!K223&lt;&gt;"",ISERROR(MATCH(TRIM('PC 07'!K223),{"Draft","Menunggu Review","Revisi","Terjadwal","Publish","Batal","Published"},0))),"Status di luar daftar","")))</f>
        <v>#ERROR!</v>
      </c>
      <c r="D223" s="3" t="str">
        <f>IF(C223="","OK","ADA MASALAH")</f>
        <v>#ERROR!</v>
      </c>
    </row>
    <row r="224">
      <c r="A224" s="5">
        <v>224.0</v>
      </c>
      <c r="B224" s="3" t="str">
        <f>'PC 07'!A224</f>
        <v/>
      </c>
      <c r="C224" s="3" t="str">
        <f>IF(COUNTA('PC 07'!A224:L224)=0,"",TEXTJOIN(" | ",TRUE,IF('PC 07'!A224="","Worker ID kosong",""),IF('PC 07'!B224="","Update Date kosong",IF(NOT(ISNUMBER('PC 07'!B224)),"Update Date harus tanggal","")),IF('PC 07'!D224="","Judul kosong",""),IF('PC 07'!F224="","Genre kosong",IF(ISERROR(MATCH(TRIM('PC 07'!F224),{"Pop","Rock","Dangdut","K-Pop","Electronic","Nasional","Daerah"},0)),"Genre di luar daftar","")),IF('PC 07'!G224="","Nama Channel kosong",""),IF('PC 07'!H224="","Link kosong",IF(ISERROR(FIND("youtu",LOWER('PC 07'!H224))),"Link bukan youtube","")),IF('PC 07'!I224="","Tgl Dibuat kosong",IF(NOT(ISNUMBER('PC 07'!I224)),"Tgl Dibuat harus tanggal","")),IF(AND('PC 07'!J224&lt;&gt;"",NOT(ISNUMBER('PC 07'!J224))),"Tgl Publish harus tanggal",""),IF(AND(ISNUMBER('PC 07'!I224),ISNUMBER('PC 07'!J224),'PC 07'!J224&lt;'PC 07'!I224),"Tgl Publish &lt; Tgl Dibuat",""),IF(AND('PC 07'!K224&lt;&gt;"",ISERROR(MATCH(TRIM('PC 07'!K224),{"Draft","Menunggu Review","Revisi","Terjadwal","Publish","Batal","Published"},0))),"Status di luar daftar","")))</f>
        <v>#ERROR!</v>
      </c>
      <c r="D224" s="3" t="str">
        <f>IF(C224="","OK","ADA MASALAH")</f>
        <v>#ERROR!</v>
      </c>
    </row>
    <row r="225">
      <c r="A225" s="5">
        <v>225.0</v>
      </c>
      <c r="B225" s="3" t="str">
        <f>'PC 07'!A225</f>
        <v/>
      </c>
      <c r="C225" s="3" t="str">
        <f>IF(COUNTA('PC 07'!A225:L225)=0,"",TEXTJOIN(" | ",TRUE,IF('PC 07'!A225="","Worker ID kosong",""),IF('PC 07'!B225="","Update Date kosong",IF(NOT(ISNUMBER('PC 07'!B225)),"Update Date harus tanggal","")),IF('PC 07'!D225="","Judul kosong",""),IF('PC 07'!F225="","Genre kosong",IF(ISERROR(MATCH(TRIM('PC 07'!F225),{"Pop","Rock","Dangdut","K-Pop","Electronic","Nasional","Daerah"},0)),"Genre di luar daftar","")),IF('PC 07'!G225="","Nama Channel kosong",""),IF('PC 07'!H225="","Link kosong",IF(ISERROR(FIND("youtu",LOWER('PC 07'!H225))),"Link bukan youtube","")),IF('PC 07'!I225="","Tgl Dibuat kosong",IF(NOT(ISNUMBER('PC 07'!I225)),"Tgl Dibuat harus tanggal","")),IF(AND('PC 07'!J225&lt;&gt;"",NOT(ISNUMBER('PC 07'!J225))),"Tgl Publish harus tanggal",""),IF(AND(ISNUMBER('PC 07'!I225),ISNUMBER('PC 07'!J225),'PC 07'!J225&lt;'PC 07'!I225),"Tgl Publish &lt; Tgl Dibuat",""),IF(AND('PC 07'!K225&lt;&gt;"",ISERROR(MATCH(TRIM('PC 07'!K225),{"Draft","Menunggu Review","Revisi","Terjadwal","Publish","Batal","Published"},0))),"Status di luar daftar","")))</f>
        <v>#ERROR!</v>
      </c>
      <c r="D225" s="3" t="str">
        <f>IF(C225="","OK","ADA MASALAH")</f>
        <v>#ERROR!</v>
      </c>
    </row>
    <row r="226">
      <c r="A226" s="5">
        <v>226.0</v>
      </c>
      <c r="B226" s="3" t="str">
        <f>'PC 07'!A226</f>
        <v/>
      </c>
      <c r="C226" s="3" t="str">
        <f>IF(COUNTA('PC 07'!A226:L226)=0,"",TEXTJOIN(" | ",TRUE,IF('PC 07'!A226="","Worker ID kosong",""),IF('PC 07'!B226="","Update Date kosong",IF(NOT(ISNUMBER('PC 07'!B226)),"Update Date harus tanggal","")),IF('PC 07'!D226="","Judul kosong",""),IF('PC 07'!F226="","Genre kosong",IF(ISERROR(MATCH(TRIM('PC 07'!F226),{"Pop","Rock","Dangdut","K-Pop","Electronic","Nasional","Daerah"},0)),"Genre di luar daftar","")),IF('PC 07'!G226="","Nama Channel kosong",""),IF('PC 07'!H226="","Link kosong",IF(ISERROR(FIND("youtu",LOWER('PC 07'!H226))),"Link bukan youtube","")),IF('PC 07'!I226="","Tgl Dibuat kosong",IF(NOT(ISNUMBER('PC 07'!I226)),"Tgl Dibuat harus tanggal","")),IF(AND('PC 07'!J226&lt;&gt;"",NOT(ISNUMBER('PC 07'!J226))),"Tgl Publish harus tanggal",""),IF(AND(ISNUMBER('PC 07'!I226),ISNUMBER('PC 07'!J226),'PC 07'!J226&lt;'PC 07'!I226),"Tgl Publish &lt; Tgl Dibuat",""),IF(AND('PC 07'!K226&lt;&gt;"",ISERROR(MATCH(TRIM('PC 07'!K226),{"Draft","Menunggu Review","Revisi","Terjadwal","Publish","Batal","Published"},0))),"Status di luar daftar","")))</f>
        <v>#ERROR!</v>
      </c>
      <c r="D226" s="3" t="str">
        <f>IF(C226="","OK","ADA MASALAH")</f>
        <v>#ERROR!</v>
      </c>
    </row>
    <row r="227">
      <c r="A227" s="5">
        <v>227.0</v>
      </c>
      <c r="B227" s="3" t="str">
        <f>'PC 07'!A227</f>
        <v/>
      </c>
      <c r="C227" s="3" t="str">
        <f>IF(COUNTA('PC 07'!A227:L227)=0,"",TEXTJOIN(" | ",TRUE,IF('PC 07'!A227="","Worker ID kosong",""),IF('PC 07'!B227="","Update Date kosong",IF(NOT(ISNUMBER('PC 07'!B227)),"Update Date harus tanggal","")),IF('PC 07'!D227="","Judul kosong",""),IF('PC 07'!F227="","Genre kosong",IF(ISERROR(MATCH(TRIM('PC 07'!F227),{"Pop","Rock","Dangdut","K-Pop","Electronic","Nasional","Daerah"},0)),"Genre di luar daftar","")),IF('PC 07'!G227="","Nama Channel kosong",""),IF('PC 07'!H227="","Link kosong",IF(ISERROR(FIND("youtu",LOWER('PC 07'!H227))),"Link bukan youtube","")),IF('PC 07'!I227="","Tgl Dibuat kosong",IF(NOT(ISNUMBER('PC 07'!I227)),"Tgl Dibuat harus tanggal","")),IF(AND('PC 07'!J227&lt;&gt;"",NOT(ISNUMBER('PC 07'!J227))),"Tgl Publish harus tanggal",""),IF(AND(ISNUMBER('PC 07'!I227),ISNUMBER('PC 07'!J227),'PC 07'!J227&lt;'PC 07'!I227),"Tgl Publish &lt; Tgl Dibuat",""),IF(AND('PC 07'!K227&lt;&gt;"",ISERROR(MATCH(TRIM('PC 07'!K227),{"Draft","Menunggu Review","Revisi","Terjadwal","Publish","Batal","Published"},0))),"Status di luar daftar","")))</f>
        <v>#ERROR!</v>
      </c>
      <c r="D227" s="3" t="str">
        <f>IF(C227="","OK","ADA MASALAH")</f>
        <v>#ERROR!</v>
      </c>
    </row>
    <row r="228">
      <c r="A228" s="5">
        <v>228.0</v>
      </c>
      <c r="B228" s="3" t="str">
        <f>'PC 07'!A228</f>
        <v/>
      </c>
      <c r="C228" s="3" t="str">
        <f>IF(COUNTA('PC 07'!A228:L228)=0,"",TEXTJOIN(" | ",TRUE,IF('PC 07'!A228="","Worker ID kosong",""),IF('PC 07'!B228="","Update Date kosong",IF(NOT(ISNUMBER('PC 07'!B228)),"Update Date harus tanggal","")),IF('PC 07'!D228="","Judul kosong",""),IF('PC 07'!F228="","Genre kosong",IF(ISERROR(MATCH(TRIM('PC 07'!F228),{"Pop","Rock","Dangdut","K-Pop","Electronic","Nasional","Daerah"},0)),"Genre di luar daftar","")),IF('PC 07'!G228="","Nama Channel kosong",""),IF('PC 07'!H228="","Link kosong",IF(ISERROR(FIND("youtu",LOWER('PC 07'!H228))),"Link bukan youtube","")),IF('PC 07'!I228="","Tgl Dibuat kosong",IF(NOT(ISNUMBER('PC 07'!I228)),"Tgl Dibuat harus tanggal","")),IF(AND('PC 07'!J228&lt;&gt;"",NOT(ISNUMBER('PC 07'!J228))),"Tgl Publish harus tanggal",""),IF(AND(ISNUMBER('PC 07'!I228),ISNUMBER('PC 07'!J228),'PC 07'!J228&lt;'PC 07'!I228),"Tgl Publish &lt; Tgl Dibuat",""),IF(AND('PC 07'!K228&lt;&gt;"",ISERROR(MATCH(TRIM('PC 07'!K228),{"Draft","Menunggu Review","Revisi","Terjadwal","Publish","Batal","Published"},0))),"Status di luar daftar","")))</f>
        <v>#ERROR!</v>
      </c>
      <c r="D228" s="3" t="str">
        <f>IF(C228="","OK","ADA MASALAH")</f>
        <v>#ERROR!</v>
      </c>
    </row>
    <row r="229">
      <c r="A229" s="5">
        <v>229.0</v>
      </c>
      <c r="B229" s="3" t="str">
        <f>'PC 07'!A229</f>
        <v/>
      </c>
      <c r="C229" s="3" t="str">
        <f>IF(COUNTA('PC 07'!A229:L229)=0,"",TEXTJOIN(" | ",TRUE,IF('PC 07'!A229="","Worker ID kosong",""),IF('PC 07'!B229="","Update Date kosong",IF(NOT(ISNUMBER('PC 07'!B229)),"Update Date harus tanggal","")),IF('PC 07'!D229="","Judul kosong",""),IF('PC 07'!F229="","Genre kosong",IF(ISERROR(MATCH(TRIM('PC 07'!F229),{"Pop","Rock","Dangdut","K-Pop","Electronic","Nasional","Daerah"},0)),"Genre di luar daftar","")),IF('PC 07'!G229="","Nama Channel kosong",""),IF('PC 07'!H229="","Link kosong",IF(ISERROR(FIND("youtu",LOWER('PC 07'!H229))),"Link bukan youtube","")),IF('PC 07'!I229="","Tgl Dibuat kosong",IF(NOT(ISNUMBER('PC 07'!I229)),"Tgl Dibuat harus tanggal","")),IF(AND('PC 07'!J229&lt;&gt;"",NOT(ISNUMBER('PC 07'!J229))),"Tgl Publish harus tanggal",""),IF(AND(ISNUMBER('PC 07'!I229),ISNUMBER('PC 07'!J229),'PC 07'!J229&lt;'PC 07'!I229),"Tgl Publish &lt; Tgl Dibuat",""),IF(AND('PC 07'!K229&lt;&gt;"",ISERROR(MATCH(TRIM('PC 07'!K229),{"Draft","Menunggu Review","Revisi","Terjadwal","Publish","Batal","Published"},0))),"Status di luar daftar","")))</f>
        <v>#ERROR!</v>
      </c>
      <c r="D229" s="3" t="str">
        <f>IF(C229="","OK","ADA MASALAH")</f>
        <v>#ERROR!</v>
      </c>
    </row>
    <row r="230">
      <c r="A230" s="5">
        <v>230.0</v>
      </c>
      <c r="B230" s="3" t="str">
        <f>'PC 07'!A230</f>
        <v/>
      </c>
      <c r="C230" s="3" t="str">
        <f>IF(COUNTA('PC 07'!A230:L230)=0,"",TEXTJOIN(" | ",TRUE,IF('PC 07'!A230="","Worker ID kosong",""),IF('PC 07'!B230="","Update Date kosong",IF(NOT(ISNUMBER('PC 07'!B230)),"Update Date harus tanggal","")),IF('PC 07'!D230="","Judul kosong",""),IF('PC 07'!F230="","Genre kosong",IF(ISERROR(MATCH(TRIM('PC 07'!F230),{"Pop","Rock","Dangdut","K-Pop","Electronic","Nasional","Daerah"},0)),"Genre di luar daftar","")),IF('PC 07'!G230="","Nama Channel kosong",""),IF('PC 07'!H230="","Link kosong",IF(ISERROR(FIND("youtu",LOWER('PC 07'!H230))),"Link bukan youtube","")),IF('PC 07'!I230="","Tgl Dibuat kosong",IF(NOT(ISNUMBER('PC 07'!I230)),"Tgl Dibuat harus tanggal","")),IF(AND('PC 07'!J230&lt;&gt;"",NOT(ISNUMBER('PC 07'!J230))),"Tgl Publish harus tanggal",""),IF(AND(ISNUMBER('PC 07'!I230),ISNUMBER('PC 07'!J230),'PC 07'!J230&lt;'PC 07'!I230),"Tgl Publish &lt; Tgl Dibuat",""),IF(AND('PC 07'!K230&lt;&gt;"",ISERROR(MATCH(TRIM('PC 07'!K230),{"Draft","Menunggu Review","Revisi","Terjadwal","Publish","Batal","Published"},0))),"Status di luar daftar","")))</f>
        <v>#ERROR!</v>
      </c>
      <c r="D230" s="3" t="str">
        <f>IF(C230="","OK","ADA MASALAH")</f>
        <v>#ERROR!</v>
      </c>
    </row>
    <row r="231">
      <c r="A231" s="5">
        <v>231.0</v>
      </c>
      <c r="B231" s="3" t="str">
        <f>'PC 07'!A231</f>
        <v/>
      </c>
      <c r="C231" s="3" t="str">
        <f>IF(COUNTA('PC 07'!A231:L231)=0,"",TEXTJOIN(" | ",TRUE,IF('PC 07'!A231="","Worker ID kosong",""),IF('PC 07'!B231="","Update Date kosong",IF(NOT(ISNUMBER('PC 07'!B231)),"Update Date harus tanggal","")),IF('PC 07'!D231="","Judul kosong",""),IF('PC 07'!F231="","Genre kosong",IF(ISERROR(MATCH(TRIM('PC 07'!F231),{"Pop","Rock","Dangdut","K-Pop","Electronic","Nasional","Daerah"},0)),"Genre di luar daftar","")),IF('PC 07'!G231="","Nama Channel kosong",""),IF('PC 07'!H231="","Link kosong",IF(ISERROR(FIND("youtu",LOWER('PC 07'!H231))),"Link bukan youtube","")),IF('PC 07'!I231="","Tgl Dibuat kosong",IF(NOT(ISNUMBER('PC 07'!I231)),"Tgl Dibuat harus tanggal","")),IF(AND('PC 07'!J231&lt;&gt;"",NOT(ISNUMBER('PC 07'!J231))),"Tgl Publish harus tanggal",""),IF(AND(ISNUMBER('PC 07'!I231),ISNUMBER('PC 07'!J231),'PC 07'!J231&lt;'PC 07'!I231),"Tgl Publish &lt; Tgl Dibuat",""),IF(AND('PC 07'!K231&lt;&gt;"",ISERROR(MATCH(TRIM('PC 07'!K231),{"Draft","Menunggu Review","Revisi","Terjadwal","Publish","Batal","Published"},0))),"Status di luar daftar","")))</f>
        <v>#ERROR!</v>
      </c>
      <c r="D231" s="3" t="str">
        <f>IF(C231="","OK","ADA MASALAH")</f>
        <v>#ERROR!</v>
      </c>
    </row>
    <row r="232">
      <c r="A232" s="5">
        <v>232.0</v>
      </c>
      <c r="B232" s="3" t="str">
        <f>'PC 07'!A232</f>
        <v/>
      </c>
      <c r="C232" s="3" t="str">
        <f>IF(COUNTA('PC 07'!A232:L232)=0,"",TEXTJOIN(" | ",TRUE,IF('PC 07'!A232="","Worker ID kosong",""),IF('PC 07'!B232="","Update Date kosong",IF(NOT(ISNUMBER('PC 07'!B232)),"Update Date harus tanggal","")),IF('PC 07'!D232="","Judul kosong",""),IF('PC 07'!F232="","Genre kosong",IF(ISERROR(MATCH(TRIM('PC 07'!F232),{"Pop","Rock","Dangdut","K-Pop","Electronic","Nasional","Daerah"},0)),"Genre di luar daftar","")),IF('PC 07'!G232="","Nama Channel kosong",""),IF('PC 07'!H232="","Link kosong",IF(ISERROR(FIND("youtu",LOWER('PC 07'!H232))),"Link bukan youtube","")),IF('PC 07'!I232="","Tgl Dibuat kosong",IF(NOT(ISNUMBER('PC 07'!I232)),"Tgl Dibuat harus tanggal","")),IF(AND('PC 07'!J232&lt;&gt;"",NOT(ISNUMBER('PC 07'!J232))),"Tgl Publish harus tanggal",""),IF(AND(ISNUMBER('PC 07'!I232),ISNUMBER('PC 07'!J232),'PC 07'!J232&lt;'PC 07'!I232),"Tgl Publish &lt; Tgl Dibuat",""),IF(AND('PC 07'!K232&lt;&gt;"",ISERROR(MATCH(TRIM('PC 07'!K232),{"Draft","Menunggu Review","Revisi","Terjadwal","Publish","Batal","Published"},0))),"Status di luar daftar","")))</f>
        <v>#ERROR!</v>
      </c>
      <c r="D232" s="3" t="str">
        <f>IF(C232="","OK","ADA MASALAH")</f>
        <v>#ERROR!</v>
      </c>
    </row>
    <row r="233">
      <c r="A233" s="5">
        <v>233.0</v>
      </c>
      <c r="B233" s="3" t="str">
        <f>'PC 07'!A233</f>
        <v/>
      </c>
      <c r="C233" s="3" t="str">
        <f>IF(COUNTA('PC 07'!A233:L233)=0,"",TEXTJOIN(" | ",TRUE,IF('PC 07'!A233="","Worker ID kosong",""),IF('PC 07'!B233="","Update Date kosong",IF(NOT(ISNUMBER('PC 07'!B233)),"Update Date harus tanggal","")),IF('PC 07'!D233="","Judul kosong",""),IF('PC 07'!F233="","Genre kosong",IF(ISERROR(MATCH(TRIM('PC 07'!F233),{"Pop","Rock","Dangdut","K-Pop","Electronic","Nasional","Daerah"},0)),"Genre di luar daftar","")),IF('PC 07'!G233="","Nama Channel kosong",""),IF('PC 07'!H233="","Link kosong",IF(ISERROR(FIND("youtu",LOWER('PC 07'!H233))),"Link bukan youtube","")),IF('PC 07'!I233="","Tgl Dibuat kosong",IF(NOT(ISNUMBER('PC 07'!I233)),"Tgl Dibuat harus tanggal","")),IF(AND('PC 07'!J233&lt;&gt;"",NOT(ISNUMBER('PC 07'!J233))),"Tgl Publish harus tanggal",""),IF(AND(ISNUMBER('PC 07'!I233),ISNUMBER('PC 07'!J233),'PC 07'!J233&lt;'PC 07'!I233),"Tgl Publish &lt; Tgl Dibuat",""),IF(AND('PC 07'!K233&lt;&gt;"",ISERROR(MATCH(TRIM('PC 07'!K233),{"Draft","Menunggu Review","Revisi","Terjadwal","Publish","Batal","Published"},0))),"Status di luar daftar","")))</f>
        <v>#ERROR!</v>
      </c>
      <c r="D233" s="3" t="str">
        <f>IF(C233="","OK","ADA MASALAH")</f>
        <v>#ERROR!</v>
      </c>
    </row>
    <row r="234">
      <c r="A234" s="5">
        <v>234.0</v>
      </c>
      <c r="B234" s="3" t="str">
        <f>'PC 07'!A234</f>
        <v/>
      </c>
      <c r="C234" s="3" t="str">
        <f>IF(COUNTA('PC 07'!A234:L234)=0,"",TEXTJOIN(" | ",TRUE,IF('PC 07'!A234="","Worker ID kosong",""),IF('PC 07'!B234="","Update Date kosong",IF(NOT(ISNUMBER('PC 07'!B234)),"Update Date harus tanggal","")),IF('PC 07'!D234="","Judul kosong",""),IF('PC 07'!F234="","Genre kosong",IF(ISERROR(MATCH(TRIM('PC 07'!F234),{"Pop","Rock","Dangdut","K-Pop","Electronic","Nasional","Daerah"},0)),"Genre di luar daftar","")),IF('PC 07'!G234="","Nama Channel kosong",""),IF('PC 07'!H234="","Link kosong",IF(ISERROR(FIND("youtu",LOWER('PC 07'!H234))),"Link bukan youtube","")),IF('PC 07'!I234="","Tgl Dibuat kosong",IF(NOT(ISNUMBER('PC 07'!I234)),"Tgl Dibuat harus tanggal","")),IF(AND('PC 07'!J234&lt;&gt;"",NOT(ISNUMBER('PC 07'!J234))),"Tgl Publish harus tanggal",""),IF(AND(ISNUMBER('PC 07'!I234),ISNUMBER('PC 07'!J234),'PC 07'!J234&lt;'PC 07'!I234),"Tgl Publish &lt; Tgl Dibuat",""),IF(AND('PC 07'!K234&lt;&gt;"",ISERROR(MATCH(TRIM('PC 07'!K234),{"Draft","Menunggu Review","Revisi","Terjadwal","Publish","Batal","Published"},0))),"Status di luar daftar","")))</f>
        <v>#ERROR!</v>
      </c>
      <c r="D234" s="3" t="str">
        <f>IF(C234="","OK","ADA MASALAH")</f>
        <v>#ERROR!</v>
      </c>
    </row>
    <row r="235">
      <c r="A235" s="5">
        <v>235.0</v>
      </c>
      <c r="B235" s="3" t="str">
        <f>'PC 07'!A235</f>
        <v/>
      </c>
      <c r="C235" s="3" t="str">
        <f>IF(COUNTA('PC 07'!A235:L235)=0,"",TEXTJOIN(" | ",TRUE,IF('PC 07'!A235="","Worker ID kosong",""),IF('PC 07'!B235="","Update Date kosong",IF(NOT(ISNUMBER('PC 07'!B235)),"Update Date harus tanggal","")),IF('PC 07'!D235="","Judul kosong",""),IF('PC 07'!F235="","Genre kosong",IF(ISERROR(MATCH(TRIM('PC 07'!F235),{"Pop","Rock","Dangdut","K-Pop","Electronic","Nasional","Daerah"},0)),"Genre di luar daftar","")),IF('PC 07'!G235="","Nama Channel kosong",""),IF('PC 07'!H235="","Link kosong",IF(ISERROR(FIND("youtu",LOWER('PC 07'!H235))),"Link bukan youtube","")),IF('PC 07'!I235="","Tgl Dibuat kosong",IF(NOT(ISNUMBER('PC 07'!I235)),"Tgl Dibuat harus tanggal","")),IF(AND('PC 07'!J235&lt;&gt;"",NOT(ISNUMBER('PC 07'!J235))),"Tgl Publish harus tanggal",""),IF(AND(ISNUMBER('PC 07'!I235),ISNUMBER('PC 07'!J235),'PC 07'!J235&lt;'PC 07'!I235),"Tgl Publish &lt; Tgl Dibuat",""),IF(AND('PC 07'!K235&lt;&gt;"",ISERROR(MATCH(TRIM('PC 07'!K235),{"Draft","Menunggu Review","Revisi","Terjadwal","Publish","Batal","Published"},0))),"Status di luar daftar","")))</f>
        <v>#ERROR!</v>
      </c>
      <c r="D235" s="3" t="str">
        <f>IF(C235="","OK","ADA MASALAH")</f>
        <v>#ERROR!</v>
      </c>
    </row>
    <row r="236">
      <c r="A236" s="5">
        <v>236.0</v>
      </c>
      <c r="B236" s="3" t="str">
        <f>'PC 07'!A236</f>
        <v/>
      </c>
      <c r="C236" s="3" t="str">
        <f>IF(COUNTA('PC 07'!A236:L236)=0,"",TEXTJOIN(" | ",TRUE,IF('PC 07'!A236="","Worker ID kosong",""),IF('PC 07'!B236="","Update Date kosong",IF(NOT(ISNUMBER('PC 07'!B236)),"Update Date harus tanggal","")),IF('PC 07'!D236="","Judul kosong",""),IF('PC 07'!F236="","Genre kosong",IF(ISERROR(MATCH(TRIM('PC 07'!F236),{"Pop","Rock","Dangdut","K-Pop","Electronic","Nasional","Daerah"},0)),"Genre di luar daftar","")),IF('PC 07'!G236="","Nama Channel kosong",""),IF('PC 07'!H236="","Link kosong",IF(ISERROR(FIND("youtu",LOWER('PC 07'!H236))),"Link bukan youtube","")),IF('PC 07'!I236="","Tgl Dibuat kosong",IF(NOT(ISNUMBER('PC 07'!I236)),"Tgl Dibuat harus tanggal","")),IF(AND('PC 07'!J236&lt;&gt;"",NOT(ISNUMBER('PC 07'!J236))),"Tgl Publish harus tanggal",""),IF(AND(ISNUMBER('PC 07'!I236),ISNUMBER('PC 07'!J236),'PC 07'!J236&lt;'PC 07'!I236),"Tgl Publish &lt; Tgl Dibuat",""),IF(AND('PC 07'!K236&lt;&gt;"",ISERROR(MATCH(TRIM('PC 07'!K236),{"Draft","Menunggu Review","Revisi","Terjadwal","Publish","Batal","Published"},0))),"Status di luar daftar","")))</f>
        <v>#ERROR!</v>
      </c>
      <c r="D236" s="3" t="str">
        <f>IF(C236="","OK","ADA MASALAH")</f>
        <v>#ERROR!</v>
      </c>
    </row>
    <row r="237">
      <c r="A237" s="5">
        <v>237.0</v>
      </c>
      <c r="B237" s="3" t="str">
        <f>'PC 07'!A237</f>
        <v/>
      </c>
      <c r="C237" s="3" t="str">
        <f>IF(COUNTA('PC 07'!A237:L237)=0,"",TEXTJOIN(" | ",TRUE,IF('PC 07'!A237="","Worker ID kosong",""),IF('PC 07'!B237="","Update Date kosong",IF(NOT(ISNUMBER('PC 07'!B237)),"Update Date harus tanggal","")),IF('PC 07'!D237="","Judul kosong",""),IF('PC 07'!F237="","Genre kosong",IF(ISERROR(MATCH(TRIM('PC 07'!F237),{"Pop","Rock","Dangdut","K-Pop","Electronic","Nasional","Daerah"},0)),"Genre di luar daftar","")),IF('PC 07'!G237="","Nama Channel kosong",""),IF('PC 07'!H237="","Link kosong",IF(ISERROR(FIND("youtu",LOWER('PC 07'!H237))),"Link bukan youtube","")),IF('PC 07'!I237="","Tgl Dibuat kosong",IF(NOT(ISNUMBER('PC 07'!I237)),"Tgl Dibuat harus tanggal","")),IF(AND('PC 07'!J237&lt;&gt;"",NOT(ISNUMBER('PC 07'!J237))),"Tgl Publish harus tanggal",""),IF(AND(ISNUMBER('PC 07'!I237),ISNUMBER('PC 07'!J237),'PC 07'!J237&lt;'PC 07'!I237),"Tgl Publish &lt; Tgl Dibuat",""),IF(AND('PC 07'!K237&lt;&gt;"",ISERROR(MATCH(TRIM('PC 07'!K237),{"Draft","Menunggu Review","Revisi","Terjadwal","Publish","Batal","Published"},0))),"Status di luar daftar","")))</f>
        <v>#ERROR!</v>
      </c>
      <c r="D237" s="3" t="str">
        <f>IF(C237="","OK","ADA MASALAH")</f>
        <v>#ERROR!</v>
      </c>
    </row>
    <row r="238">
      <c r="A238" s="5">
        <v>238.0</v>
      </c>
      <c r="B238" s="3" t="str">
        <f>'PC 07'!A238</f>
        <v/>
      </c>
      <c r="C238" s="3" t="str">
        <f>IF(COUNTA('PC 07'!A238:L238)=0,"",TEXTJOIN(" | ",TRUE,IF('PC 07'!A238="","Worker ID kosong",""),IF('PC 07'!B238="","Update Date kosong",IF(NOT(ISNUMBER('PC 07'!B238)),"Update Date harus tanggal","")),IF('PC 07'!D238="","Judul kosong",""),IF('PC 07'!F238="","Genre kosong",IF(ISERROR(MATCH(TRIM('PC 07'!F238),{"Pop","Rock","Dangdut","K-Pop","Electronic","Nasional","Daerah"},0)),"Genre di luar daftar","")),IF('PC 07'!G238="","Nama Channel kosong",""),IF('PC 07'!H238="","Link kosong",IF(ISERROR(FIND("youtu",LOWER('PC 07'!H238))),"Link bukan youtube","")),IF('PC 07'!I238="","Tgl Dibuat kosong",IF(NOT(ISNUMBER('PC 07'!I238)),"Tgl Dibuat harus tanggal","")),IF(AND('PC 07'!J238&lt;&gt;"",NOT(ISNUMBER('PC 07'!J238))),"Tgl Publish harus tanggal",""),IF(AND(ISNUMBER('PC 07'!I238),ISNUMBER('PC 07'!J238),'PC 07'!J238&lt;'PC 07'!I238),"Tgl Publish &lt; Tgl Dibuat",""),IF(AND('PC 07'!K238&lt;&gt;"",ISERROR(MATCH(TRIM('PC 07'!K238),{"Draft","Menunggu Review","Revisi","Terjadwal","Publish","Batal","Published"},0))),"Status di luar daftar","")))</f>
        <v>#ERROR!</v>
      </c>
      <c r="D238" s="3" t="str">
        <f>IF(C238="","OK","ADA MASALAH")</f>
        <v>#ERROR!</v>
      </c>
    </row>
    <row r="239">
      <c r="A239" s="5">
        <v>239.0</v>
      </c>
      <c r="B239" s="3" t="str">
        <f>'PC 07'!A239</f>
        <v/>
      </c>
      <c r="C239" s="3" t="str">
        <f>IF(COUNTA('PC 07'!A239:L239)=0,"",TEXTJOIN(" | ",TRUE,IF('PC 07'!A239="","Worker ID kosong",""),IF('PC 07'!B239="","Update Date kosong",IF(NOT(ISNUMBER('PC 07'!B239)),"Update Date harus tanggal","")),IF('PC 07'!D239="","Judul kosong",""),IF('PC 07'!F239="","Genre kosong",IF(ISERROR(MATCH(TRIM('PC 07'!F239),{"Pop","Rock","Dangdut","K-Pop","Electronic","Nasional","Daerah"},0)),"Genre di luar daftar","")),IF('PC 07'!G239="","Nama Channel kosong",""),IF('PC 07'!H239="","Link kosong",IF(ISERROR(FIND("youtu",LOWER('PC 07'!H239))),"Link bukan youtube","")),IF('PC 07'!I239="","Tgl Dibuat kosong",IF(NOT(ISNUMBER('PC 07'!I239)),"Tgl Dibuat harus tanggal","")),IF(AND('PC 07'!J239&lt;&gt;"",NOT(ISNUMBER('PC 07'!J239))),"Tgl Publish harus tanggal",""),IF(AND(ISNUMBER('PC 07'!I239),ISNUMBER('PC 07'!J239),'PC 07'!J239&lt;'PC 07'!I239),"Tgl Publish &lt; Tgl Dibuat",""),IF(AND('PC 07'!K239&lt;&gt;"",ISERROR(MATCH(TRIM('PC 07'!K239),{"Draft","Menunggu Review","Revisi","Terjadwal","Publish","Batal","Published"},0))),"Status di luar daftar","")))</f>
        <v>#ERROR!</v>
      </c>
      <c r="D239" s="3" t="str">
        <f>IF(C239="","OK","ADA MASALAH")</f>
        <v>#ERROR!</v>
      </c>
    </row>
    <row r="240">
      <c r="A240" s="5">
        <v>240.0</v>
      </c>
      <c r="B240" s="3" t="str">
        <f>'PC 07'!A240</f>
        <v/>
      </c>
      <c r="C240" s="3" t="str">
        <f>IF(COUNTA('PC 07'!A240:L240)=0,"",TEXTJOIN(" | ",TRUE,IF('PC 07'!A240="","Worker ID kosong",""),IF('PC 07'!B240="","Update Date kosong",IF(NOT(ISNUMBER('PC 07'!B240)),"Update Date harus tanggal","")),IF('PC 07'!D240="","Judul kosong",""),IF('PC 07'!F240="","Genre kosong",IF(ISERROR(MATCH(TRIM('PC 07'!F240),{"Pop","Rock","Dangdut","K-Pop","Electronic","Nasional","Daerah"},0)),"Genre di luar daftar","")),IF('PC 07'!G240="","Nama Channel kosong",""),IF('PC 07'!H240="","Link kosong",IF(ISERROR(FIND("youtu",LOWER('PC 07'!H240))),"Link bukan youtube","")),IF('PC 07'!I240="","Tgl Dibuat kosong",IF(NOT(ISNUMBER('PC 07'!I240)),"Tgl Dibuat harus tanggal","")),IF(AND('PC 07'!J240&lt;&gt;"",NOT(ISNUMBER('PC 07'!J240))),"Tgl Publish harus tanggal",""),IF(AND(ISNUMBER('PC 07'!I240),ISNUMBER('PC 07'!J240),'PC 07'!J240&lt;'PC 07'!I240),"Tgl Publish &lt; Tgl Dibuat",""),IF(AND('PC 07'!K240&lt;&gt;"",ISERROR(MATCH(TRIM('PC 07'!K240),{"Draft","Menunggu Review","Revisi","Terjadwal","Publish","Batal","Published"},0))),"Status di luar daftar","")))</f>
        <v>#ERROR!</v>
      </c>
      <c r="D240" s="3" t="str">
        <f>IF(C240="","OK","ADA MASALAH")</f>
        <v>#ERROR!</v>
      </c>
    </row>
    <row r="241">
      <c r="A241" s="5">
        <v>241.0</v>
      </c>
      <c r="B241" s="3" t="str">
        <f>'PC 07'!A241</f>
        <v/>
      </c>
      <c r="C241" s="3" t="str">
        <f>IF(COUNTA('PC 07'!A241:L241)=0,"",TEXTJOIN(" | ",TRUE,IF('PC 07'!A241="","Worker ID kosong",""),IF('PC 07'!B241="","Update Date kosong",IF(NOT(ISNUMBER('PC 07'!B241)),"Update Date harus tanggal","")),IF('PC 07'!D241="","Judul kosong",""),IF('PC 07'!F241="","Genre kosong",IF(ISERROR(MATCH(TRIM('PC 07'!F241),{"Pop","Rock","Dangdut","K-Pop","Electronic","Nasional","Daerah"},0)),"Genre di luar daftar","")),IF('PC 07'!G241="","Nama Channel kosong",""),IF('PC 07'!H241="","Link kosong",IF(ISERROR(FIND("youtu",LOWER('PC 07'!H241))),"Link bukan youtube","")),IF('PC 07'!I241="","Tgl Dibuat kosong",IF(NOT(ISNUMBER('PC 07'!I241)),"Tgl Dibuat harus tanggal","")),IF(AND('PC 07'!J241&lt;&gt;"",NOT(ISNUMBER('PC 07'!J241))),"Tgl Publish harus tanggal",""),IF(AND(ISNUMBER('PC 07'!I241),ISNUMBER('PC 07'!J241),'PC 07'!J241&lt;'PC 07'!I241),"Tgl Publish &lt; Tgl Dibuat",""),IF(AND('PC 07'!K241&lt;&gt;"",ISERROR(MATCH(TRIM('PC 07'!K241),{"Draft","Menunggu Review","Revisi","Terjadwal","Publish","Batal","Published"},0))),"Status di luar daftar","")))</f>
        <v>#ERROR!</v>
      </c>
      <c r="D241" s="3" t="str">
        <f>IF(C241="","OK","ADA MASALAH")</f>
        <v>#ERROR!</v>
      </c>
    </row>
    <row r="242">
      <c r="A242" s="5">
        <v>242.0</v>
      </c>
      <c r="B242" s="3" t="str">
        <f>'PC 07'!A242</f>
        <v/>
      </c>
      <c r="C242" s="3" t="str">
        <f>IF(COUNTA('PC 07'!A242:L242)=0,"",TEXTJOIN(" | ",TRUE,IF('PC 07'!A242="","Worker ID kosong",""),IF('PC 07'!B242="","Update Date kosong",IF(NOT(ISNUMBER('PC 07'!B242)),"Update Date harus tanggal","")),IF('PC 07'!D242="","Judul kosong",""),IF('PC 07'!F242="","Genre kosong",IF(ISERROR(MATCH(TRIM('PC 07'!F242),{"Pop","Rock","Dangdut","K-Pop","Electronic","Nasional","Daerah"},0)),"Genre di luar daftar","")),IF('PC 07'!G242="","Nama Channel kosong",""),IF('PC 07'!H242="","Link kosong",IF(ISERROR(FIND("youtu",LOWER('PC 07'!H242))),"Link bukan youtube","")),IF('PC 07'!I242="","Tgl Dibuat kosong",IF(NOT(ISNUMBER('PC 07'!I242)),"Tgl Dibuat harus tanggal","")),IF(AND('PC 07'!J242&lt;&gt;"",NOT(ISNUMBER('PC 07'!J242))),"Tgl Publish harus tanggal",""),IF(AND(ISNUMBER('PC 07'!I242),ISNUMBER('PC 07'!J242),'PC 07'!J242&lt;'PC 07'!I242),"Tgl Publish &lt; Tgl Dibuat",""),IF(AND('PC 07'!K242&lt;&gt;"",ISERROR(MATCH(TRIM('PC 07'!K242),{"Draft","Menunggu Review","Revisi","Terjadwal","Publish","Batal","Published"},0))),"Status di luar daftar","")))</f>
        <v>#ERROR!</v>
      </c>
      <c r="D242" s="3" t="str">
        <f>IF(C242="","OK","ADA MASALAH")</f>
        <v>#ERROR!</v>
      </c>
    </row>
    <row r="243">
      <c r="A243" s="5">
        <v>243.0</v>
      </c>
      <c r="B243" s="3" t="str">
        <f>'PC 07'!A243</f>
        <v/>
      </c>
      <c r="C243" s="3" t="str">
        <f>IF(COUNTA('PC 07'!A243:L243)=0,"",TEXTJOIN(" | ",TRUE,IF('PC 07'!A243="","Worker ID kosong",""),IF('PC 07'!B243="","Update Date kosong",IF(NOT(ISNUMBER('PC 07'!B243)),"Update Date harus tanggal","")),IF('PC 07'!D243="","Judul kosong",""),IF('PC 07'!F243="","Genre kosong",IF(ISERROR(MATCH(TRIM('PC 07'!F243),{"Pop","Rock","Dangdut","K-Pop","Electronic","Nasional","Daerah"},0)),"Genre di luar daftar","")),IF('PC 07'!G243="","Nama Channel kosong",""),IF('PC 07'!H243="","Link kosong",IF(ISERROR(FIND("youtu",LOWER('PC 07'!H243))),"Link bukan youtube","")),IF('PC 07'!I243="","Tgl Dibuat kosong",IF(NOT(ISNUMBER('PC 07'!I243)),"Tgl Dibuat harus tanggal","")),IF(AND('PC 07'!J243&lt;&gt;"",NOT(ISNUMBER('PC 07'!J243))),"Tgl Publish harus tanggal",""),IF(AND(ISNUMBER('PC 07'!I243),ISNUMBER('PC 07'!J243),'PC 07'!J243&lt;'PC 07'!I243),"Tgl Publish &lt; Tgl Dibuat",""),IF(AND('PC 07'!K243&lt;&gt;"",ISERROR(MATCH(TRIM('PC 07'!K243),{"Draft","Menunggu Review","Revisi","Terjadwal","Publish","Batal","Published"},0))),"Status di luar daftar","")))</f>
        <v>#ERROR!</v>
      </c>
      <c r="D243" s="3" t="str">
        <f>IF(C243="","OK","ADA MASALAH")</f>
        <v>#ERROR!</v>
      </c>
    </row>
    <row r="244">
      <c r="A244" s="5">
        <v>244.0</v>
      </c>
      <c r="B244" s="3" t="str">
        <f>'PC 07'!A244</f>
        <v/>
      </c>
      <c r="C244" s="3" t="str">
        <f>IF(COUNTA('PC 07'!A244:L244)=0,"",TEXTJOIN(" | ",TRUE,IF('PC 07'!A244="","Worker ID kosong",""),IF('PC 07'!B244="","Update Date kosong",IF(NOT(ISNUMBER('PC 07'!B244)),"Update Date harus tanggal","")),IF('PC 07'!D244="","Judul kosong",""),IF('PC 07'!F244="","Genre kosong",IF(ISERROR(MATCH(TRIM('PC 07'!F244),{"Pop","Rock","Dangdut","K-Pop","Electronic","Nasional","Daerah"},0)),"Genre di luar daftar","")),IF('PC 07'!G244="","Nama Channel kosong",""),IF('PC 07'!H244="","Link kosong",IF(ISERROR(FIND("youtu",LOWER('PC 07'!H244))),"Link bukan youtube","")),IF('PC 07'!I244="","Tgl Dibuat kosong",IF(NOT(ISNUMBER('PC 07'!I244)),"Tgl Dibuat harus tanggal","")),IF(AND('PC 07'!J244&lt;&gt;"",NOT(ISNUMBER('PC 07'!J244))),"Tgl Publish harus tanggal",""),IF(AND(ISNUMBER('PC 07'!I244),ISNUMBER('PC 07'!J244),'PC 07'!J244&lt;'PC 07'!I244),"Tgl Publish &lt; Tgl Dibuat",""),IF(AND('PC 07'!K244&lt;&gt;"",ISERROR(MATCH(TRIM('PC 07'!K244),{"Draft","Menunggu Review","Revisi","Terjadwal","Publish","Batal","Published"},0))),"Status di luar daftar","")))</f>
        <v>#ERROR!</v>
      </c>
      <c r="D244" s="3" t="str">
        <f>IF(C244="","OK","ADA MASALAH")</f>
        <v>#ERROR!</v>
      </c>
    </row>
    <row r="245">
      <c r="A245" s="5">
        <v>245.0</v>
      </c>
      <c r="B245" s="3" t="str">
        <f>'PC 07'!A245</f>
        <v/>
      </c>
      <c r="C245" s="3" t="str">
        <f>IF(COUNTA('PC 07'!A245:L245)=0,"",TEXTJOIN(" | ",TRUE,IF('PC 07'!A245="","Worker ID kosong",""),IF('PC 07'!B245="","Update Date kosong",IF(NOT(ISNUMBER('PC 07'!B245)),"Update Date harus tanggal","")),IF('PC 07'!D245="","Judul kosong",""),IF('PC 07'!F245="","Genre kosong",IF(ISERROR(MATCH(TRIM('PC 07'!F245),{"Pop","Rock","Dangdut","K-Pop","Electronic","Nasional","Daerah"},0)),"Genre di luar daftar","")),IF('PC 07'!G245="","Nama Channel kosong",""),IF('PC 07'!H245="","Link kosong",IF(ISERROR(FIND("youtu",LOWER('PC 07'!H245))),"Link bukan youtube","")),IF('PC 07'!I245="","Tgl Dibuat kosong",IF(NOT(ISNUMBER('PC 07'!I245)),"Tgl Dibuat harus tanggal","")),IF(AND('PC 07'!J245&lt;&gt;"",NOT(ISNUMBER('PC 07'!J245))),"Tgl Publish harus tanggal",""),IF(AND(ISNUMBER('PC 07'!I245),ISNUMBER('PC 07'!J245),'PC 07'!J245&lt;'PC 07'!I245),"Tgl Publish &lt; Tgl Dibuat",""),IF(AND('PC 07'!K245&lt;&gt;"",ISERROR(MATCH(TRIM('PC 07'!K245),{"Draft","Menunggu Review","Revisi","Terjadwal","Publish","Batal","Published"},0))),"Status di luar daftar","")))</f>
        <v>#ERROR!</v>
      </c>
      <c r="D245" s="3" t="str">
        <f>IF(C245="","OK","ADA MASALAH")</f>
        <v>#ERROR!</v>
      </c>
    </row>
    <row r="246">
      <c r="A246" s="5">
        <v>246.0</v>
      </c>
      <c r="B246" s="3" t="str">
        <f>'PC 07'!A246</f>
        <v/>
      </c>
      <c r="C246" s="3" t="str">
        <f>IF(COUNTA('PC 07'!A246:L246)=0,"",TEXTJOIN(" | ",TRUE,IF('PC 07'!A246="","Worker ID kosong",""),IF('PC 07'!B246="","Update Date kosong",IF(NOT(ISNUMBER('PC 07'!B246)),"Update Date harus tanggal","")),IF('PC 07'!D246="","Judul kosong",""),IF('PC 07'!F246="","Genre kosong",IF(ISERROR(MATCH(TRIM('PC 07'!F246),{"Pop","Rock","Dangdut","K-Pop","Electronic","Nasional","Daerah"},0)),"Genre di luar daftar","")),IF('PC 07'!G246="","Nama Channel kosong",""),IF('PC 07'!H246="","Link kosong",IF(ISERROR(FIND("youtu",LOWER('PC 07'!H246))),"Link bukan youtube","")),IF('PC 07'!I246="","Tgl Dibuat kosong",IF(NOT(ISNUMBER('PC 07'!I246)),"Tgl Dibuat harus tanggal","")),IF(AND('PC 07'!J246&lt;&gt;"",NOT(ISNUMBER('PC 07'!J246))),"Tgl Publish harus tanggal",""),IF(AND(ISNUMBER('PC 07'!I246),ISNUMBER('PC 07'!J246),'PC 07'!J246&lt;'PC 07'!I246),"Tgl Publish &lt; Tgl Dibuat",""),IF(AND('PC 07'!K246&lt;&gt;"",ISERROR(MATCH(TRIM('PC 07'!K246),{"Draft","Menunggu Review","Revisi","Terjadwal","Publish","Batal","Published"},0))),"Status di luar daftar","")))</f>
        <v>#ERROR!</v>
      </c>
      <c r="D246" s="3" t="str">
        <f>IF(C246="","OK","ADA MASALAH")</f>
        <v>#ERROR!</v>
      </c>
    </row>
    <row r="247">
      <c r="A247" s="5">
        <v>247.0</v>
      </c>
      <c r="B247" s="3" t="str">
        <f>'PC 07'!A247</f>
        <v/>
      </c>
      <c r="C247" s="3" t="str">
        <f>IF(COUNTA('PC 07'!A247:L247)=0,"",TEXTJOIN(" | ",TRUE,IF('PC 07'!A247="","Worker ID kosong",""),IF('PC 07'!B247="","Update Date kosong",IF(NOT(ISNUMBER('PC 07'!B247)),"Update Date harus tanggal","")),IF('PC 07'!D247="","Judul kosong",""),IF('PC 07'!F247="","Genre kosong",IF(ISERROR(MATCH(TRIM('PC 07'!F247),{"Pop","Rock","Dangdut","K-Pop","Electronic","Nasional","Daerah"},0)),"Genre di luar daftar","")),IF('PC 07'!G247="","Nama Channel kosong",""),IF('PC 07'!H247="","Link kosong",IF(ISERROR(FIND("youtu",LOWER('PC 07'!H247))),"Link bukan youtube","")),IF('PC 07'!I247="","Tgl Dibuat kosong",IF(NOT(ISNUMBER('PC 07'!I247)),"Tgl Dibuat harus tanggal","")),IF(AND('PC 07'!J247&lt;&gt;"",NOT(ISNUMBER('PC 07'!J247))),"Tgl Publish harus tanggal",""),IF(AND(ISNUMBER('PC 07'!I247),ISNUMBER('PC 07'!J247),'PC 07'!J247&lt;'PC 07'!I247),"Tgl Publish &lt; Tgl Dibuat",""),IF(AND('PC 07'!K247&lt;&gt;"",ISERROR(MATCH(TRIM('PC 07'!K247),{"Draft","Menunggu Review","Revisi","Terjadwal","Publish","Batal","Published"},0))),"Status di luar daftar","")))</f>
        <v>#ERROR!</v>
      </c>
      <c r="D247" s="3" t="str">
        <f>IF(C247="","OK","ADA MASALAH")</f>
        <v>#ERROR!</v>
      </c>
    </row>
    <row r="248">
      <c r="A248" s="5">
        <v>248.0</v>
      </c>
      <c r="B248" s="3" t="str">
        <f>'PC 07'!A248</f>
        <v/>
      </c>
      <c r="C248" s="3" t="str">
        <f>IF(COUNTA('PC 07'!A248:L248)=0,"",TEXTJOIN(" | ",TRUE,IF('PC 07'!A248="","Worker ID kosong",""),IF('PC 07'!B248="","Update Date kosong",IF(NOT(ISNUMBER('PC 07'!B248)),"Update Date harus tanggal","")),IF('PC 07'!D248="","Judul kosong",""),IF('PC 07'!F248="","Genre kosong",IF(ISERROR(MATCH(TRIM('PC 07'!F248),{"Pop","Rock","Dangdut","K-Pop","Electronic","Nasional","Daerah"},0)),"Genre di luar daftar","")),IF('PC 07'!G248="","Nama Channel kosong",""),IF('PC 07'!H248="","Link kosong",IF(ISERROR(FIND("youtu",LOWER('PC 07'!H248))),"Link bukan youtube","")),IF('PC 07'!I248="","Tgl Dibuat kosong",IF(NOT(ISNUMBER('PC 07'!I248)),"Tgl Dibuat harus tanggal","")),IF(AND('PC 07'!J248&lt;&gt;"",NOT(ISNUMBER('PC 07'!J248))),"Tgl Publish harus tanggal",""),IF(AND(ISNUMBER('PC 07'!I248),ISNUMBER('PC 07'!J248),'PC 07'!J248&lt;'PC 07'!I248),"Tgl Publish &lt; Tgl Dibuat",""),IF(AND('PC 07'!K248&lt;&gt;"",ISERROR(MATCH(TRIM('PC 07'!K248),{"Draft","Menunggu Review","Revisi","Terjadwal","Publish","Batal","Published"},0))),"Status di luar daftar","")))</f>
        <v>#ERROR!</v>
      </c>
      <c r="D248" s="3" t="str">
        <f>IF(C248="","OK","ADA MASALAH")</f>
        <v>#ERROR!</v>
      </c>
    </row>
    <row r="249">
      <c r="A249" s="5">
        <v>249.0</v>
      </c>
      <c r="B249" s="3" t="str">
        <f>'PC 07'!A249</f>
        <v/>
      </c>
      <c r="C249" s="3" t="str">
        <f>IF(COUNTA('PC 07'!A249:L249)=0,"",TEXTJOIN(" | ",TRUE,IF('PC 07'!A249="","Worker ID kosong",""),IF('PC 07'!B249="","Update Date kosong",IF(NOT(ISNUMBER('PC 07'!B249)),"Update Date harus tanggal","")),IF('PC 07'!D249="","Judul kosong",""),IF('PC 07'!F249="","Genre kosong",IF(ISERROR(MATCH(TRIM('PC 07'!F249),{"Pop","Rock","Dangdut","K-Pop","Electronic","Nasional","Daerah"},0)),"Genre di luar daftar","")),IF('PC 07'!G249="","Nama Channel kosong",""),IF('PC 07'!H249="","Link kosong",IF(ISERROR(FIND("youtu",LOWER('PC 07'!H249))),"Link bukan youtube","")),IF('PC 07'!I249="","Tgl Dibuat kosong",IF(NOT(ISNUMBER('PC 07'!I249)),"Tgl Dibuat harus tanggal","")),IF(AND('PC 07'!J249&lt;&gt;"",NOT(ISNUMBER('PC 07'!J249))),"Tgl Publish harus tanggal",""),IF(AND(ISNUMBER('PC 07'!I249),ISNUMBER('PC 07'!J249),'PC 07'!J249&lt;'PC 07'!I249),"Tgl Publish &lt; Tgl Dibuat",""),IF(AND('PC 07'!K249&lt;&gt;"",ISERROR(MATCH(TRIM('PC 07'!K249),{"Draft","Menunggu Review","Revisi","Terjadwal","Publish","Batal","Published"},0))),"Status di luar daftar","")))</f>
        <v>#ERROR!</v>
      </c>
      <c r="D249" s="3" t="str">
        <f>IF(C249="","OK","ADA MASALAH")</f>
        <v>#ERROR!</v>
      </c>
    </row>
    <row r="250">
      <c r="A250" s="5">
        <v>250.0</v>
      </c>
      <c r="B250" s="3" t="str">
        <f>'PC 07'!A250</f>
        <v/>
      </c>
      <c r="C250" s="3" t="str">
        <f>IF(COUNTA('PC 07'!A250:L250)=0,"",TEXTJOIN(" | ",TRUE,IF('PC 07'!A250="","Worker ID kosong",""),IF('PC 07'!B250="","Update Date kosong",IF(NOT(ISNUMBER('PC 07'!B250)),"Update Date harus tanggal","")),IF('PC 07'!D250="","Judul kosong",""),IF('PC 07'!F250="","Genre kosong",IF(ISERROR(MATCH(TRIM('PC 07'!F250),{"Pop","Rock","Dangdut","K-Pop","Electronic","Nasional","Daerah"},0)),"Genre di luar daftar","")),IF('PC 07'!G250="","Nama Channel kosong",""),IF('PC 07'!H250="","Link kosong",IF(ISERROR(FIND("youtu",LOWER('PC 07'!H250))),"Link bukan youtube","")),IF('PC 07'!I250="","Tgl Dibuat kosong",IF(NOT(ISNUMBER('PC 07'!I250)),"Tgl Dibuat harus tanggal","")),IF(AND('PC 07'!J250&lt;&gt;"",NOT(ISNUMBER('PC 07'!J250))),"Tgl Publish harus tanggal",""),IF(AND(ISNUMBER('PC 07'!I250),ISNUMBER('PC 07'!J250),'PC 07'!J250&lt;'PC 07'!I250),"Tgl Publish &lt; Tgl Dibuat",""),IF(AND('PC 07'!K250&lt;&gt;"",ISERROR(MATCH(TRIM('PC 07'!K250),{"Draft","Menunggu Review","Revisi","Terjadwal","Publish","Batal","Published"},0))),"Status di luar daftar","")))</f>
        <v>#ERROR!</v>
      </c>
      <c r="D250" s="3" t="str">
        <f>IF(C250="","OK","ADA MASALAH")</f>
        <v>#ERROR!</v>
      </c>
    </row>
    <row r="251">
      <c r="A251" s="5">
        <v>251.0</v>
      </c>
      <c r="B251" s="3" t="str">
        <f>'PC 07'!A251</f>
        <v/>
      </c>
      <c r="C251" s="3" t="str">
        <f>IF(COUNTA('PC 07'!A251:L251)=0,"",TEXTJOIN(" | ",TRUE,IF('PC 07'!A251="","Worker ID kosong",""),IF('PC 07'!B251="","Update Date kosong",IF(NOT(ISNUMBER('PC 07'!B251)),"Update Date harus tanggal","")),IF('PC 07'!D251="","Judul kosong",""),IF('PC 07'!F251="","Genre kosong",IF(ISERROR(MATCH(TRIM('PC 07'!F251),{"Pop","Rock","Dangdut","K-Pop","Electronic","Nasional","Daerah"},0)),"Genre di luar daftar","")),IF('PC 07'!G251="","Nama Channel kosong",""),IF('PC 07'!H251="","Link kosong",IF(ISERROR(FIND("youtu",LOWER('PC 07'!H251))),"Link bukan youtube","")),IF('PC 07'!I251="","Tgl Dibuat kosong",IF(NOT(ISNUMBER('PC 07'!I251)),"Tgl Dibuat harus tanggal","")),IF(AND('PC 07'!J251&lt;&gt;"",NOT(ISNUMBER('PC 07'!J251))),"Tgl Publish harus tanggal",""),IF(AND(ISNUMBER('PC 07'!I251),ISNUMBER('PC 07'!J251),'PC 07'!J251&lt;'PC 07'!I251),"Tgl Publish &lt; Tgl Dibuat",""),IF(AND('PC 07'!K251&lt;&gt;"",ISERROR(MATCH(TRIM('PC 07'!K251),{"Draft","Menunggu Review","Revisi","Terjadwal","Publish","Batal","Published"},0))),"Status di luar daftar","")))</f>
        <v>#ERROR!</v>
      </c>
      <c r="D251" s="3" t="str">
        <f>IF(C251="","OK","ADA MASALAH")</f>
        <v>#ERROR!</v>
      </c>
    </row>
    <row r="252">
      <c r="A252" s="5">
        <v>252.0</v>
      </c>
      <c r="B252" s="3" t="str">
        <f>'PC 07'!A252</f>
        <v/>
      </c>
      <c r="C252" s="3" t="str">
        <f>IF(COUNTA('PC 07'!A252:L252)=0,"",TEXTJOIN(" | ",TRUE,IF('PC 07'!A252="","Worker ID kosong",""),IF('PC 07'!B252="","Update Date kosong",IF(NOT(ISNUMBER('PC 07'!B252)),"Update Date harus tanggal","")),IF('PC 07'!D252="","Judul kosong",""),IF('PC 07'!F252="","Genre kosong",IF(ISERROR(MATCH(TRIM('PC 07'!F252),{"Pop","Rock","Dangdut","K-Pop","Electronic","Nasional","Daerah"},0)),"Genre di luar daftar","")),IF('PC 07'!G252="","Nama Channel kosong",""),IF('PC 07'!H252="","Link kosong",IF(ISERROR(FIND("youtu",LOWER('PC 07'!H252))),"Link bukan youtube","")),IF('PC 07'!I252="","Tgl Dibuat kosong",IF(NOT(ISNUMBER('PC 07'!I252)),"Tgl Dibuat harus tanggal","")),IF(AND('PC 07'!J252&lt;&gt;"",NOT(ISNUMBER('PC 07'!J252))),"Tgl Publish harus tanggal",""),IF(AND(ISNUMBER('PC 07'!I252),ISNUMBER('PC 07'!J252),'PC 07'!J252&lt;'PC 07'!I252),"Tgl Publish &lt; Tgl Dibuat",""),IF(AND('PC 07'!K252&lt;&gt;"",ISERROR(MATCH(TRIM('PC 07'!K252),{"Draft","Menunggu Review","Revisi","Terjadwal","Publish","Batal","Published"},0))),"Status di luar daftar","")))</f>
        <v>#ERROR!</v>
      </c>
      <c r="D252" s="3" t="str">
        <f>IF(C252="","OK","ADA MASALAH")</f>
        <v>#ERROR!</v>
      </c>
    </row>
    <row r="253">
      <c r="A253" s="5">
        <v>253.0</v>
      </c>
      <c r="B253" s="3" t="str">
        <f>'PC 07'!A253</f>
        <v/>
      </c>
      <c r="C253" s="3" t="str">
        <f>IF(COUNTA('PC 07'!A253:L253)=0,"",TEXTJOIN(" | ",TRUE,IF('PC 07'!A253="","Worker ID kosong",""),IF('PC 07'!B253="","Update Date kosong",IF(NOT(ISNUMBER('PC 07'!B253)),"Update Date harus tanggal","")),IF('PC 07'!D253="","Judul kosong",""),IF('PC 07'!F253="","Genre kosong",IF(ISERROR(MATCH(TRIM('PC 07'!F253),{"Pop","Rock","Dangdut","K-Pop","Electronic","Nasional","Daerah"},0)),"Genre di luar daftar","")),IF('PC 07'!G253="","Nama Channel kosong",""),IF('PC 07'!H253="","Link kosong",IF(ISERROR(FIND("youtu",LOWER('PC 07'!H253))),"Link bukan youtube","")),IF('PC 07'!I253="","Tgl Dibuat kosong",IF(NOT(ISNUMBER('PC 07'!I253)),"Tgl Dibuat harus tanggal","")),IF(AND('PC 07'!J253&lt;&gt;"",NOT(ISNUMBER('PC 07'!J253))),"Tgl Publish harus tanggal",""),IF(AND(ISNUMBER('PC 07'!I253),ISNUMBER('PC 07'!J253),'PC 07'!J253&lt;'PC 07'!I253),"Tgl Publish &lt; Tgl Dibuat",""),IF(AND('PC 07'!K253&lt;&gt;"",ISERROR(MATCH(TRIM('PC 07'!K253),{"Draft","Menunggu Review","Revisi","Terjadwal","Publish","Batal","Published"},0))),"Status di luar daftar","")))</f>
        <v>#ERROR!</v>
      </c>
      <c r="D253" s="3" t="str">
        <f>IF(C253="","OK","ADA MASALAH")</f>
        <v>#ERROR!</v>
      </c>
    </row>
    <row r="254">
      <c r="A254" s="5">
        <v>254.0</v>
      </c>
      <c r="B254" s="3" t="str">
        <f>'PC 07'!A254</f>
        <v/>
      </c>
      <c r="C254" s="3" t="str">
        <f>IF(COUNTA('PC 07'!A254:L254)=0,"",TEXTJOIN(" | ",TRUE,IF('PC 07'!A254="","Worker ID kosong",""),IF('PC 07'!B254="","Update Date kosong",IF(NOT(ISNUMBER('PC 07'!B254)),"Update Date harus tanggal","")),IF('PC 07'!D254="","Judul kosong",""),IF('PC 07'!F254="","Genre kosong",IF(ISERROR(MATCH(TRIM('PC 07'!F254),{"Pop","Rock","Dangdut","K-Pop","Electronic","Nasional","Daerah"},0)),"Genre di luar daftar","")),IF('PC 07'!G254="","Nama Channel kosong",""),IF('PC 07'!H254="","Link kosong",IF(ISERROR(FIND("youtu",LOWER('PC 07'!H254))),"Link bukan youtube","")),IF('PC 07'!I254="","Tgl Dibuat kosong",IF(NOT(ISNUMBER('PC 07'!I254)),"Tgl Dibuat harus tanggal","")),IF(AND('PC 07'!J254&lt;&gt;"",NOT(ISNUMBER('PC 07'!J254))),"Tgl Publish harus tanggal",""),IF(AND(ISNUMBER('PC 07'!I254),ISNUMBER('PC 07'!J254),'PC 07'!J254&lt;'PC 07'!I254),"Tgl Publish &lt; Tgl Dibuat",""),IF(AND('PC 07'!K254&lt;&gt;"",ISERROR(MATCH(TRIM('PC 07'!K254),{"Draft","Menunggu Review","Revisi","Terjadwal","Publish","Batal","Published"},0))),"Status di luar daftar","")))</f>
        <v>#ERROR!</v>
      </c>
      <c r="D254" s="3" t="str">
        <f>IF(C254="","OK","ADA MASALAH")</f>
        <v>#ERROR!</v>
      </c>
    </row>
    <row r="255">
      <c r="A255" s="5">
        <v>255.0</v>
      </c>
      <c r="B255" s="3" t="str">
        <f>'PC 07'!A255</f>
        <v/>
      </c>
      <c r="C255" s="3" t="str">
        <f>IF(COUNTA('PC 07'!A255:L255)=0,"",TEXTJOIN(" | ",TRUE,IF('PC 07'!A255="","Worker ID kosong",""),IF('PC 07'!B255="","Update Date kosong",IF(NOT(ISNUMBER('PC 07'!B255)),"Update Date harus tanggal","")),IF('PC 07'!D255="","Judul kosong",""),IF('PC 07'!F255="","Genre kosong",IF(ISERROR(MATCH(TRIM('PC 07'!F255),{"Pop","Rock","Dangdut","K-Pop","Electronic","Nasional","Daerah"},0)),"Genre di luar daftar","")),IF('PC 07'!G255="","Nama Channel kosong",""),IF('PC 07'!H255="","Link kosong",IF(ISERROR(FIND("youtu",LOWER('PC 07'!H255))),"Link bukan youtube","")),IF('PC 07'!I255="","Tgl Dibuat kosong",IF(NOT(ISNUMBER('PC 07'!I255)),"Tgl Dibuat harus tanggal","")),IF(AND('PC 07'!J255&lt;&gt;"",NOT(ISNUMBER('PC 07'!J255))),"Tgl Publish harus tanggal",""),IF(AND(ISNUMBER('PC 07'!I255),ISNUMBER('PC 07'!J255),'PC 07'!J255&lt;'PC 07'!I255),"Tgl Publish &lt; Tgl Dibuat",""),IF(AND('PC 07'!K255&lt;&gt;"",ISERROR(MATCH(TRIM('PC 07'!K255),{"Draft","Menunggu Review","Revisi","Terjadwal","Publish","Batal","Published"},0))),"Status di luar daftar","")))</f>
        <v>#ERROR!</v>
      </c>
      <c r="D255" s="3" t="str">
        <f>IF(C255="","OK","ADA MASALAH")</f>
        <v>#ERROR!</v>
      </c>
    </row>
    <row r="256">
      <c r="A256" s="5">
        <v>256.0</v>
      </c>
      <c r="B256" s="3" t="str">
        <f>'PC 07'!A256</f>
        <v/>
      </c>
      <c r="C256" s="3" t="str">
        <f>IF(COUNTA('PC 07'!A256:L256)=0,"",TEXTJOIN(" | ",TRUE,IF('PC 07'!A256="","Worker ID kosong",""),IF('PC 07'!B256="","Update Date kosong",IF(NOT(ISNUMBER('PC 07'!B256)),"Update Date harus tanggal","")),IF('PC 07'!D256="","Judul kosong",""),IF('PC 07'!F256="","Genre kosong",IF(ISERROR(MATCH(TRIM('PC 07'!F256),{"Pop","Rock","Dangdut","K-Pop","Electronic","Nasional","Daerah"},0)),"Genre di luar daftar","")),IF('PC 07'!G256="","Nama Channel kosong",""),IF('PC 07'!H256="","Link kosong",IF(ISERROR(FIND("youtu",LOWER('PC 07'!H256))),"Link bukan youtube","")),IF('PC 07'!I256="","Tgl Dibuat kosong",IF(NOT(ISNUMBER('PC 07'!I256)),"Tgl Dibuat harus tanggal","")),IF(AND('PC 07'!J256&lt;&gt;"",NOT(ISNUMBER('PC 07'!J256))),"Tgl Publish harus tanggal",""),IF(AND(ISNUMBER('PC 07'!I256),ISNUMBER('PC 07'!J256),'PC 07'!J256&lt;'PC 07'!I256),"Tgl Publish &lt; Tgl Dibuat",""),IF(AND('PC 07'!K256&lt;&gt;"",ISERROR(MATCH(TRIM('PC 07'!K256),{"Draft","Menunggu Review","Revisi","Terjadwal","Publish","Batal","Published"},0))),"Status di luar daftar","")))</f>
        <v>#ERROR!</v>
      </c>
      <c r="D256" s="3" t="str">
        <f>IF(C256="","OK","ADA MASALAH")</f>
        <v>#ERROR!</v>
      </c>
    </row>
    <row r="257">
      <c r="A257" s="5">
        <v>257.0</v>
      </c>
      <c r="B257" s="3" t="str">
        <f>'PC 07'!A257</f>
        <v/>
      </c>
      <c r="C257" s="3" t="str">
        <f>IF(COUNTA('PC 07'!A257:L257)=0,"",TEXTJOIN(" | ",TRUE,IF('PC 07'!A257="","Worker ID kosong",""),IF('PC 07'!B257="","Update Date kosong",IF(NOT(ISNUMBER('PC 07'!B257)),"Update Date harus tanggal","")),IF('PC 07'!D257="","Judul kosong",""),IF('PC 07'!F257="","Genre kosong",IF(ISERROR(MATCH(TRIM('PC 07'!F257),{"Pop","Rock","Dangdut","K-Pop","Electronic","Nasional","Daerah"},0)),"Genre di luar daftar","")),IF('PC 07'!G257="","Nama Channel kosong",""),IF('PC 07'!H257="","Link kosong",IF(ISERROR(FIND("youtu",LOWER('PC 07'!H257))),"Link bukan youtube","")),IF('PC 07'!I257="","Tgl Dibuat kosong",IF(NOT(ISNUMBER('PC 07'!I257)),"Tgl Dibuat harus tanggal","")),IF(AND('PC 07'!J257&lt;&gt;"",NOT(ISNUMBER('PC 07'!J257))),"Tgl Publish harus tanggal",""),IF(AND(ISNUMBER('PC 07'!I257),ISNUMBER('PC 07'!J257),'PC 07'!J257&lt;'PC 07'!I257),"Tgl Publish &lt; Tgl Dibuat",""),IF(AND('PC 07'!K257&lt;&gt;"",ISERROR(MATCH(TRIM('PC 07'!K257),{"Draft","Menunggu Review","Revisi","Terjadwal","Publish","Batal","Published"},0))),"Status di luar daftar","")))</f>
        <v>#ERROR!</v>
      </c>
      <c r="D257" s="3" t="str">
        <f>IF(C257="","OK","ADA MASALAH")</f>
        <v>#ERROR!</v>
      </c>
    </row>
    <row r="258">
      <c r="A258" s="5">
        <v>258.0</v>
      </c>
      <c r="B258" s="3" t="str">
        <f>'PC 07'!A258</f>
        <v/>
      </c>
      <c r="C258" s="3" t="str">
        <f>IF(COUNTA('PC 07'!A258:L258)=0,"",TEXTJOIN(" | ",TRUE,IF('PC 07'!A258="","Worker ID kosong",""),IF('PC 07'!B258="","Update Date kosong",IF(NOT(ISNUMBER('PC 07'!B258)),"Update Date harus tanggal","")),IF('PC 07'!D258="","Judul kosong",""),IF('PC 07'!F258="","Genre kosong",IF(ISERROR(MATCH(TRIM('PC 07'!F258),{"Pop","Rock","Dangdut","K-Pop","Electronic","Nasional","Daerah"},0)),"Genre di luar daftar","")),IF('PC 07'!G258="","Nama Channel kosong",""),IF('PC 07'!H258="","Link kosong",IF(ISERROR(FIND("youtu",LOWER('PC 07'!H258))),"Link bukan youtube","")),IF('PC 07'!I258="","Tgl Dibuat kosong",IF(NOT(ISNUMBER('PC 07'!I258)),"Tgl Dibuat harus tanggal","")),IF(AND('PC 07'!J258&lt;&gt;"",NOT(ISNUMBER('PC 07'!J258))),"Tgl Publish harus tanggal",""),IF(AND(ISNUMBER('PC 07'!I258),ISNUMBER('PC 07'!J258),'PC 07'!J258&lt;'PC 07'!I258),"Tgl Publish &lt; Tgl Dibuat",""),IF(AND('PC 07'!K258&lt;&gt;"",ISERROR(MATCH(TRIM('PC 07'!K258),{"Draft","Menunggu Review","Revisi","Terjadwal","Publish","Batal","Published"},0))),"Status di luar daftar","")))</f>
        <v>#ERROR!</v>
      </c>
      <c r="D258" s="3" t="str">
        <f>IF(C258="","OK","ADA MASALAH")</f>
        <v>#ERROR!</v>
      </c>
    </row>
    <row r="259">
      <c r="A259" s="5">
        <v>259.0</v>
      </c>
      <c r="B259" s="3" t="str">
        <f>'PC 07'!A259</f>
        <v/>
      </c>
      <c r="C259" s="3" t="str">
        <f>IF(COUNTA('PC 07'!A259:L259)=0,"",TEXTJOIN(" | ",TRUE,IF('PC 07'!A259="","Worker ID kosong",""),IF('PC 07'!B259="","Update Date kosong",IF(NOT(ISNUMBER('PC 07'!B259)),"Update Date harus tanggal","")),IF('PC 07'!D259="","Judul kosong",""),IF('PC 07'!F259="","Genre kosong",IF(ISERROR(MATCH(TRIM('PC 07'!F259),{"Pop","Rock","Dangdut","K-Pop","Electronic","Nasional","Daerah"},0)),"Genre di luar daftar","")),IF('PC 07'!G259="","Nama Channel kosong",""),IF('PC 07'!H259="","Link kosong",IF(ISERROR(FIND("youtu",LOWER('PC 07'!H259))),"Link bukan youtube","")),IF('PC 07'!I259="","Tgl Dibuat kosong",IF(NOT(ISNUMBER('PC 07'!I259)),"Tgl Dibuat harus tanggal","")),IF(AND('PC 07'!J259&lt;&gt;"",NOT(ISNUMBER('PC 07'!J259))),"Tgl Publish harus tanggal",""),IF(AND(ISNUMBER('PC 07'!I259),ISNUMBER('PC 07'!J259),'PC 07'!J259&lt;'PC 07'!I259),"Tgl Publish &lt; Tgl Dibuat",""),IF(AND('PC 07'!K259&lt;&gt;"",ISERROR(MATCH(TRIM('PC 07'!K259),{"Draft","Menunggu Review","Revisi","Terjadwal","Publish","Batal","Published"},0))),"Status di luar daftar","")))</f>
        <v>#ERROR!</v>
      </c>
      <c r="D259" s="3" t="str">
        <f>IF(C259="","OK","ADA MASALAH")</f>
        <v>#ERROR!</v>
      </c>
    </row>
    <row r="260">
      <c r="A260" s="5">
        <v>260.0</v>
      </c>
      <c r="B260" s="3" t="str">
        <f>'PC 07'!A260</f>
        <v/>
      </c>
      <c r="C260" s="3" t="str">
        <f>IF(COUNTA('PC 07'!A260:L260)=0,"",TEXTJOIN(" | ",TRUE,IF('PC 07'!A260="","Worker ID kosong",""),IF('PC 07'!B260="","Update Date kosong",IF(NOT(ISNUMBER('PC 07'!B260)),"Update Date harus tanggal","")),IF('PC 07'!D260="","Judul kosong",""),IF('PC 07'!F260="","Genre kosong",IF(ISERROR(MATCH(TRIM('PC 07'!F260),{"Pop","Rock","Dangdut","K-Pop","Electronic","Nasional","Daerah"},0)),"Genre di luar daftar","")),IF('PC 07'!G260="","Nama Channel kosong",""),IF('PC 07'!H260="","Link kosong",IF(ISERROR(FIND("youtu",LOWER('PC 07'!H260))),"Link bukan youtube","")),IF('PC 07'!I260="","Tgl Dibuat kosong",IF(NOT(ISNUMBER('PC 07'!I260)),"Tgl Dibuat harus tanggal","")),IF(AND('PC 07'!J260&lt;&gt;"",NOT(ISNUMBER('PC 07'!J260))),"Tgl Publish harus tanggal",""),IF(AND(ISNUMBER('PC 07'!I260),ISNUMBER('PC 07'!J260),'PC 07'!J260&lt;'PC 07'!I260),"Tgl Publish &lt; Tgl Dibuat",""),IF(AND('PC 07'!K260&lt;&gt;"",ISERROR(MATCH(TRIM('PC 07'!K260),{"Draft","Menunggu Review","Revisi","Terjadwal","Publish","Batal","Published"},0))),"Status di luar daftar","")))</f>
        <v>#ERROR!</v>
      </c>
      <c r="D260" s="3" t="str">
        <f>IF(C260="","OK","ADA MASALAH")</f>
        <v>#ERROR!</v>
      </c>
    </row>
    <row r="261">
      <c r="A261" s="5">
        <v>261.0</v>
      </c>
      <c r="B261" s="3" t="str">
        <f>'PC 07'!A261</f>
        <v/>
      </c>
      <c r="C261" s="3" t="str">
        <f>IF(COUNTA('PC 07'!A261:L261)=0,"",TEXTJOIN(" | ",TRUE,IF('PC 07'!A261="","Worker ID kosong",""),IF('PC 07'!B261="","Update Date kosong",IF(NOT(ISNUMBER('PC 07'!B261)),"Update Date harus tanggal","")),IF('PC 07'!D261="","Judul kosong",""),IF('PC 07'!F261="","Genre kosong",IF(ISERROR(MATCH(TRIM('PC 07'!F261),{"Pop","Rock","Dangdut","K-Pop","Electronic","Nasional","Daerah"},0)),"Genre di luar daftar","")),IF('PC 07'!G261="","Nama Channel kosong",""),IF('PC 07'!H261="","Link kosong",IF(ISERROR(FIND("youtu",LOWER('PC 07'!H261))),"Link bukan youtube","")),IF('PC 07'!I261="","Tgl Dibuat kosong",IF(NOT(ISNUMBER('PC 07'!I261)),"Tgl Dibuat harus tanggal","")),IF(AND('PC 07'!J261&lt;&gt;"",NOT(ISNUMBER('PC 07'!J261))),"Tgl Publish harus tanggal",""),IF(AND(ISNUMBER('PC 07'!I261),ISNUMBER('PC 07'!J261),'PC 07'!J261&lt;'PC 07'!I261),"Tgl Publish &lt; Tgl Dibuat",""),IF(AND('PC 07'!K261&lt;&gt;"",ISERROR(MATCH(TRIM('PC 07'!K261),{"Draft","Menunggu Review","Revisi","Terjadwal","Publish","Batal","Published"},0))),"Status di luar daftar","")))</f>
        <v>#ERROR!</v>
      </c>
      <c r="D261" s="3" t="str">
        <f>IF(C261="","OK","ADA MASALAH")</f>
        <v>#ERROR!</v>
      </c>
    </row>
    <row r="262">
      <c r="A262" s="5">
        <v>262.0</v>
      </c>
      <c r="B262" s="3" t="str">
        <f>'PC 07'!A262</f>
        <v/>
      </c>
      <c r="C262" s="3" t="str">
        <f>IF(COUNTA('PC 07'!A262:L262)=0,"",TEXTJOIN(" | ",TRUE,IF('PC 07'!A262="","Worker ID kosong",""),IF('PC 07'!B262="","Update Date kosong",IF(NOT(ISNUMBER('PC 07'!B262)),"Update Date harus tanggal","")),IF('PC 07'!D262="","Judul kosong",""),IF('PC 07'!F262="","Genre kosong",IF(ISERROR(MATCH(TRIM('PC 07'!F262),{"Pop","Rock","Dangdut","K-Pop","Electronic","Nasional","Daerah"},0)),"Genre di luar daftar","")),IF('PC 07'!G262="","Nama Channel kosong",""),IF('PC 07'!H262="","Link kosong",IF(ISERROR(FIND("youtu",LOWER('PC 07'!H262))),"Link bukan youtube","")),IF('PC 07'!I262="","Tgl Dibuat kosong",IF(NOT(ISNUMBER('PC 07'!I262)),"Tgl Dibuat harus tanggal","")),IF(AND('PC 07'!J262&lt;&gt;"",NOT(ISNUMBER('PC 07'!J262))),"Tgl Publish harus tanggal",""),IF(AND(ISNUMBER('PC 07'!I262),ISNUMBER('PC 07'!J262),'PC 07'!J262&lt;'PC 07'!I262),"Tgl Publish &lt; Tgl Dibuat",""),IF(AND('PC 07'!K262&lt;&gt;"",ISERROR(MATCH(TRIM('PC 07'!K262),{"Draft","Menunggu Review","Revisi","Terjadwal","Publish","Batal","Published"},0))),"Status di luar daftar","")))</f>
        <v>#ERROR!</v>
      </c>
      <c r="D262" s="3" t="str">
        <f>IF(C262="","OK","ADA MASALAH")</f>
        <v>#ERROR!</v>
      </c>
    </row>
    <row r="263">
      <c r="A263" s="5">
        <v>263.0</v>
      </c>
      <c r="B263" s="3" t="str">
        <f>'PC 07'!A263</f>
        <v/>
      </c>
      <c r="C263" s="3" t="str">
        <f>IF(COUNTA('PC 07'!A263:L263)=0,"",TEXTJOIN(" | ",TRUE,IF('PC 07'!A263="","Worker ID kosong",""),IF('PC 07'!B263="","Update Date kosong",IF(NOT(ISNUMBER('PC 07'!B263)),"Update Date harus tanggal","")),IF('PC 07'!D263="","Judul kosong",""),IF('PC 07'!F263="","Genre kosong",IF(ISERROR(MATCH(TRIM('PC 07'!F263),{"Pop","Rock","Dangdut","K-Pop","Electronic","Nasional","Daerah"},0)),"Genre di luar daftar","")),IF('PC 07'!G263="","Nama Channel kosong",""),IF('PC 07'!H263="","Link kosong",IF(ISERROR(FIND("youtu",LOWER('PC 07'!H263))),"Link bukan youtube","")),IF('PC 07'!I263="","Tgl Dibuat kosong",IF(NOT(ISNUMBER('PC 07'!I263)),"Tgl Dibuat harus tanggal","")),IF(AND('PC 07'!J263&lt;&gt;"",NOT(ISNUMBER('PC 07'!J263))),"Tgl Publish harus tanggal",""),IF(AND(ISNUMBER('PC 07'!I263),ISNUMBER('PC 07'!J263),'PC 07'!J263&lt;'PC 07'!I263),"Tgl Publish &lt; Tgl Dibuat",""),IF(AND('PC 07'!K263&lt;&gt;"",ISERROR(MATCH(TRIM('PC 07'!K263),{"Draft","Menunggu Review","Revisi","Terjadwal","Publish","Batal","Published"},0))),"Status di luar daftar","")))</f>
        <v>#ERROR!</v>
      </c>
      <c r="D263" s="3" t="str">
        <f>IF(C263="","OK","ADA MASALAH")</f>
        <v>#ERROR!</v>
      </c>
    </row>
    <row r="264">
      <c r="A264" s="5">
        <v>264.0</v>
      </c>
      <c r="B264" s="3" t="str">
        <f>'PC 07'!A264</f>
        <v/>
      </c>
      <c r="C264" s="3" t="str">
        <f>IF(COUNTA('PC 07'!A264:L264)=0,"",TEXTJOIN(" | ",TRUE,IF('PC 07'!A264="","Worker ID kosong",""),IF('PC 07'!B264="","Update Date kosong",IF(NOT(ISNUMBER('PC 07'!B264)),"Update Date harus tanggal","")),IF('PC 07'!D264="","Judul kosong",""),IF('PC 07'!F264="","Genre kosong",IF(ISERROR(MATCH(TRIM('PC 07'!F264),{"Pop","Rock","Dangdut","K-Pop","Electronic","Nasional","Daerah"},0)),"Genre di luar daftar","")),IF('PC 07'!G264="","Nama Channel kosong",""),IF('PC 07'!H264="","Link kosong",IF(ISERROR(FIND("youtu",LOWER('PC 07'!H264))),"Link bukan youtube","")),IF('PC 07'!I264="","Tgl Dibuat kosong",IF(NOT(ISNUMBER('PC 07'!I264)),"Tgl Dibuat harus tanggal","")),IF(AND('PC 07'!J264&lt;&gt;"",NOT(ISNUMBER('PC 07'!J264))),"Tgl Publish harus tanggal",""),IF(AND(ISNUMBER('PC 07'!I264),ISNUMBER('PC 07'!J264),'PC 07'!J264&lt;'PC 07'!I264),"Tgl Publish &lt; Tgl Dibuat",""),IF(AND('PC 07'!K264&lt;&gt;"",ISERROR(MATCH(TRIM('PC 07'!K264),{"Draft","Menunggu Review","Revisi","Terjadwal","Publish","Batal","Published"},0))),"Status di luar daftar","")))</f>
        <v>#ERROR!</v>
      </c>
      <c r="D264" s="3" t="str">
        <f>IF(C264="","OK","ADA MASALAH")</f>
        <v>#ERROR!</v>
      </c>
    </row>
    <row r="265">
      <c r="A265" s="5">
        <v>265.0</v>
      </c>
      <c r="B265" s="3" t="str">
        <f>'PC 07'!A265</f>
        <v/>
      </c>
      <c r="C265" s="3" t="str">
        <f>IF(COUNTA('PC 07'!A265:L265)=0,"",TEXTJOIN(" | ",TRUE,IF('PC 07'!A265="","Worker ID kosong",""),IF('PC 07'!B265="","Update Date kosong",IF(NOT(ISNUMBER('PC 07'!B265)),"Update Date harus tanggal","")),IF('PC 07'!D265="","Judul kosong",""),IF('PC 07'!F265="","Genre kosong",IF(ISERROR(MATCH(TRIM('PC 07'!F265),{"Pop","Rock","Dangdut","K-Pop","Electronic","Nasional","Daerah"},0)),"Genre di luar daftar","")),IF('PC 07'!G265="","Nama Channel kosong",""),IF('PC 07'!H265="","Link kosong",IF(ISERROR(FIND("youtu",LOWER('PC 07'!H265))),"Link bukan youtube","")),IF('PC 07'!I265="","Tgl Dibuat kosong",IF(NOT(ISNUMBER('PC 07'!I265)),"Tgl Dibuat harus tanggal","")),IF(AND('PC 07'!J265&lt;&gt;"",NOT(ISNUMBER('PC 07'!J265))),"Tgl Publish harus tanggal",""),IF(AND(ISNUMBER('PC 07'!I265),ISNUMBER('PC 07'!J265),'PC 07'!J265&lt;'PC 07'!I265),"Tgl Publish &lt; Tgl Dibuat",""),IF(AND('PC 07'!K265&lt;&gt;"",ISERROR(MATCH(TRIM('PC 07'!K265),{"Draft","Menunggu Review","Revisi","Terjadwal","Publish","Batal","Published"},0))),"Status di luar daftar","")))</f>
        <v>#ERROR!</v>
      </c>
      <c r="D265" s="3" t="str">
        <f>IF(C265="","OK","ADA MASALAH")</f>
        <v>#ERROR!</v>
      </c>
    </row>
    <row r="266">
      <c r="A266" s="5">
        <v>266.0</v>
      </c>
      <c r="B266" s="3" t="str">
        <f>'PC 07'!A266</f>
        <v/>
      </c>
      <c r="C266" s="3" t="str">
        <f>IF(COUNTA('PC 07'!A266:L266)=0,"",TEXTJOIN(" | ",TRUE,IF('PC 07'!A266="","Worker ID kosong",""),IF('PC 07'!B266="","Update Date kosong",IF(NOT(ISNUMBER('PC 07'!B266)),"Update Date harus tanggal","")),IF('PC 07'!D266="","Judul kosong",""),IF('PC 07'!F266="","Genre kosong",IF(ISERROR(MATCH(TRIM('PC 07'!F266),{"Pop","Rock","Dangdut","K-Pop","Electronic","Nasional","Daerah"},0)),"Genre di luar daftar","")),IF('PC 07'!G266="","Nama Channel kosong",""),IF('PC 07'!H266="","Link kosong",IF(ISERROR(FIND("youtu",LOWER('PC 07'!H266))),"Link bukan youtube","")),IF('PC 07'!I266="","Tgl Dibuat kosong",IF(NOT(ISNUMBER('PC 07'!I266)),"Tgl Dibuat harus tanggal","")),IF(AND('PC 07'!J266&lt;&gt;"",NOT(ISNUMBER('PC 07'!J266))),"Tgl Publish harus tanggal",""),IF(AND(ISNUMBER('PC 07'!I266),ISNUMBER('PC 07'!J266),'PC 07'!J266&lt;'PC 07'!I266),"Tgl Publish &lt; Tgl Dibuat",""),IF(AND('PC 07'!K266&lt;&gt;"",ISERROR(MATCH(TRIM('PC 07'!K266),{"Draft","Menunggu Review","Revisi","Terjadwal","Publish","Batal","Published"},0))),"Status di luar daftar","")))</f>
        <v>#ERROR!</v>
      </c>
      <c r="D266" s="3" t="str">
        <f>IF(C266="","OK","ADA MASALAH")</f>
        <v>#ERROR!</v>
      </c>
    </row>
    <row r="267">
      <c r="A267" s="5">
        <v>267.0</v>
      </c>
      <c r="B267" s="3" t="str">
        <f>'PC 07'!A267</f>
        <v/>
      </c>
      <c r="C267" s="3" t="str">
        <f>IF(COUNTA('PC 07'!A267:L267)=0,"",TEXTJOIN(" | ",TRUE,IF('PC 07'!A267="","Worker ID kosong",""),IF('PC 07'!B267="","Update Date kosong",IF(NOT(ISNUMBER('PC 07'!B267)),"Update Date harus tanggal","")),IF('PC 07'!D267="","Judul kosong",""),IF('PC 07'!F267="","Genre kosong",IF(ISERROR(MATCH(TRIM('PC 07'!F267),{"Pop","Rock","Dangdut","K-Pop","Electronic","Nasional","Daerah"},0)),"Genre di luar daftar","")),IF('PC 07'!G267="","Nama Channel kosong",""),IF('PC 07'!H267="","Link kosong",IF(ISERROR(FIND("youtu",LOWER('PC 07'!H267))),"Link bukan youtube","")),IF('PC 07'!I267="","Tgl Dibuat kosong",IF(NOT(ISNUMBER('PC 07'!I267)),"Tgl Dibuat harus tanggal","")),IF(AND('PC 07'!J267&lt;&gt;"",NOT(ISNUMBER('PC 07'!J267))),"Tgl Publish harus tanggal",""),IF(AND(ISNUMBER('PC 07'!I267),ISNUMBER('PC 07'!J267),'PC 07'!J267&lt;'PC 07'!I267),"Tgl Publish &lt; Tgl Dibuat",""),IF(AND('PC 07'!K267&lt;&gt;"",ISERROR(MATCH(TRIM('PC 07'!K267),{"Draft","Menunggu Review","Revisi","Terjadwal","Publish","Batal","Published"},0))),"Status di luar daftar","")))</f>
        <v>#ERROR!</v>
      </c>
      <c r="D267" s="3" t="str">
        <f>IF(C267="","OK","ADA MASALAH")</f>
        <v>#ERROR!</v>
      </c>
    </row>
    <row r="268">
      <c r="A268" s="5">
        <v>268.0</v>
      </c>
      <c r="B268" s="3" t="str">
        <f>'PC 07'!A268</f>
        <v/>
      </c>
      <c r="C268" s="3" t="str">
        <f>IF(COUNTA('PC 07'!A268:L268)=0,"",TEXTJOIN(" | ",TRUE,IF('PC 07'!A268="","Worker ID kosong",""),IF('PC 07'!B268="","Update Date kosong",IF(NOT(ISNUMBER('PC 07'!B268)),"Update Date harus tanggal","")),IF('PC 07'!D268="","Judul kosong",""),IF('PC 07'!F268="","Genre kosong",IF(ISERROR(MATCH(TRIM('PC 07'!F268),{"Pop","Rock","Dangdut","K-Pop","Electronic","Nasional","Daerah"},0)),"Genre di luar daftar","")),IF('PC 07'!G268="","Nama Channel kosong",""),IF('PC 07'!H268="","Link kosong",IF(ISERROR(FIND("youtu",LOWER('PC 07'!H268))),"Link bukan youtube","")),IF('PC 07'!I268="","Tgl Dibuat kosong",IF(NOT(ISNUMBER('PC 07'!I268)),"Tgl Dibuat harus tanggal","")),IF(AND('PC 07'!J268&lt;&gt;"",NOT(ISNUMBER('PC 07'!J268))),"Tgl Publish harus tanggal",""),IF(AND(ISNUMBER('PC 07'!I268),ISNUMBER('PC 07'!J268),'PC 07'!J268&lt;'PC 07'!I268),"Tgl Publish &lt; Tgl Dibuat",""),IF(AND('PC 07'!K268&lt;&gt;"",ISERROR(MATCH(TRIM('PC 07'!K268),{"Draft","Menunggu Review","Revisi","Terjadwal","Publish","Batal","Published"},0))),"Status di luar daftar","")))</f>
        <v>#ERROR!</v>
      </c>
      <c r="D268" s="3" t="str">
        <f>IF(C268="","OK","ADA MASALAH")</f>
        <v>#ERROR!</v>
      </c>
    </row>
    <row r="269">
      <c r="A269" s="5">
        <v>269.0</v>
      </c>
      <c r="B269" s="3" t="str">
        <f>'PC 07'!A269</f>
        <v/>
      </c>
      <c r="C269" s="3" t="str">
        <f>IF(COUNTA('PC 07'!A269:L269)=0,"",TEXTJOIN(" | ",TRUE,IF('PC 07'!A269="","Worker ID kosong",""),IF('PC 07'!B269="","Update Date kosong",IF(NOT(ISNUMBER('PC 07'!B269)),"Update Date harus tanggal","")),IF('PC 07'!D269="","Judul kosong",""),IF('PC 07'!F269="","Genre kosong",IF(ISERROR(MATCH(TRIM('PC 07'!F269),{"Pop","Rock","Dangdut","K-Pop","Electronic","Nasional","Daerah"},0)),"Genre di luar daftar","")),IF('PC 07'!G269="","Nama Channel kosong",""),IF('PC 07'!H269="","Link kosong",IF(ISERROR(FIND("youtu",LOWER('PC 07'!H269))),"Link bukan youtube","")),IF('PC 07'!I269="","Tgl Dibuat kosong",IF(NOT(ISNUMBER('PC 07'!I269)),"Tgl Dibuat harus tanggal","")),IF(AND('PC 07'!J269&lt;&gt;"",NOT(ISNUMBER('PC 07'!J269))),"Tgl Publish harus tanggal",""),IF(AND(ISNUMBER('PC 07'!I269),ISNUMBER('PC 07'!J269),'PC 07'!J269&lt;'PC 07'!I269),"Tgl Publish &lt; Tgl Dibuat",""),IF(AND('PC 07'!K269&lt;&gt;"",ISERROR(MATCH(TRIM('PC 07'!K269),{"Draft","Menunggu Review","Revisi","Terjadwal","Publish","Batal","Published"},0))),"Status di luar daftar","")))</f>
        <v>#ERROR!</v>
      </c>
      <c r="D269" s="3" t="str">
        <f>IF(C269="","OK","ADA MASALAH")</f>
        <v>#ERROR!</v>
      </c>
    </row>
    <row r="270">
      <c r="A270" s="5">
        <v>270.0</v>
      </c>
      <c r="B270" s="3" t="str">
        <f>'PC 07'!A270</f>
        <v/>
      </c>
      <c r="C270" s="3" t="str">
        <f>IF(COUNTA('PC 07'!A270:L270)=0,"",TEXTJOIN(" | ",TRUE,IF('PC 07'!A270="","Worker ID kosong",""),IF('PC 07'!B270="","Update Date kosong",IF(NOT(ISNUMBER('PC 07'!B270)),"Update Date harus tanggal","")),IF('PC 07'!D270="","Judul kosong",""),IF('PC 07'!F270="","Genre kosong",IF(ISERROR(MATCH(TRIM('PC 07'!F270),{"Pop","Rock","Dangdut","K-Pop","Electronic","Nasional","Daerah"},0)),"Genre di luar daftar","")),IF('PC 07'!G270="","Nama Channel kosong",""),IF('PC 07'!H270="","Link kosong",IF(ISERROR(FIND("youtu",LOWER('PC 07'!H270))),"Link bukan youtube","")),IF('PC 07'!I270="","Tgl Dibuat kosong",IF(NOT(ISNUMBER('PC 07'!I270)),"Tgl Dibuat harus tanggal","")),IF(AND('PC 07'!J270&lt;&gt;"",NOT(ISNUMBER('PC 07'!J270))),"Tgl Publish harus tanggal",""),IF(AND(ISNUMBER('PC 07'!I270),ISNUMBER('PC 07'!J270),'PC 07'!J270&lt;'PC 07'!I270),"Tgl Publish &lt; Tgl Dibuat",""),IF(AND('PC 07'!K270&lt;&gt;"",ISERROR(MATCH(TRIM('PC 07'!K270),{"Draft","Menunggu Review","Revisi","Terjadwal","Publish","Batal","Published"},0))),"Status di luar daftar","")))</f>
        <v>#ERROR!</v>
      </c>
      <c r="D270" s="3" t="str">
        <f>IF(C270="","OK","ADA MASALAH")</f>
        <v>#ERROR!</v>
      </c>
    </row>
    <row r="271">
      <c r="A271" s="5">
        <v>271.0</v>
      </c>
      <c r="B271" s="3" t="str">
        <f>'PC 07'!A271</f>
        <v/>
      </c>
      <c r="C271" s="3" t="str">
        <f>IF(COUNTA('PC 07'!A271:L271)=0,"",TEXTJOIN(" | ",TRUE,IF('PC 07'!A271="","Worker ID kosong",""),IF('PC 07'!B271="","Update Date kosong",IF(NOT(ISNUMBER('PC 07'!B271)),"Update Date harus tanggal","")),IF('PC 07'!D271="","Judul kosong",""),IF('PC 07'!F271="","Genre kosong",IF(ISERROR(MATCH(TRIM('PC 07'!F271),{"Pop","Rock","Dangdut","K-Pop","Electronic","Nasional","Daerah"},0)),"Genre di luar daftar","")),IF('PC 07'!G271="","Nama Channel kosong",""),IF('PC 07'!H271="","Link kosong",IF(ISERROR(FIND("youtu",LOWER('PC 07'!H271))),"Link bukan youtube","")),IF('PC 07'!I271="","Tgl Dibuat kosong",IF(NOT(ISNUMBER('PC 07'!I271)),"Tgl Dibuat harus tanggal","")),IF(AND('PC 07'!J271&lt;&gt;"",NOT(ISNUMBER('PC 07'!J271))),"Tgl Publish harus tanggal",""),IF(AND(ISNUMBER('PC 07'!I271),ISNUMBER('PC 07'!J271),'PC 07'!J271&lt;'PC 07'!I271),"Tgl Publish &lt; Tgl Dibuat",""),IF(AND('PC 07'!K271&lt;&gt;"",ISERROR(MATCH(TRIM('PC 07'!K271),{"Draft","Menunggu Review","Revisi","Terjadwal","Publish","Batal","Published"},0))),"Status di luar daftar","")))</f>
        <v>#ERROR!</v>
      </c>
      <c r="D271" s="3" t="str">
        <f>IF(C271="","OK","ADA MASALAH")</f>
        <v>#ERROR!</v>
      </c>
    </row>
    <row r="272">
      <c r="A272" s="5">
        <v>272.0</v>
      </c>
      <c r="B272" s="3" t="str">
        <f>'PC 07'!A272</f>
        <v/>
      </c>
      <c r="C272" s="3" t="str">
        <f>IF(COUNTA('PC 07'!A272:L272)=0,"",TEXTJOIN(" | ",TRUE,IF('PC 07'!A272="","Worker ID kosong",""),IF('PC 07'!B272="","Update Date kosong",IF(NOT(ISNUMBER('PC 07'!B272)),"Update Date harus tanggal","")),IF('PC 07'!D272="","Judul kosong",""),IF('PC 07'!F272="","Genre kosong",IF(ISERROR(MATCH(TRIM('PC 07'!F272),{"Pop","Rock","Dangdut","K-Pop","Electronic","Nasional","Daerah"},0)),"Genre di luar daftar","")),IF('PC 07'!G272="","Nama Channel kosong",""),IF('PC 07'!H272="","Link kosong",IF(ISERROR(FIND("youtu",LOWER('PC 07'!H272))),"Link bukan youtube","")),IF('PC 07'!I272="","Tgl Dibuat kosong",IF(NOT(ISNUMBER('PC 07'!I272)),"Tgl Dibuat harus tanggal","")),IF(AND('PC 07'!J272&lt;&gt;"",NOT(ISNUMBER('PC 07'!J272))),"Tgl Publish harus tanggal",""),IF(AND(ISNUMBER('PC 07'!I272),ISNUMBER('PC 07'!J272),'PC 07'!J272&lt;'PC 07'!I272),"Tgl Publish &lt; Tgl Dibuat",""),IF(AND('PC 07'!K272&lt;&gt;"",ISERROR(MATCH(TRIM('PC 07'!K272),{"Draft","Menunggu Review","Revisi","Terjadwal","Publish","Batal","Published"},0))),"Status di luar daftar","")))</f>
        <v>#ERROR!</v>
      </c>
      <c r="D272" s="3" t="str">
        <f>IF(C272="","OK","ADA MASALAH")</f>
        <v>#ERROR!</v>
      </c>
    </row>
    <row r="273">
      <c r="A273" s="5">
        <v>273.0</v>
      </c>
      <c r="B273" s="3" t="str">
        <f>'PC 07'!A273</f>
        <v/>
      </c>
      <c r="C273" s="3" t="str">
        <f>IF(COUNTA('PC 07'!A273:L273)=0,"",TEXTJOIN(" | ",TRUE,IF('PC 07'!A273="","Worker ID kosong",""),IF('PC 07'!B273="","Update Date kosong",IF(NOT(ISNUMBER('PC 07'!B273)),"Update Date harus tanggal","")),IF('PC 07'!D273="","Judul kosong",""),IF('PC 07'!F273="","Genre kosong",IF(ISERROR(MATCH(TRIM('PC 07'!F273),{"Pop","Rock","Dangdut","K-Pop","Electronic","Nasional","Daerah"},0)),"Genre di luar daftar","")),IF('PC 07'!G273="","Nama Channel kosong",""),IF('PC 07'!H273="","Link kosong",IF(ISERROR(FIND("youtu",LOWER('PC 07'!H273))),"Link bukan youtube","")),IF('PC 07'!I273="","Tgl Dibuat kosong",IF(NOT(ISNUMBER('PC 07'!I273)),"Tgl Dibuat harus tanggal","")),IF(AND('PC 07'!J273&lt;&gt;"",NOT(ISNUMBER('PC 07'!J273))),"Tgl Publish harus tanggal",""),IF(AND(ISNUMBER('PC 07'!I273),ISNUMBER('PC 07'!J273),'PC 07'!J273&lt;'PC 07'!I273),"Tgl Publish &lt; Tgl Dibuat",""),IF(AND('PC 07'!K273&lt;&gt;"",ISERROR(MATCH(TRIM('PC 07'!K273),{"Draft","Menunggu Review","Revisi","Terjadwal","Publish","Batal","Published"},0))),"Status di luar daftar","")))</f>
        <v>#ERROR!</v>
      </c>
      <c r="D273" s="3" t="str">
        <f>IF(C273="","OK","ADA MASALAH")</f>
        <v>#ERROR!</v>
      </c>
    </row>
    <row r="274">
      <c r="A274" s="5">
        <v>274.0</v>
      </c>
      <c r="B274" s="3" t="str">
        <f>'PC 07'!A274</f>
        <v/>
      </c>
      <c r="C274" s="3" t="str">
        <f>IF(COUNTA('PC 07'!A274:L274)=0,"",TEXTJOIN(" | ",TRUE,IF('PC 07'!A274="","Worker ID kosong",""),IF('PC 07'!B274="","Update Date kosong",IF(NOT(ISNUMBER('PC 07'!B274)),"Update Date harus tanggal","")),IF('PC 07'!D274="","Judul kosong",""),IF('PC 07'!F274="","Genre kosong",IF(ISERROR(MATCH(TRIM('PC 07'!F274),{"Pop","Rock","Dangdut","K-Pop","Electronic","Nasional","Daerah"},0)),"Genre di luar daftar","")),IF('PC 07'!G274="","Nama Channel kosong",""),IF('PC 07'!H274="","Link kosong",IF(ISERROR(FIND("youtu",LOWER('PC 07'!H274))),"Link bukan youtube","")),IF('PC 07'!I274="","Tgl Dibuat kosong",IF(NOT(ISNUMBER('PC 07'!I274)),"Tgl Dibuat harus tanggal","")),IF(AND('PC 07'!J274&lt;&gt;"",NOT(ISNUMBER('PC 07'!J274))),"Tgl Publish harus tanggal",""),IF(AND(ISNUMBER('PC 07'!I274),ISNUMBER('PC 07'!J274),'PC 07'!J274&lt;'PC 07'!I274),"Tgl Publish &lt; Tgl Dibuat",""),IF(AND('PC 07'!K274&lt;&gt;"",ISERROR(MATCH(TRIM('PC 07'!K274),{"Draft","Menunggu Review","Revisi","Terjadwal","Publish","Batal","Published"},0))),"Status di luar daftar","")))</f>
        <v>#ERROR!</v>
      </c>
      <c r="D274" s="3" t="str">
        <f>IF(C274="","OK","ADA MASALAH")</f>
        <v>#ERROR!</v>
      </c>
    </row>
    <row r="275">
      <c r="A275" s="5">
        <v>275.0</v>
      </c>
      <c r="B275" s="3" t="str">
        <f>'PC 07'!A275</f>
        <v/>
      </c>
      <c r="C275" s="3" t="str">
        <f>IF(COUNTA('PC 07'!A275:L275)=0,"",TEXTJOIN(" | ",TRUE,IF('PC 07'!A275="","Worker ID kosong",""),IF('PC 07'!B275="","Update Date kosong",IF(NOT(ISNUMBER('PC 07'!B275)),"Update Date harus tanggal","")),IF('PC 07'!D275="","Judul kosong",""),IF('PC 07'!F275="","Genre kosong",IF(ISERROR(MATCH(TRIM('PC 07'!F275),{"Pop","Rock","Dangdut","K-Pop","Electronic","Nasional","Daerah"},0)),"Genre di luar daftar","")),IF('PC 07'!G275="","Nama Channel kosong",""),IF('PC 07'!H275="","Link kosong",IF(ISERROR(FIND("youtu",LOWER('PC 07'!H275))),"Link bukan youtube","")),IF('PC 07'!I275="","Tgl Dibuat kosong",IF(NOT(ISNUMBER('PC 07'!I275)),"Tgl Dibuat harus tanggal","")),IF(AND('PC 07'!J275&lt;&gt;"",NOT(ISNUMBER('PC 07'!J275))),"Tgl Publish harus tanggal",""),IF(AND(ISNUMBER('PC 07'!I275),ISNUMBER('PC 07'!J275),'PC 07'!J275&lt;'PC 07'!I275),"Tgl Publish &lt; Tgl Dibuat",""),IF(AND('PC 07'!K275&lt;&gt;"",ISERROR(MATCH(TRIM('PC 07'!K275),{"Draft","Menunggu Review","Revisi","Terjadwal","Publish","Batal","Published"},0))),"Status di luar daftar","")))</f>
        <v>#ERROR!</v>
      </c>
      <c r="D275" s="3" t="str">
        <f>IF(C275="","OK","ADA MASALAH")</f>
        <v>#ERROR!</v>
      </c>
    </row>
    <row r="276">
      <c r="A276" s="5">
        <v>276.0</v>
      </c>
      <c r="B276" s="3" t="str">
        <f>'PC 07'!A276</f>
        <v/>
      </c>
      <c r="C276" s="3" t="str">
        <f>IF(COUNTA('PC 07'!A276:L276)=0,"",TEXTJOIN(" | ",TRUE,IF('PC 07'!A276="","Worker ID kosong",""),IF('PC 07'!B276="","Update Date kosong",IF(NOT(ISNUMBER('PC 07'!B276)),"Update Date harus tanggal","")),IF('PC 07'!D276="","Judul kosong",""),IF('PC 07'!F276="","Genre kosong",IF(ISERROR(MATCH(TRIM('PC 07'!F276),{"Pop","Rock","Dangdut","K-Pop","Electronic","Nasional","Daerah"},0)),"Genre di luar daftar","")),IF('PC 07'!G276="","Nama Channel kosong",""),IF('PC 07'!H276="","Link kosong",IF(ISERROR(FIND("youtu",LOWER('PC 07'!H276))),"Link bukan youtube","")),IF('PC 07'!I276="","Tgl Dibuat kosong",IF(NOT(ISNUMBER('PC 07'!I276)),"Tgl Dibuat harus tanggal","")),IF(AND('PC 07'!J276&lt;&gt;"",NOT(ISNUMBER('PC 07'!J276))),"Tgl Publish harus tanggal",""),IF(AND(ISNUMBER('PC 07'!I276),ISNUMBER('PC 07'!J276),'PC 07'!J276&lt;'PC 07'!I276),"Tgl Publish &lt; Tgl Dibuat",""),IF(AND('PC 07'!K276&lt;&gt;"",ISERROR(MATCH(TRIM('PC 07'!K276),{"Draft","Menunggu Review","Revisi","Terjadwal","Publish","Batal","Published"},0))),"Status di luar daftar","")))</f>
        <v>#ERROR!</v>
      </c>
      <c r="D276" s="3" t="str">
        <f>IF(C276="","OK","ADA MASALAH")</f>
        <v>#ERROR!</v>
      </c>
    </row>
    <row r="277">
      <c r="A277" s="5">
        <v>277.0</v>
      </c>
      <c r="B277" s="3" t="str">
        <f>'PC 07'!A277</f>
        <v/>
      </c>
      <c r="C277" s="3" t="str">
        <f>IF(COUNTA('PC 07'!A277:L277)=0,"",TEXTJOIN(" | ",TRUE,IF('PC 07'!A277="","Worker ID kosong",""),IF('PC 07'!B277="","Update Date kosong",IF(NOT(ISNUMBER('PC 07'!B277)),"Update Date harus tanggal","")),IF('PC 07'!D277="","Judul kosong",""),IF('PC 07'!F277="","Genre kosong",IF(ISERROR(MATCH(TRIM('PC 07'!F277),{"Pop","Rock","Dangdut","K-Pop","Electronic","Nasional","Daerah"},0)),"Genre di luar daftar","")),IF('PC 07'!G277="","Nama Channel kosong",""),IF('PC 07'!H277="","Link kosong",IF(ISERROR(FIND("youtu",LOWER('PC 07'!H277))),"Link bukan youtube","")),IF('PC 07'!I277="","Tgl Dibuat kosong",IF(NOT(ISNUMBER('PC 07'!I277)),"Tgl Dibuat harus tanggal","")),IF(AND('PC 07'!J277&lt;&gt;"",NOT(ISNUMBER('PC 07'!J277))),"Tgl Publish harus tanggal",""),IF(AND(ISNUMBER('PC 07'!I277),ISNUMBER('PC 07'!J277),'PC 07'!J277&lt;'PC 07'!I277),"Tgl Publish &lt; Tgl Dibuat",""),IF(AND('PC 07'!K277&lt;&gt;"",ISERROR(MATCH(TRIM('PC 07'!K277),{"Draft","Menunggu Review","Revisi","Terjadwal","Publish","Batal","Published"},0))),"Status di luar daftar","")))</f>
        <v>#ERROR!</v>
      </c>
      <c r="D277" s="3" t="str">
        <f>IF(C277="","OK","ADA MASALAH")</f>
        <v>#ERROR!</v>
      </c>
    </row>
    <row r="278">
      <c r="A278" s="5">
        <v>278.0</v>
      </c>
      <c r="B278" s="3" t="str">
        <f>'PC 07'!A278</f>
        <v/>
      </c>
      <c r="C278" s="3" t="str">
        <f>IF(COUNTA('PC 07'!A278:L278)=0,"",TEXTJOIN(" | ",TRUE,IF('PC 07'!A278="","Worker ID kosong",""),IF('PC 07'!B278="","Update Date kosong",IF(NOT(ISNUMBER('PC 07'!B278)),"Update Date harus tanggal","")),IF('PC 07'!D278="","Judul kosong",""),IF('PC 07'!F278="","Genre kosong",IF(ISERROR(MATCH(TRIM('PC 07'!F278),{"Pop","Rock","Dangdut","K-Pop","Electronic","Nasional","Daerah"},0)),"Genre di luar daftar","")),IF('PC 07'!G278="","Nama Channel kosong",""),IF('PC 07'!H278="","Link kosong",IF(ISERROR(FIND("youtu",LOWER('PC 07'!H278))),"Link bukan youtube","")),IF('PC 07'!I278="","Tgl Dibuat kosong",IF(NOT(ISNUMBER('PC 07'!I278)),"Tgl Dibuat harus tanggal","")),IF(AND('PC 07'!J278&lt;&gt;"",NOT(ISNUMBER('PC 07'!J278))),"Tgl Publish harus tanggal",""),IF(AND(ISNUMBER('PC 07'!I278),ISNUMBER('PC 07'!J278),'PC 07'!J278&lt;'PC 07'!I278),"Tgl Publish &lt; Tgl Dibuat",""),IF(AND('PC 07'!K278&lt;&gt;"",ISERROR(MATCH(TRIM('PC 07'!K278),{"Draft","Menunggu Review","Revisi","Terjadwal","Publish","Batal","Published"},0))),"Status di luar daftar","")))</f>
        <v>#ERROR!</v>
      </c>
      <c r="D278" s="3" t="str">
        <f>IF(C278="","OK","ADA MASALAH")</f>
        <v>#ERROR!</v>
      </c>
    </row>
    <row r="279">
      <c r="A279" s="5">
        <v>279.0</v>
      </c>
      <c r="B279" s="3" t="str">
        <f>'PC 07'!A279</f>
        <v/>
      </c>
      <c r="C279" s="3" t="str">
        <f>IF(COUNTA('PC 07'!A279:L279)=0,"",TEXTJOIN(" | ",TRUE,IF('PC 07'!A279="","Worker ID kosong",""),IF('PC 07'!B279="","Update Date kosong",IF(NOT(ISNUMBER('PC 07'!B279)),"Update Date harus tanggal","")),IF('PC 07'!D279="","Judul kosong",""),IF('PC 07'!F279="","Genre kosong",IF(ISERROR(MATCH(TRIM('PC 07'!F279),{"Pop","Rock","Dangdut","K-Pop","Electronic","Nasional","Daerah"},0)),"Genre di luar daftar","")),IF('PC 07'!G279="","Nama Channel kosong",""),IF('PC 07'!H279="","Link kosong",IF(ISERROR(FIND("youtu",LOWER('PC 07'!H279))),"Link bukan youtube","")),IF('PC 07'!I279="","Tgl Dibuat kosong",IF(NOT(ISNUMBER('PC 07'!I279)),"Tgl Dibuat harus tanggal","")),IF(AND('PC 07'!J279&lt;&gt;"",NOT(ISNUMBER('PC 07'!J279))),"Tgl Publish harus tanggal",""),IF(AND(ISNUMBER('PC 07'!I279),ISNUMBER('PC 07'!J279),'PC 07'!J279&lt;'PC 07'!I279),"Tgl Publish &lt; Tgl Dibuat",""),IF(AND('PC 07'!K279&lt;&gt;"",ISERROR(MATCH(TRIM('PC 07'!K279),{"Draft","Menunggu Review","Revisi","Terjadwal","Publish","Batal","Published"},0))),"Status di luar daftar","")))</f>
        <v>#ERROR!</v>
      </c>
      <c r="D279" s="3" t="str">
        <f>IF(C279="","OK","ADA MASALAH")</f>
        <v>#ERROR!</v>
      </c>
    </row>
    <row r="280">
      <c r="A280" s="5">
        <v>280.0</v>
      </c>
      <c r="B280" s="3" t="str">
        <f>'PC 07'!A280</f>
        <v/>
      </c>
      <c r="C280" s="3" t="str">
        <f>IF(COUNTA('PC 07'!A280:L280)=0,"",TEXTJOIN(" | ",TRUE,IF('PC 07'!A280="","Worker ID kosong",""),IF('PC 07'!B280="","Update Date kosong",IF(NOT(ISNUMBER('PC 07'!B280)),"Update Date harus tanggal","")),IF('PC 07'!D280="","Judul kosong",""),IF('PC 07'!F280="","Genre kosong",IF(ISERROR(MATCH(TRIM('PC 07'!F280),{"Pop","Rock","Dangdut","K-Pop","Electronic","Nasional","Daerah"},0)),"Genre di luar daftar","")),IF('PC 07'!G280="","Nama Channel kosong",""),IF('PC 07'!H280="","Link kosong",IF(ISERROR(FIND("youtu",LOWER('PC 07'!H280))),"Link bukan youtube","")),IF('PC 07'!I280="","Tgl Dibuat kosong",IF(NOT(ISNUMBER('PC 07'!I280)),"Tgl Dibuat harus tanggal","")),IF(AND('PC 07'!J280&lt;&gt;"",NOT(ISNUMBER('PC 07'!J280))),"Tgl Publish harus tanggal",""),IF(AND(ISNUMBER('PC 07'!I280),ISNUMBER('PC 07'!J280),'PC 07'!J280&lt;'PC 07'!I280),"Tgl Publish &lt; Tgl Dibuat",""),IF(AND('PC 07'!K280&lt;&gt;"",ISERROR(MATCH(TRIM('PC 07'!K280),{"Draft","Menunggu Review","Revisi","Terjadwal","Publish","Batal","Published"},0))),"Status di luar daftar","")))</f>
        <v>#ERROR!</v>
      </c>
      <c r="D280" s="3" t="str">
        <f>IF(C280="","OK","ADA MASALAH")</f>
        <v>#ERROR!</v>
      </c>
    </row>
    <row r="281">
      <c r="A281" s="5">
        <v>281.0</v>
      </c>
      <c r="B281" s="3" t="str">
        <f>'PC 07'!A281</f>
        <v/>
      </c>
      <c r="C281" s="3" t="str">
        <f>IF(COUNTA('PC 07'!A281:L281)=0,"",TEXTJOIN(" | ",TRUE,IF('PC 07'!A281="","Worker ID kosong",""),IF('PC 07'!B281="","Update Date kosong",IF(NOT(ISNUMBER('PC 07'!B281)),"Update Date harus tanggal","")),IF('PC 07'!D281="","Judul kosong",""),IF('PC 07'!F281="","Genre kosong",IF(ISERROR(MATCH(TRIM('PC 07'!F281),{"Pop","Rock","Dangdut","K-Pop","Electronic","Nasional","Daerah"},0)),"Genre di luar daftar","")),IF('PC 07'!G281="","Nama Channel kosong",""),IF('PC 07'!H281="","Link kosong",IF(ISERROR(FIND("youtu",LOWER('PC 07'!H281))),"Link bukan youtube","")),IF('PC 07'!I281="","Tgl Dibuat kosong",IF(NOT(ISNUMBER('PC 07'!I281)),"Tgl Dibuat harus tanggal","")),IF(AND('PC 07'!J281&lt;&gt;"",NOT(ISNUMBER('PC 07'!J281))),"Tgl Publish harus tanggal",""),IF(AND(ISNUMBER('PC 07'!I281),ISNUMBER('PC 07'!J281),'PC 07'!J281&lt;'PC 07'!I281),"Tgl Publish &lt; Tgl Dibuat",""),IF(AND('PC 07'!K281&lt;&gt;"",ISERROR(MATCH(TRIM('PC 07'!K281),{"Draft","Menunggu Review","Revisi","Terjadwal","Publish","Batal","Published"},0))),"Status di luar daftar","")))</f>
        <v>#ERROR!</v>
      </c>
      <c r="D281" s="3" t="str">
        <f>IF(C281="","OK","ADA MASALAH")</f>
        <v>#ERROR!</v>
      </c>
    </row>
    <row r="282">
      <c r="A282" s="5">
        <v>282.0</v>
      </c>
      <c r="B282" s="3" t="str">
        <f>'PC 07'!A282</f>
        <v/>
      </c>
      <c r="C282" s="3" t="str">
        <f>IF(COUNTA('PC 07'!A282:L282)=0,"",TEXTJOIN(" | ",TRUE,IF('PC 07'!A282="","Worker ID kosong",""),IF('PC 07'!B282="","Update Date kosong",IF(NOT(ISNUMBER('PC 07'!B282)),"Update Date harus tanggal","")),IF('PC 07'!D282="","Judul kosong",""),IF('PC 07'!F282="","Genre kosong",IF(ISERROR(MATCH(TRIM('PC 07'!F282),{"Pop","Rock","Dangdut","K-Pop","Electronic","Nasional","Daerah"},0)),"Genre di luar daftar","")),IF('PC 07'!G282="","Nama Channel kosong",""),IF('PC 07'!H282="","Link kosong",IF(ISERROR(FIND("youtu",LOWER('PC 07'!H282))),"Link bukan youtube","")),IF('PC 07'!I282="","Tgl Dibuat kosong",IF(NOT(ISNUMBER('PC 07'!I282)),"Tgl Dibuat harus tanggal","")),IF(AND('PC 07'!J282&lt;&gt;"",NOT(ISNUMBER('PC 07'!J282))),"Tgl Publish harus tanggal",""),IF(AND(ISNUMBER('PC 07'!I282),ISNUMBER('PC 07'!J282),'PC 07'!J282&lt;'PC 07'!I282),"Tgl Publish &lt; Tgl Dibuat",""),IF(AND('PC 07'!K282&lt;&gt;"",ISERROR(MATCH(TRIM('PC 07'!K282),{"Draft","Menunggu Review","Revisi","Terjadwal","Publish","Batal","Published"},0))),"Status di luar daftar","")))</f>
        <v>#ERROR!</v>
      </c>
      <c r="D282" s="3" t="str">
        <f>IF(C282="","OK","ADA MASALAH")</f>
        <v>#ERROR!</v>
      </c>
    </row>
    <row r="283">
      <c r="A283" s="5">
        <v>283.0</v>
      </c>
      <c r="B283" s="3" t="str">
        <f>'PC 07'!A283</f>
        <v/>
      </c>
      <c r="C283" s="3" t="str">
        <f>IF(COUNTA('PC 07'!A283:L283)=0,"",TEXTJOIN(" | ",TRUE,IF('PC 07'!A283="","Worker ID kosong",""),IF('PC 07'!B283="","Update Date kosong",IF(NOT(ISNUMBER('PC 07'!B283)),"Update Date harus tanggal","")),IF('PC 07'!D283="","Judul kosong",""),IF('PC 07'!F283="","Genre kosong",IF(ISERROR(MATCH(TRIM('PC 07'!F283),{"Pop","Rock","Dangdut","K-Pop","Electronic","Nasional","Daerah"},0)),"Genre di luar daftar","")),IF('PC 07'!G283="","Nama Channel kosong",""),IF('PC 07'!H283="","Link kosong",IF(ISERROR(FIND("youtu",LOWER('PC 07'!H283))),"Link bukan youtube","")),IF('PC 07'!I283="","Tgl Dibuat kosong",IF(NOT(ISNUMBER('PC 07'!I283)),"Tgl Dibuat harus tanggal","")),IF(AND('PC 07'!J283&lt;&gt;"",NOT(ISNUMBER('PC 07'!J283))),"Tgl Publish harus tanggal",""),IF(AND(ISNUMBER('PC 07'!I283),ISNUMBER('PC 07'!J283),'PC 07'!J283&lt;'PC 07'!I283),"Tgl Publish &lt; Tgl Dibuat",""),IF(AND('PC 07'!K283&lt;&gt;"",ISERROR(MATCH(TRIM('PC 07'!K283),{"Draft","Menunggu Review","Revisi","Terjadwal","Publish","Batal","Published"},0))),"Status di luar daftar","")))</f>
        <v>#ERROR!</v>
      </c>
      <c r="D283" s="3" t="str">
        <f>IF(C283="","OK","ADA MASALAH")</f>
        <v>#ERROR!</v>
      </c>
    </row>
    <row r="284">
      <c r="A284" s="5">
        <v>284.0</v>
      </c>
      <c r="B284" s="3" t="str">
        <f>'PC 07'!A284</f>
        <v/>
      </c>
      <c r="C284" s="3" t="str">
        <f>IF(COUNTA('PC 07'!A284:L284)=0,"",TEXTJOIN(" | ",TRUE,IF('PC 07'!A284="","Worker ID kosong",""),IF('PC 07'!B284="","Update Date kosong",IF(NOT(ISNUMBER('PC 07'!B284)),"Update Date harus tanggal","")),IF('PC 07'!D284="","Judul kosong",""),IF('PC 07'!F284="","Genre kosong",IF(ISERROR(MATCH(TRIM('PC 07'!F284),{"Pop","Rock","Dangdut","K-Pop","Electronic","Nasional","Daerah"},0)),"Genre di luar daftar","")),IF('PC 07'!G284="","Nama Channel kosong",""),IF('PC 07'!H284="","Link kosong",IF(ISERROR(FIND("youtu",LOWER('PC 07'!H284))),"Link bukan youtube","")),IF('PC 07'!I284="","Tgl Dibuat kosong",IF(NOT(ISNUMBER('PC 07'!I284)),"Tgl Dibuat harus tanggal","")),IF(AND('PC 07'!J284&lt;&gt;"",NOT(ISNUMBER('PC 07'!J284))),"Tgl Publish harus tanggal",""),IF(AND(ISNUMBER('PC 07'!I284),ISNUMBER('PC 07'!J284),'PC 07'!J284&lt;'PC 07'!I284),"Tgl Publish &lt; Tgl Dibuat",""),IF(AND('PC 07'!K284&lt;&gt;"",ISERROR(MATCH(TRIM('PC 07'!K284),{"Draft","Menunggu Review","Revisi","Terjadwal","Publish","Batal","Published"},0))),"Status di luar daftar","")))</f>
        <v>#ERROR!</v>
      </c>
      <c r="D284" s="3" t="str">
        <f>IF(C284="","OK","ADA MASALAH")</f>
        <v>#ERROR!</v>
      </c>
    </row>
    <row r="285">
      <c r="A285" s="5">
        <v>285.0</v>
      </c>
      <c r="B285" s="3" t="str">
        <f>'PC 07'!A285</f>
        <v/>
      </c>
      <c r="C285" s="3" t="str">
        <f>IF(COUNTA('PC 07'!A285:L285)=0,"",TEXTJOIN(" | ",TRUE,IF('PC 07'!A285="","Worker ID kosong",""),IF('PC 07'!B285="","Update Date kosong",IF(NOT(ISNUMBER('PC 07'!B285)),"Update Date harus tanggal","")),IF('PC 07'!D285="","Judul kosong",""),IF('PC 07'!F285="","Genre kosong",IF(ISERROR(MATCH(TRIM('PC 07'!F285),{"Pop","Rock","Dangdut","K-Pop","Electronic","Nasional","Daerah"},0)),"Genre di luar daftar","")),IF('PC 07'!G285="","Nama Channel kosong",""),IF('PC 07'!H285="","Link kosong",IF(ISERROR(FIND("youtu",LOWER('PC 07'!H285))),"Link bukan youtube","")),IF('PC 07'!I285="","Tgl Dibuat kosong",IF(NOT(ISNUMBER('PC 07'!I285)),"Tgl Dibuat harus tanggal","")),IF(AND('PC 07'!J285&lt;&gt;"",NOT(ISNUMBER('PC 07'!J285))),"Tgl Publish harus tanggal",""),IF(AND(ISNUMBER('PC 07'!I285),ISNUMBER('PC 07'!J285),'PC 07'!J285&lt;'PC 07'!I285),"Tgl Publish &lt; Tgl Dibuat",""),IF(AND('PC 07'!K285&lt;&gt;"",ISERROR(MATCH(TRIM('PC 07'!K285),{"Draft","Menunggu Review","Revisi","Terjadwal","Publish","Batal","Published"},0))),"Status di luar daftar","")))</f>
        <v>#ERROR!</v>
      </c>
      <c r="D285" s="3" t="str">
        <f>IF(C285="","OK","ADA MASALAH")</f>
        <v>#ERROR!</v>
      </c>
    </row>
    <row r="286">
      <c r="A286" s="5">
        <v>286.0</v>
      </c>
      <c r="B286" s="3" t="str">
        <f>'PC 07'!A286</f>
        <v/>
      </c>
      <c r="C286" s="3" t="str">
        <f>IF(COUNTA('PC 07'!A286:L286)=0,"",TEXTJOIN(" | ",TRUE,IF('PC 07'!A286="","Worker ID kosong",""),IF('PC 07'!B286="","Update Date kosong",IF(NOT(ISNUMBER('PC 07'!B286)),"Update Date harus tanggal","")),IF('PC 07'!D286="","Judul kosong",""),IF('PC 07'!F286="","Genre kosong",IF(ISERROR(MATCH(TRIM('PC 07'!F286),{"Pop","Rock","Dangdut","K-Pop","Electronic","Nasional","Daerah"},0)),"Genre di luar daftar","")),IF('PC 07'!G286="","Nama Channel kosong",""),IF('PC 07'!H286="","Link kosong",IF(ISERROR(FIND("youtu",LOWER('PC 07'!H286))),"Link bukan youtube","")),IF('PC 07'!I286="","Tgl Dibuat kosong",IF(NOT(ISNUMBER('PC 07'!I286)),"Tgl Dibuat harus tanggal","")),IF(AND('PC 07'!J286&lt;&gt;"",NOT(ISNUMBER('PC 07'!J286))),"Tgl Publish harus tanggal",""),IF(AND(ISNUMBER('PC 07'!I286),ISNUMBER('PC 07'!J286),'PC 07'!J286&lt;'PC 07'!I286),"Tgl Publish &lt; Tgl Dibuat",""),IF(AND('PC 07'!K286&lt;&gt;"",ISERROR(MATCH(TRIM('PC 07'!K286),{"Draft","Menunggu Review","Revisi","Terjadwal","Publish","Batal","Published"},0))),"Status di luar daftar","")))</f>
        <v>#ERROR!</v>
      </c>
      <c r="D286" s="3" t="str">
        <f>IF(C286="","OK","ADA MASALAH")</f>
        <v>#ERROR!</v>
      </c>
    </row>
    <row r="287">
      <c r="A287" s="5">
        <v>287.0</v>
      </c>
      <c r="B287" s="3" t="str">
        <f>'PC 07'!A287</f>
        <v/>
      </c>
      <c r="C287" s="3" t="str">
        <f>IF(COUNTA('PC 07'!A287:L287)=0,"",TEXTJOIN(" | ",TRUE,IF('PC 07'!A287="","Worker ID kosong",""),IF('PC 07'!B287="","Update Date kosong",IF(NOT(ISNUMBER('PC 07'!B287)),"Update Date harus tanggal","")),IF('PC 07'!D287="","Judul kosong",""),IF('PC 07'!F287="","Genre kosong",IF(ISERROR(MATCH(TRIM('PC 07'!F287),{"Pop","Rock","Dangdut","K-Pop","Electronic","Nasional","Daerah"},0)),"Genre di luar daftar","")),IF('PC 07'!G287="","Nama Channel kosong",""),IF('PC 07'!H287="","Link kosong",IF(ISERROR(FIND("youtu",LOWER('PC 07'!H287))),"Link bukan youtube","")),IF('PC 07'!I287="","Tgl Dibuat kosong",IF(NOT(ISNUMBER('PC 07'!I287)),"Tgl Dibuat harus tanggal","")),IF(AND('PC 07'!J287&lt;&gt;"",NOT(ISNUMBER('PC 07'!J287))),"Tgl Publish harus tanggal",""),IF(AND(ISNUMBER('PC 07'!I287),ISNUMBER('PC 07'!J287),'PC 07'!J287&lt;'PC 07'!I287),"Tgl Publish &lt; Tgl Dibuat",""),IF(AND('PC 07'!K287&lt;&gt;"",ISERROR(MATCH(TRIM('PC 07'!K287),{"Draft","Menunggu Review","Revisi","Terjadwal","Publish","Batal","Published"},0))),"Status di luar daftar","")))</f>
        <v>#ERROR!</v>
      </c>
      <c r="D287" s="3" t="str">
        <f>IF(C287="","OK","ADA MASALAH")</f>
        <v>#ERROR!</v>
      </c>
    </row>
    <row r="288">
      <c r="A288" s="5">
        <v>288.0</v>
      </c>
      <c r="B288" s="3" t="str">
        <f>'PC 07'!A288</f>
        <v/>
      </c>
      <c r="C288" s="3" t="str">
        <f>IF(COUNTA('PC 07'!A288:L288)=0,"",TEXTJOIN(" | ",TRUE,IF('PC 07'!A288="","Worker ID kosong",""),IF('PC 07'!B288="","Update Date kosong",IF(NOT(ISNUMBER('PC 07'!B288)),"Update Date harus tanggal","")),IF('PC 07'!D288="","Judul kosong",""),IF('PC 07'!F288="","Genre kosong",IF(ISERROR(MATCH(TRIM('PC 07'!F288),{"Pop","Rock","Dangdut","K-Pop","Electronic","Nasional","Daerah"},0)),"Genre di luar daftar","")),IF('PC 07'!G288="","Nama Channel kosong",""),IF('PC 07'!H288="","Link kosong",IF(ISERROR(FIND("youtu",LOWER('PC 07'!H288))),"Link bukan youtube","")),IF('PC 07'!I288="","Tgl Dibuat kosong",IF(NOT(ISNUMBER('PC 07'!I288)),"Tgl Dibuat harus tanggal","")),IF(AND('PC 07'!J288&lt;&gt;"",NOT(ISNUMBER('PC 07'!J288))),"Tgl Publish harus tanggal",""),IF(AND(ISNUMBER('PC 07'!I288),ISNUMBER('PC 07'!J288),'PC 07'!J288&lt;'PC 07'!I288),"Tgl Publish &lt; Tgl Dibuat",""),IF(AND('PC 07'!K288&lt;&gt;"",ISERROR(MATCH(TRIM('PC 07'!K288),{"Draft","Menunggu Review","Revisi","Terjadwal","Publish","Batal","Published"},0))),"Status di luar daftar","")))</f>
        <v>#ERROR!</v>
      </c>
      <c r="D288" s="3" t="str">
        <f>IF(C288="","OK","ADA MASALAH")</f>
        <v>#ERROR!</v>
      </c>
    </row>
    <row r="289">
      <c r="A289" s="5">
        <v>289.0</v>
      </c>
      <c r="B289" s="3" t="str">
        <f>'PC 07'!A289</f>
        <v/>
      </c>
      <c r="C289" s="3" t="str">
        <f>IF(COUNTA('PC 07'!A289:L289)=0,"",TEXTJOIN(" | ",TRUE,IF('PC 07'!A289="","Worker ID kosong",""),IF('PC 07'!B289="","Update Date kosong",IF(NOT(ISNUMBER('PC 07'!B289)),"Update Date harus tanggal","")),IF('PC 07'!D289="","Judul kosong",""),IF('PC 07'!F289="","Genre kosong",IF(ISERROR(MATCH(TRIM('PC 07'!F289),{"Pop","Rock","Dangdut","K-Pop","Electronic","Nasional","Daerah"},0)),"Genre di luar daftar","")),IF('PC 07'!G289="","Nama Channel kosong",""),IF('PC 07'!H289="","Link kosong",IF(ISERROR(FIND("youtu",LOWER('PC 07'!H289))),"Link bukan youtube","")),IF('PC 07'!I289="","Tgl Dibuat kosong",IF(NOT(ISNUMBER('PC 07'!I289)),"Tgl Dibuat harus tanggal","")),IF(AND('PC 07'!J289&lt;&gt;"",NOT(ISNUMBER('PC 07'!J289))),"Tgl Publish harus tanggal",""),IF(AND(ISNUMBER('PC 07'!I289),ISNUMBER('PC 07'!J289),'PC 07'!J289&lt;'PC 07'!I289),"Tgl Publish &lt; Tgl Dibuat",""),IF(AND('PC 07'!K289&lt;&gt;"",ISERROR(MATCH(TRIM('PC 07'!K289),{"Draft","Menunggu Review","Revisi","Terjadwal","Publish","Batal","Published"},0))),"Status di luar daftar","")))</f>
        <v>#ERROR!</v>
      </c>
      <c r="D289" s="3" t="str">
        <f>IF(C289="","OK","ADA MASALAH")</f>
        <v>#ERROR!</v>
      </c>
    </row>
    <row r="290">
      <c r="A290" s="5">
        <v>290.0</v>
      </c>
      <c r="B290" s="3" t="str">
        <f>'PC 07'!A290</f>
        <v/>
      </c>
      <c r="C290" s="3" t="str">
        <f>IF(COUNTA('PC 07'!A290:L290)=0,"",TEXTJOIN(" | ",TRUE,IF('PC 07'!A290="","Worker ID kosong",""),IF('PC 07'!B290="","Update Date kosong",IF(NOT(ISNUMBER('PC 07'!B290)),"Update Date harus tanggal","")),IF('PC 07'!D290="","Judul kosong",""),IF('PC 07'!F290="","Genre kosong",IF(ISERROR(MATCH(TRIM('PC 07'!F290),{"Pop","Rock","Dangdut","K-Pop","Electronic","Nasional","Daerah"},0)),"Genre di luar daftar","")),IF('PC 07'!G290="","Nama Channel kosong",""),IF('PC 07'!H290="","Link kosong",IF(ISERROR(FIND("youtu",LOWER('PC 07'!H290))),"Link bukan youtube","")),IF('PC 07'!I290="","Tgl Dibuat kosong",IF(NOT(ISNUMBER('PC 07'!I290)),"Tgl Dibuat harus tanggal","")),IF(AND('PC 07'!J290&lt;&gt;"",NOT(ISNUMBER('PC 07'!J290))),"Tgl Publish harus tanggal",""),IF(AND(ISNUMBER('PC 07'!I290),ISNUMBER('PC 07'!J290),'PC 07'!J290&lt;'PC 07'!I290),"Tgl Publish &lt; Tgl Dibuat",""),IF(AND('PC 07'!K290&lt;&gt;"",ISERROR(MATCH(TRIM('PC 07'!K290),{"Draft","Menunggu Review","Revisi","Terjadwal","Publish","Batal","Published"},0))),"Status di luar daftar","")))</f>
        <v>#ERROR!</v>
      </c>
      <c r="D290" s="3" t="str">
        <f>IF(C290="","OK","ADA MASALAH")</f>
        <v>#ERROR!</v>
      </c>
    </row>
    <row r="291">
      <c r="A291" s="5">
        <v>291.0</v>
      </c>
      <c r="B291" s="3" t="str">
        <f>'PC 07'!A291</f>
        <v/>
      </c>
      <c r="C291" s="3" t="str">
        <f>IF(COUNTA('PC 07'!A291:L291)=0,"",TEXTJOIN(" | ",TRUE,IF('PC 07'!A291="","Worker ID kosong",""),IF('PC 07'!B291="","Update Date kosong",IF(NOT(ISNUMBER('PC 07'!B291)),"Update Date harus tanggal","")),IF('PC 07'!D291="","Judul kosong",""),IF('PC 07'!F291="","Genre kosong",IF(ISERROR(MATCH(TRIM('PC 07'!F291),{"Pop","Rock","Dangdut","K-Pop","Electronic","Nasional","Daerah"},0)),"Genre di luar daftar","")),IF('PC 07'!G291="","Nama Channel kosong",""),IF('PC 07'!H291="","Link kosong",IF(ISERROR(FIND("youtu",LOWER('PC 07'!H291))),"Link bukan youtube","")),IF('PC 07'!I291="","Tgl Dibuat kosong",IF(NOT(ISNUMBER('PC 07'!I291)),"Tgl Dibuat harus tanggal","")),IF(AND('PC 07'!J291&lt;&gt;"",NOT(ISNUMBER('PC 07'!J291))),"Tgl Publish harus tanggal",""),IF(AND(ISNUMBER('PC 07'!I291),ISNUMBER('PC 07'!J291),'PC 07'!J291&lt;'PC 07'!I291),"Tgl Publish &lt; Tgl Dibuat",""),IF(AND('PC 07'!K291&lt;&gt;"",ISERROR(MATCH(TRIM('PC 07'!K291),{"Draft","Menunggu Review","Revisi","Terjadwal","Publish","Batal","Published"},0))),"Status di luar daftar","")))</f>
        <v>#ERROR!</v>
      </c>
      <c r="D291" s="3" t="str">
        <f>IF(C291="","OK","ADA MASALAH")</f>
        <v>#ERROR!</v>
      </c>
    </row>
    <row r="292">
      <c r="A292" s="5">
        <v>292.0</v>
      </c>
      <c r="B292" s="3" t="str">
        <f>'PC 07'!A292</f>
        <v/>
      </c>
      <c r="C292" s="3" t="str">
        <f>IF(COUNTA('PC 07'!A292:L292)=0,"",TEXTJOIN(" | ",TRUE,IF('PC 07'!A292="","Worker ID kosong",""),IF('PC 07'!B292="","Update Date kosong",IF(NOT(ISNUMBER('PC 07'!B292)),"Update Date harus tanggal","")),IF('PC 07'!D292="","Judul kosong",""),IF('PC 07'!F292="","Genre kosong",IF(ISERROR(MATCH(TRIM('PC 07'!F292),{"Pop","Rock","Dangdut","K-Pop","Electronic","Nasional","Daerah"},0)),"Genre di luar daftar","")),IF('PC 07'!G292="","Nama Channel kosong",""),IF('PC 07'!H292="","Link kosong",IF(ISERROR(FIND("youtu",LOWER('PC 07'!H292))),"Link bukan youtube","")),IF('PC 07'!I292="","Tgl Dibuat kosong",IF(NOT(ISNUMBER('PC 07'!I292)),"Tgl Dibuat harus tanggal","")),IF(AND('PC 07'!J292&lt;&gt;"",NOT(ISNUMBER('PC 07'!J292))),"Tgl Publish harus tanggal",""),IF(AND(ISNUMBER('PC 07'!I292),ISNUMBER('PC 07'!J292),'PC 07'!J292&lt;'PC 07'!I292),"Tgl Publish &lt; Tgl Dibuat",""),IF(AND('PC 07'!K292&lt;&gt;"",ISERROR(MATCH(TRIM('PC 07'!K292),{"Draft","Menunggu Review","Revisi","Terjadwal","Publish","Batal","Published"},0))),"Status di luar daftar","")))</f>
        <v>#ERROR!</v>
      </c>
      <c r="D292" s="3" t="str">
        <f>IF(C292="","OK","ADA MASALAH")</f>
        <v>#ERROR!</v>
      </c>
    </row>
    <row r="293">
      <c r="A293" s="5">
        <v>293.0</v>
      </c>
      <c r="B293" s="3" t="str">
        <f>'PC 07'!A293</f>
        <v/>
      </c>
      <c r="C293" s="3" t="str">
        <f>IF(COUNTA('PC 07'!A293:L293)=0,"",TEXTJOIN(" | ",TRUE,IF('PC 07'!A293="","Worker ID kosong",""),IF('PC 07'!B293="","Update Date kosong",IF(NOT(ISNUMBER('PC 07'!B293)),"Update Date harus tanggal","")),IF('PC 07'!D293="","Judul kosong",""),IF('PC 07'!F293="","Genre kosong",IF(ISERROR(MATCH(TRIM('PC 07'!F293),{"Pop","Rock","Dangdut","K-Pop","Electronic","Nasional","Daerah"},0)),"Genre di luar daftar","")),IF('PC 07'!G293="","Nama Channel kosong",""),IF('PC 07'!H293="","Link kosong",IF(ISERROR(FIND("youtu",LOWER('PC 07'!H293))),"Link bukan youtube","")),IF('PC 07'!I293="","Tgl Dibuat kosong",IF(NOT(ISNUMBER('PC 07'!I293)),"Tgl Dibuat harus tanggal","")),IF(AND('PC 07'!J293&lt;&gt;"",NOT(ISNUMBER('PC 07'!J293))),"Tgl Publish harus tanggal",""),IF(AND(ISNUMBER('PC 07'!I293),ISNUMBER('PC 07'!J293),'PC 07'!J293&lt;'PC 07'!I293),"Tgl Publish &lt; Tgl Dibuat",""),IF(AND('PC 07'!K293&lt;&gt;"",ISERROR(MATCH(TRIM('PC 07'!K293),{"Draft","Menunggu Review","Revisi","Terjadwal","Publish","Batal","Published"},0))),"Status di luar daftar","")))</f>
        <v>#ERROR!</v>
      </c>
      <c r="D293" s="3" t="str">
        <f>IF(C293="","OK","ADA MASALAH")</f>
        <v>#ERROR!</v>
      </c>
    </row>
    <row r="294">
      <c r="A294" s="5">
        <v>294.0</v>
      </c>
      <c r="B294" s="3" t="str">
        <f>'PC 07'!A294</f>
        <v/>
      </c>
      <c r="C294" s="3" t="str">
        <f>IF(COUNTA('PC 07'!A294:L294)=0,"",TEXTJOIN(" | ",TRUE,IF('PC 07'!A294="","Worker ID kosong",""),IF('PC 07'!B294="","Update Date kosong",IF(NOT(ISNUMBER('PC 07'!B294)),"Update Date harus tanggal","")),IF('PC 07'!D294="","Judul kosong",""),IF('PC 07'!F294="","Genre kosong",IF(ISERROR(MATCH(TRIM('PC 07'!F294),{"Pop","Rock","Dangdut","K-Pop","Electronic","Nasional","Daerah"},0)),"Genre di luar daftar","")),IF('PC 07'!G294="","Nama Channel kosong",""),IF('PC 07'!H294="","Link kosong",IF(ISERROR(FIND("youtu",LOWER('PC 07'!H294))),"Link bukan youtube","")),IF('PC 07'!I294="","Tgl Dibuat kosong",IF(NOT(ISNUMBER('PC 07'!I294)),"Tgl Dibuat harus tanggal","")),IF(AND('PC 07'!J294&lt;&gt;"",NOT(ISNUMBER('PC 07'!J294))),"Tgl Publish harus tanggal",""),IF(AND(ISNUMBER('PC 07'!I294),ISNUMBER('PC 07'!J294),'PC 07'!J294&lt;'PC 07'!I294),"Tgl Publish &lt; Tgl Dibuat",""),IF(AND('PC 07'!K294&lt;&gt;"",ISERROR(MATCH(TRIM('PC 07'!K294),{"Draft","Menunggu Review","Revisi","Terjadwal","Publish","Batal","Published"},0))),"Status di luar daftar","")))</f>
        <v>#ERROR!</v>
      </c>
      <c r="D294" s="3" t="str">
        <f>IF(C294="","OK","ADA MASALAH")</f>
        <v>#ERROR!</v>
      </c>
    </row>
    <row r="295">
      <c r="A295" s="5">
        <v>295.0</v>
      </c>
      <c r="B295" s="3" t="str">
        <f>'PC 07'!A295</f>
        <v/>
      </c>
      <c r="C295" s="3" t="str">
        <f>IF(COUNTA('PC 07'!A295:L295)=0,"",TEXTJOIN(" | ",TRUE,IF('PC 07'!A295="","Worker ID kosong",""),IF('PC 07'!B295="","Update Date kosong",IF(NOT(ISNUMBER('PC 07'!B295)),"Update Date harus tanggal","")),IF('PC 07'!D295="","Judul kosong",""),IF('PC 07'!F295="","Genre kosong",IF(ISERROR(MATCH(TRIM('PC 07'!F295),{"Pop","Rock","Dangdut","K-Pop","Electronic","Nasional","Daerah"},0)),"Genre di luar daftar","")),IF('PC 07'!G295="","Nama Channel kosong",""),IF('PC 07'!H295="","Link kosong",IF(ISERROR(FIND("youtu",LOWER('PC 07'!H295))),"Link bukan youtube","")),IF('PC 07'!I295="","Tgl Dibuat kosong",IF(NOT(ISNUMBER('PC 07'!I295)),"Tgl Dibuat harus tanggal","")),IF(AND('PC 07'!J295&lt;&gt;"",NOT(ISNUMBER('PC 07'!J295))),"Tgl Publish harus tanggal",""),IF(AND(ISNUMBER('PC 07'!I295),ISNUMBER('PC 07'!J295),'PC 07'!J295&lt;'PC 07'!I295),"Tgl Publish &lt; Tgl Dibuat",""),IF(AND('PC 07'!K295&lt;&gt;"",ISERROR(MATCH(TRIM('PC 07'!K295),{"Draft","Menunggu Review","Revisi","Terjadwal","Publish","Batal","Published"},0))),"Status di luar daftar","")))</f>
        <v>#ERROR!</v>
      </c>
      <c r="D295" s="3" t="str">
        <f>IF(C295="","OK","ADA MASALAH")</f>
        <v>#ERROR!</v>
      </c>
    </row>
    <row r="296">
      <c r="A296" s="5">
        <v>296.0</v>
      </c>
      <c r="B296" s="3" t="str">
        <f>'PC 07'!A296</f>
        <v/>
      </c>
      <c r="C296" s="3" t="str">
        <f>IF(COUNTA('PC 07'!A296:L296)=0,"",TEXTJOIN(" | ",TRUE,IF('PC 07'!A296="","Worker ID kosong",""),IF('PC 07'!B296="","Update Date kosong",IF(NOT(ISNUMBER('PC 07'!B296)),"Update Date harus tanggal","")),IF('PC 07'!D296="","Judul kosong",""),IF('PC 07'!F296="","Genre kosong",IF(ISERROR(MATCH(TRIM('PC 07'!F296),{"Pop","Rock","Dangdut","K-Pop","Electronic","Nasional","Daerah"},0)),"Genre di luar daftar","")),IF('PC 07'!G296="","Nama Channel kosong",""),IF('PC 07'!H296="","Link kosong",IF(ISERROR(FIND("youtu",LOWER('PC 07'!H296))),"Link bukan youtube","")),IF('PC 07'!I296="","Tgl Dibuat kosong",IF(NOT(ISNUMBER('PC 07'!I296)),"Tgl Dibuat harus tanggal","")),IF(AND('PC 07'!J296&lt;&gt;"",NOT(ISNUMBER('PC 07'!J296))),"Tgl Publish harus tanggal",""),IF(AND(ISNUMBER('PC 07'!I296),ISNUMBER('PC 07'!J296),'PC 07'!J296&lt;'PC 07'!I296),"Tgl Publish &lt; Tgl Dibuat",""),IF(AND('PC 07'!K296&lt;&gt;"",ISERROR(MATCH(TRIM('PC 07'!K296),{"Draft","Menunggu Review","Revisi","Terjadwal","Publish","Batal","Published"},0))),"Status di luar daftar","")))</f>
        <v>#ERROR!</v>
      </c>
      <c r="D296" s="3" t="str">
        <f>IF(C296="","OK","ADA MASALAH")</f>
        <v>#ERROR!</v>
      </c>
    </row>
    <row r="297">
      <c r="A297" s="5">
        <v>297.0</v>
      </c>
      <c r="B297" s="3" t="str">
        <f>'PC 07'!A297</f>
        <v/>
      </c>
      <c r="C297" s="3" t="str">
        <f>IF(COUNTA('PC 07'!A297:L297)=0,"",TEXTJOIN(" | ",TRUE,IF('PC 07'!A297="","Worker ID kosong",""),IF('PC 07'!B297="","Update Date kosong",IF(NOT(ISNUMBER('PC 07'!B297)),"Update Date harus tanggal","")),IF('PC 07'!D297="","Judul kosong",""),IF('PC 07'!F297="","Genre kosong",IF(ISERROR(MATCH(TRIM('PC 07'!F297),{"Pop","Rock","Dangdut","K-Pop","Electronic","Nasional","Daerah"},0)),"Genre di luar daftar","")),IF('PC 07'!G297="","Nama Channel kosong",""),IF('PC 07'!H297="","Link kosong",IF(ISERROR(FIND("youtu",LOWER('PC 07'!H297))),"Link bukan youtube","")),IF('PC 07'!I297="","Tgl Dibuat kosong",IF(NOT(ISNUMBER('PC 07'!I297)),"Tgl Dibuat harus tanggal","")),IF(AND('PC 07'!J297&lt;&gt;"",NOT(ISNUMBER('PC 07'!J297))),"Tgl Publish harus tanggal",""),IF(AND(ISNUMBER('PC 07'!I297),ISNUMBER('PC 07'!J297),'PC 07'!J297&lt;'PC 07'!I297),"Tgl Publish &lt; Tgl Dibuat",""),IF(AND('PC 07'!K297&lt;&gt;"",ISERROR(MATCH(TRIM('PC 07'!K297),{"Draft","Menunggu Review","Revisi","Terjadwal","Publish","Batal","Published"},0))),"Status di luar daftar","")))</f>
        <v>#ERROR!</v>
      </c>
      <c r="D297" s="3" t="str">
        <f>IF(C297="","OK","ADA MASALAH")</f>
        <v>#ERROR!</v>
      </c>
    </row>
    <row r="298">
      <c r="A298" s="5">
        <v>298.0</v>
      </c>
      <c r="B298" s="3" t="str">
        <f>'PC 07'!A298</f>
        <v/>
      </c>
      <c r="C298" s="3" t="str">
        <f>IF(COUNTA('PC 07'!A298:L298)=0,"",TEXTJOIN(" | ",TRUE,IF('PC 07'!A298="","Worker ID kosong",""),IF('PC 07'!B298="","Update Date kosong",IF(NOT(ISNUMBER('PC 07'!B298)),"Update Date harus tanggal","")),IF('PC 07'!D298="","Judul kosong",""),IF('PC 07'!F298="","Genre kosong",IF(ISERROR(MATCH(TRIM('PC 07'!F298),{"Pop","Rock","Dangdut","K-Pop","Electronic","Nasional","Daerah"},0)),"Genre di luar daftar","")),IF('PC 07'!G298="","Nama Channel kosong",""),IF('PC 07'!H298="","Link kosong",IF(ISERROR(FIND("youtu",LOWER('PC 07'!H298))),"Link bukan youtube","")),IF('PC 07'!I298="","Tgl Dibuat kosong",IF(NOT(ISNUMBER('PC 07'!I298)),"Tgl Dibuat harus tanggal","")),IF(AND('PC 07'!J298&lt;&gt;"",NOT(ISNUMBER('PC 07'!J298))),"Tgl Publish harus tanggal",""),IF(AND(ISNUMBER('PC 07'!I298),ISNUMBER('PC 07'!J298),'PC 07'!J298&lt;'PC 07'!I298),"Tgl Publish &lt; Tgl Dibuat",""),IF(AND('PC 07'!K298&lt;&gt;"",ISERROR(MATCH(TRIM('PC 07'!K298),{"Draft","Menunggu Review","Revisi","Terjadwal","Publish","Batal","Published"},0))),"Status di luar daftar","")))</f>
        <v>#ERROR!</v>
      </c>
      <c r="D298" s="3" t="str">
        <f>IF(C298="","OK","ADA MASALAH")</f>
        <v>#ERROR!</v>
      </c>
    </row>
    <row r="299">
      <c r="A299" s="5">
        <v>299.0</v>
      </c>
      <c r="B299" s="3" t="str">
        <f>'PC 07'!A299</f>
        <v/>
      </c>
      <c r="C299" s="3" t="str">
        <f>IF(COUNTA('PC 07'!A299:L299)=0,"",TEXTJOIN(" | ",TRUE,IF('PC 07'!A299="","Worker ID kosong",""),IF('PC 07'!B299="","Update Date kosong",IF(NOT(ISNUMBER('PC 07'!B299)),"Update Date harus tanggal","")),IF('PC 07'!D299="","Judul kosong",""),IF('PC 07'!F299="","Genre kosong",IF(ISERROR(MATCH(TRIM('PC 07'!F299),{"Pop","Rock","Dangdut","K-Pop","Electronic","Nasional","Daerah"},0)),"Genre di luar daftar","")),IF('PC 07'!G299="","Nama Channel kosong",""),IF('PC 07'!H299="","Link kosong",IF(ISERROR(FIND("youtu",LOWER('PC 07'!H299))),"Link bukan youtube","")),IF('PC 07'!I299="","Tgl Dibuat kosong",IF(NOT(ISNUMBER('PC 07'!I299)),"Tgl Dibuat harus tanggal","")),IF(AND('PC 07'!J299&lt;&gt;"",NOT(ISNUMBER('PC 07'!J299))),"Tgl Publish harus tanggal",""),IF(AND(ISNUMBER('PC 07'!I299),ISNUMBER('PC 07'!J299),'PC 07'!J299&lt;'PC 07'!I299),"Tgl Publish &lt; Tgl Dibuat",""),IF(AND('PC 07'!K299&lt;&gt;"",ISERROR(MATCH(TRIM('PC 07'!K299),{"Draft","Menunggu Review","Revisi","Terjadwal","Publish","Batal","Published"},0))),"Status di luar daftar","")))</f>
        <v>#ERROR!</v>
      </c>
      <c r="D299" s="3" t="str">
        <f>IF(C299="","OK","ADA MASALAH")</f>
        <v>#ERROR!</v>
      </c>
    </row>
    <row r="300">
      <c r="A300" s="5">
        <v>300.0</v>
      </c>
      <c r="B300" s="3" t="str">
        <f>'PC 07'!A300</f>
        <v/>
      </c>
      <c r="C300" s="3" t="str">
        <f>IF(COUNTA('PC 07'!A300:L300)=0,"",TEXTJOIN(" | ",TRUE,IF('PC 07'!A300="","Worker ID kosong",""),IF('PC 07'!B300="","Update Date kosong",IF(NOT(ISNUMBER('PC 07'!B300)),"Update Date harus tanggal","")),IF('PC 07'!D300="","Judul kosong",""),IF('PC 07'!F300="","Genre kosong",IF(ISERROR(MATCH(TRIM('PC 07'!F300),{"Pop","Rock","Dangdut","K-Pop","Electronic","Nasional","Daerah"},0)),"Genre di luar daftar","")),IF('PC 07'!G300="","Nama Channel kosong",""),IF('PC 07'!H300="","Link kosong",IF(ISERROR(FIND("youtu",LOWER('PC 07'!H300))),"Link bukan youtube","")),IF('PC 07'!I300="","Tgl Dibuat kosong",IF(NOT(ISNUMBER('PC 07'!I300)),"Tgl Dibuat harus tanggal","")),IF(AND('PC 07'!J300&lt;&gt;"",NOT(ISNUMBER('PC 07'!J300))),"Tgl Publish harus tanggal",""),IF(AND(ISNUMBER('PC 07'!I300),ISNUMBER('PC 07'!J300),'PC 07'!J300&lt;'PC 07'!I300),"Tgl Publish &lt; Tgl Dibuat",""),IF(AND('PC 07'!K300&lt;&gt;"",ISERROR(MATCH(TRIM('PC 07'!K300),{"Draft","Menunggu Review","Revisi","Terjadwal","Publish","Batal","Published"},0))),"Status di luar daftar","")))</f>
        <v>#ERROR!</v>
      </c>
      <c r="D300" s="3" t="str">
        <f>IF(C300="","OK","ADA MASALAH")</f>
        <v>#ERROR!</v>
      </c>
    </row>
    <row r="301">
      <c r="A301" s="5">
        <v>301.0</v>
      </c>
      <c r="B301" s="3" t="str">
        <f>'PC 07'!A301</f>
        <v/>
      </c>
      <c r="C301" s="3" t="str">
        <f>IF(COUNTA('PC 07'!A301:L301)=0,"",TEXTJOIN(" | ",TRUE,IF('PC 07'!A301="","Worker ID kosong",""),IF('PC 07'!B301="","Update Date kosong",IF(NOT(ISNUMBER('PC 07'!B301)),"Update Date harus tanggal","")),IF('PC 07'!D301="","Judul kosong",""),IF('PC 07'!F301="","Genre kosong",IF(ISERROR(MATCH(TRIM('PC 07'!F301),{"Pop","Rock","Dangdut","K-Pop","Electronic","Nasional","Daerah"},0)),"Genre di luar daftar","")),IF('PC 07'!G301="","Nama Channel kosong",""),IF('PC 07'!H301="","Link kosong",IF(ISERROR(FIND("youtu",LOWER('PC 07'!H301))),"Link bukan youtube","")),IF('PC 07'!I301="","Tgl Dibuat kosong",IF(NOT(ISNUMBER('PC 07'!I301)),"Tgl Dibuat harus tanggal","")),IF(AND('PC 07'!J301&lt;&gt;"",NOT(ISNUMBER('PC 07'!J301))),"Tgl Publish harus tanggal",""),IF(AND(ISNUMBER('PC 07'!I301),ISNUMBER('PC 07'!J301),'PC 07'!J301&lt;'PC 07'!I301),"Tgl Publish &lt; Tgl Dibuat",""),IF(AND('PC 07'!K301&lt;&gt;"",ISERROR(MATCH(TRIM('PC 07'!K301),{"Draft","Menunggu Review","Revisi","Terjadwal","Publish","Batal","Published"},0))),"Status di luar daftar","")))</f>
        <v>#ERROR!</v>
      </c>
      <c r="D301" s="3" t="str">
        <f>IF(C301="","OK","ADA MASALAH")</f>
        <v>#ERROR!</v>
      </c>
    </row>
    <row r="302">
      <c r="A302" s="5">
        <v>302.0</v>
      </c>
      <c r="B302" s="3" t="str">
        <f>'PC 07'!A302</f>
        <v/>
      </c>
      <c r="C302" s="3" t="str">
        <f>IF(COUNTA('PC 07'!A302:L302)=0,"",TEXTJOIN(" | ",TRUE,IF('PC 07'!A302="","Worker ID kosong",""),IF('PC 07'!B302="","Update Date kosong",IF(NOT(ISNUMBER('PC 07'!B302)),"Update Date harus tanggal","")),IF('PC 07'!D302="","Judul kosong",""),IF('PC 07'!F302="","Genre kosong",IF(ISERROR(MATCH(TRIM('PC 07'!F302),{"Pop","Rock","Dangdut","K-Pop","Electronic","Nasional","Daerah"},0)),"Genre di luar daftar","")),IF('PC 07'!G302="","Nama Channel kosong",""),IF('PC 07'!H302="","Link kosong",IF(ISERROR(FIND("youtu",LOWER('PC 07'!H302))),"Link bukan youtube","")),IF('PC 07'!I302="","Tgl Dibuat kosong",IF(NOT(ISNUMBER('PC 07'!I302)),"Tgl Dibuat harus tanggal","")),IF(AND('PC 07'!J302&lt;&gt;"",NOT(ISNUMBER('PC 07'!J302))),"Tgl Publish harus tanggal",""),IF(AND(ISNUMBER('PC 07'!I302),ISNUMBER('PC 07'!J302),'PC 07'!J302&lt;'PC 07'!I302),"Tgl Publish &lt; Tgl Dibuat",""),IF(AND('PC 07'!K302&lt;&gt;"",ISERROR(MATCH(TRIM('PC 07'!K302),{"Draft","Menunggu Review","Revisi","Terjadwal","Publish","Batal","Published"},0))),"Status di luar daftar","")))</f>
        <v>#ERROR!</v>
      </c>
      <c r="D302" s="3" t="str">
        <f>IF(C302="","OK","ADA MASALAH")</f>
        <v>#ERROR!</v>
      </c>
    </row>
    <row r="303">
      <c r="A303" s="5">
        <v>303.0</v>
      </c>
      <c r="B303" s="3" t="str">
        <f>'PC 07'!A303</f>
        <v/>
      </c>
      <c r="C303" s="3" t="str">
        <f>IF(COUNTA('PC 07'!A303:L303)=0,"",TEXTJOIN(" | ",TRUE,IF('PC 07'!A303="","Worker ID kosong",""),IF('PC 07'!B303="","Update Date kosong",IF(NOT(ISNUMBER('PC 07'!B303)),"Update Date harus tanggal","")),IF('PC 07'!D303="","Judul kosong",""),IF('PC 07'!F303="","Genre kosong",IF(ISERROR(MATCH(TRIM('PC 07'!F303),{"Pop","Rock","Dangdut","K-Pop","Electronic","Nasional","Daerah"},0)),"Genre di luar daftar","")),IF('PC 07'!G303="","Nama Channel kosong",""),IF('PC 07'!H303="","Link kosong",IF(ISERROR(FIND("youtu",LOWER('PC 07'!H303))),"Link bukan youtube","")),IF('PC 07'!I303="","Tgl Dibuat kosong",IF(NOT(ISNUMBER('PC 07'!I303)),"Tgl Dibuat harus tanggal","")),IF(AND('PC 07'!J303&lt;&gt;"",NOT(ISNUMBER('PC 07'!J303))),"Tgl Publish harus tanggal",""),IF(AND(ISNUMBER('PC 07'!I303),ISNUMBER('PC 07'!J303),'PC 07'!J303&lt;'PC 07'!I303),"Tgl Publish &lt; Tgl Dibuat",""),IF(AND('PC 07'!K303&lt;&gt;"",ISERROR(MATCH(TRIM('PC 07'!K303),{"Draft","Menunggu Review","Revisi","Terjadwal","Publish","Batal","Published"},0))),"Status di luar daftar","")))</f>
        <v>#ERROR!</v>
      </c>
      <c r="D303" s="3" t="str">
        <f>IF(C303="","OK","ADA MASALAH")</f>
        <v>#ERROR!</v>
      </c>
    </row>
    <row r="304">
      <c r="A304" s="5">
        <v>304.0</v>
      </c>
      <c r="B304" s="3" t="str">
        <f>'PC 07'!A304</f>
        <v/>
      </c>
      <c r="C304" s="3" t="str">
        <f>IF(COUNTA('PC 07'!A304:L304)=0,"",TEXTJOIN(" | ",TRUE,IF('PC 07'!A304="","Worker ID kosong",""),IF('PC 07'!B304="","Update Date kosong",IF(NOT(ISNUMBER('PC 07'!B304)),"Update Date harus tanggal","")),IF('PC 07'!D304="","Judul kosong",""),IF('PC 07'!F304="","Genre kosong",IF(ISERROR(MATCH(TRIM('PC 07'!F304),{"Pop","Rock","Dangdut","K-Pop","Electronic","Nasional","Daerah"},0)),"Genre di luar daftar","")),IF('PC 07'!G304="","Nama Channel kosong",""),IF('PC 07'!H304="","Link kosong",IF(ISERROR(FIND("youtu",LOWER('PC 07'!H304))),"Link bukan youtube","")),IF('PC 07'!I304="","Tgl Dibuat kosong",IF(NOT(ISNUMBER('PC 07'!I304)),"Tgl Dibuat harus tanggal","")),IF(AND('PC 07'!J304&lt;&gt;"",NOT(ISNUMBER('PC 07'!J304))),"Tgl Publish harus tanggal",""),IF(AND(ISNUMBER('PC 07'!I304),ISNUMBER('PC 07'!J304),'PC 07'!J304&lt;'PC 07'!I304),"Tgl Publish &lt; Tgl Dibuat",""),IF(AND('PC 07'!K304&lt;&gt;"",ISERROR(MATCH(TRIM('PC 07'!K304),{"Draft","Menunggu Review","Revisi","Terjadwal","Publish","Batal","Published"},0))),"Status di luar daftar","")))</f>
        <v>#ERROR!</v>
      </c>
      <c r="D304" s="3" t="str">
        <f>IF(C304="","OK","ADA MASALAH")</f>
        <v>#ERROR!</v>
      </c>
    </row>
    <row r="305">
      <c r="A305" s="5">
        <v>305.0</v>
      </c>
      <c r="B305" s="3" t="str">
        <f>'PC 07'!A305</f>
        <v/>
      </c>
      <c r="C305" s="3" t="str">
        <f>IF(COUNTA('PC 07'!A305:L305)=0,"",TEXTJOIN(" | ",TRUE,IF('PC 07'!A305="","Worker ID kosong",""),IF('PC 07'!B305="","Update Date kosong",IF(NOT(ISNUMBER('PC 07'!B305)),"Update Date harus tanggal","")),IF('PC 07'!D305="","Judul kosong",""),IF('PC 07'!F305="","Genre kosong",IF(ISERROR(MATCH(TRIM('PC 07'!F305),{"Pop","Rock","Dangdut","K-Pop","Electronic","Nasional","Daerah"},0)),"Genre di luar daftar","")),IF('PC 07'!G305="","Nama Channel kosong",""),IF('PC 07'!H305="","Link kosong",IF(ISERROR(FIND("youtu",LOWER('PC 07'!H305))),"Link bukan youtube","")),IF('PC 07'!I305="","Tgl Dibuat kosong",IF(NOT(ISNUMBER('PC 07'!I305)),"Tgl Dibuat harus tanggal","")),IF(AND('PC 07'!J305&lt;&gt;"",NOT(ISNUMBER('PC 07'!J305))),"Tgl Publish harus tanggal",""),IF(AND(ISNUMBER('PC 07'!I305),ISNUMBER('PC 07'!J305),'PC 07'!J305&lt;'PC 07'!I305),"Tgl Publish &lt; Tgl Dibuat",""),IF(AND('PC 07'!K305&lt;&gt;"",ISERROR(MATCH(TRIM('PC 07'!K305),{"Draft","Menunggu Review","Revisi","Terjadwal","Publish","Batal","Published"},0))),"Status di luar daftar","")))</f>
        <v>#ERROR!</v>
      </c>
      <c r="D305" s="3" t="str">
        <f>IF(C305="","OK","ADA MASALAH")</f>
        <v>#ERROR!</v>
      </c>
    </row>
    <row r="306">
      <c r="A306" s="5">
        <v>306.0</v>
      </c>
      <c r="B306" s="3" t="str">
        <f>'PC 07'!A306</f>
        <v/>
      </c>
      <c r="C306" s="3" t="str">
        <f>IF(COUNTA('PC 07'!A306:L306)=0,"",TEXTJOIN(" | ",TRUE,IF('PC 07'!A306="","Worker ID kosong",""),IF('PC 07'!B306="","Update Date kosong",IF(NOT(ISNUMBER('PC 07'!B306)),"Update Date harus tanggal","")),IF('PC 07'!D306="","Judul kosong",""),IF('PC 07'!F306="","Genre kosong",IF(ISERROR(MATCH(TRIM('PC 07'!F306),{"Pop","Rock","Dangdut","K-Pop","Electronic","Nasional","Daerah"},0)),"Genre di luar daftar","")),IF('PC 07'!G306="","Nama Channel kosong",""),IF('PC 07'!H306="","Link kosong",IF(ISERROR(FIND("youtu",LOWER('PC 07'!H306))),"Link bukan youtube","")),IF('PC 07'!I306="","Tgl Dibuat kosong",IF(NOT(ISNUMBER('PC 07'!I306)),"Tgl Dibuat harus tanggal","")),IF(AND('PC 07'!J306&lt;&gt;"",NOT(ISNUMBER('PC 07'!J306))),"Tgl Publish harus tanggal",""),IF(AND(ISNUMBER('PC 07'!I306),ISNUMBER('PC 07'!J306),'PC 07'!J306&lt;'PC 07'!I306),"Tgl Publish &lt; Tgl Dibuat",""),IF(AND('PC 07'!K306&lt;&gt;"",ISERROR(MATCH(TRIM('PC 07'!K306),{"Draft","Menunggu Review","Revisi","Terjadwal","Publish","Batal","Published"},0))),"Status di luar daftar","")))</f>
        <v>#ERROR!</v>
      </c>
      <c r="D306" s="3" t="str">
        <f>IF(C306="","OK","ADA MASALAH")</f>
        <v>#ERROR!</v>
      </c>
    </row>
    <row r="307">
      <c r="A307" s="5">
        <v>307.0</v>
      </c>
      <c r="B307" s="3" t="str">
        <f>'PC 07'!A307</f>
        <v/>
      </c>
      <c r="C307" s="3" t="str">
        <f>IF(COUNTA('PC 07'!A307:L307)=0,"",TEXTJOIN(" | ",TRUE,IF('PC 07'!A307="","Worker ID kosong",""),IF('PC 07'!B307="","Update Date kosong",IF(NOT(ISNUMBER('PC 07'!B307)),"Update Date harus tanggal","")),IF('PC 07'!D307="","Judul kosong",""),IF('PC 07'!F307="","Genre kosong",IF(ISERROR(MATCH(TRIM('PC 07'!F307),{"Pop","Rock","Dangdut","K-Pop","Electronic","Nasional","Daerah"},0)),"Genre di luar daftar","")),IF('PC 07'!G307="","Nama Channel kosong",""),IF('PC 07'!H307="","Link kosong",IF(ISERROR(FIND("youtu",LOWER('PC 07'!H307))),"Link bukan youtube","")),IF('PC 07'!I307="","Tgl Dibuat kosong",IF(NOT(ISNUMBER('PC 07'!I307)),"Tgl Dibuat harus tanggal","")),IF(AND('PC 07'!J307&lt;&gt;"",NOT(ISNUMBER('PC 07'!J307))),"Tgl Publish harus tanggal",""),IF(AND(ISNUMBER('PC 07'!I307),ISNUMBER('PC 07'!J307),'PC 07'!J307&lt;'PC 07'!I307),"Tgl Publish &lt; Tgl Dibuat",""),IF(AND('PC 07'!K307&lt;&gt;"",ISERROR(MATCH(TRIM('PC 07'!K307),{"Draft","Menunggu Review","Revisi","Terjadwal","Publish","Batal","Published"},0))),"Status di luar daftar","")))</f>
        <v>#ERROR!</v>
      </c>
      <c r="D307" s="3" t="str">
        <f>IF(C307="","OK","ADA MASALAH")</f>
        <v>#ERROR!</v>
      </c>
    </row>
    <row r="308">
      <c r="A308" s="5">
        <v>308.0</v>
      </c>
      <c r="B308" s="3" t="str">
        <f>'PC 07'!A308</f>
        <v/>
      </c>
      <c r="C308" s="3" t="str">
        <f>IF(COUNTA('PC 07'!A308:L308)=0,"",TEXTJOIN(" | ",TRUE,IF('PC 07'!A308="","Worker ID kosong",""),IF('PC 07'!B308="","Update Date kosong",IF(NOT(ISNUMBER('PC 07'!B308)),"Update Date harus tanggal","")),IF('PC 07'!D308="","Judul kosong",""),IF('PC 07'!F308="","Genre kosong",IF(ISERROR(MATCH(TRIM('PC 07'!F308),{"Pop","Rock","Dangdut","K-Pop","Electronic","Nasional","Daerah"},0)),"Genre di luar daftar","")),IF('PC 07'!G308="","Nama Channel kosong",""),IF('PC 07'!H308="","Link kosong",IF(ISERROR(FIND("youtu",LOWER('PC 07'!H308))),"Link bukan youtube","")),IF('PC 07'!I308="","Tgl Dibuat kosong",IF(NOT(ISNUMBER('PC 07'!I308)),"Tgl Dibuat harus tanggal","")),IF(AND('PC 07'!J308&lt;&gt;"",NOT(ISNUMBER('PC 07'!J308))),"Tgl Publish harus tanggal",""),IF(AND(ISNUMBER('PC 07'!I308),ISNUMBER('PC 07'!J308),'PC 07'!J308&lt;'PC 07'!I308),"Tgl Publish &lt; Tgl Dibuat",""),IF(AND('PC 07'!K308&lt;&gt;"",ISERROR(MATCH(TRIM('PC 07'!K308),{"Draft","Menunggu Review","Revisi","Terjadwal","Publish","Batal","Published"},0))),"Status di luar daftar","")))</f>
        <v>#ERROR!</v>
      </c>
      <c r="D308" s="3" t="str">
        <f>IF(C308="","OK","ADA MASALAH")</f>
        <v>#ERROR!</v>
      </c>
    </row>
    <row r="309">
      <c r="A309" s="5">
        <v>309.0</v>
      </c>
      <c r="B309" s="3" t="str">
        <f>'PC 07'!A309</f>
        <v/>
      </c>
      <c r="C309" s="3" t="str">
        <f>IF(COUNTA('PC 07'!A309:L309)=0,"",TEXTJOIN(" | ",TRUE,IF('PC 07'!A309="","Worker ID kosong",""),IF('PC 07'!B309="","Update Date kosong",IF(NOT(ISNUMBER('PC 07'!B309)),"Update Date harus tanggal","")),IF('PC 07'!D309="","Judul kosong",""),IF('PC 07'!F309="","Genre kosong",IF(ISERROR(MATCH(TRIM('PC 07'!F309),{"Pop","Rock","Dangdut","K-Pop","Electronic","Nasional","Daerah"},0)),"Genre di luar daftar","")),IF('PC 07'!G309="","Nama Channel kosong",""),IF('PC 07'!H309="","Link kosong",IF(ISERROR(FIND("youtu",LOWER('PC 07'!H309))),"Link bukan youtube","")),IF('PC 07'!I309="","Tgl Dibuat kosong",IF(NOT(ISNUMBER('PC 07'!I309)),"Tgl Dibuat harus tanggal","")),IF(AND('PC 07'!J309&lt;&gt;"",NOT(ISNUMBER('PC 07'!J309))),"Tgl Publish harus tanggal",""),IF(AND(ISNUMBER('PC 07'!I309),ISNUMBER('PC 07'!J309),'PC 07'!J309&lt;'PC 07'!I309),"Tgl Publish &lt; Tgl Dibuat",""),IF(AND('PC 07'!K309&lt;&gt;"",ISERROR(MATCH(TRIM('PC 07'!K309),{"Draft","Menunggu Review","Revisi","Terjadwal","Publish","Batal","Published"},0))),"Status di luar daftar","")))</f>
        <v>#ERROR!</v>
      </c>
      <c r="D309" s="3" t="str">
        <f>IF(C309="","OK","ADA MASALAH")</f>
        <v>#ERROR!</v>
      </c>
    </row>
    <row r="310">
      <c r="A310" s="5">
        <v>310.0</v>
      </c>
      <c r="B310" s="3" t="str">
        <f>'PC 07'!A310</f>
        <v/>
      </c>
      <c r="C310" s="3" t="str">
        <f>IF(COUNTA('PC 07'!A310:L310)=0,"",TEXTJOIN(" | ",TRUE,IF('PC 07'!A310="","Worker ID kosong",""),IF('PC 07'!B310="","Update Date kosong",IF(NOT(ISNUMBER('PC 07'!B310)),"Update Date harus tanggal","")),IF('PC 07'!D310="","Judul kosong",""),IF('PC 07'!F310="","Genre kosong",IF(ISERROR(MATCH(TRIM('PC 07'!F310),{"Pop","Rock","Dangdut","K-Pop","Electronic","Nasional","Daerah"},0)),"Genre di luar daftar","")),IF('PC 07'!G310="","Nama Channel kosong",""),IF('PC 07'!H310="","Link kosong",IF(ISERROR(FIND("youtu",LOWER('PC 07'!H310))),"Link bukan youtube","")),IF('PC 07'!I310="","Tgl Dibuat kosong",IF(NOT(ISNUMBER('PC 07'!I310)),"Tgl Dibuat harus tanggal","")),IF(AND('PC 07'!J310&lt;&gt;"",NOT(ISNUMBER('PC 07'!J310))),"Tgl Publish harus tanggal",""),IF(AND(ISNUMBER('PC 07'!I310),ISNUMBER('PC 07'!J310),'PC 07'!J310&lt;'PC 07'!I310),"Tgl Publish &lt; Tgl Dibuat",""),IF(AND('PC 07'!K310&lt;&gt;"",ISERROR(MATCH(TRIM('PC 07'!K310),{"Draft","Menunggu Review","Revisi","Terjadwal","Publish","Batal","Published"},0))),"Status di luar daftar","")))</f>
        <v>#ERROR!</v>
      </c>
      <c r="D310" s="3" t="str">
        <f>IF(C310="","OK","ADA MASALAH")</f>
        <v>#ERROR!</v>
      </c>
    </row>
    <row r="311">
      <c r="A311" s="5">
        <v>311.0</v>
      </c>
      <c r="B311" s="3" t="str">
        <f>'PC 07'!A311</f>
        <v/>
      </c>
      <c r="C311" s="3" t="str">
        <f>IF(COUNTA('PC 07'!A311:L311)=0,"",TEXTJOIN(" | ",TRUE,IF('PC 07'!A311="","Worker ID kosong",""),IF('PC 07'!B311="","Update Date kosong",IF(NOT(ISNUMBER('PC 07'!B311)),"Update Date harus tanggal","")),IF('PC 07'!D311="","Judul kosong",""),IF('PC 07'!F311="","Genre kosong",IF(ISERROR(MATCH(TRIM('PC 07'!F311),{"Pop","Rock","Dangdut","K-Pop","Electronic","Nasional","Daerah"},0)),"Genre di luar daftar","")),IF('PC 07'!G311="","Nama Channel kosong",""),IF('PC 07'!H311="","Link kosong",IF(ISERROR(FIND("youtu",LOWER('PC 07'!H311))),"Link bukan youtube","")),IF('PC 07'!I311="","Tgl Dibuat kosong",IF(NOT(ISNUMBER('PC 07'!I311)),"Tgl Dibuat harus tanggal","")),IF(AND('PC 07'!J311&lt;&gt;"",NOT(ISNUMBER('PC 07'!J311))),"Tgl Publish harus tanggal",""),IF(AND(ISNUMBER('PC 07'!I311),ISNUMBER('PC 07'!J311),'PC 07'!J311&lt;'PC 07'!I311),"Tgl Publish &lt; Tgl Dibuat",""),IF(AND('PC 07'!K311&lt;&gt;"",ISERROR(MATCH(TRIM('PC 07'!K311),{"Draft","Menunggu Review","Revisi","Terjadwal","Publish","Batal","Published"},0))),"Status di luar daftar","")))</f>
        <v>#ERROR!</v>
      </c>
      <c r="D311" s="3" t="str">
        <f>IF(C311="","OK","ADA MASALAH")</f>
        <v>#ERROR!</v>
      </c>
    </row>
    <row r="312">
      <c r="A312" s="5">
        <v>312.0</v>
      </c>
      <c r="B312" s="3" t="str">
        <f>'PC 07'!A312</f>
        <v/>
      </c>
      <c r="C312" s="3" t="str">
        <f>IF(COUNTA('PC 07'!A312:L312)=0,"",TEXTJOIN(" | ",TRUE,IF('PC 07'!A312="","Worker ID kosong",""),IF('PC 07'!B312="","Update Date kosong",IF(NOT(ISNUMBER('PC 07'!B312)),"Update Date harus tanggal","")),IF('PC 07'!D312="","Judul kosong",""),IF('PC 07'!F312="","Genre kosong",IF(ISERROR(MATCH(TRIM('PC 07'!F312),{"Pop","Rock","Dangdut","K-Pop","Electronic","Nasional","Daerah"},0)),"Genre di luar daftar","")),IF('PC 07'!G312="","Nama Channel kosong",""),IF('PC 07'!H312="","Link kosong",IF(ISERROR(FIND("youtu",LOWER('PC 07'!H312))),"Link bukan youtube","")),IF('PC 07'!I312="","Tgl Dibuat kosong",IF(NOT(ISNUMBER('PC 07'!I312)),"Tgl Dibuat harus tanggal","")),IF(AND('PC 07'!J312&lt;&gt;"",NOT(ISNUMBER('PC 07'!J312))),"Tgl Publish harus tanggal",""),IF(AND(ISNUMBER('PC 07'!I312),ISNUMBER('PC 07'!J312),'PC 07'!J312&lt;'PC 07'!I312),"Tgl Publish &lt; Tgl Dibuat",""),IF(AND('PC 07'!K312&lt;&gt;"",ISERROR(MATCH(TRIM('PC 07'!K312),{"Draft","Menunggu Review","Revisi","Terjadwal","Publish","Batal","Published"},0))),"Status di luar daftar","")))</f>
        <v>#ERROR!</v>
      </c>
      <c r="D312" s="3" t="str">
        <f>IF(C312="","OK","ADA MASALAH")</f>
        <v>#ERROR!</v>
      </c>
    </row>
    <row r="313">
      <c r="A313" s="5">
        <v>313.0</v>
      </c>
      <c r="B313" s="3" t="str">
        <f>'PC 07'!A313</f>
        <v/>
      </c>
      <c r="C313" s="3" t="str">
        <f>IF(COUNTA('PC 07'!A313:L313)=0,"",TEXTJOIN(" | ",TRUE,IF('PC 07'!A313="","Worker ID kosong",""),IF('PC 07'!B313="","Update Date kosong",IF(NOT(ISNUMBER('PC 07'!B313)),"Update Date harus tanggal","")),IF('PC 07'!D313="","Judul kosong",""),IF('PC 07'!F313="","Genre kosong",IF(ISERROR(MATCH(TRIM('PC 07'!F313),{"Pop","Rock","Dangdut","K-Pop","Electronic","Nasional","Daerah"},0)),"Genre di luar daftar","")),IF('PC 07'!G313="","Nama Channel kosong",""),IF('PC 07'!H313="","Link kosong",IF(ISERROR(FIND("youtu",LOWER('PC 07'!H313))),"Link bukan youtube","")),IF('PC 07'!I313="","Tgl Dibuat kosong",IF(NOT(ISNUMBER('PC 07'!I313)),"Tgl Dibuat harus tanggal","")),IF(AND('PC 07'!J313&lt;&gt;"",NOT(ISNUMBER('PC 07'!J313))),"Tgl Publish harus tanggal",""),IF(AND(ISNUMBER('PC 07'!I313),ISNUMBER('PC 07'!J313),'PC 07'!J313&lt;'PC 07'!I313),"Tgl Publish &lt; Tgl Dibuat",""),IF(AND('PC 07'!K313&lt;&gt;"",ISERROR(MATCH(TRIM('PC 07'!K313),{"Draft","Menunggu Review","Revisi","Terjadwal","Publish","Batal","Published"},0))),"Status di luar daftar","")))</f>
        <v>#ERROR!</v>
      </c>
      <c r="D313" s="3" t="str">
        <f>IF(C313="","OK","ADA MASALAH")</f>
        <v>#ERROR!</v>
      </c>
    </row>
    <row r="314">
      <c r="A314" s="5">
        <v>314.0</v>
      </c>
      <c r="B314" s="3" t="str">
        <f>'PC 07'!A314</f>
        <v/>
      </c>
      <c r="C314" s="3" t="str">
        <f>IF(COUNTA('PC 07'!A314:L314)=0,"",TEXTJOIN(" | ",TRUE,IF('PC 07'!A314="","Worker ID kosong",""),IF('PC 07'!B314="","Update Date kosong",IF(NOT(ISNUMBER('PC 07'!B314)),"Update Date harus tanggal","")),IF('PC 07'!D314="","Judul kosong",""),IF('PC 07'!F314="","Genre kosong",IF(ISERROR(MATCH(TRIM('PC 07'!F314),{"Pop","Rock","Dangdut","K-Pop","Electronic","Nasional","Daerah"},0)),"Genre di luar daftar","")),IF('PC 07'!G314="","Nama Channel kosong",""),IF('PC 07'!H314="","Link kosong",IF(ISERROR(FIND("youtu",LOWER('PC 07'!H314))),"Link bukan youtube","")),IF('PC 07'!I314="","Tgl Dibuat kosong",IF(NOT(ISNUMBER('PC 07'!I314)),"Tgl Dibuat harus tanggal","")),IF(AND('PC 07'!J314&lt;&gt;"",NOT(ISNUMBER('PC 07'!J314))),"Tgl Publish harus tanggal",""),IF(AND(ISNUMBER('PC 07'!I314),ISNUMBER('PC 07'!J314),'PC 07'!J314&lt;'PC 07'!I314),"Tgl Publish &lt; Tgl Dibuat",""),IF(AND('PC 07'!K314&lt;&gt;"",ISERROR(MATCH(TRIM('PC 07'!K314),{"Draft","Menunggu Review","Revisi","Terjadwal","Publish","Batal","Published"},0))),"Status di luar daftar","")))</f>
        <v>#ERROR!</v>
      </c>
      <c r="D314" s="3" t="str">
        <f>IF(C314="","OK","ADA MASALAH")</f>
        <v>#ERROR!</v>
      </c>
    </row>
    <row r="315">
      <c r="A315" s="5">
        <v>315.0</v>
      </c>
      <c r="B315" s="3" t="str">
        <f>'PC 07'!A315</f>
        <v/>
      </c>
      <c r="C315" s="3" t="str">
        <f>IF(COUNTA('PC 07'!A315:L315)=0,"",TEXTJOIN(" | ",TRUE,IF('PC 07'!A315="","Worker ID kosong",""),IF('PC 07'!B315="","Update Date kosong",IF(NOT(ISNUMBER('PC 07'!B315)),"Update Date harus tanggal","")),IF('PC 07'!D315="","Judul kosong",""),IF('PC 07'!F315="","Genre kosong",IF(ISERROR(MATCH(TRIM('PC 07'!F315),{"Pop","Rock","Dangdut","K-Pop","Electronic","Nasional","Daerah"},0)),"Genre di luar daftar","")),IF('PC 07'!G315="","Nama Channel kosong",""),IF('PC 07'!H315="","Link kosong",IF(ISERROR(FIND("youtu",LOWER('PC 07'!H315))),"Link bukan youtube","")),IF('PC 07'!I315="","Tgl Dibuat kosong",IF(NOT(ISNUMBER('PC 07'!I315)),"Tgl Dibuat harus tanggal","")),IF(AND('PC 07'!J315&lt;&gt;"",NOT(ISNUMBER('PC 07'!J315))),"Tgl Publish harus tanggal",""),IF(AND(ISNUMBER('PC 07'!I315),ISNUMBER('PC 07'!J315),'PC 07'!J315&lt;'PC 07'!I315),"Tgl Publish &lt; Tgl Dibuat",""),IF(AND('PC 07'!K315&lt;&gt;"",ISERROR(MATCH(TRIM('PC 07'!K315),{"Draft","Menunggu Review","Revisi","Terjadwal","Publish","Batal","Published"},0))),"Status di luar daftar","")))</f>
        <v>#ERROR!</v>
      </c>
      <c r="D315" s="3" t="str">
        <f>IF(C315="","OK","ADA MASALAH")</f>
        <v>#ERROR!</v>
      </c>
    </row>
    <row r="316">
      <c r="A316" s="5">
        <v>316.0</v>
      </c>
      <c r="B316" s="3" t="str">
        <f>'PC 07'!A316</f>
        <v/>
      </c>
      <c r="C316" s="3" t="str">
        <f>IF(COUNTA('PC 07'!A316:L316)=0,"",TEXTJOIN(" | ",TRUE,IF('PC 07'!A316="","Worker ID kosong",""),IF('PC 07'!B316="","Update Date kosong",IF(NOT(ISNUMBER('PC 07'!B316)),"Update Date harus tanggal","")),IF('PC 07'!D316="","Judul kosong",""),IF('PC 07'!F316="","Genre kosong",IF(ISERROR(MATCH(TRIM('PC 07'!F316),{"Pop","Rock","Dangdut","K-Pop","Electronic","Nasional","Daerah"},0)),"Genre di luar daftar","")),IF('PC 07'!G316="","Nama Channel kosong",""),IF('PC 07'!H316="","Link kosong",IF(ISERROR(FIND("youtu",LOWER('PC 07'!H316))),"Link bukan youtube","")),IF('PC 07'!I316="","Tgl Dibuat kosong",IF(NOT(ISNUMBER('PC 07'!I316)),"Tgl Dibuat harus tanggal","")),IF(AND('PC 07'!J316&lt;&gt;"",NOT(ISNUMBER('PC 07'!J316))),"Tgl Publish harus tanggal",""),IF(AND(ISNUMBER('PC 07'!I316),ISNUMBER('PC 07'!J316),'PC 07'!J316&lt;'PC 07'!I316),"Tgl Publish &lt; Tgl Dibuat",""),IF(AND('PC 07'!K316&lt;&gt;"",ISERROR(MATCH(TRIM('PC 07'!K316),{"Draft","Menunggu Review","Revisi","Terjadwal","Publish","Batal","Published"},0))),"Status di luar daftar","")))</f>
        <v>#ERROR!</v>
      </c>
      <c r="D316" s="3" t="str">
        <f>IF(C316="","OK","ADA MASALAH")</f>
        <v>#ERROR!</v>
      </c>
    </row>
    <row r="317">
      <c r="A317" s="5">
        <v>317.0</v>
      </c>
      <c r="B317" s="3" t="str">
        <f>'PC 07'!A317</f>
        <v/>
      </c>
      <c r="C317" s="3" t="str">
        <f>IF(COUNTA('PC 07'!A317:L317)=0,"",TEXTJOIN(" | ",TRUE,IF('PC 07'!A317="","Worker ID kosong",""),IF('PC 07'!B317="","Update Date kosong",IF(NOT(ISNUMBER('PC 07'!B317)),"Update Date harus tanggal","")),IF('PC 07'!D317="","Judul kosong",""),IF('PC 07'!F317="","Genre kosong",IF(ISERROR(MATCH(TRIM('PC 07'!F317),{"Pop","Rock","Dangdut","K-Pop","Electronic","Nasional","Daerah"},0)),"Genre di luar daftar","")),IF('PC 07'!G317="","Nama Channel kosong",""),IF('PC 07'!H317="","Link kosong",IF(ISERROR(FIND("youtu",LOWER('PC 07'!H317))),"Link bukan youtube","")),IF('PC 07'!I317="","Tgl Dibuat kosong",IF(NOT(ISNUMBER('PC 07'!I317)),"Tgl Dibuat harus tanggal","")),IF(AND('PC 07'!J317&lt;&gt;"",NOT(ISNUMBER('PC 07'!J317))),"Tgl Publish harus tanggal",""),IF(AND(ISNUMBER('PC 07'!I317),ISNUMBER('PC 07'!J317),'PC 07'!J317&lt;'PC 07'!I317),"Tgl Publish &lt; Tgl Dibuat",""),IF(AND('PC 07'!K317&lt;&gt;"",ISERROR(MATCH(TRIM('PC 07'!K317),{"Draft","Menunggu Review","Revisi","Terjadwal","Publish","Batal","Published"},0))),"Status di luar daftar","")))</f>
        <v>#ERROR!</v>
      </c>
      <c r="D317" s="3" t="str">
        <f>IF(C317="","OK","ADA MASALAH")</f>
        <v>#ERROR!</v>
      </c>
    </row>
    <row r="318">
      <c r="A318" s="5">
        <v>318.0</v>
      </c>
      <c r="B318" s="3" t="str">
        <f>'PC 07'!A318</f>
        <v/>
      </c>
      <c r="C318" s="3" t="str">
        <f>IF(COUNTA('PC 07'!A318:L318)=0,"",TEXTJOIN(" | ",TRUE,IF('PC 07'!A318="","Worker ID kosong",""),IF('PC 07'!B318="","Update Date kosong",IF(NOT(ISNUMBER('PC 07'!B318)),"Update Date harus tanggal","")),IF('PC 07'!D318="","Judul kosong",""),IF('PC 07'!F318="","Genre kosong",IF(ISERROR(MATCH(TRIM('PC 07'!F318),{"Pop","Rock","Dangdut","K-Pop","Electronic","Nasional","Daerah"},0)),"Genre di luar daftar","")),IF('PC 07'!G318="","Nama Channel kosong",""),IF('PC 07'!H318="","Link kosong",IF(ISERROR(FIND("youtu",LOWER('PC 07'!H318))),"Link bukan youtube","")),IF('PC 07'!I318="","Tgl Dibuat kosong",IF(NOT(ISNUMBER('PC 07'!I318)),"Tgl Dibuat harus tanggal","")),IF(AND('PC 07'!J318&lt;&gt;"",NOT(ISNUMBER('PC 07'!J318))),"Tgl Publish harus tanggal",""),IF(AND(ISNUMBER('PC 07'!I318),ISNUMBER('PC 07'!J318),'PC 07'!J318&lt;'PC 07'!I318),"Tgl Publish &lt; Tgl Dibuat",""),IF(AND('PC 07'!K318&lt;&gt;"",ISERROR(MATCH(TRIM('PC 07'!K318),{"Draft","Menunggu Review","Revisi","Terjadwal","Publish","Batal","Published"},0))),"Status di luar daftar","")))</f>
        <v>#ERROR!</v>
      </c>
      <c r="D318" s="3" t="str">
        <f>IF(C318="","OK","ADA MASALAH")</f>
        <v>#ERROR!</v>
      </c>
    </row>
    <row r="319">
      <c r="A319" s="5">
        <v>319.0</v>
      </c>
      <c r="B319" s="3" t="str">
        <f>'PC 07'!A319</f>
        <v/>
      </c>
      <c r="C319" s="3" t="str">
        <f>IF(COUNTA('PC 07'!A319:L319)=0,"",TEXTJOIN(" | ",TRUE,IF('PC 07'!A319="","Worker ID kosong",""),IF('PC 07'!B319="","Update Date kosong",IF(NOT(ISNUMBER('PC 07'!B319)),"Update Date harus tanggal","")),IF('PC 07'!D319="","Judul kosong",""),IF('PC 07'!F319="","Genre kosong",IF(ISERROR(MATCH(TRIM('PC 07'!F319),{"Pop","Rock","Dangdut","K-Pop","Electronic","Nasional","Daerah"},0)),"Genre di luar daftar","")),IF('PC 07'!G319="","Nama Channel kosong",""),IF('PC 07'!H319="","Link kosong",IF(ISERROR(FIND("youtu",LOWER('PC 07'!H319))),"Link bukan youtube","")),IF('PC 07'!I319="","Tgl Dibuat kosong",IF(NOT(ISNUMBER('PC 07'!I319)),"Tgl Dibuat harus tanggal","")),IF(AND('PC 07'!J319&lt;&gt;"",NOT(ISNUMBER('PC 07'!J319))),"Tgl Publish harus tanggal",""),IF(AND(ISNUMBER('PC 07'!I319),ISNUMBER('PC 07'!J319),'PC 07'!J319&lt;'PC 07'!I319),"Tgl Publish &lt; Tgl Dibuat",""),IF(AND('PC 07'!K319&lt;&gt;"",ISERROR(MATCH(TRIM('PC 07'!K319),{"Draft","Menunggu Review","Revisi","Terjadwal","Publish","Batal","Published"},0))),"Status di luar daftar","")))</f>
        <v>#ERROR!</v>
      </c>
      <c r="D319" s="3" t="str">
        <f>IF(C319="","OK","ADA MASALAH")</f>
        <v>#ERROR!</v>
      </c>
    </row>
    <row r="320">
      <c r="A320" s="5">
        <v>320.0</v>
      </c>
      <c r="B320" s="3" t="str">
        <f>'PC 07'!A320</f>
        <v/>
      </c>
      <c r="C320" s="3" t="str">
        <f>IF(COUNTA('PC 07'!A320:L320)=0,"",TEXTJOIN(" | ",TRUE,IF('PC 07'!A320="","Worker ID kosong",""),IF('PC 07'!B320="","Update Date kosong",IF(NOT(ISNUMBER('PC 07'!B320)),"Update Date harus tanggal","")),IF('PC 07'!D320="","Judul kosong",""),IF('PC 07'!F320="","Genre kosong",IF(ISERROR(MATCH(TRIM('PC 07'!F320),{"Pop","Rock","Dangdut","K-Pop","Electronic","Nasional","Daerah"},0)),"Genre di luar daftar","")),IF('PC 07'!G320="","Nama Channel kosong",""),IF('PC 07'!H320="","Link kosong",IF(ISERROR(FIND("youtu",LOWER('PC 07'!H320))),"Link bukan youtube","")),IF('PC 07'!I320="","Tgl Dibuat kosong",IF(NOT(ISNUMBER('PC 07'!I320)),"Tgl Dibuat harus tanggal","")),IF(AND('PC 07'!J320&lt;&gt;"",NOT(ISNUMBER('PC 07'!J320))),"Tgl Publish harus tanggal",""),IF(AND(ISNUMBER('PC 07'!I320),ISNUMBER('PC 07'!J320),'PC 07'!J320&lt;'PC 07'!I320),"Tgl Publish &lt; Tgl Dibuat",""),IF(AND('PC 07'!K320&lt;&gt;"",ISERROR(MATCH(TRIM('PC 07'!K320),{"Draft","Menunggu Review","Revisi","Terjadwal","Publish","Batal","Published"},0))),"Status di luar daftar","")))</f>
        <v>#ERROR!</v>
      </c>
      <c r="D320" s="3" t="str">
        <f>IF(C320="","OK","ADA MASALAH")</f>
        <v>#ERROR!</v>
      </c>
    </row>
    <row r="321">
      <c r="A321" s="5">
        <v>321.0</v>
      </c>
      <c r="B321" s="3" t="str">
        <f>'PC 07'!A321</f>
        <v/>
      </c>
      <c r="C321" s="3" t="str">
        <f>IF(COUNTA('PC 07'!A321:L321)=0,"",TEXTJOIN(" | ",TRUE,IF('PC 07'!A321="","Worker ID kosong",""),IF('PC 07'!B321="","Update Date kosong",IF(NOT(ISNUMBER('PC 07'!B321)),"Update Date harus tanggal","")),IF('PC 07'!D321="","Judul kosong",""),IF('PC 07'!F321="","Genre kosong",IF(ISERROR(MATCH(TRIM('PC 07'!F321),{"Pop","Rock","Dangdut","K-Pop","Electronic","Nasional","Daerah"},0)),"Genre di luar daftar","")),IF('PC 07'!G321="","Nama Channel kosong",""),IF('PC 07'!H321="","Link kosong",IF(ISERROR(FIND("youtu",LOWER('PC 07'!H321))),"Link bukan youtube","")),IF('PC 07'!I321="","Tgl Dibuat kosong",IF(NOT(ISNUMBER('PC 07'!I321)),"Tgl Dibuat harus tanggal","")),IF(AND('PC 07'!J321&lt;&gt;"",NOT(ISNUMBER('PC 07'!J321))),"Tgl Publish harus tanggal",""),IF(AND(ISNUMBER('PC 07'!I321),ISNUMBER('PC 07'!J321),'PC 07'!J321&lt;'PC 07'!I321),"Tgl Publish &lt; Tgl Dibuat",""),IF(AND('PC 07'!K321&lt;&gt;"",ISERROR(MATCH(TRIM('PC 07'!K321),{"Draft","Menunggu Review","Revisi","Terjadwal","Publish","Batal","Published"},0))),"Status di luar daftar","")))</f>
        <v>#ERROR!</v>
      </c>
      <c r="D321" s="3" t="str">
        <f>IF(C321="","OK","ADA MASALAH")</f>
        <v>#ERROR!</v>
      </c>
    </row>
    <row r="322">
      <c r="A322" s="5">
        <v>322.0</v>
      </c>
      <c r="B322" s="3" t="str">
        <f>'PC 07'!A322</f>
        <v/>
      </c>
      <c r="C322" s="3" t="str">
        <f>IF(COUNTA('PC 07'!A322:L322)=0,"",TEXTJOIN(" | ",TRUE,IF('PC 07'!A322="","Worker ID kosong",""),IF('PC 07'!B322="","Update Date kosong",IF(NOT(ISNUMBER('PC 07'!B322)),"Update Date harus tanggal","")),IF('PC 07'!D322="","Judul kosong",""),IF('PC 07'!F322="","Genre kosong",IF(ISERROR(MATCH(TRIM('PC 07'!F322),{"Pop","Rock","Dangdut","K-Pop","Electronic","Nasional","Daerah"},0)),"Genre di luar daftar","")),IF('PC 07'!G322="","Nama Channel kosong",""),IF('PC 07'!H322="","Link kosong",IF(ISERROR(FIND("youtu",LOWER('PC 07'!H322))),"Link bukan youtube","")),IF('PC 07'!I322="","Tgl Dibuat kosong",IF(NOT(ISNUMBER('PC 07'!I322)),"Tgl Dibuat harus tanggal","")),IF(AND('PC 07'!J322&lt;&gt;"",NOT(ISNUMBER('PC 07'!J322))),"Tgl Publish harus tanggal",""),IF(AND(ISNUMBER('PC 07'!I322),ISNUMBER('PC 07'!J322),'PC 07'!J322&lt;'PC 07'!I322),"Tgl Publish &lt; Tgl Dibuat",""),IF(AND('PC 07'!K322&lt;&gt;"",ISERROR(MATCH(TRIM('PC 07'!K322),{"Draft","Menunggu Review","Revisi","Terjadwal","Publish","Batal","Published"},0))),"Status di luar daftar","")))</f>
        <v>#ERROR!</v>
      </c>
      <c r="D322" s="3" t="str">
        <f>IF(C322="","OK","ADA MASALAH")</f>
        <v>#ERROR!</v>
      </c>
    </row>
    <row r="323">
      <c r="A323" s="5">
        <v>323.0</v>
      </c>
      <c r="B323" s="3" t="str">
        <f>'PC 07'!A323</f>
        <v/>
      </c>
      <c r="C323" s="3" t="str">
        <f>IF(COUNTA('PC 07'!A323:L323)=0,"",TEXTJOIN(" | ",TRUE,IF('PC 07'!A323="","Worker ID kosong",""),IF('PC 07'!B323="","Update Date kosong",IF(NOT(ISNUMBER('PC 07'!B323)),"Update Date harus tanggal","")),IF('PC 07'!D323="","Judul kosong",""),IF('PC 07'!F323="","Genre kosong",IF(ISERROR(MATCH(TRIM('PC 07'!F323),{"Pop","Rock","Dangdut","K-Pop","Electronic","Nasional","Daerah"},0)),"Genre di luar daftar","")),IF('PC 07'!G323="","Nama Channel kosong",""),IF('PC 07'!H323="","Link kosong",IF(ISERROR(FIND("youtu",LOWER('PC 07'!H323))),"Link bukan youtube","")),IF('PC 07'!I323="","Tgl Dibuat kosong",IF(NOT(ISNUMBER('PC 07'!I323)),"Tgl Dibuat harus tanggal","")),IF(AND('PC 07'!J323&lt;&gt;"",NOT(ISNUMBER('PC 07'!J323))),"Tgl Publish harus tanggal",""),IF(AND(ISNUMBER('PC 07'!I323),ISNUMBER('PC 07'!J323),'PC 07'!J323&lt;'PC 07'!I323),"Tgl Publish &lt; Tgl Dibuat",""),IF(AND('PC 07'!K323&lt;&gt;"",ISERROR(MATCH(TRIM('PC 07'!K323),{"Draft","Menunggu Review","Revisi","Terjadwal","Publish","Batal","Published"},0))),"Status di luar daftar","")))</f>
        <v>#ERROR!</v>
      </c>
      <c r="D323" s="3" t="str">
        <f>IF(C323="","OK","ADA MASALAH")</f>
        <v>#ERROR!</v>
      </c>
    </row>
    <row r="324">
      <c r="A324" s="5">
        <v>324.0</v>
      </c>
      <c r="B324" s="3" t="str">
        <f>'PC 07'!A324</f>
        <v/>
      </c>
      <c r="C324" s="3" t="str">
        <f>IF(COUNTA('PC 07'!A324:L324)=0,"",TEXTJOIN(" | ",TRUE,IF('PC 07'!A324="","Worker ID kosong",""),IF('PC 07'!B324="","Update Date kosong",IF(NOT(ISNUMBER('PC 07'!B324)),"Update Date harus tanggal","")),IF('PC 07'!D324="","Judul kosong",""),IF('PC 07'!F324="","Genre kosong",IF(ISERROR(MATCH(TRIM('PC 07'!F324),{"Pop","Rock","Dangdut","K-Pop","Electronic","Nasional","Daerah"},0)),"Genre di luar daftar","")),IF('PC 07'!G324="","Nama Channel kosong",""),IF('PC 07'!H324="","Link kosong",IF(ISERROR(FIND("youtu",LOWER('PC 07'!H324))),"Link bukan youtube","")),IF('PC 07'!I324="","Tgl Dibuat kosong",IF(NOT(ISNUMBER('PC 07'!I324)),"Tgl Dibuat harus tanggal","")),IF(AND('PC 07'!J324&lt;&gt;"",NOT(ISNUMBER('PC 07'!J324))),"Tgl Publish harus tanggal",""),IF(AND(ISNUMBER('PC 07'!I324),ISNUMBER('PC 07'!J324),'PC 07'!J324&lt;'PC 07'!I324),"Tgl Publish &lt; Tgl Dibuat",""),IF(AND('PC 07'!K324&lt;&gt;"",ISERROR(MATCH(TRIM('PC 07'!K324),{"Draft","Menunggu Review","Revisi","Terjadwal","Publish","Batal","Published"},0))),"Status di luar daftar","")))</f>
        <v>#ERROR!</v>
      </c>
      <c r="D324" s="3" t="str">
        <f>IF(C324="","OK","ADA MASALAH")</f>
        <v>#ERROR!</v>
      </c>
    </row>
    <row r="325">
      <c r="A325" s="5">
        <v>325.0</v>
      </c>
      <c r="B325" s="3" t="str">
        <f>'PC 07'!A325</f>
        <v/>
      </c>
      <c r="C325" s="3" t="str">
        <f>IF(COUNTA('PC 07'!A325:L325)=0,"",TEXTJOIN(" | ",TRUE,IF('PC 07'!A325="","Worker ID kosong",""),IF('PC 07'!B325="","Update Date kosong",IF(NOT(ISNUMBER('PC 07'!B325)),"Update Date harus tanggal","")),IF('PC 07'!D325="","Judul kosong",""),IF('PC 07'!F325="","Genre kosong",IF(ISERROR(MATCH(TRIM('PC 07'!F325),{"Pop","Rock","Dangdut","K-Pop","Electronic","Nasional","Daerah"},0)),"Genre di luar daftar","")),IF('PC 07'!G325="","Nama Channel kosong",""),IF('PC 07'!H325="","Link kosong",IF(ISERROR(FIND("youtu",LOWER('PC 07'!H325))),"Link bukan youtube","")),IF('PC 07'!I325="","Tgl Dibuat kosong",IF(NOT(ISNUMBER('PC 07'!I325)),"Tgl Dibuat harus tanggal","")),IF(AND('PC 07'!J325&lt;&gt;"",NOT(ISNUMBER('PC 07'!J325))),"Tgl Publish harus tanggal",""),IF(AND(ISNUMBER('PC 07'!I325),ISNUMBER('PC 07'!J325),'PC 07'!J325&lt;'PC 07'!I325),"Tgl Publish &lt; Tgl Dibuat",""),IF(AND('PC 07'!K325&lt;&gt;"",ISERROR(MATCH(TRIM('PC 07'!K325),{"Draft","Menunggu Review","Revisi","Terjadwal","Publish","Batal","Published"},0))),"Status di luar daftar","")))</f>
        <v>#ERROR!</v>
      </c>
      <c r="D325" s="3" t="str">
        <f>IF(C325="","OK","ADA MASALAH")</f>
        <v>#ERROR!</v>
      </c>
    </row>
    <row r="326">
      <c r="A326" s="5">
        <v>326.0</v>
      </c>
      <c r="B326" s="3" t="str">
        <f>'PC 07'!A326</f>
        <v/>
      </c>
      <c r="C326" s="3" t="str">
        <f>IF(COUNTA('PC 07'!A326:L326)=0,"",TEXTJOIN(" | ",TRUE,IF('PC 07'!A326="","Worker ID kosong",""),IF('PC 07'!B326="","Update Date kosong",IF(NOT(ISNUMBER('PC 07'!B326)),"Update Date harus tanggal","")),IF('PC 07'!D326="","Judul kosong",""),IF('PC 07'!F326="","Genre kosong",IF(ISERROR(MATCH(TRIM('PC 07'!F326),{"Pop","Rock","Dangdut","K-Pop","Electronic","Nasional","Daerah"},0)),"Genre di luar daftar","")),IF('PC 07'!G326="","Nama Channel kosong",""),IF('PC 07'!H326="","Link kosong",IF(ISERROR(FIND("youtu",LOWER('PC 07'!H326))),"Link bukan youtube","")),IF('PC 07'!I326="","Tgl Dibuat kosong",IF(NOT(ISNUMBER('PC 07'!I326)),"Tgl Dibuat harus tanggal","")),IF(AND('PC 07'!J326&lt;&gt;"",NOT(ISNUMBER('PC 07'!J326))),"Tgl Publish harus tanggal",""),IF(AND(ISNUMBER('PC 07'!I326),ISNUMBER('PC 07'!J326),'PC 07'!J326&lt;'PC 07'!I326),"Tgl Publish &lt; Tgl Dibuat",""),IF(AND('PC 07'!K326&lt;&gt;"",ISERROR(MATCH(TRIM('PC 07'!K326),{"Draft","Menunggu Review","Revisi","Terjadwal","Publish","Batal","Published"},0))),"Status di luar daftar","")))</f>
        <v>#ERROR!</v>
      </c>
      <c r="D326" s="3" t="str">
        <f>IF(C326="","OK","ADA MASALAH")</f>
        <v>#ERROR!</v>
      </c>
    </row>
    <row r="327">
      <c r="A327" s="5">
        <v>327.0</v>
      </c>
      <c r="B327" s="3" t="str">
        <f>'PC 07'!A327</f>
        <v/>
      </c>
      <c r="C327" s="3" t="str">
        <f>IF(COUNTA('PC 07'!A327:L327)=0,"",TEXTJOIN(" | ",TRUE,IF('PC 07'!A327="","Worker ID kosong",""),IF('PC 07'!B327="","Update Date kosong",IF(NOT(ISNUMBER('PC 07'!B327)),"Update Date harus tanggal","")),IF('PC 07'!D327="","Judul kosong",""),IF('PC 07'!F327="","Genre kosong",IF(ISERROR(MATCH(TRIM('PC 07'!F327),{"Pop","Rock","Dangdut","K-Pop","Electronic","Nasional","Daerah"},0)),"Genre di luar daftar","")),IF('PC 07'!G327="","Nama Channel kosong",""),IF('PC 07'!H327="","Link kosong",IF(ISERROR(FIND("youtu",LOWER('PC 07'!H327))),"Link bukan youtube","")),IF('PC 07'!I327="","Tgl Dibuat kosong",IF(NOT(ISNUMBER('PC 07'!I327)),"Tgl Dibuat harus tanggal","")),IF(AND('PC 07'!J327&lt;&gt;"",NOT(ISNUMBER('PC 07'!J327))),"Tgl Publish harus tanggal",""),IF(AND(ISNUMBER('PC 07'!I327),ISNUMBER('PC 07'!J327),'PC 07'!J327&lt;'PC 07'!I327),"Tgl Publish &lt; Tgl Dibuat",""),IF(AND('PC 07'!K327&lt;&gt;"",ISERROR(MATCH(TRIM('PC 07'!K327),{"Draft","Menunggu Review","Revisi","Terjadwal","Publish","Batal","Published"},0))),"Status di luar daftar","")))</f>
        <v>#ERROR!</v>
      </c>
      <c r="D327" s="3" t="str">
        <f>IF(C327="","OK","ADA MASALAH")</f>
        <v>#ERROR!</v>
      </c>
    </row>
    <row r="328">
      <c r="A328" s="5">
        <v>328.0</v>
      </c>
      <c r="B328" s="3" t="str">
        <f>'PC 07'!A328</f>
        <v/>
      </c>
      <c r="C328" s="3" t="str">
        <f>IF(COUNTA('PC 07'!A328:L328)=0,"",TEXTJOIN(" | ",TRUE,IF('PC 07'!A328="","Worker ID kosong",""),IF('PC 07'!B328="","Update Date kosong",IF(NOT(ISNUMBER('PC 07'!B328)),"Update Date harus tanggal","")),IF('PC 07'!D328="","Judul kosong",""),IF('PC 07'!F328="","Genre kosong",IF(ISERROR(MATCH(TRIM('PC 07'!F328),{"Pop","Rock","Dangdut","K-Pop","Electronic","Nasional","Daerah"},0)),"Genre di luar daftar","")),IF('PC 07'!G328="","Nama Channel kosong",""),IF('PC 07'!H328="","Link kosong",IF(ISERROR(FIND("youtu",LOWER('PC 07'!H328))),"Link bukan youtube","")),IF('PC 07'!I328="","Tgl Dibuat kosong",IF(NOT(ISNUMBER('PC 07'!I328)),"Tgl Dibuat harus tanggal","")),IF(AND('PC 07'!J328&lt;&gt;"",NOT(ISNUMBER('PC 07'!J328))),"Tgl Publish harus tanggal",""),IF(AND(ISNUMBER('PC 07'!I328),ISNUMBER('PC 07'!J328),'PC 07'!J328&lt;'PC 07'!I328),"Tgl Publish &lt; Tgl Dibuat",""),IF(AND('PC 07'!K328&lt;&gt;"",ISERROR(MATCH(TRIM('PC 07'!K328),{"Draft","Menunggu Review","Revisi","Terjadwal","Publish","Batal","Published"},0))),"Status di luar daftar","")))</f>
        <v>#ERROR!</v>
      </c>
      <c r="D328" s="3" t="str">
        <f>IF(C328="","OK","ADA MASALAH")</f>
        <v>#ERROR!</v>
      </c>
    </row>
    <row r="329">
      <c r="A329" s="5">
        <v>329.0</v>
      </c>
      <c r="B329" s="3" t="str">
        <f>'PC 07'!A329</f>
        <v/>
      </c>
      <c r="C329" s="3" t="str">
        <f>IF(COUNTA('PC 07'!A329:L329)=0,"",TEXTJOIN(" | ",TRUE,IF('PC 07'!A329="","Worker ID kosong",""),IF('PC 07'!B329="","Update Date kosong",IF(NOT(ISNUMBER('PC 07'!B329)),"Update Date harus tanggal","")),IF('PC 07'!D329="","Judul kosong",""),IF('PC 07'!F329="","Genre kosong",IF(ISERROR(MATCH(TRIM('PC 07'!F329),{"Pop","Rock","Dangdut","K-Pop","Electronic","Nasional","Daerah"},0)),"Genre di luar daftar","")),IF('PC 07'!G329="","Nama Channel kosong",""),IF('PC 07'!H329="","Link kosong",IF(ISERROR(FIND("youtu",LOWER('PC 07'!H329))),"Link bukan youtube","")),IF('PC 07'!I329="","Tgl Dibuat kosong",IF(NOT(ISNUMBER('PC 07'!I329)),"Tgl Dibuat harus tanggal","")),IF(AND('PC 07'!J329&lt;&gt;"",NOT(ISNUMBER('PC 07'!J329))),"Tgl Publish harus tanggal",""),IF(AND(ISNUMBER('PC 07'!I329),ISNUMBER('PC 07'!J329),'PC 07'!J329&lt;'PC 07'!I329),"Tgl Publish &lt; Tgl Dibuat",""),IF(AND('PC 07'!K329&lt;&gt;"",ISERROR(MATCH(TRIM('PC 07'!K329),{"Draft","Menunggu Review","Revisi","Terjadwal","Publish","Batal","Published"},0))),"Status di luar daftar","")))</f>
        <v>#ERROR!</v>
      </c>
      <c r="D329" s="3" t="str">
        <f>IF(C329="","OK","ADA MASALAH")</f>
        <v>#ERROR!</v>
      </c>
    </row>
    <row r="330">
      <c r="A330" s="5">
        <v>330.0</v>
      </c>
      <c r="B330" s="3" t="str">
        <f>'PC 07'!A330</f>
        <v/>
      </c>
      <c r="C330" s="3" t="str">
        <f>IF(COUNTA('PC 07'!A330:L330)=0,"",TEXTJOIN(" | ",TRUE,IF('PC 07'!A330="","Worker ID kosong",""),IF('PC 07'!B330="","Update Date kosong",IF(NOT(ISNUMBER('PC 07'!B330)),"Update Date harus tanggal","")),IF('PC 07'!D330="","Judul kosong",""),IF('PC 07'!F330="","Genre kosong",IF(ISERROR(MATCH(TRIM('PC 07'!F330),{"Pop","Rock","Dangdut","K-Pop","Electronic","Nasional","Daerah"},0)),"Genre di luar daftar","")),IF('PC 07'!G330="","Nama Channel kosong",""),IF('PC 07'!H330="","Link kosong",IF(ISERROR(FIND("youtu",LOWER('PC 07'!H330))),"Link bukan youtube","")),IF('PC 07'!I330="","Tgl Dibuat kosong",IF(NOT(ISNUMBER('PC 07'!I330)),"Tgl Dibuat harus tanggal","")),IF(AND('PC 07'!J330&lt;&gt;"",NOT(ISNUMBER('PC 07'!J330))),"Tgl Publish harus tanggal",""),IF(AND(ISNUMBER('PC 07'!I330),ISNUMBER('PC 07'!J330),'PC 07'!J330&lt;'PC 07'!I330),"Tgl Publish &lt; Tgl Dibuat",""),IF(AND('PC 07'!K330&lt;&gt;"",ISERROR(MATCH(TRIM('PC 07'!K330),{"Draft","Menunggu Review","Revisi","Terjadwal","Publish","Batal","Published"},0))),"Status di luar daftar","")))</f>
        <v>#ERROR!</v>
      </c>
      <c r="D330" s="3" t="str">
        <f>IF(C330="","OK","ADA MASALAH")</f>
        <v>#ERROR!</v>
      </c>
    </row>
    <row r="331">
      <c r="A331" s="5">
        <v>331.0</v>
      </c>
      <c r="B331" s="3" t="str">
        <f>'PC 07'!A331</f>
        <v/>
      </c>
      <c r="C331" s="3" t="str">
        <f>IF(COUNTA('PC 07'!A331:L331)=0,"",TEXTJOIN(" | ",TRUE,IF('PC 07'!A331="","Worker ID kosong",""),IF('PC 07'!B331="","Update Date kosong",IF(NOT(ISNUMBER('PC 07'!B331)),"Update Date harus tanggal","")),IF('PC 07'!D331="","Judul kosong",""),IF('PC 07'!F331="","Genre kosong",IF(ISERROR(MATCH(TRIM('PC 07'!F331),{"Pop","Rock","Dangdut","K-Pop","Electronic","Nasional","Daerah"},0)),"Genre di luar daftar","")),IF('PC 07'!G331="","Nama Channel kosong",""),IF('PC 07'!H331="","Link kosong",IF(ISERROR(FIND("youtu",LOWER('PC 07'!H331))),"Link bukan youtube","")),IF('PC 07'!I331="","Tgl Dibuat kosong",IF(NOT(ISNUMBER('PC 07'!I331)),"Tgl Dibuat harus tanggal","")),IF(AND('PC 07'!J331&lt;&gt;"",NOT(ISNUMBER('PC 07'!J331))),"Tgl Publish harus tanggal",""),IF(AND(ISNUMBER('PC 07'!I331),ISNUMBER('PC 07'!J331),'PC 07'!J331&lt;'PC 07'!I331),"Tgl Publish &lt; Tgl Dibuat",""),IF(AND('PC 07'!K331&lt;&gt;"",ISERROR(MATCH(TRIM('PC 07'!K331),{"Draft","Menunggu Review","Revisi","Terjadwal","Publish","Batal","Published"},0))),"Status di luar daftar","")))</f>
        <v>#ERROR!</v>
      </c>
      <c r="D331" s="3" t="str">
        <f>IF(C331="","OK","ADA MASALAH")</f>
        <v>#ERROR!</v>
      </c>
    </row>
    <row r="332">
      <c r="A332" s="5">
        <v>332.0</v>
      </c>
      <c r="B332" s="3" t="str">
        <f>'PC 07'!A332</f>
        <v/>
      </c>
      <c r="C332" s="3" t="str">
        <f>IF(COUNTA('PC 07'!A332:L332)=0,"",TEXTJOIN(" | ",TRUE,IF('PC 07'!A332="","Worker ID kosong",""),IF('PC 07'!B332="","Update Date kosong",IF(NOT(ISNUMBER('PC 07'!B332)),"Update Date harus tanggal","")),IF('PC 07'!D332="","Judul kosong",""),IF('PC 07'!F332="","Genre kosong",IF(ISERROR(MATCH(TRIM('PC 07'!F332),{"Pop","Rock","Dangdut","K-Pop","Electronic","Nasional","Daerah"},0)),"Genre di luar daftar","")),IF('PC 07'!G332="","Nama Channel kosong",""),IF('PC 07'!H332="","Link kosong",IF(ISERROR(FIND("youtu",LOWER('PC 07'!H332))),"Link bukan youtube","")),IF('PC 07'!I332="","Tgl Dibuat kosong",IF(NOT(ISNUMBER('PC 07'!I332)),"Tgl Dibuat harus tanggal","")),IF(AND('PC 07'!J332&lt;&gt;"",NOT(ISNUMBER('PC 07'!J332))),"Tgl Publish harus tanggal",""),IF(AND(ISNUMBER('PC 07'!I332),ISNUMBER('PC 07'!J332),'PC 07'!J332&lt;'PC 07'!I332),"Tgl Publish &lt; Tgl Dibuat",""),IF(AND('PC 07'!K332&lt;&gt;"",ISERROR(MATCH(TRIM('PC 07'!K332),{"Draft","Menunggu Review","Revisi","Terjadwal","Publish","Batal","Published"},0))),"Status di luar daftar","")))</f>
        <v>#ERROR!</v>
      </c>
      <c r="D332" s="3" t="str">
        <f>IF(C332="","OK","ADA MASALAH")</f>
        <v>#ERROR!</v>
      </c>
    </row>
    <row r="333">
      <c r="A333" s="5">
        <v>333.0</v>
      </c>
      <c r="B333" s="3" t="str">
        <f>'PC 07'!A333</f>
        <v/>
      </c>
      <c r="C333" s="3" t="str">
        <f>IF(COUNTA('PC 07'!A333:L333)=0,"",TEXTJOIN(" | ",TRUE,IF('PC 07'!A333="","Worker ID kosong",""),IF('PC 07'!B333="","Update Date kosong",IF(NOT(ISNUMBER('PC 07'!B333)),"Update Date harus tanggal","")),IF('PC 07'!D333="","Judul kosong",""),IF('PC 07'!F333="","Genre kosong",IF(ISERROR(MATCH(TRIM('PC 07'!F333),{"Pop","Rock","Dangdut","K-Pop","Electronic","Nasional","Daerah"},0)),"Genre di luar daftar","")),IF('PC 07'!G333="","Nama Channel kosong",""),IF('PC 07'!H333="","Link kosong",IF(ISERROR(FIND("youtu",LOWER('PC 07'!H333))),"Link bukan youtube","")),IF('PC 07'!I333="","Tgl Dibuat kosong",IF(NOT(ISNUMBER('PC 07'!I333)),"Tgl Dibuat harus tanggal","")),IF(AND('PC 07'!J333&lt;&gt;"",NOT(ISNUMBER('PC 07'!J333))),"Tgl Publish harus tanggal",""),IF(AND(ISNUMBER('PC 07'!I333),ISNUMBER('PC 07'!J333),'PC 07'!J333&lt;'PC 07'!I333),"Tgl Publish &lt; Tgl Dibuat",""),IF(AND('PC 07'!K333&lt;&gt;"",ISERROR(MATCH(TRIM('PC 07'!K333),{"Draft","Menunggu Review","Revisi","Terjadwal","Publish","Batal","Published"},0))),"Status di luar daftar","")))</f>
        <v>#ERROR!</v>
      </c>
      <c r="D333" s="3" t="str">
        <f>IF(C333="","OK","ADA MASALAH")</f>
        <v>#ERROR!</v>
      </c>
    </row>
    <row r="334">
      <c r="A334" s="5">
        <v>334.0</v>
      </c>
      <c r="B334" s="3" t="str">
        <f>'PC 07'!A334</f>
        <v/>
      </c>
      <c r="C334" s="3" t="str">
        <f>IF(COUNTA('PC 07'!A334:L334)=0,"",TEXTJOIN(" | ",TRUE,IF('PC 07'!A334="","Worker ID kosong",""),IF('PC 07'!B334="","Update Date kosong",IF(NOT(ISNUMBER('PC 07'!B334)),"Update Date harus tanggal","")),IF('PC 07'!D334="","Judul kosong",""),IF('PC 07'!F334="","Genre kosong",IF(ISERROR(MATCH(TRIM('PC 07'!F334),{"Pop","Rock","Dangdut","K-Pop","Electronic","Nasional","Daerah"},0)),"Genre di luar daftar","")),IF('PC 07'!G334="","Nama Channel kosong",""),IF('PC 07'!H334="","Link kosong",IF(ISERROR(FIND("youtu",LOWER('PC 07'!H334))),"Link bukan youtube","")),IF('PC 07'!I334="","Tgl Dibuat kosong",IF(NOT(ISNUMBER('PC 07'!I334)),"Tgl Dibuat harus tanggal","")),IF(AND('PC 07'!J334&lt;&gt;"",NOT(ISNUMBER('PC 07'!J334))),"Tgl Publish harus tanggal",""),IF(AND(ISNUMBER('PC 07'!I334),ISNUMBER('PC 07'!J334),'PC 07'!J334&lt;'PC 07'!I334),"Tgl Publish &lt; Tgl Dibuat",""),IF(AND('PC 07'!K334&lt;&gt;"",ISERROR(MATCH(TRIM('PC 07'!K334),{"Draft","Menunggu Review","Revisi","Terjadwal","Publish","Batal","Published"},0))),"Status di luar daftar","")))</f>
        <v>#ERROR!</v>
      </c>
      <c r="D334" s="3" t="str">
        <f>IF(C334="","OK","ADA MASALAH")</f>
        <v>#ERROR!</v>
      </c>
    </row>
    <row r="335">
      <c r="A335" s="5">
        <v>335.0</v>
      </c>
      <c r="B335" s="3" t="str">
        <f>'PC 07'!A335</f>
        <v/>
      </c>
      <c r="C335" s="3" t="str">
        <f>IF(COUNTA('PC 07'!A335:L335)=0,"",TEXTJOIN(" | ",TRUE,IF('PC 07'!A335="","Worker ID kosong",""),IF('PC 07'!B335="","Update Date kosong",IF(NOT(ISNUMBER('PC 07'!B335)),"Update Date harus tanggal","")),IF('PC 07'!D335="","Judul kosong",""),IF('PC 07'!F335="","Genre kosong",IF(ISERROR(MATCH(TRIM('PC 07'!F335),{"Pop","Rock","Dangdut","K-Pop","Electronic","Nasional","Daerah"},0)),"Genre di luar daftar","")),IF('PC 07'!G335="","Nama Channel kosong",""),IF('PC 07'!H335="","Link kosong",IF(ISERROR(FIND("youtu",LOWER('PC 07'!H335))),"Link bukan youtube","")),IF('PC 07'!I335="","Tgl Dibuat kosong",IF(NOT(ISNUMBER('PC 07'!I335)),"Tgl Dibuat harus tanggal","")),IF(AND('PC 07'!J335&lt;&gt;"",NOT(ISNUMBER('PC 07'!J335))),"Tgl Publish harus tanggal",""),IF(AND(ISNUMBER('PC 07'!I335),ISNUMBER('PC 07'!J335),'PC 07'!J335&lt;'PC 07'!I335),"Tgl Publish &lt; Tgl Dibuat",""),IF(AND('PC 07'!K335&lt;&gt;"",ISERROR(MATCH(TRIM('PC 07'!K335),{"Draft","Menunggu Review","Revisi","Terjadwal","Publish","Batal","Published"},0))),"Status di luar daftar","")))</f>
        <v>#ERROR!</v>
      </c>
      <c r="D335" s="3" t="str">
        <f>IF(C335="","OK","ADA MASALAH")</f>
        <v>#ERROR!</v>
      </c>
    </row>
    <row r="336">
      <c r="A336" s="5">
        <v>336.0</v>
      </c>
      <c r="B336" s="3" t="str">
        <f>'PC 07'!A336</f>
        <v/>
      </c>
      <c r="C336" s="3" t="str">
        <f>IF(COUNTA('PC 07'!A336:L336)=0,"",TEXTJOIN(" | ",TRUE,IF('PC 07'!A336="","Worker ID kosong",""),IF('PC 07'!B336="","Update Date kosong",IF(NOT(ISNUMBER('PC 07'!B336)),"Update Date harus tanggal","")),IF('PC 07'!D336="","Judul kosong",""),IF('PC 07'!F336="","Genre kosong",IF(ISERROR(MATCH(TRIM('PC 07'!F336),{"Pop","Rock","Dangdut","K-Pop","Electronic","Nasional","Daerah"},0)),"Genre di luar daftar","")),IF('PC 07'!G336="","Nama Channel kosong",""),IF('PC 07'!H336="","Link kosong",IF(ISERROR(FIND("youtu",LOWER('PC 07'!H336))),"Link bukan youtube","")),IF('PC 07'!I336="","Tgl Dibuat kosong",IF(NOT(ISNUMBER('PC 07'!I336)),"Tgl Dibuat harus tanggal","")),IF(AND('PC 07'!J336&lt;&gt;"",NOT(ISNUMBER('PC 07'!J336))),"Tgl Publish harus tanggal",""),IF(AND(ISNUMBER('PC 07'!I336),ISNUMBER('PC 07'!J336),'PC 07'!J336&lt;'PC 07'!I336),"Tgl Publish &lt; Tgl Dibuat",""),IF(AND('PC 07'!K336&lt;&gt;"",ISERROR(MATCH(TRIM('PC 07'!K336),{"Draft","Menunggu Review","Revisi","Terjadwal","Publish","Batal","Published"},0))),"Status di luar daftar","")))</f>
        <v>#ERROR!</v>
      </c>
      <c r="D336" s="3" t="str">
        <f>IF(C336="","OK","ADA MASALAH")</f>
        <v>#ERROR!</v>
      </c>
    </row>
    <row r="337">
      <c r="A337" s="5">
        <v>337.0</v>
      </c>
      <c r="B337" s="3" t="str">
        <f>'PC 07'!A337</f>
        <v/>
      </c>
      <c r="C337" s="3" t="str">
        <f>IF(COUNTA('PC 07'!A337:L337)=0,"",TEXTJOIN(" | ",TRUE,IF('PC 07'!A337="","Worker ID kosong",""),IF('PC 07'!B337="","Update Date kosong",IF(NOT(ISNUMBER('PC 07'!B337)),"Update Date harus tanggal","")),IF('PC 07'!D337="","Judul kosong",""),IF('PC 07'!F337="","Genre kosong",IF(ISERROR(MATCH(TRIM('PC 07'!F337),{"Pop","Rock","Dangdut","K-Pop","Electronic","Nasional","Daerah"},0)),"Genre di luar daftar","")),IF('PC 07'!G337="","Nama Channel kosong",""),IF('PC 07'!H337="","Link kosong",IF(ISERROR(FIND("youtu",LOWER('PC 07'!H337))),"Link bukan youtube","")),IF('PC 07'!I337="","Tgl Dibuat kosong",IF(NOT(ISNUMBER('PC 07'!I337)),"Tgl Dibuat harus tanggal","")),IF(AND('PC 07'!J337&lt;&gt;"",NOT(ISNUMBER('PC 07'!J337))),"Tgl Publish harus tanggal",""),IF(AND(ISNUMBER('PC 07'!I337),ISNUMBER('PC 07'!J337),'PC 07'!J337&lt;'PC 07'!I337),"Tgl Publish &lt; Tgl Dibuat",""),IF(AND('PC 07'!K337&lt;&gt;"",ISERROR(MATCH(TRIM('PC 07'!K337),{"Draft","Menunggu Review","Revisi","Terjadwal","Publish","Batal","Published"},0))),"Status di luar daftar","")))</f>
        <v>#ERROR!</v>
      </c>
      <c r="D337" s="3" t="str">
        <f>IF(C337="","OK","ADA MASALAH")</f>
        <v>#ERROR!</v>
      </c>
    </row>
    <row r="338">
      <c r="A338" s="5">
        <v>338.0</v>
      </c>
      <c r="B338" s="3" t="str">
        <f>'PC 07'!A338</f>
        <v/>
      </c>
      <c r="C338" s="3" t="str">
        <f>IF(COUNTA('PC 07'!A338:L338)=0,"",TEXTJOIN(" | ",TRUE,IF('PC 07'!A338="","Worker ID kosong",""),IF('PC 07'!B338="","Update Date kosong",IF(NOT(ISNUMBER('PC 07'!B338)),"Update Date harus tanggal","")),IF('PC 07'!D338="","Judul kosong",""),IF('PC 07'!F338="","Genre kosong",IF(ISERROR(MATCH(TRIM('PC 07'!F338),{"Pop","Rock","Dangdut","K-Pop","Electronic","Nasional","Daerah"},0)),"Genre di luar daftar","")),IF('PC 07'!G338="","Nama Channel kosong",""),IF('PC 07'!H338="","Link kosong",IF(ISERROR(FIND("youtu",LOWER('PC 07'!H338))),"Link bukan youtube","")),IF('PC 07'!I338="","Tgl Dibuat kosong",IF(NOT(ISNUMBER('PC 07'!I338)),"Tgl Dibuat harus tanggal","")),IF(AND('PC 07'!J338&lt;&gt;"",NOT(ISNUMBER('PC 07'!J338))),"Tgl Publish harus tanggal",""),IF(AND(ISNUMBER('PC 07'!I338),ISNUMBER('PC 07'!J338),'PC 07'!J338&lt;'PC 07'!I338),"Tgl Publish &lt; Tgl Dibuat",""),IF(AND('PC 07'!K338&lt;&gt;"",ISERROR(MATCH(TRIM('PC 07'!K338),{"Draft","Menunggu Review","Revisi","Terjadwal","Publish","Batal","Published"},0))),"Status di luar daftar","")))</f>
        <v>#ERROR!</v>
      </c>
      <c r="D338" s="3" t="str">
        <f>IF(C338="","OK","ADA MASALAH")</f>
        <v>#ERROR!</v>
      </c>
    </row>
    <row r="339">
      <c r="A339" s="5">
        <v>339.0</v>
      </c>
      <c r="B339" s="3" t="str">
        <f>'PC 07'!A339</f>
        <v/>
      </c>
      <c r="C339" s="3" t="str">
        <f>IF(COUNTA('PC 07'!A339:L339)=0,"",TEXTJOIN(" | ",TRUE,IF('PC 07'!A339="","Worker ID kosong",""),IF('PC 07'!B339="","Update Date kosong",IF(NOT(ISNUMBER('PC 07'!B339)),"Update Date harus tanggal","")),IF('PC 07'!D339="","Judul kosong",""),IF('PC 07'!F339="","Genre kosong",IF(ISERROR(MATCH(TRIM('PC 07'!F339),{"Pop","Rock","Dangdut","K-Pop","Electronic","Nasional","Daerah"},0)),"Genre di luar daftar","")),IF('PC 07'!G339="","Nama Channel kosong",""),IF('PC 07'!H339="","Link kosong",IF(ISERROR(FIND("youtu",LOWER('PC 07'!H339))),"Link bukan youtube","")),IF('PC 07'!I339="","Tgl Dibuat kosong",IF(NOT(ISNUMBER('PC 07'!I339)),"Tgl Dibuat harus tanggal","")),IF(AND('PC 07'!J339&lt;&gt;"",NOT(ISNUMBER('PC 07'!J339))),"Tgl Publish harus tanggal",""),IF(AND(ISNUMBER('PC 07'!I339),ISNUMBER('PC 07'!J339),'PC 07'!J339&lt;'PC 07'!I339),"Tgl Publish &lt; Tgl Dibuat",""),IF(AND('PC 07'!K339&lt;&gt;"",ISERROR(MATCH(TRIM('PC 07'!K339),{"Draft","Menunggu Review","Revisi","Terjadwal","Publish","Batal","Published"},0))),"Status di luar daftar","")))</f>
        <v>#ERROR!</v>
      </c>
      <c r="D339" s="3" t="str">
        <f>IF(C339="","OK","ADA MASALAH")</f>
        <v>#ERROR!</v>
      </c>
    </row>
    <row r="340">
      <c r="A340" s="5">
        <v>340.0</v>
      </c>
      <c r="B340" s="3" t="str">
        <f>'PC 07'!A340</f>
        <v/>
      </c>
      <c r="C340" s="3" t="str">
        <f>IF(COUNTA('PC 07'!A340:L340)=0,"",TEXTJOIN(" | ",TRUE,IF('PC 07'!A340="","Worker ID kosong",""),IF('PC 07'!B340="","Update Date kosong",IF(NOT(ISNUMBER('PC 07'!B340)),"Update Date harus tanggal","")),IF('PC 07'!D340="","Judul kosong",""),IF('PC 07'!F340="","Genre kosong",IF(ISERROR(MATCH(TRIM('PC 07'!F340),{"Pop","Rock","Dangdut","K-Pop","Electronic","Nasional","Daerah"},0)),"Genre di luar daftar","")),IF('PC 07'!G340="","Nama Channel kosong",""),IF('PC 07'!H340="","Link kosong",IF(ISERROR(FIND("youtu",LOWER('PC 07'!H340))),"Link bukan youtube","")),IF('PC 07'!I340="","Tgl Dibuat kosong",IF(NOT(ISNUMBER('PC 07'!I340)),"Tgl Dibuat harus tanggal","")),IF(AND('PC 07'!J340&lt;&gt;"",NOT(ISNUMBER('PC 07'!J340))),"Tgl Publish harus tanggal",""),IF(AND(ISNUMBER('PC 07'!I340),ISNUMBER('PC 07'!J340),'PC 07'!J340&lt;'PC 07'!I340),"Tgl Publish &lt; Tgl Dibuat",""),IF(AND('PC 07'!K340&lt;&gt;"",ISERROR(MATCH(TRIM('PC 07'!K340),{"Draft","Menunggu Review","Revisi","Terjadwal","Publish","Batal","Published"},0))),"Status di luar daftar","")))</f>
        <v>#ERROR!</v>
      </c>
      <c r="D340" s="3" t="str">
        <f>IF(C340="","OK","ADA MASALAH")</f>
        <v>#ERROR!</v>
      </c>
    </row>
    <row r="341">
      <c r="A341" s="5">
        <v>341.0</v>
      </c>
      <c r="B341" s="3" t="str">
        <f>'PC 07'!A341</f>
        <v/>
      </c>
      <c r="C341" s="3" t="str">
        <f>IF(COUNTA('PC 07'!A341:L341)=0,"",TEXTJOIN(" | ",TRUE,IF('PC 07'!A341="","Worker ID kosong",""),IF('PC 07'!B341="","Update Date kosong",IF(NOT(ISNUMBER('PC 07'!B341)),"Update Date harus tanggal","")),IF('PC 07'!D341="","Judul kosong",""),IF('PC 07'!F341="","Genre kosong",IF(ISERROR(MATCH(TRIM('PC 07'!F341),{"Pop","Rock","Dangdut","K-Pop","Electronic","Nasional","Daerah"},0)),"Genre di luar daftar","")),IF('PC 07'!G341="","Nama Channel kosong",""),IF('PC 07'!H341="","Link kosong",IF(ISERROR(FIND("youtu",LOWER('PC 07'!H341))),"Link bukan youtube","")),IF('PC 07'!I341="","Tgl Dibuat kosong",IF(NOT(ISNUMBER('PC 07'!I341)),"Tgl Dibuat harus tanggal","")),IF(AND('PC 07'!J341&lt;&gt;"",NOT(ISNUMBER('PC 07'!J341))),"Tgl Publish harus tanggal",""),IF(AND(ISNUMBER('PC 07'!I341),ISNUMBER('PC 07'!J341),'PC 07'!J341&lt;'PC 07'!I341),"Tgl Publish &lt; Tgl Dibuat",""),IF(AND('PC 07'!K341&lt;&gt;"",ISERROR(MATCH(TRIM('PC 07'!K341),{"Draft","Menunggu Review","Revisi","Terjadwal","Publish","Batal","Published"},0))),"Status di luar daftar","")))</f>
        <v>#ERROR!</v>
      </c>
      <c r="D341" s="3" t="str">
        <f>IF(C341="","OK","ADA MASALAH")</f>
        <v>#ERROR!</v>
      </c>
    </row>
    <row r="342">
      <c r="A342" s="5">
        <v>342.0</v>
      </c>
      <c r="B342" s="3" t="str">
        <f>'PC 07'!A342</f>
        <v/>
      </c>
      <c r="C342" s="3" t="str">
        <f>IF(COUNTA('PC 07'!A342:L342)=0,"",TEXTJOIN(" | ",TRUE,IF('PC 07'!A342="","Worker ID kosong",""),IF('PC 07'!B342="","Update Date kosong",IF(NOT(ISNUMBER('PC 07'!B342)),"Update Date harus tanggal","")),IF('PC 07'!D342="","Judul kosong",""),IF('PC 07'!F342="","Genre kosong",IF(ISERROR(MATCH(TRIM('PC 07'!F342),{"Pop","Rock","Dangdut","K-Pop","Electronic","Nasional","Daerah"},0)),"Genre di luar daftar","")),IF('PC 07'!G342="","Nama Channel kosong",""),IF('PC 07'!H342="","Link kosong",IF(ISERROR(FIND("youtu",LOWER('PC 07'!H342))),"Link bukan youtube","")),IF('PC 07'!I342="","Tgl Dibuat kosong",IF(NOT(ISNUMBER('PC 07'!I342)),"Tgl Dibuat harus tanggal","")),IF(AND('PC 07'!J342&lt;&gt;"",NOT(ISNUMBER('PC 07'!J342))),"Tgl Publish harus tanggal",""),IF(AND(ISNUMBER('PC 07'!I342),ISNUMBER('PC 07'!J342),'PC 07'!J342&lt;'PC 07'!I342),"Tgl Publish &lt; Tgl Dibuat",""),IF(AND('PC 07'!K342&lt;&gt;"",ISERROR(MATCH(TRIM('PC 07'!K342),{"Draft","Menunggu Review","Revisi","Terjadwal","Publish","Batal","Published"},0))),"Status di luar daftar","")))</f>
        <v>#ERROR!</v>
      </c>
      <c r="D342" s="3" t="str">
        <f>IF(C342="","OK","ADA MASALAH")</f>
        <v>#ERROR!</v>
      </c>
    </row>
    <row r="343">
      <c r="A343" s="5">
        <v>343.0</v>
      </c>
      <c r="B343" s="3" t="str">
        <f>'PC 07'!A343</f>
        <v/>
      </c>
      <c r="C343" s="3" t="str">
        <f>IF(COUNTA('PC 07'!A343:L343)=0,"",TEXTJOIN(" | ",TRUE,IF('PC 07'!A343="","Worker ID kosong",""),IF('PC 07'!B343="","Update Date kosong",IF(NOT(ISNUMBER('PC 07'!B343)),"Update Date harus tanggal","")),IF('PC 07'!D343="","Judul kosong",""),IF('PC 07'!F343="","Genre kosong",IF(ISERROR(MATCH(TRIM('PC 07'!F343),{"Pop","Rock","Dangdut","K-Pop","Electronic","Nasional","Daerah"},0)),"Genre di luar daftar","")),IF('PC 07'!G343="","Nama Channel kosong",""),IF('PC 07'!H343="","Link kosong",IF(ISERROR(FIND("youtu",LOWER('PC 07'!H343))),"Link bukan youtube","")),IF('PC 07'!I343="","Tgl Dibuat kosong",IF(NOT(ISNUMBER('PC 07'!I343)),"Tgl Dibuat harus tanggal","")),IF(AND('PC 07'!J343&lt;&gt;"",NOT(ISNUMBER('PC 07'!J343))),"Tgl Publish harus tanggal",""),IF(AND(ISNUMBER('PC 07'!I343),ISNUMBER('PC 07'!J343),'PC 07'!J343&lt;'PC 07'!I343),"Tgl Publish &lt; Tgl Dibuat",""),IF(AND('PC 07'!K343&lt;&gt;"",ISERROR(MATCH(TRIM('PC 07'!K343),{"Draft","Menunggu Review","Revisi","Terjadwal","Publish","Batal","Published"},0))),"Status di luar daftar","")))</f>
        <v>#ERROR!</v>
      </c>
      <c r="D343" s="3" t="str">
        <f>IF(C343="","OK","ADA MASALAH")</f>
        <v>#ERROR!</v>
      </c>
    </row>
    <row r="344">
      <c r="A344" s="5">
        <v>344.0</v>
      </c>
      <c r="B344" s="3" t="str">
        <f>'PC 07'!A344</f>
        <v/>
      </c>
      <c r="C344" s="3" t="str">
        <f>IF(COUNTA('PC 07'!A344:L344)=0,"",TEXTJOIN(" | ",TRUE,IF('PC 07'!A344="","Worker ID kosong",""),IF('PC 07'!B344="","Update Date kosong",IF(NOT(ISNUMBER('PC 07'!B344)),"Update Date harus tanggal","")),IF('PC 07'!D344="","Judul kosong",""),IF('PC 07'!F344="","Genre kosong",IF(ISERROR(MATCH(TRIM('PC 07'!F344),{"Pop","Rock","Dangdut","K-Pop","Electronic","Nasional","Daerah"},0)),"Genre di luar daftar","")),IF('PC 07'!G344="","Nama Channel kosong",""),IF('PC 07'!H344="","Link kosong",IF(ISERROR(FIND("youtu",LOWER('PC 07'!H344))),"Link bukan youtube","")),IF('PC 07'!I344="","Tgl Dibuat kosong",IF(NOT(ISNUMBER('PC 07'!I344)),"Tgl Dibuat harus tanggal","")),IF(AND('PC 07'!J344&lt;&gt;"",NOT(ISNUMBER('PC 07'!J344))),"Tgl Publish harus tanggal",""),IF(AND(ISNUMBER('PC 07'!I344),ISNUMBER('PC 07'!J344),'PC 07'!J344&lt;'PC 07'!I344),"Tgl Publish &lt; Tgl Dibuat",""),IF(AND('PC 07'!K344&lt;&gt;"",ISERROR(MATCH(TRIM('PC 07'!K344),{"Draft","Menunggu Review","Revisi","Terjadwal","Publish","Batal","Published"},0))),"Status di luar daftar","")))</f>
        <v>#ERROR!</v>
      </c>
      <c r="D344" s="3" t="str">
        <f>IF(C344="","OK","ADA MASALAH")</f>
        <v>#ERROR!</v>
      </c>
    </row>
    <row r="345">
      <c r="A345" s="5">
        <v>345.0</v>
      </c>
      <c r="B345" s="3" t="str">
        <f>'PC 07'!A345</f>
        <v/>
      </c>
      <c r="C345" s="3" t="str">
        <f>IF(COUNTA('PC 07'!A345:L345)=0,"",TEXTJOIN(" | ",TRUE,IF('PC 07'!A345="","Worker ID kosong",""),IF('PC 07'!B345="","Update Date kosong",IF(NOT(ISNUMBER('PC 07'!B345)),"Update Date harus tanggal","")),IF('PC 07'!D345="","Judul kosong",""),IF('PC 07'!F345="","Genre kosong",IF(ISERROR(MATCH(TRIM('PC 07'!F345),{"Pop","Rock","Dangdut","K-Pop","Electronic","Nasional","Daerah"},0)),"Genre di luar daftar","")),IF('PC 07'!G345="","Nama Channel kosong",""),IF('PC 07'!H345="","Link kosong",IF(ISERROR(FIND("youtu",LOWER('PC 07'!H345))),"Link bukan youtube","")),IF('PC 07'!I345="","Tgl Dibuat kosong",IF(NOT(ISNUMBER('PC 07'!I345)),"Tgl Dibuat harus tanggal","")),IF(AND('PC 07'!J345&lt;&gt;"",NOT(ISNUMBER('PC 07'!J345))),"Tgl Publish harus tanggal",""),IF(AND(ISNUMBER('PC 07'!I345),ISNUMBER('PC 07'!J345),'PC 07'!J345&lt;'PC 07'!I345),"Tgl Publish &lt; Tgl Dibuat",""),IF(AND('PC 07'!K345&lt;&gt;"",ISERROR(MATCH(TRIM('PC 07'!K345),{"Draft","Menunggu Review","Revisi","Terjadwal","Publish","Batal","Published"},0))),"Status di luar daftar","")))</f>
        <v>#ERROR!</v>
      </c>
      <c r="D345" s="3" t="str">
        <f>IF(C345="","OK","ADA MASALAH")</f>
        <v>#ERROR!</v>
      </c>
    </row>
    <row r="346">
      <c r="A346" s="5">
        <v>346.0</v>
      </c>
      <c r="B346" s="3" t="str">
        <f>'PC 07'!A346</f>
        <v/>
      </c>
      <c r="C346" s="3" t="str">
        <f>IF(COUNTA('PC 07'!A346:L346)=0,"",TEXTJOIN(" | ",TRUE,IF('PC 07'!A346="","Worker ID kosong",""),IF('PC 07'!B346="","Update Date kosong",IF(NOT(ISNUMBER('PC 07'!B346)),"Update Date harus tanggal","")),IF('PC 07'!D346="","Judul kosong",""),IF('PC 07'!F346="","Genre kosong",IF(ISERROR(MATCH(TRIM('PC 07'!F346),{"Pop","Rock","Dangdut","K-Pop","Electronic","Nasional","Daerah"},0)),"Genre di luar daftar","")),IF('PC 07'!G346="","Nama Channel kosong",""),IF('PC 07'!H346="","Link kosong",IF(ISERROR(FIND("youtu",LOWER('PC 07'!H346))),"Link bukan youtube","")),IF('PC 07'!I346="","Tgl Dibuat kosong",IF(NOT(ISNUMBER('PC 07'!I346)),"Tgl Dibuat harus tanggal","")),IF(AND('PC 07'!J346&lt;&gt;"",NOT(ISNUMBER('PC 07'!J346))),"Tgl Publish harus tanggal",""),IF(AND(ISNUMBER('PC 07'!I346),ISNUMBER('PC 07'!J346),'PC 07'!J346&lt;'PC 07'!I346),"Tgl Publish &lt; Tgl Dibuat",""),IF(AND('PC 07'!K346&lt;&gt;"",ISERROR(MATCH(TRIM('PC 07'!K346),{"Draft","Menunggu Review","Revisi","Terjadwal","Publish","Batal","Published"},0))),"Status di luar daftar","")))</f>
        <v>#ERROR!</v>
      </c>
      <c r="D346" s="3" t="str">
        <f>IF(C346="","OK","ADA MASALAH")</f>
        <v>#ERROR!</v>
      </c>
    </row>
    <row r="347">
      <c r="A347" s="5">
        <v>347.0</v>
      </c>
      <c r="B347" s="3" t="str">
        <f>'PC 07'!A347</f>
        <v/>
      </c>
      <c r="C347" s="3" t="str">
        <f>IF(COUNTA('PC 07'!A347:L347)=0,"",TEXTJOIN(" | ",TRUE,IF('PC 07'!A347="","Worker ID kosong",""),IF('PC 07'!B347="","Update Date kosong",IF(NOT(ISNUMBER('PC 07'!B347)),"Update Date harus tanggal","")),IF('PC 07'!D347="","Judul kosong",""),IF('PC 07'!F347="","Genre kosong",IF(ISERROR(MATCH(TRIM('PC 07'!F347),{"Pop","Rock","Dangdut","K-Pop","Electronic","Nasional","Daerah"},0)),"Genre di luar daftar","")),IF('PC 07'!G347="","Nama Channel kosong",""),IF('PC 07'!H347="","Link kosong",IF(ISERROR(FIND("youtu",LOWER('PC 07'!H347))),"Link bukan youtube","")),IF('PC 07'!I347="","Tgl Dibuat kosong",IF(NOT(ISNUMBER('PC 07'!I347)),"Tgl Dibuat harus tanggal","")),IF(AND('PC 07'!J347&lt;&gt;"",NOT(ISNUMBER('PC 07'!J347))),"Tgl Publish harus tanggal",""),IF(AND(ISNUMBER('PC 07'!I347),ISNUMBER('PC 07'!J347),'PC 07'!J347&lt;'PC 07'!I347),"Tgl Publish &lt; Tgl Dibuat",""),IF(AND('PC 07'!K347&lt;&gt;"",ISERROR(MATCH(TRIM('PC 07'!K347),{"Draft","Menunggu Review","Revisi","Terjadwal","Publish","Batal","Published"},0))),"Status di luar daftar","")))</f>
        <v>#ERROR!</v>
      </c>
      <c r="D347" s="3" t="str">
        <f>IF(C347="","OK","ADA MASALAH")</f>
        <v>#ERROR!</v>
      </c>
    </row>
    <row r="348">
      <c r="A348" s="5">
        <v>348.0</v>
      </c>
      <c r="B348" s="3" t="str">
        <f>'PC 07'!A348</f>
        <v/>
      </c>
      <c r="C348" s="3" t="str">
        <f>IF(COUNTA('PC 07'!A348:L348)=0,"",TEXTJOIN(" | ",TRUE,IF('PC 07'!A348="","Worker ID kosong",""),IF('PC 07'!B348="","Update Date kosong",IF(NOT(ISNUMBER('PC 07'!B348)),"Update Date harus tanggal","")),IF('PC 07'!D348="","Judul kosong",""),IF('PC 07'!F348="","Genre kosong",IF(ISERROR(MATCH(TRIM('PC 07'!F348),{"Pop","Rock","Dangdut","K-Pop","Electronic","Nasional","Daerah"},0)),"Genre di luar daftar","")),IF('PC 07'!G348="","Nama Channel kosong",""),IF('PC 07'!H348="","Link kosong",IF(ISERROR(FIND("youtu",LOWER('PC 07'!H348))),"Link bukan youtube","")),IF('PC 07'!I348="","Tgl Dibuat kosong",IF(NOT(ISNUMBER('PC 07'!I348)),"Tgl Dibuat harus tanggal","")),IF(AND('PC 07'!J348&lt;&gt;"",NOT(ISNUMBER('PC 07'!J348))),"Tgl Publish harus tanggal",""),IF(AND(ISNUMBER('PC 07'!I348),ISNUMBER('PC 07'!J348),'PC 07'!J348&lt;'PC 07'!I348),"Tgl Publish &lt; Tgl Dibuat",""),IF(AND('PC 07'!K348&lt;&gt;"",ISERROR(MATCH(TRIM('PC 07'!K348),{"Draft","Menunggu Review","Revisi","Terjadwal","Publish","Batal","Published"},0))),"Status di luar daftar","")))</f>
        <v>#ERROR!</v>
      </c>
      <c r="D348" s="3" t="str">
        <f>IF(C348="","OK","ADA MASALAH")</f>
        <v>#ERROR!</v>
      </c>
    </row>
    <row r="349">
      <c r="A349" s="5">
        <v>349.0</v>
      </c>
      <c r="B349" s="3" t="str">
        <f>'PC 07'!A349</f>
        <v/>
      </c>
      <c r="C349" s="3" t="str">
        <f>IF(COUNTA('PC 07'!A349:L349)=0,"",TEXTJOIN(" | ",TRUE,IF('PC 07'!A349="","Worker ID kosong",""),IF('PC 07'!B349="","Update Date kosong",IF(NOT(ISNUMBER('PC 07'!B349)),"Update Date harus tanggal","")),IF('PC 07'!D349="","Judul kosong",""),IF('PC 07'!F349="","Genre kosong",IF(ISERROR(MATCH(TRIM('PC 07'!F349),{"Pop","Rock","Dangdut","K-Pop","Electronic","Nasional","Daerah"},0)),"Genre di luar daftar","")),IF('PC 07'!G349="","Nama Channel kosong",""),IF('PC 07'!H349="","Link kosong",IF(ISERROR(FIND("youtu",LOWER('PC 07'!H349))),"Link bukan youtube","")),IF('PC 07'!I349="","Tgl Dibuat kosong",IF(NOT(ISNUMBER('PC 07'!I349)),"Tgl Dibuat harus tanggal","")),IF(AND('PC 07'!J349&lt;&gt;"",NOT(ISNUMBER('PC 07'!J349))),"Tgl Publish harus tanggal",""),IF(AND(ISNUMBER('PC 07'!I349),ISNUMBER('PC 07'!J349),'PC 07'!J349&lt;'PC 07'!I349),"Tgl Publish &lt; Tgl Dibuat",""),IF(AND('PC 07'!K349&lt;&gt;"",ISERROR(MATCH(TRIM('PC 07'!K349),{"Draft","Menunggu Review","Revisi","Terjadwal","Publish","Batal","Published"},0))),"Status di luar daftar","")))</f>
        <v>#ERROR!</v>
      </c>
      <c r="D349" s="3" t="str">
        <f>IF(C349="","OK","ADA MASALAH")</f>
        <v>#ERROR!</v>
      </c>
    </row>
    <row r="350">
      <c r="A350" s="5">
        <v>350.0</v>
      </c>
      <c r="B350" s="3" t="str">
        <f>'PC 07'!A350</f>
        <v/>
      </c>
      <c r="C350" s="3" t="str">
        <f>IF(COUNTA('PC 07'!A350:L350)=0,"",TEXTJOIN(" | ",TRUE,IF('PC 07'!A350="","Worker ID kosong",""),IF('PC 07'!B350="","Update Date kosong",IF(NOT(ISNUMBER('PC 07'!B350)),"Update Date harus tanggal","")),IF('PC 07'!D350="","Judul kosong",""),IF('PC 07'!F350="","Genre kosong",IF(ISERROR(MATCH(TRIM('PC 07'!F350),{"Pop","Rock","Dangdut","K-Pop","Electronic","Nasional","Daerah"},0)),"Genre di luar daftar","")),IF('PC 07'!G350="","Nama Channel kosong",""),IF('PC 07'!H350="","Link kosong",IF(ISERROR(FIND("youtu",LOWER('PC 07'!H350))),"Link bukan youtube","")),IF('PC 07'!I350="","Tgl Dibuat kosong",IF(NOT(ISNUMBER('PC 07'!I350)),"Tgl Dibuat harus tanggal","")),IF(AND('PC 07'!J350&lt;&gt;"",NOT(ISNUMBER('PC 07'!J350))),"Tgl Publish harus tanggal",""),IF(AND(ISNUMBER('PC 07'!I350),ISNUMBER('PC 07'!J350),'PC 07'!J350&lt;'PC 07'!I350),"Tgl Publish &lt; Tgl Dibuat",""),IF(AND('PC 07'!K350&lt;&gt;"",ISERROR(MATCH(TRIM('PC 07'!K350),{"Draft","Menunggu Review","Revisi","Terjadwal","Publish","Batal","Published"},0))),"Status di luar daftar","")))</f>
        <v>#ERROR!</v>
      </c>
      <c r="D350" s="3" t="str">
        <f>IF(C350="","OK","ADA MASALAH")</f>
        <v>#ERROR!</v>
      </c>
    </row>
    <row r="351">
      <c r="A351" s="5">
        <v>351.0</v>
      </c>
      <c r="B351" s="3" t="str">
        <f>'PC 07'!A351</f>
        <v/>
      </c>
      <c r="C351" s="3" t="str">
        <f>IF(COUNTA('PC 07'!A351:L351)=0,"",TEXTJOIN(" | ",TRUE,IF('PC 07'!A351="","Worker ID kosong",""),IF('PC 07'!B351="","Update Date kosong",IF(NOT(ISNUMBER('PC 07'!B351)),"Update Date harus tanggal","")),IF('PC 07'!D351="","Judul kosong",""),IF('PC 07'!F351="","Genre kosong",IF(ISERROR(MATCH(TRIM('PC 07'!F351),{"Pop","Rock","Dangdut","K-Pop","Electronic","Nasional","Daerah"},0)),"Genre di luar daftar","")),IF('PC 07'!G351="","Nama Channel kosong",""),IF('PC 07'!H351="","Link kosong",IF(ISERROR(FIND("youtu",LOWER('PC 07'!H351))),"Link bukan youtube","")),IF('PC 07'!I351="","Tgl Dibuat kosong",IF(NOT(ISNUMBER('PC 07'!I351)),"Tgl Dibuat harus tanggal","")),IF(AND('PC 07'!J351&lt;&gt;"",NOT(ISNUMBER('PC 07'!J351))),"Tgl Publish harus tanggal",""),IF(AND(ISNUMBER('PC 07'!I351),ISNUMBER('PC 07'!J351),'PC 07'!J351&lt;'PC 07'!I351),"Tgl Publish &lt; Tgl Dibuat",""),IF(AND('PC 07'!K351&lt;&gt;"",ISERROR(MATCH(TRIM('PC 07'!K351),{"Draft","Menunggu Review","Revisi","Terjadwal","Publish","Batal","Published"},0))),"Status di luar daftar","")))</f>
        <v>#ERROR!</v>
      </c>
      <c r="D351" s="3" t="str">
        <f>IF(C351="","OK","ADA MASALAH")</f>
        <v>#ERROR!</v>
      </c>
    </row>
    <row r="352">
      <c r="A352" s="5">
        <v>352.0</v>
      </c>
      <c r="B352" s="3" t="str">
        <f>'PC 07'!A352</f>
        <v/>
      </c>
      <c r="C352" s="3" t="str">
        <f>IF(COUNTA('PC 07'!A352:L352)=0,"",TEXTJOIN(" | ",TRUE,IF('PC 07'!A352="","Worker ID kosong",""),IF('PC 07'!B352="","Update Date kosong",IF(NOT(ISNUMBER('PC 07'!B352)),"Update Date harus tanggal","")),IF('PC 07'!D352="","Judul kosong",""),IF('PC 07'!F352="","Genre kosong",IF(ISERROR(MATCH(TRIM('PC 07'!F352),{"Pop","Rock","Dangdut","K-Pop","Electronic","Nasional","Daerah"},0)),"Genre di luar daftar","")),IF('PC 07'!G352="","Nama Channel kosong",""),IF('PC 07'!H352="","Link kosong",IF(ISERROR(FIND("youtu",LOWER('PC 07'!H352))),"Link bukan youtube","")),IF('PC 07'!I352="","Tgl Dibuat kosong",IF(NOT(ISNUMBER('PC 07'!I352)),"Tgl Dibuat harus tanggal","")),IF(AND('PC 07'!J352&lt;&gt;"",NOT(ISNUMBER('PC 07'!J352))),"Tgl Publish harus tanggal",""),IF(AND(ISNUMBER('PC 07'!I352),ISNUMBER('PC 07'!J352),'PC 07'!J352&lt;'PC 07'!I352),"Tgl Publish &lt; Tgl Dibuat",""),IF(AND('PC 07'!K352&lt;&gt;"",ISERROR(MATCH(TRIM('PC 07'!K352),{"Draft","Menunggu Review","Revisi","Terjadwal","Publish","Batal","Published"},0))),"Status di luar daftar","")))</f>
        <v>#ERROR!</v>
      </c>
      <c r="D352" s="3" t="str">
        <f>IF(C352="","OK","ADA MASALAH")</f>
        <v>#ERROR!</v>
      </c>
    </row>
    <row r="353">
      <c r="A353" s="5">
        <v>353.0</v>
      </c>
      <c r="B353" s="3" t="str">
        <f>'PC 07'!A353</f>
        <v/>
      </c>
      <c r="C353" s="3" t="str">
        <f>IF(COUNTA('PC 07'!A353:L353)=0,"",TEXTJOIN(" | ",TRUE,IF('PC 07'!A353="","Worker ID kosong",""),IF('PC 07'!B353="","Update Date kosong",IF(NOT(ISNUMBER('PC 07'!B353)),"Update Date harus tanggal","")),IF('PC 07'!D353="","Judul kosong",""),IF('PC 07'!F353="","Genre kosong",IF(ISERROR(MATCH(TRIM('PC 07'!F353),{"Pop","Rock","Dangdut","K-Pop","Electronic","Nasional","Daerah"},0)),"Genre di luar daftar","")),IF('PC 07'!G353="","Nama Channel kosong",""),IF('PC 07'!H353="","Link kosong",IF(ISERROR(FIND("youtu",LOWER('PC 07'!H353))),"Link bukan youtube","")),IF('PC 07'!I353="","Tgl Dibuat kosong",IF(NOT(ISNUMBER('PC 07'!I353)),"Tgl Dibuat harus tanggal","")),IF(AND('PC 07'!J353&lt;&gt;"",NOT(ISNUMBER('PC 07'!J353))),"Tgl Publish harus tanggal",""),IF(AND(ISNUMBER('PC 07'!I353),ISNUMBER('PC 07'!J353),'PC 07'!J353&lt;'PC 07'!I353),"Tgl Publish &lt; Tgl Dibuat",""),IF(AND('PC 07'!K353&lt;&gt;"",ISERROR(MATCH(TRIM('PC 07'!K353),{"Draft","Menunggu Review","Revisi","Terjadwal","Publish","Batal","Published"},0))),"Status di luar daftar","")))</f>
        <v>#ERROR!</v>
      </c>
      <c r="D353" s="3" t="str">
        <f>IF(C353="","OK","ADA MASALAH")</f>
        <v>#ERROR!</v>
      </c>
    </row>
    <row r="354">
      <c r="A354" s="5">
        <v>354.0</v>
      </c>
      <c r="B354" s="3" t="str">
        <f>'PC 07'!A354</f>
        <v/>
      </c>
      <c r="C354" s="3" t="str">
        <f>IF(COUNTA('PC 07'!A354:L354)=0,"",TEXTJOIN(" | ",TRUE,IF('PC 07'!A354="","Worker ID kosong",""),IF('PC 07'!B354="","Update Date kosong",IF(NOT(ISNUMBER('PC 07'!B354)),"Update Date harus tanggal","")),IF('PC 07'!D354="","Judul kosong",""),IF('PC 07'!F354="","Genre kosong",IF(ISERROR(MATCH(TRIM('PC 07'!F354),{"Pop","Rock","Dangdut","K-Pop","Electronic","Nasional","Daerah"},0)),"Genre di luar daftar","")),IF('PC 07'!G354="","Nama Channel kosong",""),IF('PC 07'!H354="","Link kosong",IF(ISERROR(FIND("youtu",LOWER('PC 07'!H354))),"Link bukan youtube","")),IF('PC 07'!I354="","Tgl Dibuat kosong",IF(NOT(ISNUMBER('PC 07'!I354)),"Tgl Dibuat harus tanggal","")),IF(AND('PC 07'!J354&lt;&gt;"",NOT(ISNUMBER('PC 07'!J354))),"Tgl Publish harus tanggal",""),IF(AND(ISNUMBER('PC 07'!I354),ISNUMBER('PC 07'!J354),'PC 07'!J354&lt;'PC 07'!I354),"Tgl Publish &lt; Tgl Dibuat",""),IF(AND('PC 07'!K354&lt;&gt;"",ISERROR(MATCH(TRIM('PC 07'!K354),{"Draft","Menunggu Review","Revisi","Terjadwal","Publish","Batal","Published"},0))),"Status di luar daftar","")))</f>
        <v>#ERROR!</v>
      </c>
      <c r="D354" s="3" t="str">
        <f>IF(C354="","OK","ADA MASALAH")</f>
        <v>#ERROR!</v>
      </c>
    </row>
    <row r="355">
      <c r="A355" s="5">
        <v>355.0</v>
      </c>
      <c r="B355" s="3" t="str">
        <f>'PC 07'!A355</f>
        <v/>
      </c>
      <c r="C355" s="3" t="str">
        <f>IF(COUNTA('PC 07'!A355:L355)=0,"",TEXTJOIN(" | ",TRUE,IF('PC 07'!A355="","Worker ID kosong",""),IF('PC 07'!B355="","Update Date kosong",IF(NOT(ISNUMBER('PC 07'!B355)),"Update Date harus tanggal","")),IF('PC 07'!D355="","Judul kosong",""),IF('PC 07'!F355="","Genre kosong",IF(ISERROR(MATCH(TRIM('PC 07'!F355),{"Pop","Rock","Dangdut","K-Pop","Electronic","Nasional","Daerah"},0)),"Genre di luar daftar","")),IF('PC 07'!G355="","Nama Channel kosong",""),IF('PC 07'!H355="","Link kosong",IF(ISERROR(FIND("youtu",LOWER('PC 07'!H355))),"Link bukan youtube","")),IF('PC 07'!I355="","Tgl Dibuat kosong",IF(NOT(ISNUMBER('PC 07'!I355)),"Tgl Dibuat harus tanggal","")),IF(AND('PC 07'!J355&lt;&gt;"",NOT(ISNUMBER('PC 07'!J355))),"Tgl Publish harus tanggal",""),IF(AND(ISNUMBER('PC 07'!I355),ISNUMBER('PC 07'!J355),'PC 07'!J355&lt;'PC 07'!I355),"Tgl Publish &lt; Tgl Dibuat",""),IF(AND('PC 07'!K355&lt;&gt;"",ISERROR(MATCH(TRIM('PC 07'!K355),{"Draft","Menunggu Review","Revisi","Terjadwal","Publish","Batal","Published"},0))),"Status di luar daftar","")))</f>
        <v>#ERROR!</v>
      </c>
      <c r="D355" s="3" t="str">
        <f>IF(C355="","OK","ADA MASALAH")</f>
        <v>#ERROR!</v>
      </c>
    </row>
    <row r="356">
      <c r="A356" s="5">
        <v>356.0</v>
      </c>
      <c r="B356" s="3" t="str">
        <f>'PC 07'!A356</f>
        <v/>
      </c>
      <c r="C356" s="3" t="str">
        <f>IF(COUNTA('PC 07'!A356:L356)=0,"",TEXTJOIN(" | ",TRUE,IF('PC 07'!A356="","Worker ID kosong",""),IF('PC 07'!B356="","Update Date kosong",IF(NOT(ISNUMBER('PC 07'!B356)),"Update Date harus tanggal","")),IF('PC 07'!D356="","Judul kosong",""),IF('PC 07'!F356="","Genre kosong",IF(ISERROR(MATCH(TRIM('PC 07'!F356),{"Pop","Rock","Dangdut","K-Pop","Electronic","Nasional","Daerah"},0)),"Genre di luar daftar","")),IF('PC 07'!G356="","Nama Channel kosong",""),IF('PC 07'!H356="","Link kosong",IF(ISERROR(FIND("youtu",LOWER('PC 07'!H356))),"Link bukan youtube","")),IF('PC 07'!I356="","Tgl Dibuat kosong",IF(NOT(ISNUMBER('PC 07'!I356)),"Tgl Dibuat harus tanggal","")),IF(AND('PC 07'!J356&lt;&gt;"",NOT(ISNUMBER('PC 07'!J356))),"Tgl Publish harus tanggal",""),IF(AND(ISNUMBER('PC 07'!I356),ISNUMBER('PC 07'!J356),'PC 07'!J356&lt;'PC 07'!I356),"Tgl Publish &lt; Tgl Dibuat",""),IF(AND('PC 07'!K356&lt;&gt;"",ISERROR(MATCH(TRIM('PC 07'!K356),{"Draft","Menunggu Review","Revisi","Terjadwal","Publish","Batal","Published"},0))),"Status di luar daftar","")))</f>
        <v>#ERROR!</v>
      </c>
      <c r="D356" s="3" t="str">
        <f>IF(C356="","OK","ADA MASALAH")</f>
        <v>#ERROR!</v>
      </c>
    </row>
    <row r="357">
      <c r="A357" s="5">
        <v>357.0</v>
      </c>
      <c r="B357" s="3" t="str">
        <f>'PC 07'!A357</f>
        <v/>
      </c>
      <c r="C357" s="3" t="str">
        <f>IF(COUNTA('PC 07'!A357:L357)=0,"",TEXTJOIN(" | ",TRUE,IF('PC 07'!A357="","Worker ID kosong",""),IF('PC 07'!B357="","Update Date kosong",IF(NOT(ISNUMBER('PC 07'!B357)),"Update Date harus tanggal","")),IF('PC 07'!D357="","Judul kosong",""),IF('PC 07'!F357="","Genre kosong",IF(ISERROR(MATCH(TRIM('PC 07'!F357),{"Pop","Rock","Dangdut","K-Pop","Electronic","Nasional","Daerah"},0)),"Genre di luar daftar","")),IF('PC 07'!G357="","Nama Channel kosong",""),IF('PC 07'!H357="","Link kosong",IF(ISERROR(FIND("youtu",LOWER('PC 07'!H357))),"Link bukan youtube","")),IF('PC 07'!I357="","Tgl Dibuat kosong",IF(NOT(ISNUMBER('PC 07'!I357)),"Tgl Dibuat harus tanggal","")),IF(AND('PC 07'!J357&lt;&gt;"",NOT(ISNUMBER('PC 07'!J357))),"Tgl Publish harus tanggal",""),IF(AND(ISNUMBER('PC 07'!I357),ISNUMBER('PC 07'!J357),'PC 07'!J357&lt;'PC 07'!I357),"Tgl Publish &lt; Tgl Dibuat",""),IF(AND('PC 07'!K357&lt;&gt;"",ISERROR(MATCH(TRIM('PC 07'!K357),{"Draft","Menunggu Review","Revisi","Terjadwal","Publish","Batal","Published"},0))),"Status di luar daftar","")))</f>
        <v>#ERROR!</v>
      </c>
      <c r="D357" s="3" t="str">
        <f>IF(C357="","OK","ADA MASALAH")</f>
        <v>#ERROR!</v>
      </c>
    </row>
    <row r="358">
      <c r="A358" s="5">
        <v>358.0</v>
      </c>
      <c r="B358" s="3" t="str">
        <f>'PC 07'!A358</f>
        <v/>
      </c>
      <c r="C358" s="3" t="str">
        <f>IF(COUNTA('PC 07'!A358:L358)=0,"",TEXTJOIN(" | ",TRUE,IF('PC 07'!A358="","Worker ID kosong",""),IF('PC 07'!B358="","Update Date kosong",IF(NOT(ISNUMBER('PC 07'!B358)),"Update Date harus tanggal","")),IF('PC 07'!D358="","Judul kosong",""),IF('PC 07'!F358="","Genre kosong",IF(ISERROR(MATCH(TRIM('PC 07'!F358),{"Pop","Rock","Dangdut","K-Pop","Electronic","Nasional","Daerah"},0)),"Genre di luar daftar","")),IF('PC 07'!G358="","Nama Channel kosong",""),IF('PC 07'!H358="","Link kosong",IF(ISERROR(FIND("youtu",LOWER('PC 07'!H358))),"Link bukan youtube","")),IF('PC 07'!I358="","Tgl Dibuat kosong",IF(NOT(ISNUMBER('PC 07'!I358)),"Tgl Dibuat harus tanggal","")),IF(AND('PC 07'!J358&lt;&gt;"",NOT(ISNUMBER('PC 07'!J358))),"Tgl Publish harus tanggal",""),IF(AND(ISNUMBER('PC 07'!I358),ISNUMBER('PC 07'!J358),'PC 07'!J358&lt;'PC 07'!I358),"Tgl Publish &lt; Tgl Dibuat",""),IF(AND('PC 07'!K358&lt;&gt;"",ISERROR(MATCH(TRIM('PC 07'!K358),{"Draft","Menunggu Review","Revisi","Terjadwal","Publish","Batal","Published"},0))),"Status di luar daftar","")))</f>
        <v>#ERROR!</v>
      </c>
      <c r="D358" s="3" t="str">
        <f>IF(C358="","OK","ADA MASALAH")</f>
        <v>#ERROR!</v>
      </c>
    </row>
    <row r="359">
      <c r="A359" s="5">
        <v>359.0</v>
      </c>
      <c r="B359" s="3" t="str">
        <f>'PC 07'!A359</f>
        <v/>
      </c>
      <c r="C359" s="3" t="str">
        <f>IF(COUNTA('PC 07'!A359:L359)=0,"",TEXTJOIN(" | ",TRUE,IF('PC 07'!A359="","Worker ID kosong",""),IF('PC 07'!B359="","Update Date kosong",IF(NOT(ISNUMBER('PC 07'!B359)),"Update Date harus tanggal","")),IF('PC 07'!D359="","Judul kosong",""),IF('PC 07'!F359="","Genre kosong",IF(ISERROR(MATCH(TRIM('PC 07'!F359),{"Pop","Rock","Dangdut","K-Pop","Electronic","Nasional","Daerah"},0)),"Genre di luar daftar","")),IF('PC 07'!G359="","Nama Channel kosong",""),IF('PC 07'!H359="","Link kosong",IF(ISERROR(FIND("youtu",LOWER('PC 07'!H359))),"Link bukan youtube","")),IF('PC 07'!I359="","Tgl Dibuat kosong",IF(NOT(ISNUMBER('PC 07'!I359)),"Tgl Dibuat harus tanggal","")),IF(AND('PC 07'!J359&lt;&gt;"",NOT(ISNUMBER('PC 07'!J359))),"Tgl Publish harus tanggal",""),IF(AND(ISNUMBER('PC 07'!I359),ISNUMBER('PC 07'!J359),'PC 07'!J359&lt;'PC 07'!I359),"Tgl Publish &lt; Tgl Dibuat",""),IF(AND('PC 07'!K359&lt;&gt;"",ISERROR(MATCH(TRIM('PC 07'!K359),{"Draft","Menunggu Review","Revisi","Terjadwal","Publish","Batal","Published"},0))),"Status di luar daftar","")))</f>
        <v>#ERROR!</v>
      </c>
      <c r="D359" s="3" t="str">
        <f>IF(C359="","OK","ADA MASALAH")</f>
        <v>#ERROR!</v>
      </c>
    </row>
    <row r="360">
      <c r="A360" s="5">
        <v>360.0</v>
      </c>
      <c r="B360" s="3" t="str">
        <f>'PC 07'!A360</f>
        <v/>
      </c>
      <c r="C360" s="3" t="str">
        <f>IF(COUNTA('PC 07'!A360:L360)=0,"",TEXTJOIN(" | ",TRUE,IF('PC 07'!A360="","Worker ID kosong",""),IF('PC 07'!B360="","Update Date kosong",IF(NOT(ISNUMBER('PC 07'!B360)),"Update Date harus tanggal","")),IF('PC 07'!D360="","Judul kosong",""),IF('PC 07'!F360="","Genre kosong",IF(ISERROR(MATCH(TRIM('PC 07'!F360),{"Pop","Rock","Dangdut","K-Pop","Electronic","Nasional","Daerah"},0)),"Genre di luar daftar","")),IF('PC 07'!G360="","Nama Channel kosong",""),IF('PC 07'!H360="","Link kosong",IF(ISERROR(FIND("youtu",LOWER('PC 07'!H360))),"Link bukan youtube","")),IF('PC 07'!I360="","Tgl Dibuat kosong",IF(NOT(ISNUMBER('PC 07'!I360)),"Tgl Dibuat harus tanggal","")),IF(AND('PC 07'!J360&lt;&gt;"",NOT(ISNUMBER('PC 07'!J360))),"Tgl Publish harus tanggal",""),IF(AND(ISNUMBER('PC 07'!I360),ISNUMBER('PC 07'!J360),'PC 07'!J360&lt;'PC 07'!I360),"Tgl Publish &lt; Tgl Dibuat",""),IF(AND('PC 07'!K360&lt;&gt;"",ISERROR(MATCH(TRIM('PC 07'!K360),{"Draft","Menunggu Review","Revisi","Terjadwal","Publish","Batal","Published"},0))),"Status di luar daftar","")))</f>
        <v>#ERROR!</v>
      </c>
      <c r="D360" s="3" t="str">
        <f>IF(C360="","OK","ADA MASALAH")</f>
        <v>#ERROR!</v>
      </c>
    </row>
    <row r="361">
      <c r="A361" s="5">
        <v>361.0</v>
      </c>
      <c r="B361" s="3" t="str">
        <f>'PC 07'!A361</f>
        <v/>
      </c>
      <c r="C361" s="3" t="str">
        <f>IF(COUNTA('PC 07'!A361:L361)=0,"",TEXTJOIN(" | ",TRUE,IF('PC 07'!A361="","Worker ID kosong",""),IF('PC 07'!B361="","Update Date kosong",IF(NOT(ISNUMBER('PC 07'!B361)),"Update Date harus tanggal","")),IF('PC 07'!D361="","Judul kosong",""),IF('PC 07'!F361="","Genre kosong",IF(ISERROR(MATCH(TRIM('PC 07'!F361),{"Pop","Rock","Dangdut","K-Pop","Electronic","Nasional","Daerah"},0)),"Genre di luar daftar","")),IF('PC 07'!G361="","Nama Channel kosong",""),IF('PC 07'!H361="","Link kosong",IF(ISERROR(FIND("youtu",LOWER('PC 07'!H361))),"Link bukan youtube","")),IF('PC 07'!I361="","Tgl Dibuat kosong",IF(NOT(ISNUMBER('PC 07'!I361)),"Tgl Dibuat harus tanggal","")),IF(AND('PC 07'!J361&lt;&gt;"",NOT(ISNUMBER('PC 07'!J361))),"Tgl Publish harus tanggal",""),IF(AND(ISNUMBER('PC 07'!I361),ISNUMBER('PC 07'!J361),'PC 07'!J361&lt;'PC 07'!I361),"Tgl Publish &lt; Tgl Dibuat",""),IF(AND('PC 07'!K361&lt;&gt;"",ISERROR(MATCH(TRIM('PC 07'!K361),{"Draft","Menunggu Review","Revisi","Terjadwal","Publish","Batal","Published"},0))),"Status di luar daftar","")))</f>
        <v>#ERROR!</v>
      </c>
      <c r="D361" s="3" t="str">
        <f>IF(C361="","OK","ADA MASALAH")</f>
        <v>#ERROR!</v>
      </c>
    </row>
    <row r="362">
      <c r="A362" s="5">
        <v>362.0</v>
      </c>
      <c r="B362" s="3" t="str">
        <f>'PC 07'!A362</f>
        <v/>
      </c>
      <c r="C362" s="3" t="str">
        <f>IF(COUNTA('PC 07'!A362:L362)=0,"",TEXTJOIN(" | ",TRUE,IF('PC 07'!A362="","Worker ID kosong",""),IF('PC 07'!B362="","Update Date kosong",IF(NOT(ISNUMBER('PC 07'!B362)),"Update Date harus tanggal","")),IF('PC 07'!D362="","Judul kosong",""),IF('PC 07'!F362="","Genre kosong",IF(ISERROR(MATCH(TRIM('PC 07'!F362),{"Pop","Rock","Dangdut","K-Pop","Electronic","Nasional","Daerah"},0)),"Genre di luar daftar","")),IF('PC 07'!G362="","Nama Channel kosong",""),IF('PC 07'!H362="","Link kosong",IF(ISERROR(FIND("youtu",LOWER('PC 07'!H362))),"Link bukan youtube","")),IF('PC 07'!I362="","Tgl Dibuat kosong",IF(NOT(ISNUMBER('PC 07'!I362)),"Tgl Dibuat harus tanggal","")),IF(AND('PC 07'!J362&lt;&gt;"",NOT(ISNUMBER('PC 07'!J362))),"Tgl Publish harus tanggal",""),IF(AND(ISNUMBER('PC 07'!I362),ISNUMBER('PC 07'!J362),'PC 07'!J362&lt;'PC 07'!I362),"Tgl Publish &lt; Tgl Dibuat",""),IF(AND('PC 07'!K362&lt;&gt;"",ISERROR(MATCH(TRIM('PC 07'!K362),{"Draft","Menunggu Review","Revisi","Terjadwal","Publish","Batal","Published"},0))),"Status di luar daftar","")))</f>
        <v>#ERROR!</v>
      </c>
      <c r="D362" s="3" t="str">
        <f>IF(C362="","OK","ADA MASALAH")</f>
        <v>#ERROR!</v>
      </c>
    </row>
    <row r="363">
      <c r="A363" s="5">
        <v>363.0</v>
      </c>
      <c r="B363" s="3" t="str">
        <f>'PC 07'!A363</f>
        <v/>
      </c>
      <c r="C363" s="3" t="str">
        <f>IF(COUNTA('PC 07'!A363:L363)=0,"",TEXTJOIN(" | ",TRUE,IF('PC 07'!A363="","Worker ID kosong",""),IF('PC 07'!B363="","Update Date kosong",IF(NOT(ISNUMBER('PC 07'!B363)),"Update Date harus tanggal","")),IF('PC 07'!D363="","Judul kosong",""),IF('PC 07'!F363="","Genre kosong",IF(ISERROR(MATCH(TRIM('PC 07'!F363),{"Pop","Rock","Dangdut","K-Pop","Electronic","Nasional","Daerah"},0)),"Genre di luar daftar","")),IF('PC 07'!G363="","Nama Channel kosong",""),IF('PC 07'!H363="","Link kosong",IF(ISERROR(FIND("youtu",LOWER('PC 07'!H363))),"Link bukan youtube","")),IF('PC 07'!I363="","Tgl Dibuat kosong",IF(NOT(ISNUMBER('PC 07'!I363)),"Tgl Dibuat harus tanggal","")),IF(AND('PC 07'!J363&lt;&gt;"",NOT(ISNUMBER('PC 07'!J363))),"Tgl Publish harus tanggal",""),IF(AND(ISNUMBER('PC 07'!I363),ISNUMBER('PC 07'!J363),'PC 07'!J363&lt;'PC 07'!I363),"Tgl Publish &lt; Tgl Dibuat",""),IF(AND('PC 07'!K363&lt;&gt;"",ISERROR(MATCH(TRIM('PC 07'!K363),{"Draft","Menunggu Review","Revisi","Terjadwal","Publish","Batal","Published"},0))),"Status di luar daftar","")))</f>
        <v>#ERROR!</v>
      </c>
      <c r="D363" s="3" t="str">
        <f>IF(C363="","OK","ADA MASALAH")</f>
        <v>#ERROR!</v>
      </c>
    </row>
    <row r="364">
      <c r="A364" s="5">
        <v>364.0</v>
      </c>
      <c r="B364" s="3" t="str">
        <f>'PC 07'!A364</f>
        <v/>
      </c>
      <c r="C364" s="3" t="str">
        <f>IF(COUNTA('PC 07'!A364:L364)=0,"",TEXTJOIN(" | ",TRUE,IF('PC 07'!A364="","Worker ID kosong",""),IF('PC 07'!B364="","Update Date kosong",IF(NOT(ISNUMBER('PC 07'!B364)),"Update Date harus tanggal","")),IF('PC 07'!D364="","Judul kosong",""),IF('PC 07'!F364="","Genre kosong",IF(ISERROR(MATCH(TRIM('PC 07'!F364),{"Pop","Rock","Dangdut","K-Pop","Electronic","Nasional","Daerah"},0)),"Genre di luar daftar","")),IF('PC 07'!G364="","Nama Channel kosong",""),IF('PC 07'!H364="","Link kosong",IF(ISERROR(FIND("youtu",LOWER('PC 07'!H364))),"Link bukan youtube","")),IF('PC 07'!I364="","Tgl Dibuat kosong",IF(NOT(ISNUMBER('PC 07'!I364)),"Tgl Dibuat harus tanggal","")),IF(AND('PC 07'!J364&lt;&gt;"",NOT(ISNUMBER('PC 07'!J364))),"Tgl Publish harus tanggal",""),IF(AND(ISNUMBER('PC 07'!I364),ISNUMBER('PC 07'!J364),'PC 07'!J364&lt;'PC 07'!I364),"Tgl Publish &lt; Tgl Dibuat",""),IF(AND('PC 07'!K364&lt;&gt;"",ISERROR(MATCH(TRIM('PC 07'!K364),{"Draft","Menunggu Review","Revisi","Terjadwal","Publish","Batal","Published"},0))),"Status di luar daftar","")))</f>
        <v>#ERROR!</v>
      </c>
      <c r="D364" s="3" t="str">
        <f>IF(C364="","OK","ADA MASALAH")</f>
        <v>#ERROR!</v>
      </c>
    </row>
    <row r="365">
      <c r="A365" s="5">
        <v>365.0</v>
      </c>
      <c r="B365" s="3" t="str">
        <f>'PC 07'!A365</f>
        <v/>
      </c>
      <c r="C365" s="3" t="str">
        <f>IF(COUNTA('PC 07'!A365:L365)=0,"",TEXTJOIN(" | ",TRUE,IF('PC 07'!A365="","Worker ID kosong",""),IF('PC 07'!B365="","Update Date kosong",IF(NOT(ISNUMBER('PC 07'!B365)),"Update Date harus tanggal","")),IF('PC 07'!D365="","Judul kosong",""),IF('PC 07'!F365="","Genre kosong",IF(ISERROR(MATCH(TRIM('PC 07'!F365),{"Pop","Rock","Dangdut","K-Pop","Electronic","Nasional","Daerah"},0)),"Genre di luar daftar","")),IF('PC 07'!G365="","Nama Channel kosong",""),IF('PC 07'!H365="","Link kosong",IF(ISERROR(FIND("youtu",LOWER('PC 07'!H365))),"Link bukan youtube","")),IF('PC 07'!I365="","Tgl Dibuat kosong",IF(NOT(ISNUMBER('PC 07'!I365)),"Tgl Dibuat harus tanggal","")),IF(AND('PC 07'!J365&lt;&gt;"",NOT(ISNUMBER('PC 07'!J365))),"Tgl Publish harus tanggal",""),IF(AND(ISNUMBER('PC 07'!I365),ISNUMBER('PC 07'!J365),'PC 07'!J365&lt;'PC 07'!I365),"Tgl Publish &lt; Tgl Dibuat",""),IF(AND('PC 07'!K365&lt;&gt;"",ISERROR(MATCH(TRIM('PC 07'!K365),{"Draft","Menunggu Review","Revisi","Terjadwal","Publish","Batal","Published"},0))),"Status di luar daftar","")))</f>
        <v>#ERROR!</v>
      </c>
      <c r="D365" s="3" t="str">
        <f>IF(C365="","OK","ADA MASALAH")</f>
        <v>#ERROR!</v>
      </c>
    </row>
    <row r="366">
      <c r="A366" s="5">
        <v>366.0</v>
      </c>
      <c r="B366" s="3" t="str">
        <f>'PC 07'!A366</f>
        <v/>
      </c>
      <c r="C366" s="3" t="str">
        <f>IF(COUNTA('PC 07'!A366:L366)=0,"",TEXTJOIN(" | ",TRUE,IF('PC 07'!A366="","Worker ID kosong",""),IF('PC 07'!B366="","Update Date kosong",IF(NOT(ISNUMBER('PC 07'!B366)),"Update Date harus tanggal","")),IF('PC 07'!D366="","Judul kosong",""),IF('PC 07'!F366="","Genre kosong",IF(ISERROR(MATCH(TRIM('PC 07'!F366),{"Pop","Rock","Dangdut","K-Pop","Electronic","Nasional","Daerah"},0)),"Genre di luar daftar","")),IF('PC 07'!G366="","Nama Channel kosong",""),IF('PC 07'!H366="","Link kosong",IF(ISERROR(FIND("youtu",LOWER('PC 07'!H366))),"Link bukan youtube","")),IF('PC 07'!I366="","Tgl Dibuat kosong",IF(NOT(ISNUMBER('PC 07'!I366)),"Tgl Dibuat harus tanggal","")),IF(AND('PC 07'!J366&lt;&gt;"",NOT(ISNUMBER('PC 07'!J366))),"Tgl Publish harus tanggal",""),IF(AND(ISNUMBER('PC 07'!I366),ISNUMBER('PC 07'!J366),'PC 07'!J366&lt;'PC 07'!I366),"Tgl Publish &lt; Tgl Dibuat",""),IF(AND('PC 07'!K366&lt;&gt;"",ISERROR(MATCH(TRIM('PC 07'!K366),{"Draft","Menunggu Review","Revisi","Terjadwal","Publish","Batal","Published"},0))),"Status di luar daftar","")))</f>
        <v>#ERROR!</v>
      </c>
      <c r="D366" s="3" t="str">
        <f>IF(C366="","OK","ADA MASALAH")</f>
        <v>#ERROR!</v>
      </c>
    </row>
    <row r="367">
      <c r="A367" s="5">
        <v>367.0</v>
      </c>
      <c r="B367" s="3" t="str">
        <f>'PC 07'!A367</f>
        <v/>
      </c>
      <c r="C367" s="3" t="str">
        <f>IF(COUNTA('PC 07'!A367:L367)=0,"",TEXTJOIN(" | ",TRUE,IF('PC 07'!A367="","Worker ID kosong",""),IF('PC 07'!B367="","Update Date kosong",IF(NOT(ISNUMBER('PC 07'!B367)),"Update Date harus tanggal","")),IF('PC 07'!D367="","Judul kosong",""),IF('PC 07'!F367="","Genre kosong",IF(ISERROR(MATCH(TRIM('PC 07'!F367),{"Pop","Rock","Dangdut","K-Pop","Electronic","Nasional","Daerah"},0)),"Genre di luar daftar","")),IF('PC 07'!G367="","Nama Channel kosong",""),IF('PC 07'!H367="","Link kosong",IF(ISERROR(FIND("youtu",LOWER('PC 07'!H367))),"Link bukan youtube","")),IF('PC 07'!I367="","Tgl Dibuat kosong",IF(NOT(ISNUMBER('PC 07'!I367)),"Tgl Dibuat harus tanggal","")),IF(AND('PC 07'!J367&lt;&gt;"",NOT(ISNUMBER('PC 07'!J367))),"Tgl Publish harus tanggal",""),IF(AND(ISNUMBER('PC 07'!I367),ISNUMBER('PC 07'!J367),'PC 07'!J367&lt;'PC 07'!I367),"Tgl Publish &lt; Tgl Dibuat",""),IF(AND('PC 07'!K367&lt;&gt;"",ISERROR(MATCH(TRIM('PC 07'!K367),{"Draft","Menunggu Review","Revisi","Terjadwal","Publish","Batal","Published"},0))),"Status di luar daftar","")))</f>
        <v>#ERROR!</v>
      </c>
      <c r="D367" s="3" t="str">
        <f>IF(C367="","OK","ADA MASALAH")</f>
        <v>#ERROR!</v>
      </c>
    </row>
    <row r="368">
      <c r="A368" s="5">
        <v>368.0</v>
      </c>
      <c r="B368" s="3" t="str">
        <f>'PC 07'!A368</f>
        <v/>
      </c>
      <c r="C368" s="3" t="str">
        <f>IF(COUNTA('PC 07'!A368:L368)=0,"",TEXTJOIN(" | ",TRUE,IF('PC 07'!A368="","Worker ID kosong",""),IF('PC 07'!B368="","Update Date kosong",IF(NOT(ISNUMBER('PC 07'!B368)),"Update Date harus tanggal","")),IF('PC 07'!D368="","Judul kosong",""),IF('PC 07'!F368="","Genre kosong",IF(ISERROR(MATCH(TRIM('PC 07'!F368),{"Pop","Rock","Dangdut","K-Pop","Electronic","Nasional","Daerah"},0)),"Genre di luar daftar","")),IF('PC 07'!G368="","Nama Channel kosong",""),IF('PC 07'!H368="","Link kosong",IF(ISERROR(FIND("youtu",LOWER('PC 07'!H368))),"Link bukan youtube","")),IF('PC 07'!I368="","Tgl Dibuat kosong",IF(NOT(ISNUMBER('PC 07'!I368)),"Tgl Dibuat harus tanggal","")),IF(AND('PC 07'!J368&lt;&gt;"",NOT(ISNUMBER('PC 07'!J368))),"Tgl Publish harus tanggal",""),IF(AND(ISNUMBER('PC 07'!I368),ISNUMBER('PC 07'!J368),'PC 07'!J368&lt;'PC 07'!I368),"Tgl Publish &lt; Tgl Dibuat",""),IF(AND('PC 07'!K368&lt;&gt;"",ISERROR(MATCH(TRIM('PC 07'!K368),{"Draft","Menunggu Review","Revisi","Terjadwal","Publish","Batal","Published"},0))),"Status di luar daftar","")))</f>
        <v>#ERROR!</v>
      </c>
      <c r="D368" s="3" t="str">
        <f>IF(C368="","OK","ADA MASALAH")</f>
        <v>#ERROR!</v>
      </c>
    </row>
    <row r="369">
      <c r="A369" s="5">
        <v>369.0</v>
      </c>
      <c r="B369" s="3" t="str">
        <f>'PC 07'!A369</f>
        <v/>
      </c>
      <c r="C369" s="3" t="str">
        <f>IF(COUNTA('PC 07'!A369:L369)=0,"",TEXTJOIN(" | ",TRUE,IF('PC 07'!A369="","Worker ID kosong",""),IF('PC 07'!B369="","Update Date kosong",IF(NOT(ISNUMBER('PC 07'!B369)),"Update Date harus tanggal","")),IF('PC 07'!D369="","Judul kosong",""),IF('PC 07'!F369="","Genre kosong",IF(ISERROR(MATCH(TRIM('PC 07'!F369),{"Pop","Rock","Dangdut","K-Pop","Electronic","Nasional","Daerah"},0)),"Genre di luar daftar","")),IF('PC 07'!G369="","Nama Channel kosong",""),IF('PC 07'!H369="","Link kosong",IF(ISERROR(FIND("youtu",LOWER('PC 07'!H369))),"Link bukan youtube","")),IF('PC 07'!I369="","Tgl Dibuat kosong",IF(NOT(ISNUMBER('PC 07'!I369)),"Tgl Dibuat harus tanggal","")),IF(AND('PC 07'!J369&lt;&gt;"",NOT(ISNUMBER('PC 07'!J369))),"Tgl Publish harus tanggal",""),IF(AND(ISNUMBER('PC 07'!I369),ISNUMBER('PC 07'!J369),'PC 07'!J369&lt;'PC 07'!I369),"Tgl Publish &lt; Tgl Dibuat",""),IF(AND('PC 07'!K369&lt;&gt;"",ISERROR(MATCH(TRIM('PC 07'!K369),{"Draft","Menunggu Review","Revisi","Terjadwal","Publish","Batal","Published"},0))),"Status di luar daftar","")))</f>
        <v>#ERROR!</v>
      </c>
      <c r="D369" s="3" t="str">
        <f>IF(C369="","OK","ADA MASALAH")</f>
        <v>#ERROR!</v>
      </c>
    </row>
    <row r="370">
      <c r="A370" s="5">
        <v>370.0</v>
      </c>
      <c r="B370" s="3" t="str">
        <f>'PC 07'!A370</f>
        <v/>
      </c>
      <c r="C370" s="3" t="str">
        <f>IF(COUNTA('PC 07'!A370:L370)=0,"",TEXTJOIN(" | ",TRUE,IF('PC 07'!A370="","Worker ID kosong",""),IF('PC 07'!B370="","Update Date kosong",IF(NOT(ISNUMBER('PC 07'!B370)),"Update Date harus tanggal","")),IF('PC 07'!D370="","Judul kosong",""),IF('PC 07'!F370="","Genre kosong",IF(ISERROR(MATCH(TRIM('PC 07'!F370),{"Pop","Rock","Dangdut","K-Pop","Electronic","Nasional","Daerah"},0)),"Genre di luar daftar","")),IF('PC 07'!G370="","Nama Channel kosong",""),IF('PC 07'!H370="","Link kosong",IF(ISERROR(FIND("youtu",LOWER('PC 07'!H370))),"Link bukan youtube","")),IF('PC 07'!I370="","Tgl Dibuat kosong",IF(NOT(ISNUMBER('PC 07'!I370)),"Tgl Dibuat harus tanggal","")),IF(AND('PC 07'!J370&lt;&gt;"",NOT(ISNUMBER('PC 07'!J370))),"Tgl Publish harus tanggal",""),IF(AND(ISNUMBER('PC 07'!I370),ISNUMBER('PC 07'!J370),'PC 07'!J370&lt;'PC 07'!I370),"Tgl Publish &lt; Tgl Dibuat",""),IF(AND('PC 07'!K370&lt;&gt;"",ISERROR(MATCH(TRIM('PC 07'!K370),{"Draft","Menunggu Review","Revisi","Terjadwal","Publish","Batal","Published"},0))),"Status di luar daftar","")))</f>
        <v>#ERROR!</v>
      </c>
      <c r="D370" s="3" t="str">
        <f>IF(C370="","OK","ADA MASALAH")</f>
        <v>#ERROR!</v>
      </c>
    </row>
    <row r="371">
      <c r="A371" s="5">
        <v>371.0</v>
      </c>
      <c r="B371" s="3" t="str">
        <f>'PC 07'!A371</f>
        <v/>
      </c>
      <c r="C371" s="3" t="str">
        <f>IF(COUNTA('PC 07'!A371:L371)=0,"",TEXTJOIN(" | ",TRUE,IF('PC 07'!A371="","Worker ID kosong",""),IF('PC 07'!B371="","Update Date kosong",IF(NOT(ISNUMBER('PC 07'!B371)),"Update Date harus tanggal","")),IF('PC 07'!D371="","Judul kosong",""),IF('PC 07'!F371="","Genre kosong",IF(ISERROR(MATCH(TRIM('PC 07'!F371),{"Pop","Rock","Dangdut","K-Pop","Electronic","Nasional","Daerah"},0)),"Genre di luar daftar","")),IF('PC 07'!G371="","Nama Channel kosong",""),IF('PC 07'!H371="","Link kosong",IF(ISERROR(FIND("youtu",LOWER('PC 07'!H371))),"Link bukan youtube","")),IF('PC 07'!I371="","Tgl Dibuat kosong",IF(NOT(ISNUMBER('PC 07'!I371)),"Tgl Dibuat harus tanggal","")),IF(AND('PC 07'!J371&lt;&gt;"",NOT(ISNUMBER('PC 07'!J371))),"Tgl Publish harus tanggal",""),IF(AND(ISNUMBER('PC 07'!I371),ISNUMBER('PC 07'!J371),'PC 07'!J371&lt;'PC 07'!I371),"Tgl Publish &lt; Tgl Dibuat",""),IF(AND('PC 07'!K371&lt;&gt;"",ISERROR(MATCH(TRIM('PC 07'!K371),{"Draft","Menunggu Review","Revisi","Terjadwal","Publish","Batal","Published"},0))),"Status di luar daftar","")))</f>
        <v>#ERROR!</v>
      </c>
      <c r="D371" s="3" t="str">
        <f>IF(C371="","OK","ADA MASALAH")</f>
        <v>#ERROR!</v>
      </c>
    </row>
    <row r="372">
      <c r="A372" s="5">
        <v>372.0</v>
      </c>
      <c r="B372" s="3" t="str">
        <f>'PC 07'!A372</f>
        <v/>
      </c>
      <c r="C372" s="3" t="str">
        <f>IF(COUNTA('PC 07'!A372:L372)=0,"",TEXTJOIN(" | ",TRUE,IF('PC 07'!A372="","Worker ID kosong",""),IF('PC 07'!B372="","Update Date kosong",IF(NOT(ISNUMBER('PC 07'!B372)),"Update Date harus tanggal","")),IF('PC 07'!D372="","Judul kosong",""),IF('PC 07'!F372="","Genre kosong",IF(ISERROR(MATCH(TRIM('PC 07'!F372),{"Pop","Rock","Dangdut","K-Pop","Electronic","Nasional","Daerah"},0)),"Genre di luar daftar","")),IF('PC 07'!G372="","Nama Channel kosong",""),IF('PC 07'!H372="","Link kosong",IF(ISERROR(FIND("youtu",LOWER('PC 07'!H372))),"Link bukan youtube","")),IF('PC 07'!I372="","Tgl Dibuat kosong",IF(NOT(ISNUMBER('PC 07'!I372)),"Tgl Dibuat harus tanggal","")),IF(AND('PC 07'!J372&lt;&gt;"",NOT(ISNUMBER('PC 07'!J372))),"Tgl Publish harus tanggal",""),IF(AND(ISNUMBER('PC 07'!I372),ISNUMBER('PC 07'!J372),'PC 07'!J372&lt;'PC 07'!I372),"Tgl Publish &lt; Tgl Dibuat",""),IF(AND('PC 07'!K372&lt;&gt;"",ISERROR(MATCH(TRIM('PC 07'!K372),{"Draft","Menunggu Review","Revisi","Terjadwal","Publish","Batal","Published"},0))),"Status di luar daftar","")))</f>
        <v>#ERROR!</v>
      </c>
      <c r="D372" s="3" t="str">
        <f>IF(C372="","OK","ADA MASALAH")</f>
        <v>#ERROR!</v>
      </c>
    </row>
    <row r="373">
      <c r="A373" s="5">
        <v>373.0</v>
      </c>
      <c r="B373" s="3" t="str">
        <f>'PC 07'!A373</f>
        <v/>
      </c>
      <c r="C373" s="3" t="str">
        <f>IF(COUNTA('PC 07'!A373:L373)=0,"",TEXTJOIN(" | ",TRUE,IF('PC 07'!A373="","Worker ID kosong",""),IF('PC 07'!B373="","Update Date kosong",IF(NOT(ISNUMBER('PC 07'!B373)),"Update Date harus tanggal","")),IF('PC 07'!D373="","Judul kosong",""),IF('PC 07'!F373="","Genre kosong",IF(ISERROR(MATCH(TRIM('PC 07'!F373),{"Pop","Rock","Dangdut","K-Pop","Electronic","Nasional","Daerah"},0)),"Genre di luar daftar","")),IF('PC 07'!G373="","Nama Channel kosong",""),IF('PC 07'!H373="","Link kosong",IF(ISERROR(FIND("youtu",LOWER('PC 07'!H373))),"Link bukan youtube","")),IF('PC 07'!I373="","Tgl Dibuat kosong",IF(NOT(ISNUMBER('PC 07'!I373)),"Tgl Dibuat harus tanggal","")),IF(AND('PC 07'!J373&lt;&gt;"",NOT(ISNUMBER('PC 07'!J373))),"Tgl Publish harus tanggal",""),IF(AND(ISNUMBER('PC 07'!I373),ISNUMBER('PC 07'!J373),'PC 07'!J373&lt;'PC 07'!I373),"Tgl Publish &lt; Tgl Dibuat",""),IF(AND('PC 07'!K373&lt;&gt;"",ISERROR(MATCH(TRIM('PC 07'!K373),{"Draft","Menunggu Review","Revisi","Terjadwal","Publish","Batal","Published"},0))),"Status di luar daftar","")))</f>
        <v>#ERROR!</v>
      </c>
      <c r="D373" s="3" t="str">
        <f>IF(C373="","OK","ADA MASALAH")</f>
        <v>#ERROR!</v>
      </c>
    </row>
    <row r="374">
      <c r="A374" s="5">
        <v>374.0</v>
      </c>
      <c r="B374" s="3" t="str">
        <f>'PC 07'!A374</f>
        <v/>
      </c>
      <c r="C374" s="3" t="str">
        <f>IF(COUNTA('PC 07'!A374:L374)=0,"",TEXTJOIN(" | ",TRUE,IF('PC 07'!A374="","Worker ID kosong",""),IF('PC 07'!B374="","Update Date kosong",IF(NOT(ISNUMBER('PC 07'!B374)),"Update Date harus tanggal","")),IF('PC 07'!D374="","Judul kosong",""),IF('PC 07'!F374="","Genre kosong",IF(ISERROR(MATCH(TRIM('PC 07'!F374),{"Pop","Rock","Dangdut","K-Pop","Electronic","Nasional","Daerah"},0)),"Genre di luar daftar","")),IF('PC 07'!G374="","Nama Channel kosong",""),IF('PC 07'!H374="","Link kosong",IF(ISERROR(FIND("youtu",LOWER('PC 07'!H374))),"Link bukan youtube","")),IF('PC 07'!I374="","Tgl Dibuat kosong",IF(NOT(ISNUMBER('PC 07'!I374)),"Tgl Dibuat harus tanggal","")),IF(AND('PC 07'!J374&lt;&gt;"",NOT(ISNUMBER('PC 07'!J374))),"Tgl Publish harus tanggal",""),IF(AND(ISNUMBER('PC 07'!I374),ISNUMBER('PC 07'!J374),'PC 07'!J374&lt;'PC 07'!I374),"Tgl Publish &lt; Tgl Dibuat",""),IF(AND('PC 07'!K374&lt;&gt;"",ISERROR(MATCH(TRIM('PC 07'!K374),{"Draft","Menunggu Review","Revisi","Terjadwal","Publish","Batal","Published"},0))),"Status di luar daftar","")))</f>
        <v>#ERROR!</v>
      </c>
      <c r="D374" s="3" t="str">
        <f>IF(C374="","OK","ADA MASALAH")</f>
        <v>#ERROR!</v>
      </c>
    </row>
    <row r="375">
      <c r="A375" s="5">
        <v>375.0</v>
      </c>
      <c r="B375" s="3" t="str">
        <f>'PC 07'!A375</f>
        <v/>
      </c>
      <c r="C375" s="3" t="str">
        <f>IF(COUNTA('PC 07'!A375:L375)=0,"",TEXTJOIN(" | ",TRUE,IF('PC 07'!A375="","Worker ID kosong",""),IF('PC 07'!B375="","Update Date kosong",IF(NOT(ISNUMBER('PC 07'!B375)),"Update Date harus tanggal","")),IF('PC 07'!D375="","Judul kosong",""),IF('PC 07'!F375="","Genre kosong",IF(ISERROR(MATCH(TRIM('PC 07'!F375),{"Pop","Rock","Dangdut","K-Pop","Electronic","Nasional","Daerah"},0)),"Genre di luar daftar","")),IF('PC 07'!G375="","Nama Channel kosong",""),IF('PC 07'!H375="","Link kosong",IF(ISERROR(FIND("youtu",LOWER('PC 07'!H375))),"Link bukan youtube","")),IF('PC 07'!I375="","Tgl Dibuat kosong",IF(NOT(ISNUMBER('PC 07'!I375)),"Tgl Dibuat harus tanggal","")),IF(AND('PC 07'!J375&lt;&gt;"",NOT(ISNUMBER('PC 07'!J375))),"Tgl Publish harus tanggal",""),IF(AND(ISNUMBER('PC 07'!I375),ISNUMBER('PC 07'!J375),'PC 07'!J375&lt;'PC 07'!I375),"Tgl Publish &lt; Tgl Dibuat",""),IF(AND('PC 07'!K375&lt;&gt;"",ISERROR(MATCH(TRIM('PC 07'!K375),{"Draft","Menunggu Review","Revisi","Terjadwal","Publish","Batal","Published"},0))),"Status di luar daftar","")))</f>
        <v>#ERROR!</v>
      </c>
      <c r="D375" s="3" t="str">
        <f>IF(C375="","OK","ADA MASALAH")</f>
        <v>#ERROR!</v>
      </c>
    </row>
    <row r="376">
      <c r="A376" s="5">
        <v>376.0</v>
      </c>
      <c r="B376" s="3" t="str">
        <f>'PC 07'!A376</f>
        <v/>
      </c>
      <c r="C376" s="3" t="str">
        <f>IF(COUNTA('PC 07'!A376:L376)=0,"",TEXTJOIN(" | ",TRUE,IF('PC 07'!A376="","Worker ID kosong",""),IF('PC 07'!B376="","Update Date kosong",IF(NOT(ISNUMBER('PC 07'!B376)),"Update Date harus tanggal","")),IF('PC 07'!D376="","Judul kosong",""),IF('PC 07'!F376="","Genre kosong",IF(ISERROR(MATCH(TRIM('PC 07'!F376),{"Pop","Rock","Dangdut","K-Pop","Electronic","Nasional","Daerah"},0)),"Genre di luar daftar","")),IF('PC 07'!G376="","Nama Channel kosong",""),IF('PC 07'!H376="","Link kosong",IF(ISERROR(FIND("youtu",LOWER('PC 07'!H376))),"Link bukan youtube","")),IF('PC 07'!I376="","Tgl Dibuat kosong",IF(NOT(ISNUMBER('PC 07'!I376)),"Tgl Dibuat harus tanggal","")),IF(AND('PC 07'!J376&lt;&gt;"",NOT(ISNUMBER('PC 07'!J376))),"Tgl Publish harus tanggal",""),IF(AND(ISNUMBER('PC 07'!I376),ISNUMBER('PC 07'!J376),'PC 07'!J376&lt;'PC 07'!I376),"Tgl Publish &lt; Tgl Dibuat",""),IF(AND('PC 07'!K376&lt;&gt;"",ISERROR(MATCH(TRIM('PC 07'!K376),{"Draft","Menunggu Review","Revisi","Terjadwal","Publish","Batal","Published"},0))),"Status di luar daftar","")))</f>
        <v>#ERROR!</v>
      </c>
      <c r="D376" s="3" t="str">
        <f>IF(C376="","OK","ADA MASALAH")</f>
        <v>#ERROR!</v>
      </c>
    </row>
    <row r="377">
      <c r="A377" s="5">
        <v>377.0</v>
      </c>
      <c r="B377" s="3" t="str">
        <f>'PC 07'!A377</f>
        <v/>
      </c>
      <c r="C377" s="3" t="str">
        <f>IF(COUNTA('PC 07'!A377:L377)=0,"",TEXTJOIN(" | ",TRUE,IF('PC 07'!A377="","Worker ID kosong",""),IF('PC 07'!B377="","Update Date kosong",IF(NOT(ISNUMBER('PC 07'!B377)),"Update Date harus tanggal","")),IF('PC 07'!D377="","Judul kosong",""),IF('PC 07'!F377="","Genre kosong",IF(ISERROR(MATCH(TRIM('PC 07'!F377),{"Pop","Rock","Dangdut","K-Pop","Electronic","Nasional","Daerah"},0)),"Genre di luar daftar","")),IF('PC 07'!G377="","Nama Channel kosong",""),IF('PC 07'!H377="","Link kosong",IF(ISERROR(FIND("youtu",LOWER('PC 07'!H377))),"Link bukan youtube","")),IF('PC 07'!I377="","Tgl Dibuat kosong",IF(NOT(ISNUMBER('PC 07'!I377)),"Tgl Dibuat harus tanggal","")),IF(AND('PC 07'!J377&lt;&gt;"",NOT(ISNUMBER('PC 07'!J377))),"Tgl Publish harus tanggal",""),IF(AND(ISNUMBER('PC 07'!I377),ISNUMBER('PC 07'!J377),'PC 07'!J377&lt;'PC 07'!I377),"Tgl Publish &lt; Tgl Dibuat",""),IF(AND('PC 07'!K377&lt;&gt;"",ISERROR(MATCH(TRIM('PC 07'!K377),{"Draft","Menunggu Review","Revisi","Terjadwal","Publish","Batal","Published"},0))),"Status di luar daftar","")))</f>
        <v>#ERROR!</v>
      </c>
      <c r="D377" s="3" t="str">
        <f>IF(C377="","OK","ADA MASALAH")</f>
        <v>#ERROR!</v>
      </c>
    </row>
    <row r="378">
      <c r="A378" s="5">
        <v>378.0</v>
      </c>
      <c r="B378" s="3" t="str">
        <f>'PC 07'!A378</f>
        <v/>
      </c>
      <c r="C378" s="3" t="str">
        <f>IF(COUNTA('PC 07'!A378:L378)=0,"",TEXTJOIN(" | ",TRUE,IF('PC 07'!A378="","Worker ID kosong",""),IF('PC 07'!B378="","Update Date kosong",IF(NOT(ISNUMBER('PC 07'!B378)),"Update Date harus tanggal","")),IF('PC 07'!D378="","Judul kosong",""),IF('PC 07'!F378="","Genre kosong",IF(ISERROR(MATCH(TRIM('PC 07'!F378),{"Pop","Rock","Dangdut","K-Pop","Electronic","Nasional","Daerah"},0)),"Genre di luar daftar","")),IF('PC 07'!G378="","Nama Channel kosong",""),IF('PC 07'!H378="","Link kosong",IF(ISERROR(FIND("youtu",LOWER('PC 07'!H378))),"Link bukan youtube","")),IF('PC 07'!I378="","Tgl Dibuat kosong",IF(NOT(ISNUMBER('PC 07'!I378)),"Tgl Dibuat harus tanggal","")),IF(AND('PC 07'!J378&lt;&gt;"",NOT(ISNUMBER('PC 07'!J378))),"Tgl Publish harus tanggal",""),IF(AND(ISNUMBER('PC 07'!I378),ISNUMBER('PC 07'!J378),'PC 07'!J378&lt;'PC 07'!I378),"Tgl Publish &lt; Tgl Dibuat",""),IF(AND('PC 07'!K378&lt;&gt;"",ISERROR(MATCH(TRIM('PC 07'!K378),{"Draft","Menunggu Review","Revisi","Terjadwal","Publish","Batal","Published"},0))),"Status di luar daftar","")))</f>
        <v>#ERROR!</v>
      </c>
      <c r="D378" s="3" t="str">
        <f>IF(C378="","OK","ADA MASALAH")</f>
        <v>#ERROR!</v>
      </c>
    </row>
    <row r="379">
      <c r="A379" s="5">
        <v>379.0</v>
      </c>
      <c r="B379" s="3" t="str">
        <f>'PC 07'!A379</f>
        <v/>
      </c>
      <c r="C379" s="3" t="str">
        <f>IF(COUNTA('PC 07'!A379:L379)=0,"",TEXTJOIN(" | ",TRUE,IF('PC 07'!A379="","Worker ID kosong",""),IF('PC 07'!B379="","Update Date kosong",IF(NOT(ISNUMBER('PC 07'!B379)),"Update Date harus tanggal","")),IF('PC 07'!D379="","Judul kosong",""),IF('PC 07'!F379="","Genre kosong",IF(ISERROR(MATCH(TRIM('PC 07'!F379),{"Pop","Rock","Dangdut","K-Pop","Electronic","Nasional","Daerah"},0)),"Genre di luar daftar","")),IF('PC 07'!G379="","Nama Channel kosong",""),IF('PC 07'!H379="","Link kosong",IF(ISERROR(FIND("youtu",LOWER('PC 07'!H379))),"Link bukan youtube","")),IF('PC 07'!I379="","Tgl Dibuat kosong",IF(NOT(ISNUMBER('PC 07'!I379)),"Tgl Dibuat harus tanggal","")),IF(AND('PC 07'!J379&lt;&gt;"",NOT(ISNUMBER('PC 07'!J379))),"Tgl Publish harus tanggal",""),IF(AND(ISNUMBER('PC 07'!I379),ISNUMBER('PC 07'!J379),'PC 07'!J379&lt;'PC 07'!I379),"Tgl Publish &lt; Tgl Dibuat",""),IF(AND('PC 07'!K379&lt;&gt;"",ISERROR(MATCH(TRIM('PC 07'!K379),{"Draft","Menunggu Review","Revisi","Terjadwal","Publish","Batal","Published"},0))),"Status di luar daftar","")))</f>
        <v>#ERROR!</v>
      </c>
      <c r="D379" s="3" t="str">
        <f>IF(C379="","OK","ADA MASALAH")</f>
        <v>#ERROR!</v>
      </c>
    </row>
    <row r="380">
      <c r="A380" s="5">
        <v>380.0</v>
      </c>
      <c r="B380" s="3" t="str">
        <f>'PC 07'!A380</f>
        <v/>
      </c>
      <c r="C380" s="3" t="str">
        <f>IF(COUNTA('PC 07'!A380:L380)=0,"",TEXTJOIN(" | ",TRUE,IF('PC 07'!A380="","Worker ID kosong",""),IF('PC 07'!B380="","Update Date kosong",IF(NOT(ISNUMBER('PC 07'!B380)),"Update Date harus tanggal","")),IF('PC 07'!D380="","Judul kosong",""),IF('PC 07'!F380="","Genre kosong",IF(ISERROR(MATCH(TRIM('PC 07'!F380),{"Pop","Rock","Dangdut","K-Pop","Electronic","Nasional","Daerah"},0)),"Genre di luar daftar","")),IF('PC 07'!G380="","Nama Channel kosong",""),IF('PC 07'!H380="","Link kosong",IF(ISERROR(FIND("youtu",LOWER('PC 07'!H380))),"Link bukan youtube","")),IF('PC 07'!I380="","Tgl Dibuat kosong",IF(NOT(ISNUMBER('PC 07'!I380)),"Tgl Dibuat harus tanggal","")),IF(AND('PC 07'!J380&lt;&gt;"",NOT(ISNUMBER('PC 07'!J380))),"Tgl Publish harus tanggal",""),IF(AND(ISNUMBER('PC 07'!I380),ISNUMBER('PC 07'!J380),'PC 07'!J380&lt;'PC 07'!I380),"Tgl Publish &lt; Tgl Dibuat",""),IF(AND('PC 07'!K380&lt;&gt;"",ISERROR(MATCH(TRIM('PC 07'!K380),{"Draft","Menunggu Review","Revisi","Terjadwal","Publish","Batal","Published"},0))),"Status di luar daftar","")))</f>
        <v>#ERROR!</v>
      </c>
      <c r="D380" s="3" t="str">
        <f>IF(C380="","OK","ADA MASALAH")</f>
        <v>#ERROR!</v>
      </c>
    </row>
    <row r="381">
      <c r="A381" s="5">
        <v>381.0</v>
      </c>
      <c r="B381" s="3" t="str">
        <f>'PC 07'!A381</f>
        <v/>
      </c>
      <c r="C381" s="3" t="str">
        <f>IF(COUNTA('PC 07'!A381:L381)=0,"",TEXTJOIN(" | ",TRUE,IF('PC 07'!A381="","Worker ID kosong",""),IF('PC 07'!B381="","Update Date kosong",IF(NOT(ISNUMBER('PC 07'!B381)),"Update Date harus tanggal","")),IF('PC 07'!D381="","Judul kosong",""),IF('PC 07'!F381="","Genre kosong",IF(ISERROR(MATCH(TRIM('PC 07'!F381),{"Pop","Rock","Dangdut","K-Pop","Electronic","Nasional","Daerah"},0)),"Genre di luar daftar","")),IF('PC 07'!G381="","Nama Channel kosong",""),IF('PC 07'!H381="","Link kosong",IF(ISERROR(FIND("youtu",LOWER('PC 07'!H381))),"Link bukan youtube","")),IF('PC 07'!I381="","Tgl Dibuat kosong",IF(NOT(ISNUMBER('PC 07'!I381)),"Tgl Dibuat harus tanggal","")),IF(AND('PC 07'!J381&lt;&gt;"",NOT(ISNUMBER('PC 07'!J381))),"Tgl Publish harus tanggal",""),IF(AND(ISNUMBER('PC 07'!I381),ISNUMBER('PC 07'!J381),'PC 07'!J381&lt;'PC 07'!I381),"Tgl Publish &lt; Tgl Dibuat",""),IF(AND('PC 07'!K381&lt;&gt;"",ISERROR(MATCH(TRIM('PC 07'!K381),{"Draft","Menunggu Review","Revisi","Terjadwal","Publish","Batal","Published"},0))),"Status di luar daftar","")))</f>
        <v>#ERROR!</v>
      </c>
      <c r="D381" s="3" t="str">
        <f>IF(C381="","OK","ADA MASALAH")</f>
        <v>#ERROR!</v>
      </c>
    </row>
    <row r="382">
      <c r="A382" s="5">
        <v>382.0</v>
      </c>
      <c r="B382" s="3" t="str">
        <f>'PC 07'!A382</f>
        <v/>
      </c>
      <c r="C382" s="3" t="str">
        <f>IF(COUNTA('PC 07'!A382:L382)=0,"",TEXTJOIN(" | ",TRUE,IF('PC 07'!A382="","Worker ID kosong",""),IF('PC 07'!B382="","Update Date kosong",IF(NOT(ISNUMBER('PC 07'!B382)),"Update Date harus tanggal","")),IF('PC 07'!D382="","Judul kosong",""),IF('PC 07'!F382="","Genre kosong",IF(ISERROR(MATCH(TRIM('PC 07'!F382),{"Pop","Rock","Dangdut","K-Pop","Electronic","Nasional","Daerah"},0)),"Genre di luar daftar","")),IF('PC 07'!G382="","Nama Channel kosong",""),IF('PC 07'!H382="","Link kosong",IF(ISERROR(FIND("youtu",LOWER('PC 07'!H382))),"Link bukan youtube","")),IF('PC 07'!I382="","Tgl Dibuat kosong",IF(NOT(ISNUMBER('PC 07'!I382)),"Tgl Dibuat harus tanggal","")),IF(AND('PC 07'!J382&lt;&gt;"",NOT(ISNUMBER('PC 07'!J382))),"Tgl Publish harus tanggal",""),IF(AND(ISNUMBER('PC 07'!I382),ISNUMBER('PC 07'!J382),'PC 07'!J382&lt;'PC 07'!I382),"Tgl Publish &lt; Tgl Dibuat",""),IF(AND('PC 07'!K382&lt;&gt;"",ISERROR(MATCH(TRIM('PC 07'!K382),{"Draft","Menunggu Review","Revisi","Terjadwal","Publish","Batal","Published"},0))),"Status di luar daftar","")))</f>
        <v>#ERROR!</v>
      </c>
      <c r="D382" s="3" t="str">
        <f>IF(C382="","OK","ADA MASALAH")</f>
        <v>#ERROR!</v>
      </c>
    </row>
    <row r="383">
      <c r="A383" s="5">
        <v>383.0</v>
      </c>
      <c r="B383" s="3" t="str">
        <f>'PC 07'!A383</f>
        <v/>
      </c>
      <c r="C383" s="3" t="str">
        <f>IF(COUNTA('PC 07'!A383:L383)=0,"",TEXTJOIN(" | ",TRUE,IF('PC 07'!A383="","Worker ID kosong",""),IF('PC 07'!B383="","Update Date kosong",IF(NOT(ISNUMBER('PC 07'!B383)),"Update Date harus tanggal","")),IF('PC 07'!D383="","Judul kosong",""),IF('PC 07'!F383="","Genre kosong",IF(ISERROR(MATCH(TRIM('PC 07'!F383),{"Pop","Rock","Dangdut","K-Pop","Electronic","Nasional","Daerah"},0)),"Genre di luar daftar","")),IF('PC 07'!G383="","Nama Channel kosong",""),IF('PC 07'!H383="","Link kosong",IF(ISERROR(FIND("youtu",LOWER('PC 07'!H383))),"Link bukan youtube","")),IF('PC 07'!I383="","Tgl Dibuat kosong",IF(NOT(ISNUMBER('PC 07'!I383)),"Tgl Dibuat harus tanggal","")),IF(AND('PC 07'!J383&lt;&gt;"",NOT(ISNUMBER('PC 07'!J383))),"Tgl Publish harus tanggal",""),IF(AND(ISNUMBER('PC 07'!I383),ISNUMBER('PC 07'!J383),'PC 07'!J383&lt;'PC 07'!I383),"Tgl Publish &lt; Tgl Dibuat",""),IF(AND('PC 07'!K383&lt;&gt;"",ISERROR(MATCH(TRIM('PC 07'!K383),{"Draft","Menunggu Review","Revisi","Terjadwal","Publish","Batal","Published"},0))),"Status di luar daftar","")))</f>
        <v>#ERROR!</v>
      </c>
      <c r="D383" s="3" t="str">
        <f>IF(C383="","OK","ADA MASALAH")</f>
        <v>#ERROR!</v>
      </c>
    </row>
    <row r="384">
      <c r="A384" s="5">
        <v>384.0</v>
      </c>
      <c r="B384" s="3" t="str">
        <f>'PC 07'!A384</f>
        <v/>
      </c>
      <c r="C384" s="3" t="str">
        <f>IF(COUNTA('PC 07'!A384:L384)=0,"",TEXTJOIN(" | ",TRUE,IF('PC 07'!A384="","Worker ID kosong",""),IF('PC 07'!B384="","Update Date kosong",IF(NOT(ISNUMBER('PC 07'!B384)),"Update Date harus tanggal","")),IF('PC 07'!D384="","Judul kosong",""),IF('PC 07'!F384="","Genre kosong",IF(ISERROR(MATCH(TRIM('PC 07'!F384),{"Pop","Rock","Dangdut","K-Pop","Electronic","Nasional","Daerah"},0)),"Genre di luar daftar","")),IF('PC 07'!G384="","Nama Channel kosong",""),IF('PC 07'!H384="","Link kosong",IF(ISERROR(FIND("youtu",LOWER('PC 07'!H384))),"Link bukan youtube","")),IF('PC 07'!I384="","Tgl Dibuat kosong",IF(NOT(ISNUMBER('PC 07'!I384)),"Tgl Dibuat harus tanggal","")),IF(AND('PC 07'!J384&lt;&gt;"",NOT(ISNUMBER('PC 07'!J384))),"Tgl Publish harus tanggal",""),IF(AND(ISNUMBER('PC 07'!I384),ISNUMBER('PC 07'!J384),'PC 07'!J384&lt;'PC 07'!I384),"Tgl Publish &lt; Tgl Dibuat",""),IF(AND('PC 07'!K384&lt;&gt;"",ISERROR(MATCH(TRIM('PC 07'!K384),{"Draft","Menunggu Review","Revisi","Terjadwal","Publish","Batal","Published"},0))),"Status di luar daftar","")))</f>
        <v>#ERROR!</v>
      </c>
      <c r="D384" s="3" t="str">
        <f>IF(C384="","OK","ADA MASALAH")</f>
        <v>#ERROR!</v>
      </c>
    </row>
    <row r="385">
      <c r="A385" s="5">
        <v>385.0</v>
      </c>
      <c r="B385" s="3" t="str">
        <f>'PC 07'!A385</f>
        <v/>
      </c>
      <c r="C385" s="3" t="str">
        <f>IF(COUNTA('PC 07'!A385:L385)=0,"",TEXTJOIN(" | ",TRUE,IF('PC 07'!A385="","Worker ID kosong",""),IF('PC 07'!B385="","Update Date kosong",IF(NOT(ISNUMBER('PC 07'!B385)),"Update Date harus tanggal","")),IF('PC 07'!D385="","Judul kosong",""),IF('PC 07'!F385="","Genre kosong",IF(ISERROR(MATCH(TRIM('PC 07'!F385),{"Pop","Rock","Dangdut","K-Pop","Electronic","Nasional","Daerah"},0)),"Genre di luar daftar","")),IF('PC 07'!G385="","Nama Channel kosong",""),IF('PC 07'!H385="","Link kosong",IF(ISERROR(FIND("youtu",LOWER('PC 07'!H385))),"Link bukan youtube","")),IF('PC 07'!I385="","Tgl Dibuat kosong",IF(NOT(ISNUMBER('PC 07'!I385)),"Tgl Dibuat harus tanggal","")),IF(AND('PC 07'!J385&lt;&gt;"",NOT(ISNUMBER('PC 07'!J385))),"Tgl Publish harus tanggal",""),IF(AND(ISNUMBER('PC 07'!I385),ISNUMBER('PC 07'!J385),'PC 07'!J385&lt;'PC 07'!I385),"Tgl Publish &lt; Tgl Dibuat",""),IF(AND('PC 07'!K385&lt;&gt;"",ISERROR(MATCH(TRIM('PC 07'!K385),{"Draft","Menunggu Review","Revisi","Terjadwal","Publish","Batal","Published"},0))),"Status di luar daftar","")))</f>
        <v>#ERROR!</v>
      </c>
      <c r="D385" s="3" t="str">
        <f>IF(C385="","OK","ADA MASALAH")</f>
        <v>#ERROR!</v>
      </c>
    </row>
    <row r="386">
      <c r="A386" s="5">
        <v>386.0</v>
      </c>
      <c r="B386" s="3" t="str">
        <f>'PC 07'!A386</f>
        <v/>
      </c>
      <c r="C386" s="3" t="str">
        <f>IF(COUNTA('PC 07'!A386:L386)=0,"",TEXTJOIN(" | ",TRUE,IF('PC 07'!A386="","Worker ID kosong",""),IF('PC 07'!B386="","Update Date kosong",IF(NOT(ISNUMBER('PC 07'!B386)),"Update Date harus tanggal","")),IF('PC 07'!D386="","Judul kosong",""),IF('PC 07'!F386="","Genre kosong",IF(ISERROR(MATCH(TRIM('PC 07'!F386),{"Pop","Rock","Dangdut","K-Pop","Electronic","Nasional","Daerah"},0)),"Genre di luar daftar","")),IF('PC 07'!G386="","Nama Channel kosong",""),IF('PC 07'!H386="","Link kosong",IF(ISERROR(FIND("youtu",LOWER('PC 07'!H386))),"Link bukan youtube","")),IF('PC 07'!I386="","Tgl Dibuat kosong",IF(NOT(ISNUMBER('PC 07'!I386)),"Tgl Dibuat harus tanggal","")),IF(AND('PC 07'!J386&lt;&gt;"",NOT(ISNUMBER('PC 07'!J386))),"Tgl Publish harus tanggal",""),IF(AND(ISNUMBER('PC 07'!I386),ISNUMBER('PC 07'!J386),'PC 07'!J386&lt;'PC 07'!I386),"Tgl Publish &lt; Tgl Dibuat",""),IF(AND('PC 07'!K386&lt;&gt;"",ISERROR(MATCH(TRIM('PC 07'!K386),{"Draft","Menunggu Review","Revisi","Terjadwal","Publish","Batal","Published"},0))),"Status di luar daftar","")))</f>
        <v>#ERROR!</v>
      </c>
      <c r="D386" s="3" t="str">
        <f>IF(C386="","OK","ADA MASALAH")</f>
        <v>#ERROR!</v>
      </c>
    </row>
    <row r="387">
      <c r="A387" s="5">
        <v>387.0</v>
      </c>
      <c r="B387" s="3" t="str">
        <f>'PC 07'!A387</f>
        <v/>
      </c>
      <c r="C387" s="3" t="str">
        <f>IF(COUNTA('PC 07'!A387:L387)=0,"",TEXTJOIN(" | ",TRUE,IF('PC 07'!A387="","Worker ID kosong",""),IF('PC 07'!B387="","Update Date kosong",IF(NOT(ISNUMBER('PC 07'!B387)),"Update Date harus tanggal","")),IF('PC 07'!D387="","Judul kosong",""),IF('PC 07'!F387="","Genre kosong",IF(ISERROR(MATCH(TRIM('PC 07'!F387),{"Pop","Rock","Dangdut","K-Pop","Electronic","Nasional","Daerah"},0)),"Genre di luar daftar","")),IF('PC 07'!G387="","Nama Channel kosong",""),IF('PC 07'!H387="","Link kosong",IF(ISERROR(FIND("youtu",LOWER('PC 07'!H387))),"Link bukan youtube","")),IF('PC 07'!I387="","Tgl Dibuat kosong",IF(NOT(ISNUMBER('PC 07'!I387)),"Tgl Dibuat harus tanggal","")),IF(AND('PC 07'!J387&lt;&gt;"",NOT(ISNUMBER('PC 07'!J387))),"Tgl Publish harus tanggal",""),IF(AND(ISNUMBER('PC 07'!I387),ISNUMBER('PC 07'!J387),'PC 07'!J387&lt;'PC 07'!I387),"Tgl Publish &lt; Tgl Dibuat",""),IF(AND('PC 07'!K387&lt;&gt;"",ISERROR(MATCH(TRIM('PC 07'!K387),{"Draft","Menunggu Review","Revisi","Terjadwal","Publish","Batal","Published"},0))),"Status di luar daftar","")))</f>
        <v>#ERROR!</v>
      </c>
      <c r="D387" s="3" t="str">
        <f>IF(C387="","OK","ADA MASALAH")</f>
        <v>#ERROR!</v>
      </c>
    </row>
    <row r="388">
      <c r="A388" s="5">
        <v>388.0</v>
      </c>
      <c r="B388" s="3" t="str">
        <f>'PC 07'!A388</f>
        <v/>
      </c>
      <c r="C388" s="3" t="str">
        <f>IF(COUNTA('PC 07'!A388:L388)=0,"",TEXTJOIN(" | ",TRUE,IF('PC 07'!A388="","Worker ID kosong",""),IF('PC 07'!B388="","Update Date kosong",IF(NOT(ISNUMBER('PC 07'!B388)),"Update Date harus tanggal","")),IF('PC 07'!D388="","Judul kosong",""),IF('PC 07'!F388="","Genre kosong",IF(ISERROR(MATCH(TRIM('PC 07'!F388),{"Pop","Rock","Dangdut","K-Pop","Electronic","Nasional","Daerah"},0)),"Genre di luar daftar","")),IF('PC 07'!G388="","Nama Channel kosong",""),IF('PC 07'!H388="","Link kosong",IF(ISERROR(FIND("youtu",LOWER('PC 07'!H388))),"Link bukan youtube","")),IF('PC 07'!I388="","Tgl Dibuat kosong",IF(NOT(ISNUMBER('PC 07'!I388)),"Tgl Dibuat harus tanggal","")),IF(AND('PC 07'!J388&lt;&gt;"",NOT(ISNUMBER('PC 07'!J388))),"Tgl Publish harus tanggal",""),IF(AND(ISNUMBER('PC 07'!I388),ISNUMBER('PC 07'!J388),'PC 07'!J388&lt;'PC 07'!I388),"Tgl Publish &lt; Tgl Dibuat",""),IF(AND('PC 07'!K388&lt;&gt;"",ISERROR(MATCH(TRIM('PC 07'!K388),{"Draft","Menunggu Review","Revisi","Terjadwal","Publish","Batal","Published"},0))),"Status di luar daftar","")))</f>
        <v>#ERROR!</v>
      </c>
      <c r="D388" s="3" t="str">
        <f>IF(C388="","OK","ADA MASALAH")</f>
        <v>#ERROR!</v>
      </c>
    </row>
    <row r="389">
      <c r="A389" s="5">
        <v>389.0</v>
      </c>
      <c r="B389" s="3" t="str">
        <f>'PC 07'!A389</f>
        <v/>
      </c>
      <c r="C389" s="3" t="str">
        <f>IF(COUNTA('PC 07'!A389:L389)=0,"",TEXTJOIN(" | ",TRUE,IF('PC 07'!A389="","Worker ID kosong",""),IF('PC 07'!B389="","Update Date kosong",IF(NOT(ISNUMBER('PC 07'!B389)),"Update Date harus tanggal","")),IF('PC 07'!D389="","Judul kosong",""),IF('PC 07'!F389="","Genre kosong",IF(ISERROR(MATCH(TRIM('PC 07'!F389),{"Pop","Rock","Dangdut","K-Pop","Electronic","Nasional","Daerah"},0)),"Genre di luar daftar","")),IF('PC 07'!G389="","Nama Channel kosong",""),IF('PC 07'!H389="","Link kosong",IF(ISERROR(FIND("youtu",LOWER('PC 07'!H389))),"Link bukan youtube","")),IF('PC 07'!I389="","Tgl Dibuat kosong",IF(NOT(ISNUMBER('PC 07'!I389)),"Tgl Dibuat harus tanggal","")),IF(AND('PC 07'!J389&lt;&gt;"",NOT(ISNUMBER('PC 07'!J389))),"Tgl Publish harus tanggal",""),IF(AND(ISNUMBER('PC 07'!I389),ISNUMBER('PC 07'!J389),'PC 07'!J389&lt;'PC 07'!I389),"Tgl Publish &lt; Tgl Dibuat",""),IF(AND('PC 07'!K389&lt;&gt;"",ISERROR(MATCH(TRIM('PC 07'!K389),{"Draft","Menunggu Review","Revisi","Terjadwal","Publish","Batal","Published"},0))),"Status di luar daftar","")))</f>
        <v>#ERROR!</v>
      </c>
      <c r="D389" s="3" t="str">
        <f>IF(C389="","OK","ADA MASALAH")</f>
        <v>#ERROR!</v>
      </c>
    </row>
    <row r="390">
      <c r="A390" s="5">
        <v>390.0</v>
      </c>
      <c r="B390" s="3" t="str">
        <f>'PC 07'!A390</f>
        <v/>
      </c>
      <c r="C390" s="3" t="str">
        <f>IF(COUNTA('PC 07'!A390:L390)=0,"",TEXTJOIN(" | ",TRUE,IF('PC 07'!A390="","Worker ID kosong",""),IF('PC 07'!B390="","Update Date kosong",IF(NOT(ISNUMBER('PC 07'!B390)),"Update Date harus tanggal","")),IF('PC 07'!D390="","Judul kosong",""),IF('PC 07'!F390="","Genre kosong",IF(ISERROR(MATCH(TRIM('PC 07'!F390),{"Pop","Rock","Dangdut","K-Pop","Electronic","Nasional","Daerah"},0)),"Genre di luar daftar","")),IF('PC 07'!G390="","Nama Channel kosong",""),IF('PC 07'!H390="","Link kosong",IF(ISERROR(FIND("youtu",LOWER('PC 07'!H390))),"Link bukan youtube","")),IF('PC 07'!I390="","Tgl Dibuat kosong",IF(NOT(ISNUMBER('PC 07'!I390)),"Tgl Dibuat harus tanggal","")),IF(AND('PC 07'!J390&lt;&gt;"",NOT(ISNUMBER('PC 07'!J390))),"Tgl Publish harus tanggal",""),IF(AND(ISNUMBER('PC 07'!I390),ISNUMBER('PC 07'!J390),'PC 07'!J390&lt;'PC 07'!I390),"Tgl Publish &lt; Tgl Dibuat",""),IF(AND('PC 07'!K390&lt;&gt;"",ISERROR(MATCH(TRIM('PC 07'!K390),{"Draft","Menunggu Review","Revisi","Terjadwal","Publish","Batal","Published"},0))),"Status di luar daftar","")))</f>
        <v>#ERROR!</v>
      </c>
      <c r="D390" s="3" t="str">
        <f>IF(C390="","OK","ADA MASALAH")</f>
        <v>#ERROR!</v>
      </c>
    </row>
    <row r="391">
      <c r="A391" s="5">
        <v>391.0</v>
      </c>
      <c r="B391" s="3" t="str">
        <f>'PC 07'!A391</f>
        <v/>
      </c>
      <c r="C391" s="3" t="str">
        <f>IF(COUNTA('PC 07'!A391:L391)=0,"",TEXTJOIN(" | ",TRUE,IF('PC 07'!A391="","Worker ID kosong",""),IF('PC 07'!B391="","Update Date kosong",IF(NOT(ISNUMBER('PC 07'!B391)),"Update Date harus tanggal","")),IF('PC 07'!D391="","Judul kosong",""),IF('PC 07'!F391="","Genre kosong",IF(ISERROR(MATCH(TRIM('PC 07'!F391),{"Pop","Rock","Dangdut","K-Pop","Electronic","Nasional","Daerah"},0)),"Genre di luar daftar","")),IF('PC 07'!G391="","Nama Channel kosong",""),IF('PC 07'!H391="","Link kosong",IF(ISERROR(FIND("youtu",LOWER('PC 07'!H391))),"Link bukan youtube","")),IF('PC 07'!I391="","Tgl Dibuat kosong",IF(NOT(ISNUMBER('PC 07'!I391)),"Tgl Dibuat harus tanggal","")),IF(AND('PC 07'!J391&lt;&gt;"",NOT(ISNUMBER('PC 07'!J391))),"Tgl Publish harus tanggal",""),IF(AND(ISNUMBER('PC 07'!I391),ISNUMBER('PC 07'!J391),'PC 07'!J391&lt;'PC 07'!I391),"Tgl Publish &lt; Tgl Dibuat",""),IF(AND('PC 07'!K391&lt;&gt;"",ISERROR(MATCH(TRIM('PC 07'!K391),{"Draft","Menunggu Review","Revisi","Terjadwal","Publish","Batal","Published"},0))),"Status di luar daftar","")))</f>
        <v>#ERROR!</v>
      </c>
      <c r="D391" s="3" t="str">
        <f>IF(C391="","OK","ADA MASALAH")</f>
        <v>#ERROR!</v>
      </c>
    </row>
    <row r="392">
      <c r="A392" s="5">
        <v>392.0</v>
      </c>
      <c r="B392" s="3" t="str">
        <f>'PC 07'!A392</f>
        <v/>
      </c>
      <c r="C392" s="3" t="str">
        <f>IF(COUNTA('PC 07'!A392:L392)=0,"",TEXTJOIN(" | ",TRUE,IF('PC 07'!A392="","Worker ID kosong",""),IF('PC 07'!B392="","Update Date kosong",IF(NOT(ISNUMBER('PC 07'!B392)),"Update Date harus tanggal","")),IF('PC 07'!D392="","Judul kosong",""),IF('PC 07'!F392="","Genre kosong",IF(ISERROR(MATCH(TRIM('PC 07'!F392),{"Pop","Rock","Dangdut","K-Pop","Electronic","Nasional","Daerah"},0)),"Genre di luar daftar","")),IF('PC 07'!G392="","Nama Channel kosong",""),IF('PC 07'!H392="","Link kosong",IF(ISERROR(FIND("youtu",LOWER('PC 07'!H392))),"Link bukan youtube","")),IF('PC 07'!I392="","Tgl Dibuat kosong",IF(NOT(ISNUMBER('PC 07'!I392)),"Tgl Dibuat harus tanggal","")),IF(AND('PC 07'!J392&lt;&gt;"",NOT(ISNUMBER('PC 07'!J392))),"Tgl Publish harus tanggal",""),IF(AND(ISNUMBER('PC 07'!I392),ISNUMBER('PC 07'!J392),'PC 07'!J392&lt;'PC 07'!I392),"Tgl Publish &lt; Tgl Dibuat",""),IF(AND('PC 07'!K392&lt;&gt;"",ISERROR(MATCH(TRIM('PC 07'!K392),{"Draft","Menunggu Review","Revisi","Terjadwal","Publish","Batal","Published"},0))),"Status di luar daftar","")))</f>
        <v>#ERROR!</v>
      </c>
      <c r="D392" s="3" t="str">
        <f>IF(C392="","OK","ADA MASALAH")</f>
        <v>#ERROR!</v>
      </c>
    </row>
    <row r="393">
      <c r="A393" s="5">
        <v>393.0</v>
      </c>
      <c r="B393" s="3" t="str">
        <f>'PC 07'!A393</f>
        <v/>
      </c>
      <c r="C393" s="3" t="str">
        <f>IF(COUNTA('PC 07'!A393:L393)=0,"",TEXTJOIN(" | ",TRUE,IF('PC 07'!A393="","Worker ID kosong",""),IF('PC 07'!B393="","Update Date kosong",IF(NOT(ISNUMBER('PC 07'!B393)),"Update Date harus tanggal","")),IF('PC 07'!D393="","Judul kosong",""),IF('PC 07'!F393="","Genre kosong",IF(ISERROR(MATCH(TRIM('PC 07'!F393),{"Pop","Rock","Dangdut","K-Pop","Electronic","Nasional","Daerah"},0)),"Genre di luar daftar","")),IF('PC 07'!G393="","Nama Channel kosong",""),IF('PC 07'!H393="","Link kosong",IF(ISERROR(FIND("youtu",LOWER('PC 07'!H393))),"Link bukan youtube","")),IF('PC 07'!I393="","Tgl Dibuat kosong",IF(NOT(ISNUMBER('PC 07'!I393)),"Tgl Dibuat harus tanggal","")),IF(AND('PC 07'!J393&lt;&gt;"",NOT(ISNUMBER('PC 07'!J393))),"Tgl Publish harus tanggal",""),IF(AND(ISNUMBER('PC 07'!I393),ISNUMBER('PC 07'!J393),'PC 07'!J393&lt;'PC 07'!I393),"Tgl Publish &lt; Tgl Dibuat",""),IF(AND('PC 07'!K393&lt;&gt;"",ISERROR(MATCH(TRIM('PC 07'!K393),{"Draft","Menunggu Review","Revisi","Terjadwal","Publish","Batal","Published"},0))),"Status di luar daftar","")))</f>
        <v>#ERROR!</v>
      </c>
      <c r="D393" s="3" t="str">
        <f>IF(C393="","OK","ADA MASALAH")</f>
        <v>#ERROR!</v>
      </c>
    </row>
    <row r="394">
      <c r="A394" s="5">
        <v>394.0</v>
      </c>
      <c r="B394" s="3" t="str">
        <f>'PC 07'!A394</f>
        <v/>
      </c>
      <c r="C394" s="3" t="str">
        <f>IF(COUNTA('PC 07'!A394:L394)=0,"",TEXTJOIN(" | ",TRUE,IF('PC 07'!A394="","Worker ID kosong",""),IF('PC 07'!B394="","Update Date kosong",IF(NOT(ISNUMBER('PC 07'!B394)),"Update Date harus tanggal","")),IF('PC 07'!D394="","Judul kosong",""),IF('PC 07'!F394="","Genre kosong",IF(ISERROR(MATCH(TRIM('PC 07'!F394),{"Pop","Rock","Dangdut","K-Pop","Electronic","Nasional","Daerah"},0)),"Genre di luar daftar","")),IF('PC 07'!G394="","Nama Channel kosong",""),IF('PC 07'!H394="","Link kosong",IF(ISERROR(FIND("youtu",LOWER('PC 07'!H394))),"Link bukan youtube","")),IF('PC 07'!I394="","Tgl Dibuat kosong",IF(NOT(ISNUMBER('PC 07'!I394)),"Tgl Dibuat harus tanggal","")),IF(AND('PC 07'!J394&lt;&gt;"",NOT(ISNUMBER('PC 07'!J394))),"Tgl Publish harus tanggal",""),IF(AND(ISNUMBER('PC 07'!I394),ISNUMBER('PC 07'!J394),'PC 07'!J394&lt;'PC 07'!I394),"Tgl Publish &lt; Tgl Dibuat",""),IF(AND('PC 07'!K394&lt;&gt;"",ISERROR(MATCH(TRIM('PC 07'!K394),{"Draft","Menunggu Review","Revisi","Terjadwal","Publish","Batal","Published"},0))),"Status di luar daftar","")))</f>
        <v>#ERROR!</v>
      </c>
      <c r="D394" s="3" t="str">
        <f>IF(C394="","OK","ADA MASALAH")</f>
        <v>#ERROR!</v>
      </c>
    </row>
    <row r="395">
      <c r="A395" s="5">
        <v>395.0</v>
      </c>
      <c r="B395" s="3" t="str">
        <f>'PC 07'!A395</f>
        <v/>
      </c>
      <c r="C395" s="3" t="str">
        <f>IF(COUNTA('PC 07'!A395:L395)=0,"",TEXTJOIN(" | ",TRUE,IF('PC 07'!A395="","Worker ID kosong",""),IF('PC 07'!B395="","Update Date kosong",IF(NOT(ISNUMBER('PC 07'!B395)),"Update Date harus tanggal","")),IF('PC 07'!D395="","Judul kosong",""),IF('PC 07'!F395="","Genre kosong",IF(ISERROR(MATCH(TRIM('PC 07'!F395),{"Pop","Rock","Dangdut","K-Pop","Electronic","Nasional","Daerah"},0)),"Genre di luar daftar","")),IF('PC 07'!G395="","Nama Channel kosong",""),IF('PC 07'!H395="","Link kosong",IF(ISERROR(FIND("youtu",LOWER('PC 07'!H395))),"Link bukan youtube","")),IF('PC 07'!I395="","Tgl Dibuat kosong",IF(NOT(ISNUMBER('PC 07'!I395)),"Tgl Dibuat harus tanggal","")),IF(AND('PC 07'!J395&lt;&gt;"",NOT(ISNUMBER('PC 07'!J395))),"Tgl Publish harus tanggal",""),IF(AND(ISNUMBER('PC 07'!I395),ISNUMBER('PC 07'!J395),'PC 07'!J395&lt;'PC 07'!I395),"Tgl Publish &lt; Tgl Dibuat",""),IF(AND('PC 07'!K395&lt;&gt;"",ISERROR(MATCH(TRIM('PC 07'!K395),{"Draft","Menunggu Review","Revisi","Terjadwal","Publish","Batal","Published"},0))),"Status di luar daftar","")))</f>
        <v>#ERROR!</v>
      </c>
      <c r="D395" s="3" t="str">
        <f>IF(C395="","OK","ADA MASALAH")</f>
        <v>#ERROR!</v>
      </c>
    </row>
    <row r="396">
      <c r="A396" s="5">
        <v>396.0</v>
      </c>
      <c r="B396" s="3" t="str">
        <f>'PC 07'!A396</f>
        <v/>
      </c>
      <c r="C396" s="3" t="str">
        <f>IF(COUNTA('PC 07'!A396:L396)=0,"",TEXTJOIN(" | ",TRUE,IF('PC 07'!A396="","Worker ID kosong",""),IF('PC 07'!B396="","Update Date kosong",IF(NOT(ISNUMBER('PC 07'!B396)),"Update Date harus tanggal","")),IF('PC 07'!D396="","Judul kosong",""),IF('PC 07'!F396="","Genre kosong",IF(ISERROR(MATCH(TRIM('PC 07'!F396),{"Pop","Rock","Dangdut","K-Pop","Electronic","Nasional","Daerah"},0)),"Genre di luar daftar","")),IF('PC 07'!G396="","Nama Channel kosong",""),IF('PC 07'!H396="","Link kosong",IF(ISERROR(FIND("youtu",LOWER('PC 07'!H396))),"Link bukan youtube","")),IF('PC 07'!I396="","Tgl Dibuat kosong",IF(NOT(ISNUMBER('PC 07'!I396)),"Tgl Dibuat harus tanggal","")),IF(AND('PC 07'!J396&lt;&gt;"",NOT(ISNUMBER('PC 07'!J396))),"Tgl Publish harus tanggal",""),IF(AND(ISNUMBER('PC 07'!I396),ISNUMBER('PC 07'!J396),'PC 07'!J396&lt;'PC 07'!I396),"Tgl Publish &lt; Tgl Dibuat",""),IF(AND('PC 07'!K396&lt;&gt;"",ISERROR(MATCH(TRIM('PC 07'!K396),{"Draft","Menunggu Review","Revisi","Terjadwal","Publish","Batal","Published"},0))),"Status di luar daftar","")))</f>
        <v>#ERROR!</v>
      </c>
      <c r="D396" s="3" t="str">
        <f>IF(C396="","OK","ADA MASALAH")</f>
        <v>#ERROR!</v>
      </c>
    </row>
    <row r="397">
      <c r="A397" s="5">
        <v>397.0</v>
      </c>
      <c r="B397" s="3" t="str">
        <f>'PC 07'!A397</f>
        <v/>
      </c>
      <c r="C397" s="3" t="str">
        <f>IF(COUNTA('PC 07'!A397:L397)=0,"",TEXTJOIN(" | ",TRUE,IF('PC 07'!A397="","Worker ID kosong",""),IF('PC 07'!B397="","Update Date kosong",IF(NOT(ISNUMBER('PC 07'!B397)),"Update Date harus tanggal","")),IF('PC 07'!D397="","Judul kosong",""),IF('PC 07'!F397="","Genre kosong",IF(ISERROR(MATCH(TRIM('PC 07'!F397),{"Pop","Rock","Dangdut","K-Pop","Electronic","Nasional","Daerah"},0)),"Genre di luar daftar","")),IF('PC 07'!G397="","Nama Channel kosong",""),IF('PC 07'!H397="","Link kosong",IF(ISERROR(FIND("youtu",LOWER('PC 07'!H397))),"Link bukan youtube","")),IF('PC 07'!I397="","Tgl Dibuat kosong",IF(NOT(ISNUMBER('PC 07'!I397)),"Tgl Dibuat harus tanggal","")),IF(AND('PC 07'!J397&lt;&gt;"",NOT(ISNUMBER('PC 07'!J397))),"Tgl Publish harus tanggal",""),IF(AND(ISNUMBER('PC 07'!I397),ISNUMBER('PC 07'!J397),'PC 07'!J397&lt;'PC 07'!I397),"Tgl Publish &lt; Tgl Dibuat",""),IF(AND('PC 07'!K397&lt;&gt;"",ISERROR(MATCH(TRIM('PC 07'!K397),{"Draft","Menunggu Review","Revisi","Terjadwal","Publish","Batal","Published"},0))),"Status di luar daftar","")))</f>
        <v>#ERROR!</v>
      </c>
      <c r="D397" s="3" t="str">
        <f>IF(C397="","OK","ADA MASALAH")</f>
        <v>#ERROR!</v>
      </c>
    </row>
    <row r="398">
      <c r="A398" s="5">
        <v>398.0</v>
      </c>
      <c r="B398" s="3" t="str">
        <f>'PC 07'!A398</f>
        <v/>
      </c>
      <c r="C398" s="3" t="str">
        <f>IF(COUNTA('PC 07'!A398:L398)=0,"",TEXTJOIN(" | ",TRUE,IF('PC 07'!A398="","Worker ID kosong",""),IF('PC 07'!B398="","Update Date kosong",IF(NOT(ISNUMBER('PC 07'!B398)),"Update Date harus tanggal","")),IF('PC 07'!D398="","Judul kosong",""),IF('PC 07'!F398="","Genre kosong",IF(ISERROR(MATCH(TRIM('PC 07'!F398),{"Pop","Rock","Dangdut","K-Pop","Electronic","Nasional","Daerah"},0)),"Genre di luar daftar","")),IF('PC 07'!G398="","Nama Channel kosong",""),IF('PC 07'!H398="","Link kosong",IF(ISERROR(FIND("youtu",LOWER('PC 07'!H398))),"Link bukan youtube","")),IF('PC 07'!I398="","Tgl Dibuat kosong",IF(NOT(ISNUMBER('PC 07'!I398)),"Tgl Dibuat harus tanggal","")),IF(AND('PC 07'!J398&lt;&gt;"",NOT(ISNUMBER('PC 07'!J398))),"Tgl Publish harus tanggal",""),IF(AND(ISNUMBER('PC 07'!I398),ISNUMBER('PC 07'!J398),'PC 07'!J398&lt;'PC 07'!I398),"Tgl Publish &lt; Tgl Dibuat",""),IF(AND('PC 07'!K398&lt;&gt;"",ISERROR(MATCH(TRIM('PC 07'!K398),{"Draft","Menunggu Review","Revisi","Terjadwal","Publish","Batal","Published"},0))),"Status di luar daftar","")))</f>
        <v>#ERROR!</v>
      </c>
      <c r="D398" s="3" t="str">
        <f>IF(C398="","OK","ADA MASALAH")</f>
        <v>#ERROR!</v>
      </c>
    </row>
    <row r="399">
      <c r="A399" s="5">
        <v>399.0</v>
      </c>
      <c r="B399" s="3" t="str">
        <f>'PC 07'!A399</f>
        <v/>
      </c>
      <c r="C399" s="3" t="str">
        <f>IF(COUNTA('PC 07'!A399:L399)=0,"",TEXTJOIN(" | ",TRUE,IF('PC 07'!A399="","Worker ID kosong",""),IF('PC 07'!B399="","Update Date kosong",IF(NOT(ISNUMBER('PC 07'!B399)),"Update Date harus tanggal","")),IF('PC 07'!D399="","Judul kosong",""),IF('PC 07'!F399="","Genre kosong",IF(ISERROR(MATCH(TRIM('PC 07'!F399),{"Pop","Rock","Dangdut","K-Pop","Electronic","Nasional","Daerah"},0)),"Genre di luar daftar","")),IF('PC 07'!G399="","Nama Channel kosong",""),IF('PC 07'!H399="","Link kosong",IF(ISERROR(FIND("youtu",LOWER('PC 07'!H399))),"Link bukan youtube","")),IF('PC 07'!I399="","Tgl Dibuat kosong",IF(NOT(ISNUMBER('PC 07'!I399)),"Tgl Dibuat harus tanggal","")),IF(AND('PC 07'!J399&lt;&gt;"",NOT(ISNUMBER('PC 07'!J399))),"Tgl Publish harus tanggal",""),IF(AND(ISNUMBER('PC 07'!I399),ISNUMBER('PC 07'!J399),'PC 07'!J399&lt;'PC 07'!I399),"Tgl Publish &lt; Tgl Dibuat",""),IF(AND('PC 07'!K399&lt;&gt;"",ISERROR(MATCH(TRIM('PC 07'!K399),{"Draft","Menunggu Review","Revisi","Terjadwal","Publish","Batal","Published"},0))),"Status di luar daftar","")))</f>
        <v>#ERROR!</v>
      </c>
      <c r="D399" s="3" t="str">
        <f>IF(C399="","OK","ADA MASALAH")</f>
        <v>#ERROR!</v>
      </c>
    </row>
    <row r="400">
      <c r="A400" s="5">
        <v>400.0</v>
      </c>
      <c r="B400" s="3" t="str">
        <f>'PC 07'!A400</f>
        <v/>
      </c>
      <c r="C400" s="3" t="str">
        <f>IF(COUNTA('PC 07'!A400:L400)=0,"",TEXTJOIN(" | ",TRUE,IF('PC 07'!A400="","Worker ID kosong",""),IF('PC 07'!B400="","Update Date kosong",IF(NOT(ISNUMBER('PC 07'!B400)),"Update Date harus tanggal","")),IF('PC 07'!D400="","Judul kosong",""),IF('PC 07'!F400="","Genre kosong",IF(ISERROR(MATCH(TRIM('PC 07'!F400),{"Pop","Rock","Dangdut","K-Pop","Electronic","Nasional","Daerah"},0)),"Genre di luar daftar","")),IF('PC 07'!G400="","Nama Channel kosong",""),IF('PC 07'!H400="","Link kosong",IF(ISERROR(FIND("youtu",LOWER('PC 07'!H400))),"Link bukan youtube","")),IF('PC 07'!I400="","Tgl Dibuat kosong",IF(NOT(ISNUMBER('PC 07'!I400)),"Tgl Dibuat harus tanggal","")),IF(AND('PC 07'!J400&lt;&gt;"",NOT(ISNUMBER('PC 07'!J400))),"Tgl Publish harus tanggal",""),IF(AND(ISNUMBER('PC 07'!I400),ISNUMBER('PC 07'!J400),'PC 07'!J400&lt;'PC 07'!I400),"Tgl Publish &lt; Tgl Dibuat",""),IF(AND('PC 07'!K400&lt;&gt;"",ISERROR(MATCH(TRIM('PC 07'!K400),{"Draft","Menunggu Review","Revisi","Terjadwal","Publish","Batal","Published"},0))),"Status di luar daftar","")))</f>
        <v>#ERROR!</v>
      </c>
      <c r="D400" s="3" t="str">
        <f>IF(C400="","OK","ADA MASALAH")</f>
        <v>#ERROR!</v>
      </c>
    </row>
    <row r="401">
      <c r="A401" s="5">
        <v>401.0</v>
      </c>
      <c r="B401" s="3" t="str">
        <f>'PC 07'!A401</f>
        <v/>
      </c>
      <c r="C401" s="3" t="str">
        <f>IF(COUNTA('PC 07'!A401:L401)=0,"",TEXTJOIN(" | ",TRUE,IF('PC 07'!A401="","Worker ID kosong",""),IF('PC 07'!B401="","Update Date kosong",IF(NOT(ISNUMBER('PC 07'!B401)),"Update Date harus tanggal","")),IF('PC 07'!D401="","Judul kosong",""),IF('PC 07'!F401="","Genre kosong",IF(ISERROR(MATCH(TRIM('PC 07'!F401),{"Pop","Rock","Dangdut","K-Pop","Electronic","Nasional","Daerah"},0)),"Genre di luar daftar","")),IF('PC 07'!G401="","Nama Channel kosong",""),IF('PC 07'!H401="","Link kosong",IF(ISERROR(FIND("youtu",LOWER('PC 07'!H401))),"Link bukan youtube","")),IF('PC 07'!I401="","Tgl Dibuat kosong",IF(NOT(ISNUMBER('PC 07'!I401)),"Tgl Dibuat harus tanggal","")),IF(AND('PC 07'!J401&lt;&gt;"",NOT(ISNUMBER('PC 07'!J401))),"Tgl Publish harus tanggal",""),IF(AND(ISNUMBER('PC 07'!I401),ISNUMBER('PC 07'!J401),'PC 07'!J401&lt;'PC 07'!I401),"Tgl Publish &lt; Tgl Dibuat",""),IF(AND('PC 07'!K401&lt;&gt;"",ISERROR(MATCH(TRIM('PC 07'!K401),{"Draft","Menunggu Review","Revisi","Terjadwal","Publish","Batal","Published"},0))),"Status di luar daftar","")))</f>
        <v>#ERROR!</v>
      </c>
      <c r="D401" s="3" t="str">
        <f>IF(C401="","OK","ADA MASALAH")</f>
        <v>#ERROR!</v>
      </c>
    </row>
    <row r="402">
      <c r="A402" s="5">
        <v>402.0</v>
      </c>
      <c r="B402" s="3" t="str">
        <f>'PC 07'!A402</f>
        <v/>
      </c>
      <c r="C402" s="3" t="str">
        <f>IF(COUNTA('PC 07'!A402:L402)=0,"",TEXTJOIN(" | ",TRUE,IF('PC 07'!A402="","Worker ID kosong",""),IF('PC 07'!B402="","Update Date kosong",IF(NOT(ISNUMBER('PC 07'!B402)),"Update Date harus tanggal","")),IF('PC 07'!D402="","Judul kosong",""),IF('PC 07'!F402="","Genre kosong",IF(ISERROR(MATCH(TRIM('PC 07'!F402),{"Pop","Rock","Dangdut","K-Pop","Electronic","Nasional","Daerah"},0)),"Genre di luar daftar","")),IF('PC 07'!G402="","Nama Channel kosong",""),IF('PC 07'!H402="","Link kosong",IF(ISERROR(FIND("youtu",LOWER('PC 07'!H402))),"Link bukan youtube","")),IF('PC 07'!I402="","Tgl Dibuat kosong",IF(NOT(ISNUMBER('PC 07'!I402)),"Tgl Dibuat harus tanggal","")),IF(AND('PC 07'!J402&lt;&gt;"",NOT(ISNUMBER('PC 07'!J402))),"Tgl Publish harus tanggal",""),IF(AND(ISNUMBER('PC 07'!I402),ISNUMBER('PC 07'!J402),'PC 07'!J402&lt;'PC 07'!I402),"Tgl Publish &lt; Tgl Dibuat",""),IF(AND('PC 07'!K402&lt;&gt;"",ISERROR(MATCH(TRIM('PC 07'!K402),{"Draft","Menunggu Review","Revisi","Terjadwal","Publish","Batal","Published"},0))),"Status di luar daftar","")))</f>
        <v>#ERROR!</v>
      </c>
      <c r="D402" s="3" t="str">
        <f>IF(C402="","OK","ADA MASALAH")</f>
        <v>#ERROR!</v>
      </c>
    </row>
    <row r="403">
      <c r="A403" s="5">
        <v>403.0</v>
      </c>
      <c r="B403" s="3" t="str">
        <f>'PC 07'!A403</f>
        <v/>
      </c>
      <c r="C403" s="3" t="str">
        <f>IF(COUNTA('PC 07'!A403:L403)=0,"",TEXTJOIN(" | ",TRUE,IF('PC 07'!A403="","Worker ID kosong",""),IF('PC 07'!B403="","Update Date kosong",IF(NOT(ISNUMBER('PC 07'!B403)),"Update Date harus tanggal","")),IF('PC 07'!D403="","Judul kosong",""),IF('PC 07'!F403="","Genre kosong",IF(ISERROR(MATCH(TRIM('PC 07'!F403),{"Pop","Rock","Dangdut","K-Pop","Electronic","Nasional","Daerah"},0)),"Genre di luar daftar","")),IF('PC 07'!G403="","Nama Channel kosong",""),IF('PC 07'!H403="","Link kosong",IF(ISERROR(FIND("youtu",LOWER('PC 07'!H403))),"Link bukan youtube","")),IF('PC 07'!I403="","Tgl Dibuat kosong",IF(NOT(ISNUMBER('PC 07'!I403)),"Tgl Dibuat harus tanggal","")),IF(AND('PC 07'!J403&lt;&gt;"",NOT(ISNUMBER('PC 07'!J403))),"Tgl Publish harus tanggal",""),IF(AND(ISNUMBER('PC 07'!I403),ISNUMBER('PC 07'!J403),'PC 07'!J403&lt;'PC 07'!I403),"Tgl Publish &lt; Tgl Dibuat",""),IF(AND('PC 07'!K403&lt;&gt;"",ISERROR(MATCH(TRIM('PC 07'!K403),{"Draft","Menunggu Review","Revisi","Terjadwal","Publish","Batal","Published"},0))),"Status di luar daftar","")))</f>
        <v>#ERROR!</v>
      </c>
      <c r="D403" s="3" t="str">
        <f>IF(C403="","OK","ADA MASALAH")</f>
        <v>#ERROR!</v>
      </c>
    </row>
    <row r="404">
      <c r="A404" s="5">
        <v>404.0</v>
      </c>
      <c r="B404" s="3" t="str">
        <f>'PC 07'!A404</f>
        <v/>
      </c>
      <c r="C404" s="3" t="str">
        <f>IF(COUNTA('PC 07'!A404:L404)=0,"",TEXTJOIN(" | ",TRUE,IF('PC 07'!A404="","Worker ID kosong",""),IF('PC 07'!B404="","Update Date kosong",IF(NOT(ISNUMBER('PC 07'!B404)),"Update Date harus tanggal","")),IF('PC 07'!D404="","Judul kosong",""),IF('PC 07'!F404="","Genre kosong",IF(ISERROR(MATCH(TRIM('PC 07'!F404),{"Pop","Rock","Dangdut","K-Pop","Electronic","Nasional","Daerah"},0)),"Genre di luar daftar","")),IF('PC 07'!G404="","Nama Channel kosong",""),IF('PC 07'!H404="","Link kosong",IF(ISERROR(FIND("youtu",LOWER('PC 07'!H404))),"Link bukan youtube","")),IF('PC 07'!I404="","Tgl Dibuat kosong",IF(NOT(ISNUMBER('PC 07'!I404)),"Tgl Dibuat harus tanggal","")),IF(AND('PC 07'!J404&lt;&gt;"",NOT(ISNUMBER('PC 07'!J404))),"Tgl Publish harus tanggal",""),IF(AND(ISNUMBER('PC 07'!I404),ISNUMBER('PC 07'!J404),'PC 07'!J404&lt;'PC 07'!I404),"Tgl Publish &lt; Tgl Dibuat",""),IF(AND('PC 07'!K404&lt;&gt;"",ISERROR(MATCH(TRIM('PC 07'!K404),{"Draft","Menunggu Review","Revisi","Terjadwal","Publish","Batal","Published"},0))),"Status di luar daftar","")))</f>
        <v>#ERROR!</v>
      </c>
      <c r="D404" s="3" t="str">
        <f>IF(C404="","OK","ADA MASALAH")</f>
        <v>#ERROR!</v>
      </c>
    </row>
    <row r="405">
      <c r="A405" s="5">
        <v>405.0</v>
      </c>
      <c r="B405" s="3" t="str">
        <f>'PC 07'!A405</f>
        <v/>
      </c>
      <c r="C405" s="3" t="str">
        <f>IF(COUNTA('PC 07'!A405:L405)=0,"",TEXTJOIN(" | ",TRUE,IF('PC 07'!A405="","Worker ID kosong",""),IF('PC 07'!B405="","Update Date kosong",IF(NOT(ISNUMBER('PC 07'!B405)),"Update Date harus tanggal","")),IF('PC 07'!D405="","Judul kosong",""),IF('PC 07'!F405="","Genre kosong",IF(ISERROR(MATCH(TRIM('PC 07'!F405),{"Pop","Rock","Dangdut","K-Pop","Electronic","Nasional","Daerah"},0)),"Genre di luar daftar","")),IF('PC 07'!G405="","Nama Channel kosong",""),IF('PC 07'!H405="","Link kosong",IF(ISERROR(FIND("youtu",LOWER('PC 07'!H405))),"Link bukan youtube","")),IF('PC 07'!I405="","Tgl Dibuat kosong",IF(NOT(ISNUMBER('PC 07'!I405)),"Tgl Dibuat harus tanggal","")),IF(AND('PC 07'!J405&lt;&gt;"",NOT(ISNUMBER('PC 07'!J405))),"Tgl Publish harus tanggal",""),IF(AND(ISNUMBER('PC 07'!I405),ISNUMBER('PC 07'!J405),'PC 07'!J405&lt;'PC 07'!I405),"Tgl Publish &lt; Tgl Dibuat",""),IF(AND('PC 07'!K405&lt;&gt;"",ISERROR(MATCH(TRIM('PC 07'!K405),{"Draft","Menunggu Review","Revisi","Terjadwal","Publish","Batal","Published"},0))),"Status di luar daftar","")))</f>
        <v>#ERROR!</v>
      </c>
      <c r="D405" s="3" t="str">
        <f>IF(C405="","OK","ADA MASALAH")</f>
        <v>#ERROR!</v>
      </c>
    </row>
    <row r="406">
      <c r="A406" s="5">
        <v>406.0</v>
      </c>
      <c r="B406" s="3" t="str">
        <f>'PC 07'!A406</f>
        <v/>
      </c>
      <c r="C406" s="3" t="str">
        <f>IF(COUNTA('PC 07'!A406:L406)=0,"",TEXTJOIN(" | ",TRUE,IF('PC 07'!A406="","Worker ID kosong",""),IF('PC 07'!B406="","Update Date kosong",IF(NOT(ISNUMBER('PC 07'!B406)),"Update Date harus tanggal","")),IF('PC 07'!D406="","Judul kosong",""),IF('PC 07'!F406="","Genre kosong",IF(ISERROR(MATCH(TRIM('PC 07'!F406),{"Pop","Rock","Dangdut","K-Pop","Electronic","Nasional","Daerah"},0)),"Genre di luar daftar","")),IF('PC 07'!G406="","Nama Channel kosong",""),IF('PC 07'!H406="","Link kosong",IF(ISERROR(FIND("youtu",LOWER('PC 07'!H406))),"Link bukan youtube","")),IF('PC 07'!I406="","Tgl Dibuat kosong",IF(NOT(ISNUMBER('PC 07'!I406)),"Tgl Dibuat harus tanggal","")),IF(AND('PC 07'!J406&lt;&gt;"",NOT(ISNUMBER('PC 07'!J406))),"Tgl Publish harus tanggal",""),IF(AND(ISNUMBER('PC 07'!I406),ISNUMBER('PC 07'!J406),'PC 07'!J406&lt;'PC 07'!I406),"Tgl Publish &lt; Tgl Dibuat",""),IF(AND('PC 07'!K406&lt;&gt;"",ISERROR(MATCH(TRIM('PC 07'!K406),{"Draft","Menunggu Review","Revisi","Terjadwal","Publish","Batal","Published"},0))),"Status di luar daftar","")))</f>
        <v>#ERROR!</v>
      </c>
      <c r="D406" s="3" t="str">
        <f>IF(C406="","OK","ADA MASALAH")</f>
        <v>#ERROR!</v>
      </c>
    </row>
    <row r="407">
      <c r="A407" s="5">
        <v>407.0</v>
      </c>
      <c r="B407" s="3" t="str">
        <f>'PC 07'!A407</f>
        <v/>
      </c>
      <c r="C407" s="3" t="str">
        <f>IF(COUNTA('PC 07'!A407:L407)=0,"",TEXTJOIN(" | ",TRUE,IF('PC 07'!A407="","Worker ID kosong",""),IF('PC 07'!B407="","Update Date kosong",IF(NOT(ISNUMBER('PC 07'!B407)),"Update Date harus tanggal","")),IF('PC 07'!D407="","Judul kosong",""),IF('PC 07'!F407="","Genre kosong",IF(ISERROR(MATCH(TRIM('PC 07'!F407),{"Pop","Rock","Dangdut","K-Pop","Electronic","Nasional","Daerah"},0)),"Genre di luar daftar","")),IF('PC 07'!G407="","Nama Channel kosong",""),IF('PC 07'!H407="","Link kosong",IF(ISERROR(FIND("youtu",LOWER('PC 07'!H407))),"Link bukan youtube","")),IF('PC 07'!I407="","Tgl Dibuat kosong",IF(NOT(ISNUMBER('PC 07'!I407)),"Tgl Dibuat harus tanggal","")),IF(AND('PC 07'!J407&lt;&gt;"",NOT(ISNUMBER('PC 07'!J407))),"Tgl Publish harus tanggal",""),IF(AND(ISNUMBER('PC 07'!I407),ISNUMBER('PC 07'!J407),'PC 07'!J407&lt;'PC 07'!I407),"Tgl Publish &lt; Tgl Dibuat",""),IF(AND('PC 07'!K407&lt;&gt;"",ISERROR(MATCH(TRIM('PC 07'!K407),{"Draft","Menunggu Review","Revisi","Terjadwal","Publish","Batal","Published"},0))),"Status di luar daftar","")))</f>
        <v>#ERROR!</v>
      </c>
      <c r="D407" s="3" t="str">
        <f>IF(C407="","OK","ADA MASALAH")</f>
        <v>#ERROR!</v>
      </c>
    </row>
    <row r="408">
      <c r="A408" s="5">
        <v>408.0</v>
      </c>
      <c r="B408" s="3" t="str">
        <f>'PC 07'!A408</f>
        <v/>
      </c>
      <c r="C408" s="3" t="str">
        <f>IF(COUNTA('PC 07'!A408:L408)=0,"",TEXTJOIN(" | ",TRUE,IF('PC 07'!A408="","Worker ID kosong",""),IF('PC 07'!B408="","Update Date kosong",IF(NOT(ISNUMBER('PC 07'!B408)),"Update Date harus tanggal","")),IF('PC 07'!D408="","Judul kosong",""),IF('PC 07'!F408="","Genre kosong",IF(ISERROR(MATCH(TRIM('PC 07'!F408),{"Pop","Rock","Dangdut","K-Pop","Electronic","Nasional","Daerah"},0)),"Genre di luar daftar","")),IF('PC 07'!G408="","Nama Channel kosong",""),IF('PC 07'!H408="","Link kosong",IF(ISERROR(FIND("youtu",LOWER('PC 07'!H408))),"Link bukan youtube","")),IF('PC 07'!I408="","Tgl Dibuat kosong",IF(NOT(ISNUMBER('PC 07'!I408)),"Tgl Dibuat harus tanggal","")),IF(AND('PC 07'!J408&lt;&gt;"",NOT(ISNUMBER('PC 07'!J408))),"Tgl Publish harus tanggal",""),IF(AND(ISNUMBER('PC 07'!I408),ISNUMBER('PC 07'!J408),'PC 07'!J408&lt;'PC 07'!I408),"Tgl Publish &lt; Tgl Dibuat",""),IF(AND('PC 07'!K408&lt;&gt;"",ISERROR(MATCH(TRIM('PC 07'!K408),{"Draft","Menunggu Review","Revisi","Terjadwal","Publish","Batal","Published"},0))),"Status di luar daftar","")))</f>
        <v>#ERROR!</v>
      </c>
      <c r="D408" s="3" t="str">
        <f>IF(C408="","OK","ADA MASALAH")</f>
        <v>#ERROR!</v>
      </c>
    </row>
    <row r="409">
      <c r="A409" s="5">
        <v>409.0</v>
      </c>
      <c r="B409" s="3" t="str">
        <f>'PC 07'!A409</f>
        <v/>
      </c>
      <c r="C409" s="3" t="str">
        <f>IF(COUNTA('PC 07'!A409:L409)=0,"",TEXTJOIN(" | ",TRUE,IF('PC 07'!A409="","Worker ID kosong",""),IF('PC 07'!B409="","Update Date kosong",IF(NOT(ISNUMBER('PC 07'!B409)),"Update Date harus tanggal","")),IF('PC 07'!D409="","Judul kosong",""),IF('PC 07'!F409="","Genre kosong",IF(ISERROR(MATCH(TRIM('PC 07'!F409),{"Pop","Rock","Dangdut","K-Pop","Electronic","Nasional","Daerah"},0)),"Genre di luar daftar","")),IF('PC 07'!G409="","Nama Channel kosong",""),IF('PC 07'!H409="","Link kosong",IF(ISERROR(FIND("youtu",LOWER('PC 07'!H409))),"Link bukan youtube","")),IF('PC 07'!I409="","Tgl Dibuat kosong",IF(NOT(ISNUMBER('PC 07'!I409)),"Tgl Dibuat harus tanggal","")),IF(AND('PC 07'!J409&lt;&gt;"",NOT(ISNUMBER('PC 07'!J409))),"Tgl Publish harus tanggal",""),IF(AND(ISNUMBER('PC 07'!I409),ISNUMBER('PC 07'!J409),'PC 07'!J409&lt;'PC 07'!I409),"Tgl Publish &lt; Tgl Dibuat",""),IF(AND('PC 07'!K409&lt;&gt;"",ISERROR(MATCH(TRIM('PC 07'!K409),{"Draft","Menunggu Review","Revisi","Terjadwal","Publish","Batal","Published"},0))),"Status di luar daftar","")))</f>
        <v>#ERROR!</v>
      </c>
      <c r="D409" s="3" t="str">
        <f>IF(C409="","OK","ADA MASALAH")</f>
        <v>#ERROR!</v>
      </c>
    </row>
    <row r="410">
      <c r="A410" s="5">
        <v>410.0</v>
      </c>
      <c r="B410" s="3" t="str">
        <f>'PC 07'!A410</f>
        <v/>
      </c>
      <c r="C410" s="3" t="str">
        <f>IF(COUNTA('PC 07'!A410:L410)=0,"",TEXTJOIN(" | ",TRUE,IF('PC 07'!A410="","Worker ID kosong",""),IF('PC 07'!B410="","Update Date kosong",IF(NOT(ISNUMBER('PC 07'!B410)),"Update Date harus tanggal","")),IF('PC 07'!D410="","Judul kosong",""),IF('PC 07'!F410="","Genre kosong",IF(ISERROR(MATCH(TRIM('PC 07'!F410),{"Pop","Rock","Dangdut","K-Pop","Electronic","Nasional","Daerah"},0)),"Genre di luar daftar","")),IF('PC 07'!G410="","Nama Channel kosong",""),IF('PC 07'!H410="","Link kosong",IF(ISERROR(FIND("youtu",LOWER('PC 07'!H410))),"Link bukan youtube","")),IF('PC 07'!I410="","Tgl Dibuat kosong",IF(NOT(ISNUMBER('PC 07'!I410)),"Tgl Dibuat harus tanggal","")),IF(AND('PC 07'!J410&lt;&gt;"",NOT(ISNUMBER('PC 07'!J410))),"Tgl Publish harus tanggal",""),IF(AND(ISNUMBER('PC 07'!I410),ISNUMBER('PC 07'!J410),'PC 07'!J410&lt;'PC 07'!I410),"Tgl Publish &lt; Tgl Dibuat",""),IF(AND('PC 07'!K410&lt;&gt;"",ISERROR(MATCH(TRIM('PC 07'!K410),{"Draft","Menunggu Review","Revisi","Terjadwal","Publish","Batal","Published"},0))),"Status di luar daftar","")))</f>
        <v>#ERROR!</v>
      </c>
      <c r="D410" s="3" t="str">
        <f>IF(C410="","OK","ADA MASALAH")</f>
        <v>#ERROR!</v>
      </c>
    </row>
    <row r="411">
      <c r="A411" s="5">
        <v>411.0</v>
      </c>
      <c r="B411" s="3" t="str">
        <f>'PC 07'!A411</f>
        <v/>
      </c>
      <c r="C411" s="3" t="str">
        <f>IF(COUNTA('PC 07'!A411:L411)=0,"",TEXTJOIN(" | ",TRUE,IF('PC 07'!A411="","Worker ID kosong",""),IF('PC 07'!B411="","Update Date kosong",IF(NOT(ISNUMBER('PC 07'!B411)),"Update Date harus tanggal","")),IF('PC 07'!D411="","Judul kosong",""),IF('PC 07'!F411="","Genre kosong",IF(ISERROR(MATCH(TRIM('PC 07'!F411),{"Pop","Rock","Dangdut","K-Pop","Electronic","Nasional","Daerah"},0)),"Genre di luar daftar","")),IF('PC 07'!G411="","Nama Channel kosong",""),IF('PC 07'!H411="","Link kosong",IF(ISERROR(FIND("youtu",LOWER('PC 07'!H411))),"Link bukan youtube","")),IF('PC 07'!I411="","Tgl Dibuat kosong",IF(NOT(ISNUMBER('PC 07'!I411)),"Tgl Dibuat harus tanggal","")),IF(AND('PC 07'!J411&lt;&gt;"",NOT(ISNUMBER('PC 07'!J411))),"Tgl Publish harus tanggal",""),IF(AND(ISNUMBER('PC 07'!I411),ISNUMBER('PC 07'!J411),'PC 07'!J411&lt;'PC 07'!I411),"Tgl Publish &lt; Tgl Dibuat",""),IF(AND('PC 07'!K411&lt;&gt;"",ISERROR(MATCH(TRIM('PC 07'!K411),{"Draft","Menunggu Review","Revisi","Terjadwal","Publish","Batal","Published"},0))),"Status di luar daftar","")))</f>
        <v>#ERROR!</v>
      </c>
      <c r="D411" s="3" t="str">
        <f>IF(C411="","OK","ADA MASALAH")</f>
        <v>#ERROR!</v>
      </c>
    </row>
    <row r="412">
      <c r="A412" s="5">
        <v>412.0</v>
      </c>
      <c r="B412" s="3" t="str">
        <f>'PC 07'!A412</f>
        <v/>
      </c>
      <c r="C412" s="3" t="str">
        <f>IF(COUNTA('PC 07'!A412:L412)=0,"",TEXTJOIN(" | ",TRUE,IF('PC 07'!A412="","Worker ID kosong",""),IF('PC 07'!B412="","Update Date kosong",IF(NOT(ISNUMBER('PC 07'!B412)),"Update Date harus tanggal","")),IF('PC 07'!D412="","Judul kosong",""),IF('PC 07'!F412="","Genre kosong",IF(ISERROR(MATCH(TRIM('PC 07'!F412),{"Pop","Rock","Dangdut","K-Pop","Electronic","Nasional","Daerah"},0)),"Genre di luar daftar","")),IF('PC 07'!G412="","Nama Channel kosong",""),IF('PC 07'!H412="","Link kosong",IF(ISERROR(FIND("youtu",LOWER('PC 07'!H412))),"Link bukan youtube","")),IF('PC 07'!I412="","Tgl Dibuat kosong",IF(NOT(ISNUMBER('PC 07'!I412)),"Tgl Dibuat harus tanggal","")),IF(AND('PC 07'!J412&lt;&gt;"",NOT(ISNUMBER('PC 07'!J412))),"Tgl Publish harus tanggal",""),IF(AND(ISNUMBER('PC 07'!I412),ISNUMBER('PC 07'!J412),'PC 07'!J412&lt;'PC 07'!I412),"Tgl Publish &lt; Tgl Dibuat",""),IF(AND('PC 07'!K412&lt;&gt;"",ISERROR(MATCH(TRIM('PC 07'!K412),{"Draft","Menunggu Review","Revisi","Terjadwal","Publish","Batal","Published"},0))),"Status di luar daftar","")))</f>
        <v>#ERROR!</v>
      </c>
      <c r="D412" s="3" t="str">
        <f>IF(C412="","OK","ADA MASALAH")</f>
        <v>#ERROR!</v>
      </c>
    </row>
    <row r="413">
      <c r="A413" s="5">
        <v>413.0</v>
      </c>
      <c r="B413" s="3" t="str">
        <f>'PC 07'!A413</f>
        <v/>
      </c>
      <c r="C413" s="3" t="str">
        <f>IF(COUNTA('PC 07'!A413:L413)=0,"",TEXTJOIN(" | ",TRUE,IF('PC 07'!A413="","Worker ID kosong",""),IF('PC 07'!B413="","Update Date kosong",IF(NOT(ISNUMBER('PC 07'!B413)),"Update Date harus tanggal","")),IF('PC 07'!D413="","Judul kosong",""),IF('PC 07'!F413="","Genre kosong",IF(ISERROR(MATCH(TRIM('PC 07'!F413),{"Pop","Rock","Dangdut","K-Pop","Electronic","Nasional","Daerah"},0)),"Genre di luar daftar","")),IF('PC 07'!G413="","Nama Channel kosong",""),IF('PC 07'!H413="","Link kosong",IF(ISERROR(FIND("youtu",LOWER('PC 07'!H413))),"Link bukan youtube","")),IF('PC 07'!I413="","Tgl Dibuat kosong",IF(NOT(ISNUMBER('PC 07'!I413)),"Tgl Dibuat harus tanggal","")),IF(AND('PC 07'!J413&lt;&gt;"",NOT(ISNUMBER('PC 07'!J413))),"Tgl Publish harus tanggal",""),IF(AND(ISNUMBER('PC 07'!I413),ISNUMBER('PC 07'!J413),'PC 07'!J413&lt;'PC 07'!I413),"Tgl Publish &lt; Tgl Dibuat",""),IF(AND('PC 07'!K413&lt;&gt;"",ISERROR(MATCH(TRIM('PC 07'!K413),{"Draft","Menunggu Review","Revisi","Terjadwal","Publish","Batal","Published"},0))),"Status di luar daftar","")))</f>
        <v>#ERROR!</v>
      </c>
      <c r="D413" s="3" t="str">
        <f>IF(C413="","OK","ADA MASALAH")</f>
        <v>#ERROR!</v>
      </c>
    </row>
    <row r="414">
      <c r="A414" s="5">
        <v>414.0</v>
      </c>
      <c r="B414" s="3" t="str">
        <f>'PC 07'!A414</f>
        <v/>
      </c>
      <c r="C414" s="3" t="str">
        <f>IF(COUNTA('PC 07'!A414:L414)=0,"",TEXTJOIN(" | ",TRUE,IF('PC 07'!A414="","Worker ID kosong",""),IF('PC 07'!B414="","Update Date kosong",IF(NOT(ISNUMBER('PC 07'!B414)),"Update Date harus tanggal","")),IF('PC 07'!D414="","Judul kosong",""),IF('PC 07'!F414="","Genre kosong",IF(ISERROR(MATCH(TRIM('PC 07'!F414),{"Pop","Rock","Dangdut","K-Pop","Electronic","Nasional","Daerah"},0)),"Genre di luar daftar","")),IF('PC 07'!G414="","Nama Channel kosong",""),IF('PC 07'!H414="","Link kosong",IF(ISERROR(FIND("youtu",LOWER('PC 07'!H414))),"Link bukan youtube","")),IF('PC 07'!I414="","Tgl Dibuat kosong",IF(NOT(ISNUMBER('PC 07'!I414)),"Tgl Dibuat harus tanggal","")),IF(AND('PC 07'!J414&lt;&gt;"",NOT(ISNUMBER('PC 07'!J414))),"Tgl Publish harus tanggal",""),IF(AND(ISNUMBER('PC 07'!I414),ISNUMBER('PC 07'!J414),'PC 07'!J414&lt;'PC 07'!I414),"Tgl Publish &lt; Tgl Dibuat",""),IF(AND('PC 07'!K414&lt;&gt;"",ISERROR(MATCH(TRIM('PC 07'!K414),{"Draft","Menunggu Review","Revisi","Terjadwal","Publish","Batal","Published"},0))),"Status di luar daftar","")))</f>
        <v>#ERROR!</v>
      </c>
      <c r="D414" s="3" t="str">
        <f>IF(C414="","OK","ADA MASALAH")</f>
        <v>#ERROR!</v>
      </c>
    </row>
    <row r="415">
      <c r="A415" s="5">
        <v>415.0</v>
      </c>
      <c r="B415" s="3" t="str">
        <f>'PC 07'!A415</f>
        <v/>
      </c>
      <c r="C415" s="3" t="str">
        <f>IF(COUNTA('PC 07'!A415:L415)=0,"",TEXTJOIN(" | ",TRUE,IF('PC 07'!A415="","Worker ID kosong",""),IF('PC 07'!B415="","Update Date kosong",IF(NOT(ISNUMBER('PC 07'!B415)),"Update Date harus tanggal","")),IF('PC 07'!D415="","Judul kosong",""),IF('PC 07'!F415="","Genre kosong",IF(ISERROR(MATCH(TRIM('PC 07'!F415),{"Pop","Rock","Dangdut","K-Pop","Electronic","Nasional","Daerah"},0)),"Genre di luar daftar","")),IF('PC 07'!G415="","Nama Channel kosong",""),IF('PC 07'!H415="","Link kosong",IF(ISERROR(FIND("youtu",LOWER('PC 07'!H415))),"Link bukan youtube","")),IF('PC 07'!I415="","Tgl Dibuat kosong",IF(NOT(ISNUMBER('PC 07'!I415)),"Tgl Dibuat harus tanggal","")),IF(AND('PC 07'!J415&lt;&gt;"",NOT(ISNUMBER('PC 07'!J415))),"Tgl Publish harus tanggal",""),IF(AND(ISNUMBER('PC 07'!I415),ISNUMBER('PC 07'!J415),'PC 07'!J415&lt;'PC 07'!I415),"Tgl Publish &lt; Tgl Dibuat",""),IF(AND('PC 07'!K415&lt;&gt;"",ISERROR(MATCH(TRIM('PC 07'!K415),{"Draft","Menunggu Review","Revisi","Terjadwal","Publish","Batal","Published"},0))),"Status di luar daftar","")))</f>
        <v>#ERROR!</v>
      </c>
      <c r="D415" s="3" t="str">
        <f>IF(C415="","OK","ADA MASALAH")</f>
        <v>#ERROR!</v>
      </c>
    </row>
    <row r="416">
      <c r="A416" s="5">
        <v>416.0</v>
      </c>
      <c r="B416" s="3" t="str">
        <f>'PC 07'!A416</f>
        <v/>
      </c>
      <c r="C416" s="3" t="str">
        <f>IF(COUNTA('PC 07'!A416:L416)=0,"",TEXTJOIN(" | ",TRUE,IF('PC 07'!A416="","Worker ID kosong",""),IF('PC 07'!B416="","Update Date kosong",IF(NOT(ISNUMBER('PC 07'!B416)),"Update Date harus tanggal","")),IF('PC 07'!D416="","Judul kosong",""),IF('PC 07'!F416="","Genre kosong",IF(ISERROR(MATCH(TRIM('PC 07'!F416),{"Pop","Rock","Dangdut","K-Pop","Electronic","Nasional","Daerah"},0)),"Genre di luar daftar","")),IF('PC 07'!G416="","Nama Channel kosong",""),IF('PC 07'!H416="","Link kosong",IF(ISERROR(FIND("youtu",LOWER('PC 07'!H416))),"Link bukan youtube","")),IF('PC 07'!I416="","Tgl Dibuat kosong",IF(NOT(ISNUMBER('PC 07'!I416)),"Tgl Dibuat harus tanggal","")),IF(AND('PC 07'!J416&lt;&gt;"",NOT(ISNUMBER('PC 07'!J416))),"Tgl Publish harus tanggal",""),IF(AND(ISNUMBER('PC 07'!I416),ISNUMBER('PC 07'!J416),'PC 07'!J416&lt;'PC 07'!I416),"Tgl Publish &lt; Tgl Dibuat",""),IF(AND('PC 07'!K416&lt;&gt;"",ISERROR(MATCH(TRIM('PC 07'!K416),{"Draft","Menunggu Review","Revisi","Terjadwal","Publish","Batal","Published"},0))),"Status di luar daftar","")))</f>
        <v>#ERROR!</v>
      </c>
      <c r="D416" s="3" t="str">
        <f>IF(C416="","OK","ADA MASALAH")</f>
        <v>#ERROR!</v>
      </c>
    </row>
    <row r="417">
      <c r="A417" s="5">
        <v>417.0</v>
      </c>
      <c r="B417" s="3" t="str">
        <f>'PC 07'!A417</f>
        <v/>
      </c>
      <c r="C417" s="3" t="str">
        <f>IF(COUNTA('PC 07'!A417:L417)=0,"",TEXTJOIN(" | ",TRUE,IF('PC 07'!A417="","Worker ID kosong",""),IF('PC 07'!B417="","Update Date kosong",IF(NOT(ISNUMBER('PC 07'!B417)),"Update Date harus tanggal","")),IF('PC 07'!D417="","Judul kosong",""),IF('PC 07'!F417="","Genre kosong",IF(ISERROR(MATCH(TRIM('PC 07'!F417),{"Pop","Rock","Dangdut","K-Pop","Electronic","Nasional","Daerah"},0)),"Genre di luar daftar","")),IF('PC 07'!G417="","Nama Channel kosong",""),IF('PC 07'!H417="","Link kosong",IF(ISERROR(FIND("youtu",LOWER('PC 07'!H417))),"Link bukan youtube","")),IF('PC 07'!I417="","Tgl Dibuat kosong",IF(NOT(ISNUMBER('PC 07'!I417)),"Tgl Dibuat harus tanggal","")),IF(AND('PC 07'!J417&lt;&gt;"",NOT(ISNUMBER('PC 07'!J417))),"Tgl Publish harus tanggal",""),IF(AND(ISNUMBER('PC 07'!I417),ISNUMBER('PC 07'!J417),'PC 07'!J417&lt;'PC 07'!I417),"Tgl Publish &lt; Tgl Dibuat",""),IF(AND('PC 07'!K417&lt;&gt;"",ISERROR(MATCH(TRIM('PC 07'!K417),{"Draft","Menunggu Review","Revisi","Terjadwal","Publish","Batal","Published"},0))),"Status di luar daftar","")))</f>
        <v>#ERROR!</v>
      </c>
      <c r="D417" s="3" t="str">
        <f>IF(C417="","OK","ADA MASALAH")</f>
        <v>#ERROR!</v>
      </c>
    </row>
    <row r="418">
      <c r="A418" s="5">
        <v>418.0</v>
      </c>
      <c r="B418" s="3" t="str">
        <f>'PC 07'!A418</f>
        <v/>
      </c>
      <c r="C418" s="3" t="str">
        <f>IF(COUNTA('PC 07'!A418:L418)=0,"",TEXTJOIN(" | ",TRUE,IF('PC 07'!A418="","Worker ID kosong",""),IF('PC 07'!B418="","Update Date kosong",IF(NOT(ISNUMBER('PC 07'!B418)),"Update Date harus tanggal","")),IF('PC 07'!D418="","Judul kosong",""),IF('PC 07'!F418="","Genre kosong",IF(ISERROR(MATCH(TRIM('PC 07'!F418),{"Pop","Rock","Dangdut","K-Pop","Electronic","Nasional","Daerah"},0)),"Genre di luar daftar","")),IF('PC 07'!G418="","Nama Channel kosong",""),IF('PC 07'!H418="","Link kosong",IF(ISERROR(FIND("youtu",LOWER('PC 07'!H418))),"Link bukan youtube","")),IF('PC 07'!I418="","Tgl Dibuat kosong",IF(NOT(ISNUMBER('PC 07'!I418)),"Tgl Dibuat harus tanggal","")),IF(AND('PC 07'!J418&lt;&gt;"",NOT(ISNUMBER('PC 07'!J418))),"Tgl Publish harus tanggal",""),IF(AND(ISNUMBER('PC 07'!I418),ISNUMBER('PC 07'!J418),'PC 07'!J418&lt;'PC 07'!I418),"Tgl Publish &lt; Tgl Dibuat",""),IF(AND('PC 07'!K418&lt;&gt;"",ISERROR(MATCH(TRIM('PC 07'!K418),{"Draft","Menunggu Review","Revisi","Terjadwal","Publish","Batal","Published"},0))),"Status di luar daftar","")))</f>
        <v>#ERROR!</v>
      </c>
      <c r="D418" s="3" t="str">
        <f>IF(C418="","OK","ADA MASALAH")</f>
        <v>#ERROR!</v>
      </c>
    </row>
    <row r="419">
      <c r="A419" s="5">
        <v>419.0</v>
      </c>
      <c r="B419" s="3" t="str">
        <f>'PC 07'!A419</f>
        <v/>
      </c>
      <c r="C419" s="3" t="str">
        <f>IF(COUNTA('PC 07'!A419:L419)=0,"",TEXTJOIN(" | ",TRUE,IF('PC 07'!A419="","Worker ID kosong",""),IF('PC 07'!B419="","Update Date kosong",IF(NOT(ISNUMBER('PC 07'!B419)),"Update Date harus tanggal","")),IF('PC 07'!D419="","Judul kosong",""),IF('PC 07'!F419="","Genre kosong",IF(ISERROR(MATCH(TRIM('PC 07'!F419),{"Pop","Rock","Dangdut","K-Pop","Electronic","Nasional","Daerah"},0)),"Genre di luar daftar","")),IF('PC 07'!G419="","Nama Channel kosong",""),IF('PC 07'!H419="","Link kosong",IF(ISERROR(FIND("youtu",LOWER('PC 07'!H419))),"Link bukan youtube","")),IF('PC 07'!I419="","Tgl Dibuat kosong",IF(NOT(ISNUMBER('PC 07'!I419)),"Tgl Dibuat harus tanggal","")),IF(AND('PC 07'!J419&lt;&gt;"",NOT(ISNUMBER('PC 07'!J419))),"Tgl Publish harus tanggal",""),IF(AND(ISNUMBER('PC 07'!I419),ISNUMBER('PC 07'!J419),'PC 07'!J419&lt;'PC 07'!I419),"Tgl Publish &lt; Tgl Dibuat",""),IF(AND('PC 07'!K419&lt;&gt;"",ISERROR(MATCH(TRIM('PC 07'!K419),{"Draft","Menunggu Review","Revisi","Terjadwal","Publish","Batal","Published"},0))),"Status di luar daftar","")))</f>
        <v>#ERROR!</v>
      </c>
      <c r="D419" s="3" t="str">
        <f>IF(C419="","OK","ADA MASALAH")</f>
        <v>#ERROR!</v>
      </c>
    </row>
    <row r="420">
      <c r="A420" s="5">
        <v>420.0</v>
      </c>
      <c r="B420" s="3" t="str">
        <f>'PC 07'!A420</f>
        <v/>
      </c>
      <c r="C420" s="3" t="str">
        <f>IF(COUNTA('PC 07'!A420:L420)=0,"",TEXTJOIN(" | ",TRUE,IF('PC 07'!A420="","Worker ID kosong",""),IF('PC 07'!B420="","Update Date kosong",IF(NOT(ISNUMBER('PC 07'!B420)),"Update Date harus tanggal","")),IF('PC 07'!D420="","Judul kosong",""),IF('PC 07'!F420="","Genre kosong",IF(ISERROR(MATCH(TRIM('PC 07'!F420),{"Pop","Rock","Dangdut","K-Pop","Electronic","Nasional","Daerah"},0)),"Genre di luar daftar","")),IF('PC 07'!G420="","Nama Channel kosong",""),IF('PC 07'!H420="","Link kosong",IF(ISERROR(FIND("youtu",LOWER('PC 07'!H420))),"Link bukan youtube","")),IF('PC 07'!I420="","Tgl Dibuat kosong",IF(NOT(ISNUMBER('PC 07'!I420)),"Tgl Dibuat harus tanggal","")),IF(AND('PC 07'!J420&lt;&gt;"",NOT(ISNUMBER('PC 07'!J420))),"Tgl Publish harus tanggal",""),IF(AND(ISNUMBER('PC 07'!I420),ISNUMBER('PC 07'!J420),'PC 07'!J420&lt;'PC 07'!I420),"Tgl Publish &lt; Tgl Dibuat",""),IF(AND('PC 07'!K420&lt;&gt;"",ISERROR(MATCH(TRIM('PC 07'!K420),{"Draft","Menunggu Review","Revisi","Terjadwal","Publish","Batal","Published"},0))),"Status di luar daftar","")))</f>
        <v>#ERROR!</v>
      </c>
      <c r="D420" s="3" t="str">
        <f>IF(C420="","OK","ADA MASALAH")</f>
        <v>#ERROR!</v>
      </c>
    </row>
    <row r="421">
      <c r="A421" s="5">
        <v>421.0</v>
      </c>
      <c r="B421" s="3" t="str">
        <f>'PC 07'!A421</f>
        <v/>
      </c>
      <c r="C421" s="3" t="str">
        <f>IF(COUNTA('PC 07'!A421:L421)=0,"",TEXTJOIN(" | ",TRUE,IF('PC 07'!A421="","Worker ID kosong",""),IF('PC 07'!B421="","Update Date kosong",IF(NOT(ISNUMBER('PC 07'!B421)),"Update Date harus tanggal","")),IF('PC 07'!D421="","Judul kosong",""),IF('PC 07'!F421="","Genre kosong",IF(ISERROR(MATCH(TRIM('PC 07'!F421),{"Pop","Rock","Dangdut","K-Pop","Electronic","Nasional","Daerah"},0)),"Genre di luar daftar","")),IF('PC 07'!G421="","Nama Channel kosong",""),IF('PC 07'!H421="","Link kosong",IF(ISERROR(FIND("youtu",LOWER('PC 07'!H421))),"Link bukan youtube","")),IF('PC 07'!I421="","Tgl Dibuat kosong",IF(NOT(ISNUMBER('PC 07'!I421)),"Tgl Dibuat harus tanggal","")),IF(AND('PC 07'!J421&lt;&gt;"",NOT(ISNUMBER('PC 07'!J421))),"Tgl Publish harus tanggal",""),IF(AND(ISNUMBER('PC 07'!I421),ISNUMBER('PC 07'!J421),'PC 07'!J421&lt;'PC 07'!I421),"Tgl Publish &lt; Tgl Dibuat",""),IF(AND('PC 07'!K421&lt;&gt;"",ISERROR(MATCH(TRIM('PC 07'!K421),{"Draft","Menunggu Review","Revisi","Terjadwal","Publish","Batal","Published"},0))),"Status di luar daftar","")))</f>
        <v>#ERROR!</v>
      </c>
      <c r="D421" s="3" t="str">
        <f>IF(C421="","OK","ADA MASALAH")</f>
        <v>#ERROR!</v>
      </c>
    </row>
    <row r="422">
      <c r="A422" s="5">
        <v>422.0</v>
      </c>
      <c r="B422" s="3" t="str">
        <f>'PC 07'!A422</f>
        <v/>
      </c>
      <c r="C422" s="3" t="str">
        <f>IF(COUNTA('PC 07'!A422:L422)=0,"",TEXTJOIN(" | ",TRUE,IF('PC 07'!A422="","Worker ID kosong",""),IF('PC 07'!B422="","Update Date kosong",IF(NOT(ISNUMBER('PC 07'!B422)),"Update Date harus tanggal","")),IF('PC 07'!D422="","Judul kosong",""),IF('PC 07'!F422="","Genre kosong",IF(ISERROR(MATCH(TRIM('PC 07'!F422),{"Pop","Rock","Dangdut","K-Pop","Electronic","Nasional","Daerah"},0)),"Genre di luar daftar","")),IF('PC 07'!G422="","Nama Channel kosong",""),IF('PC 07'!H422="","Link kosong",IF(ISERROR(FIND("youtu",LOWER('PC 07'!H422))),"Link bukan youtube","")),IF('PC 07'!I422="","Tgl Dibuat kosong",IF(NOT(ISNUMBER('PC 07'!I422)),"Tgl Dibuat harus tanggal","")),IF(AND('PC 07'!J422&lt;&gt;"",NOT(ISNUMBER('PC 07'!J422))),"Tgl Publish harus tanggal",""),IF(AND(ISNUMBER('PC 07'!I422),ISNUMBER('PC 07'!J422),'PC 07'!J422&lt;'PC 07'!I422),"Tgl Publish &lt; Tgl Dibuat",""),IF(AND('PC 07'!K422&lt;&gt;"",ISERROR(MATCH(TRIM('PC 07'!K422),{"Draft","Menunggu Review","Revisi","Terjadwal","Publish","Batal","Published"},0))),"Status di luar daftar","")))</f>
        <v>#ERROR!</v>
      </c>
      <c r="D422" s="3" t="str">
        <f>IF(C422="","OK","ADA MASALAH")</f>
        <v>#ERROR!</v>
      </c>
    </row>
    <row r="423">
      <c r="A423" s="5">
        <v>423.0</v>
      </c>
      <c r="B423" s="3" t="str">
        <f>'PC 07'!A423</f>
        <v/>
      </c>
      <c r="C423" s="3" t="str">
        <f>IF(COUNTA('PC 07'!A423:L423)=0,"",TEXTJOIN(" | ",TRUE,IF('PC 07'!A423="","Worker ID kosong",""),IF('PC 07'!B423="","Update Date kosong",IF(NOT(ISNUMBER('PC 07'!B423)),"Update Date harus tanggal","")),IF('PC 07'!D423="","Judul kosong",""),IF('PC 07'!F423="","Genre kosong",IF(ISERROR(MATCH(TRIM('PC 07'!F423),{"Pop","Rock","Dangdut","K-Pop","Electronic","Nasional","Daerah"},0)),"Genre di luar daftar","")),IF('PC 07'!G423="","Nama Channel kosong",""),IF('PC 07'!H423="","Link kosong",IF(ISERROR(FIND("youtu",LOWER('PC 07'!H423))),"Link bukan youtube","")),IF('PC 07'!I423="","Tgl Dibuat kosong",IF(NOT(ISNUMBER('PC 07'!I423)),"Tgl Dibuat harus tanggal","")),IF(AND('PC 07'!J423&lt;&gt;"",NOT(ISNUMBER('PC 07'!J423))),"Tgl Publish harus tanggal",""),IF(AND(ISNUMBER('PC 07'!I423),ISNUMBER('PC 07'!J423),'PC 07'!J423&lt;'PC 07'!I423),"Tgl Publish &lt; Tgl Dibuat",""),IF(AND('PC 07'!K423&lt;&gt;"",ISERROR(MATCH(TRIM('PC 07'!K423),{"Draft","Menunggu Review","Revisi","Terjadwal","Publish","Batal","Published"},0))),"Status di luar daftar","")))</f>
        <v>#ERROR!</v>
      </c>
      <c r="D423" s="3" t="str">
        <f>IF(C423="","OK","ADA MASALAH")</f>
        <v>#ERROR!</v>
      </c>
    </row>
    <row r="424">
      <c r="A424" s="5">
        <v>424.0</v>
      </c>
      <c r="B424" s="3" t="str">
        <f>'PC 07'!A424</f>
        <v/>
      </c>
      <c r="C424" s="3" t="str">
        <f>IF(COUNTA('PC 07'!A424:L424)=0,"",TEXTJOIN(" | ",TRUE,IF('PC 07'!A424="","Worker ID kosong",""),IF('PC 07'!B424="","Update Date kosong",IF(NOT(ISNUMBER('PC 07'!B424)),"Update Date harus tanggal","")),IF('PC 07'!D424="","Judul kosong",""),IF('PC 07'!F424="","Genre kosong",IF(ISERROR(MATCH(TRIM('PC 07'!F424),{"Pop","Rock","Dangdut","K-Pop","Electronic","Nasional","Daerah"},0)),"Genre di luar daftar","")),IF('PC 07'!G424="","Nama Channel kosong",""),IF('PC 07'!H424="","Link kosong",IF(ISERROR(FIND("youtu",LOWER('PC 07'!H424))),"Link bukan youtube","")),IF('PC 07'!I424="","Tgl Dibuat kosong",IF(NOT(ISNUMBER('PC 07'!I424)),"Tgl Dibuat harus tanggal","")),IF(AND('PC 07'!J424&lt;&gt;"",NOT(ISNUMBER('PC 07'!J424))),"Tgl Publish harus tanggal",""),IF(AND(ISNUMBER('PC 07'!I424),ISNUMBER('PC 07'!J424),'PC 07'!J424&lt;'PC 07'!I424),"Tgl Publish &lt; Tgl Dibuat",""),IF(AND('PC 07'!K424&lt;&gt;"",ISERROR(MATCH(TRIM('PC 07'!K424),{"Draft","Menunggu Review","Revisi","Terjadwal","Publish","Batal","Published"},0))),"Status di luar daftar","")))</f>
        <v>#ERROR!</v>
      </c>
      <c r="D424" s="3" t="str">
        <f>IF(C424="","OK","ADA MASALAH")</f>
        <v>#ERROR!</v>
      </c>
    </row>
    <row r="425">
      <c r="A425" s="5">
        <v>425.0</v>
      </c>
      <c r="B425" s="3" t="str">
        <f>'PC 07'!A425</f>
        <v/>
      </c>
      <c r="C425" s="3" t="str">
        <f>IF(COUNTA('PC 07'!A425:L425)=0,"",TEXTJOIN(" | ",TRUE,IF('PC 07'!A425="","Worker ID kosong",""),IF('PC 07'!B425="","Update Date kosong",IF(NOT(ISNUMBER('PC 07'!B425)),"Update Date harus tanggal","")),IF('PC 07'!D425="","Judul kosong",""),IF('PC 07'!F425="","Genre kosong",IF(ISERROR(MATCH(TRIM('PC 07'!F425),{"Pop","Rock","Dangdut","K-Pop","Electronic","Nasional","Daerah"},0)),"Genre di luar daftar","")),IF('PC 07'!G425="","Nama Channel kosong",""),IF('PC 07'!H425="","Link kosong",IF(ISERROR(FIND("youtu",LOWER('PC 07'!H425))),"Link bukan youtube","")),IF('PC 07'!I425="","Tgl Dibuat kosong",IF(NOT(ISNUMBER('PC 07'!I425)),"Tgl Dibuat harus tanggal","")),IF(AND('PC 07'!J425&lt;&gt;"",NOT(ISNUMBER('PC 07'!J425))),"Tgl Publish harus tanggal",""),IF(AND(ISNUMBER('PC 07'!I425),ISNUMBER('PC 07'!J425),'PC 07'!J425&lt;'PC 07'!I425),"Tgl Publish &lt; Tgl Dibuat",""),IF(AND('PC 07'!K425&lt;&gt;"",ISERROR(MATCH(TRIM('PC 07'!K425),{"Draft","Menunggu Review","Revisi","Terjadwal","Publish","Batal","Published"},0))),"Status di luar daftar","")))</f>
        <v>#ERROR!</v>
      </c>
      <c r="D425" s="3" t="str">
        <f>IF(C425="","OK","ADA MASALAH")</f>
        <v>#ERROR!</v>
      </c>
    </row>
    <row r="426">
      <c r="A426" s="5">
        <v>426.0</v>
      </c>
      <c r="B426" s="3" t="str">
        <f>'PC 07'!A426</f>
        <v/>
      </c>
      <c r="C426" s="3" t="str">
        <f>IF(COUNTA('PC 07'!A426:L426)=0,"",TEXTJOIN(" | ",TRUE,IF('PC 07'!A426="","Worker ID kosong",""),IF('PC 07'!B426="","Update Date kosong",IF(NOT(ISNUMBER('PC 07'!B426)),"Update Date harus tanggal","")),IF('PC 07'!D426="","Judul kosong",""),IF('PC 07'!F426="","Genre kosong",IF(ISERROR(MATCH(TRIM('PC 07'!F426),{"Pop","Rock","Dangdut","K-Pop","Electronic","Nasional","Daerah"},0)),"Genre di luar daftar","")),IF('PC 07'!G426="","Nama Channel kosong",""),IF('PC 07'!H426="","Link kosong",IF(ISERROR(FIND("youtu",LOWER('PC 07'!H426))),"Link bukan youtube","")),IF('PC 07'!I426="","Tgl Dibuat kosong",IF(NOT(ISNUMBER('PC 07'!I426)),"Tgl Dibuat harus tanggal","")),IF(AND('PC 07'!J426&lt;&gt;"",NOT(ISNUMBER('PC 07'!J426))),"Tgl Publish harus tanggal",""),IF(AND(ISNUMBER('PC 07'!I426),ISNUMBER('PC 07'!J426),'PC 07'!J426&lt;'PC 07'!I426),"Tgl Publish &lt; Tgl Dibuat",""),IF(AND('PC 07'!K426&lt;&gt;"",ISERROR(MATCH(TRIM('PC 07'!K426),{"Draft","Menunggu Review","Revisi","Terjadwal","Publish","Batal","Published"},0))),"Status di luar daftar","")))</f>
        <v>#ERROR!</v>
      </c>
      <c r="D426" s="3" t="str">
        <f>IF(C426="","OK","ADA MASALAH")</f>
        <v>#ERROR!</v>
      </c>
    </row>
    <row r="427">
      <c r="A427" s="5">
        <v>427.0</v>
      </c>
      <c r="B427" s="3" t="str">
        <f>'PC 07'!A427</f>
        <v/>
      </c>
      <c r="C427" s="3" t="str">
        <f>IF(COUNTA('PC 07'!A427:L427)=0,"",TEXTJOIN(" | ",TRUE,IF('PC 07'!A427="","Worker ID kosong",""),IF('PC 07'!B427="","Update Date kosong",IF(NOT(ISNUMBER('PC 07'!B427)),"Update Date harus tanggal","")),IF('PC 07'!D427="","Judul kosong",""),IF('PC 07'!F427="","Genre kosong",IF(ISERROR(MATCH(TRIM('PC 07'!F427),{"Pop","Rock","Dangdut","K-Pop","Electronic","Nasional","Daerah"},0)),"Genre di luar daftar","")),IF('PC 07'!G427="","Nama Channel kosong",""),IF('PC 07'!H427="","Link kosong",IF(ISERROR(FIND("youtu",LOWER('PC 07'!H427))),"Link bukan youtube","")),IF('PC 07'!I427="","Tgl Dibuat kosong",IF(NOT(ISNUMBER('PC 07'!I427)),"Tgl Dibuat harus tanggal","")),IF(AND('PC 07'!J427&lt;&gt;"",NOT(ISNUMBER('PC 07'!J427))),"Tgl Publish harus tanggal",""),IF(AND(ISNUMBER('PC 07'!I427),ISNUMBER('PC 07'!J427),'PC 07'!J427&lt;'PC 07'!I427),"Tgl Publish &lt; Tgl Dibuat",""),IF(AND('PC 07'!K427&lt;&gt;"",ISERROR(MATCH(TRIM('PC 07'!K427),{"Draft","Menunggu Review","Revisi","Terjadwal","Publish","Batal","Published"},0))),"Status di luar daftar","")))</f>
        <v>#ERROR!</v>
      </c>
      <c r="D427" s="3" t="str">
        <f>IF(C427="","OK","ADA MASALAH")</f>
        <v>#ERROR!</v>
      </c>
    </row>
    <row r="428">
      <c r="A428" s="5">
        <v>428.0</v>
      </c>
      <c r="B428" s="3" t="str">
        <f>'PC 07'!A428</f>
        <v/>
      </c>
      <c r="C428" s="3" t="str">
        <f>IF(COUNTA('PC 07'!A428:L428)=0,"",TEXTJOIN(" | ",TRUE,IF('PC 07'!A428="","Worker ID kosong",""),IF('PC 07'!B428="","Update Date kosong",IF(NOT(ISNUMBER('PC 07'!B428)),"Update Date harus tanggal","")),IF('PC 07'!D428="","Judul kosong",""),IF('PC 07'!F428="","Genre kosong",IF(ISERROR(MATCH(TRIM('PC 07'!F428),{"Pop","Rock","Dangdut","K-Pop","Electronic","Nasional","Daerah"},0)),"Genre di luar daftar","")),IF('PC 07'!G428="","Nama Channel kosong",""),IF('PC 07'!H428="","Link kosong",IF(ISERROR(FIND("youtu",LOWER('PC 07'!H428))),"Link bukan youtube","")),IF('PC 07'!I428="","Tgl Dibuat kosong",IF(NOT(ISNUMBER('PC 07'!I428)),"Tgl Dibuat harus tanggal","")),IF(AND('PC 07'!J428&lt;&gt;"",NOT(ISNUMBER('PC 07'!J428))),"Tgl Publish harus tanggal",""),IF(AND(ISNUMBER('PC 07'!I428),ISNUMBER('PC 07'!J428),'PC 07'!J428&lt;'PC 07'!I428),"Tgl Publish &lt; Tgl Dibuat",""),IF(AND('PC 07'!K428&lt;&gt;"",ISERROR(MATCH(TRIM('PC 07'!K428),{"Draft","Menunggu Review","Revisi","Terjadwal","Publish","Batal","Published"},0))),"Status di luar daftar","")))</f>
        <v>#ERROR!</v>
      </c>
      <c r="D428" s="3" t="str">
        <f>IF(C428="","OK","ADA MASALAH")</f>
        <v>#ERROR!</v>
      </c>
    </row>
    <row r="429">
      <c r="A429" s="5">
        <v>429.0</v>
      </c>
      <c r="B429" s="3" t="str">
        <f>'PC 07'!A429</f>
        <v/>
      </c>
      <c r="C429" s="3" t="str">
        <f>IF(COUNTA('PC 07'!A429:L429)=0,"",TEXTJOIN(" | ",TRUE,IF('PC 07'!A429="","Worker ID kosong",""),IF('PC 07'!B429="","Update Date kosong",IF(NOT(ISNUMBER('PC 07'!B429)),"Update Date harus tanggal","")),IF('PC 07'!D429="","Judul kosong",""),IF('PC 07'!F429="","Genre kosong",IF(ISERROR(MATCH(TRIM('PC 07'!F429),{"Pop","Rock","Dangdut","K-Pop","Electronic","Nasional","Daerah"},0)),"Genre di luar daftar","")),IF('PC 07'!G429="","Nama Channel kosong",""),IF('PC 07'!H429="","Link kosong",IF(ISERROR(FIND("youtu",LOWER('PC 07'!H429))),"Link bukan youtube","")),IF('PC 07'!I429="","Tgl Dibuat kosong",IF(NOT(ISNUMBER('PC 07'!I429)),"Tgl Dibuat harus tanggal","")),IF(AND('PC 07'!J429&lt;&gt;"",NOT(ISNUMBER('PC 07'!J429))),"Tgl Publish harus tanggal",""),IF(AND(ISNUMBER('PC 07'!I429),ISNUMBER('PC 07'!J429),'PC 07'!J429&lt;'PC 07'!I429),"Tgl Publish &lt; Tgl Dibuat",""),IF(AND('PC 07'!K429&lt;&gt;"",ISERROR(MATCH(TRIM('PC 07'!K429),{"Draft","Menunggu Review","Revisi","Terjadwal","Publish","Batal","Published"},0))),"Status di luar daftar","")))</f>
        <v>#ERROR!</v>
      </c>
      <c r="D429" s="3" t="str">
        <f>IF(C429="","OK","ADA MASALAH")</f>
        <v>#ERROR!</v>
      </c>
    </row>
    <row r="430">
      <c r="A430" s="5">
        <v>430.0</v>
      </c>
      <c r="B430" s="3" t="str">
        <f>'PC 07'!A430</f>
        <v/>
      </c>
      <c r="C430" s="3" t="str">
        <f>IF(COUNTA('PC 07'!A430:L430)=0,"",TEXTJOIN(" | ",TRUE,IF('PC 07'!A430="","Worker ID kosong",""),IF('PC 07'!B430="","Update Date kosong",IF(NOT(ISNUMBER('PC 07'!B430)),"Update Date harus tanggal","")),IF('PC 07'!D430="","Judul kosong",""),IF('PC 07'!F430="","Genre kosong",IF(ISERROR(MATCH(TRIM('PC 07'!F430),{"Pop","Rock","Dangdut","K-Pop","Electronic","Nasional","Daerah"},0)),"Genre di luar daftar","")),IF('PC 07'!G430="","Nama Channel kosong",""),IF('PC 07'!H430="","Link kosong",IF(ISERROR(FIND("youtu",LOWER('PC 07'!H430))),"Link bukan youtube","")),IF('PC 07'!I430="","Tgl Dibuat kosong",IF(NOT(ISNUMBER('PC 07'!I430)),"Tgl Dibuat harus tanggal","")),IF(AND('PC 07'!J430&lt;&gt;"",NOT(ISNUMBER('PC 07'!J430))),"Tgl Publish harus tanggal",""),IF(AND(ISNUMBER('PC 07'!I430),ISNUMBER('PC 07'!J430),'PC 07'!J430&lt;'PC 07'!I430),"Tgl Publish &lt; Tgl Dibuat",""),IF(AND('PC 07'!K430&lt;&gt;"",ISERROR(MATCH(TRIM('PC 07'!K430),{"Draft","Menunggu Review","Revisi","Terjadwal","Publish","Batal","Published"},0))),"Status di luar daftar","")))</f>
        <v>#ERROR!</v>
      </c>
      <c r="D430" s="3" t="str">
        <f>IF(C430="","OK","ADA MASALAH")</f>
        <v>#ERROR!</v>
      </c>
    </row>
    <row r="431">
      <c r="A431" s="5">
        <v>431.0</v>
      </c>
      <c r="B431" s="3" t="str">
        <f>'PC 07'!A431</f>
        <v/>
      </c>
      <c r="C431" s="3" t="str">
        <f>IF(COUNTA('PC 07'!A431:L431)=0,"",TEXTJOIN(" | ",TRUE,IF('PC 07'!A431="","Worker ID kosong",""),IF('PC 07'!B431="","Update Date kosong",IF(NOT(ISNUMBER('PC 07'!B431)),"Update Date harus tanggal","")),IF('PC 07'!D431="","Judul kosong",""),IF('PC 07'!F431="","Genre kosong",IF(ISERROR(MATCH(TRIM('PC 07'!F431),{"Pop","Rock","Dangdut","K-Pop","Electronic","Nasional","Daerah"},0)),"Genre di luar daftar","")),IF('PC 07'!G431="","Nama Channel kosong",""),IF('PC 07'!H431="","Link kosong",IF(ISERROR(FIND("youtu",LOWER('PC 07'!H431))),"Link bukan youtube","")),IF('PC 07'!I431="","Tgl Dibuat kosong",IF(NOT(ISNUMBER('PC 07'!I431)),"Tgl Dibuat harus tanggal","")),IF(AND('PC 07'!J431&lt;&gt;"",NOT(ISNUMBER('PC 07'!J431))),"Tgl Publish harus tanggal",""),IF(AND(ISNUMBER('PC 07'!I431),ISNUMBER('PC 07'!J431),'PC 07'!J431&lt;'PC 07'!I431),"Tgl Publish &lt; Tgl Dibuat",""),IF(AND('PC 07'!K431&lt;&gt;"",ISERROR(MATCH(TRIM('PC 07'!K431),{"Draft","Menunggu Review","Revisi","Terjadwal","Publish","Batal","Published"},0))),"Status di luar daftar","")))</f>
        <v>#ERROR!</v>
      </c>
      <c r="D431" s="3" t="str">
        <f>IF(C431="","OK","ADA MASALAH")</f>
        <v>#ERROR!</v>
      </c>
    </row>
    <row r="432">
      <c r="A432" s="5">
        <v>432.0</v>
      </c>
      <c r="B432" s="3" t="str">
        <f>'PC 07'!A432</f>
        <v/>
      </c>
      <c r="C432" s="3" t="str">
        <f>IF(COUNTA('PC 07'!A432:L432)=0,"",TEXTJOIN(" | ",TRUE,IF('PC 07'!A432="","Worker ID kosong",""),IF('PC 07'!B432="","Update Date kosong",IF(NOT(ISNUMBER('PC 07'!B432)),"Update Date harus tanggal","")),IF('PC 07'!D432="","Judul kosong",""),IF('PC 07'!F432="","Genre kosong",IF(ISERROR(MATCH(TRIM('PC 07'!F432),{"Pop","Rock","Dangdut","K-Pop","Electronic","Nasional","Daerah"},0)),"Genre di luar daftar","")),IF('PC 07'!G432="","Nama Channel kosong",""),IF('PC 07'!H432="","Link kosong",IF(ISERROR(FIND("youtu",LOWER('PC 07'!H432))),"Link bukan youtube","")),IF('PC 07'!I432="","Tgl Dibuat kosong",IF(NOT(ISNUMBER('PC 07'!I432)),"Tgl Dibuat harus tanggal","")),IF(AND('PC 07'!J432&lt;&gt;"",NOT(ISNUMBER('PC 07'!J432))),"Tgl Publish harus tanggal",""),IF(AND(ISNUMBER('PC 07'!I432),ISNUMBER('PC 07'!J432),'PC 07'!J432&lt;'PC 07'!I432),"Tgl Publish &lt; Tgl Dibuat",""),IF(AND('PC 07'!K432&lt;&gt;"",ISERROR(MATCH(TRIM('PC 07'!K432),{"Draft","Menunggu Review","Revisi","Terjadwal","Publish","Batal","Published"},0))),"Status di luar daftar","")))</f>
        <v>#ERROR!</v>
      </c>
      <c r="D432" s="3" t="str">
        <f>IF(C432="","OK","ADA MASALAH")</f>
        <v>#ERROR!</v>
      </c>
    </row>
    <row r="433">
      <c r="A433" s="5">
        <v>433.0</v>
      </c>
      <c r="B433" s="3" t="str">
        <f>'PC 07'!A433</f>
        <v/>
      </c>
      <c r="C433" s="3" t="str">
        <f>IF(COUNTA('PC 07'!A433:L433)=0,"",TEXTJOIN(" | ",TRUE,IF('PC 07'!A433="","Worker ID kosong",""),IF('PC 07'!B433="","Update Date kosong",IF(NOT(ISNUMBER('PC 07'!B433)),"Update Date harus tanggal","")),IF('PC 07'!D433="","Judul kosong",""),IF('PC 07'!F433="","Genre kosong",IF(ISERROR(MATCH(TRIM('PC 07'!F433),{"Pop","Rock","Dangdut","K-Pop","Electronic","Nasional","Daerah"},0)),"Genre di luar daftar","")),IF('PC 07'!G433="","Nama Channel kosong",""),IF('PC 07'!H433="","Link kosong",IF(ISERROR(FIND("youtu",LOWER('PC 07'!H433))),"Link bukan youtube","")),IF('PC 07'!I433="","Tgl Dibuat kosong",IF(NOT(ISNUMBER('PC 07'!I433)),"Tgl Dibuat harus tanggal","")),IF(AND('PC 07'!J433&lt;&gt;"",NOT(ISNUMBER('PC 07'!J433))),"Tgl Publish harus tanggal",""),IF(AND(ISNUMBER('PC 07'!I433),ISNUMBER('PC 07'!J433),'PC 07'!J433&lt;'PC 07'!I433),"Tgl Publish &lt; Tgl Dibuat",""),IF(AND('PC 07'!K433&lt;&gt;"",ISERROR(MATCH(TRIM('PC 07'!K433),{"Draft","Menunggu Review","Revisi","Terjadwal","Publish","Batal","Published"},0))),"Status di luar daftar","")))</f>
        <v>#ERROR!</v>
      </c>
      <c r="D433" s="3" t="str">
        <f>IF(C433="","OK","ADA MASALAH")</f>
        <v>#ERROR!</v>
      </c>
    </row>
    <row r="434">
      <c r="A434" s="5">
        <v>434.0</v>
      </c>
      <c r="B434" s="3" t="str">
        <f>'PC 07'!A434</f>
        <v/>
      </c>
      <c r="C434" s="3" t="str">
        <f>IF(COUNTA('PC 07'!A434:L434)=0,"",TEXTJOIN(" | ",TRUE,IF('PC 07'!A434="","Worker ID kosong",""),IF('PC 07'!B434="","Update Date kosong",IF(NOT(ISNUMBER('PC 07'!B434)),"Update Date harus tanggal","")),IF('PC 07'!D434="","Judul kosong",""),IF('PC 07'!F434="","Genre kosong",IF(ISERROR(MATCH(TRIM('PC 07'!F434),{"Pop","Rock","Dangdut","K-Pop","Electronic","Nasional","Daerah"},0)),"Genre di luar daftar","")),IF('PC 07'!G434="","Nama Channel kosong",""),IF('PC 07'!H434="","Link kosong",IF(ISERROR(FIND("youtu",LOWER('PC 07'!H434))),"Link bukan youtube","")),IF('PC 07'!I434="","Tgl Dibuat kosong",IF(NOT(ISNUMBER('PC 07'!I434)),"Tgl Dibuat harus tanggal","")),IF(AND('PC 07'!J434&lt;&gt;"",NOT(ISNUMBER('PC 07'!J434))),"Tgl Publish harus tanggal",""),IF(AND(ISNUMBER('PC 07'!I434),ISNUMBER('PC 07'!J434),'PC 07'!J434&lt;'PC 07'!I434),"Tgl Publish &lt; Tgl Dibuat",""),IF(AND('PC 07'!K434&lt;&gt;"",ISERROR(MATCH(TRIM('PC 07'!K434),{"Draft","Menunggu Review","Revisi","Terjadwal","Publish","Batal","Published"},0))),"Status di luar daftar","")))</f>
        <v>#ERROR!</v>
      </c>
      <c r="D434" s="3" t="str">
        <f>IF(C434="","OK","ADA MASALAH")</f>
        <v>#ERROR!</v>
      </c>
    </row>
    <row r="435">
      <c r="A435" s="5">
        <v>435.0</v>
      </c>
      <c r="B435" s="3" t="str">
        <f>'PC 07'!A435</f>
        <v/>
      </c>
      <c r="C435" s="3" t="str">
        <f>IF(COUNTA('PC 07'!A435:L435)=0,"",TEXTJOIN(" | ",TRUE,IF('PC 07'!A435="","Worker ID kosong",""),IF('PC 07'!B435="","Update Date kosong",IF(NOT(ISNUMBER('PC 07'!B435)),"Update Date harus tanggal","")),IF('PC 07'!D435="","Judul kosong",""),IF('PC 07'!F435="","Genre kosong",IF(ISERROR(MATCH(TRIM('PC 07'!F435),{"Pop","Rock","Dangdut","K-Pop","Electronic","Nasional","Daerah"},0)),"Genre di luar daftar","")),IF('PC 07'!G435="","Nama Channel kosong",""),IF('PC 07'!H435="","Link kosong",IF(ISERROR(FIND("youtu",LOWER('PC 07'!H435))),"Link bukan youtube","")),IF('PC 07'!I435="","Tgl Dibuat kosong",IF(NOT(ISNUMBER('PC 07'!I435)),"Tgl Dibuat harus tanggal","")),IF(AND('PC 07'!J435&lt;&gt;"",NOT(ISNUMBER('PC 07'!J435))),"Tgl Publish harus tanggal",""),IF(AND(ISNUMBER('PC 07'!I435),ISNUMBER('PC 07'!J435),'PC 07'!J435&lt;'PC 07'!I435),"Tgl Publish &lt; Tgl Dibuat",""),IF(AND('PC 07'!K435&lt;&gt;"",ISERROR(MATCH(TRIM('PC 07'!K435),{"Draft","Menunggu Review","Revisi","Terjadwal","Publish","Batal","Published"},0))),"Status di luar daftar","")))</f>
        <v>#ERROR!</v>
      </c>
      <c r="D435" s="3" t="str">
        <f>IF(C435="","OK","ADA MASALAH")</f>
        <v>#ERROR!</v>
      </c>
    </row>
    <row r="436">
      <c r="A436" s="5">
        <v>436.0</v>
      </c>
      <c r="B436" s="3" t="str">
        <f>'PC 07'!A436</f>
        <v/>
      </c>
      <c r="C436" s="3" t="str">
        <f>IF(COUNTA('PC 07'!A436:L436)=0,"",TEXTJOIN(" | ",TRUE,IF('PC 07'!A436="","Worker ID kosong",""),IF('PC 07'!B436="","Update Date kosong",IF(NOT(ISNUMBER('PC 07'!B436)),"Update Date harus tanggal","")),IF('PC 07'!D436="","Judul kosong",""),IF('PC 07'!F436="","Genre kosong",IF(ISERROR(MATCH(TRIM('PC 07'!F436),{"Pop","Rock","Dangdut","K-Pop","Electronic","Nasional","Daerah"},0)),"Genre di luar daftar","")),IF('PC 07'!G436="","Nama Channel kosong",""),IF('PC 07'!H436="","Link kosong",IF(ISERROR(FIND("youtu",LOWER('PC 07'!H436))),"Link bukan youtube","")),IF('PC 07'!I436="","Tgl Dibuat kosong",IF(NOT(ISNUMBER('PC 07'!I436)),"Tgl Dibuat harus tanggal","")),IF(AND('PC 07'!J436&lt;&gt;"",NOT(ISNUMBER('PC 07'!J436))),"Tgl Publish harus tanggal",""),IF(AND(ISNUMBER('PC 07'!I436),ISNUMBER('PC 07'!J436),'PC 07'!J436&lt;'PC 07'!I436),"Tgl Publish &lt; Tgl Dibuat",""),IF(AND('PC 07'!K436&lt;&gt;"",ISERROR(MATCH(TRIM('PC 07'!K436),{"Draft","Menunggu Review","Revisi","Terjadwal","Publish","Batal","Published"},0))),"Status di luar daftar","")))</f>
        <v>#ERROR!</v>
      </c>
      <c r="D436" s="3" t="str">
        <f>IF(C436="","OK","ADA MASALAH")</f>
        <v>#ERROR!</v>
      </c>
    </row>
    <row r="437">
      <c r="A437" s="5">
        <v>437.0</v>
      </c>
      <c r="B437" s="3" t="str">
        <f>'PC 07'!A437</f>
        <v/>
      </c>
      <c r="C437" s="3" t="str">
        <f>IF(COUNTA('PC 07'!A437:L437)=0,"",TEXTJOIN(" | ",TRUE,IF('PC 07'!A437="","Worker ID kosong",""),IF('PC 07'!B437="","Update Date kosong",IF(NOT(ISNUMBER('PC 07'!B437)),"Update Date harus tanggal","")),IF('PC 07'!D437="","Judul kosong",""),IF('PC 07'!F437="","Genre kosong",IF(ISERROR(MATCH(TRIM('PC 07'!F437),{"Pop","Rock","Dangdut","K-Pop","Electronic","Nasional","Daerah"},0)),"Genre di luar daftar","")),IF('PC 07'!G437="","Nama Channel kosong",""),IF('PC 07'!H437="","Link kosong",IF(ISERROR(FIND("youtu",LOWER('PC 07'!H437))),"Link bukan youtube","")),IF('PC 07'!I437="","Tgl Dibuat kosong",IF(NOT(ISNUMBER('PC 07'!I437)),"Tgl Dibuat harus tanggal","")),IF(AND('PC 07'!J437&lt;&gt;"",NOT(ISNUMBER('PC 07'!J437))),"Tgl Publish harus tanggal",""),IF(AND(ISNUMBER('PC 07'!I437),ISNUMBER('PC 07'!J437),'PC 07'!J437&lt;'PC 07'!I437),"Tgl Publish &lt; Tgl Dibuat",""),IF(AND('PC 07'!K437&lt;&gt;"",ISERROR(MATCH(TRIM('PC 07'!K437),{"Draft","Menunggu Review","Revisi","Terjadwal","Publish","Batal","Published"},0))),"Status di luar daftar","")))</f>
        <v>#ERROR!</v>
      </c>
      <c r="D437" s="3" t="str">
        <f>IF(C437="","OK","ADA MASALAH")</f>
        <v>#ERROR!</v>
      </c>
    </row>
    <row r="438">
      <c r="A438" s="5">
        <v>438.0</v>
      </c>
      <c r="B438" s="3" t="str">
        <f>'PC 07'!A438</f>
        <v/>
      </c>
      <c r="C438" s="3" t="str">
        <f>IF(COUNTA('PC 07'!A438:L438)=0,"",TEXTJOIN(" | ",TRUE,IF('PC 07'!A438="","Worker ID kosong",""),IF('PC 07'!B438="","Update Date kosong",IF(NOT(ISNUMBER('PC 07'!B438)),"Update Date harus tanggal","")),IF('PC 07'!D438="","Judul kosong",""),IF('PC 07'!F438="","Genre kosong",IF(ISERROR(MATCH(TRIM('PC 07'!F438),{"Pop","Rock","Dangdut","K-Pop","Electronic","Nasional","Daerah"},0)),"Genre di luar daftar","")),IF('PC 07'!G438="","Nama Channel kosong",""),IF('PC 07'!H438="","Link kosong",IF(ISERROR(FIND("youtu",LOWER('PC 07'!H438))),"Link bukan youtube","")),IF('PC 07'!I438="","Tgl Dibuat kosong",IF(NOT(ISNUMBER('PC 07'!I438)),"Tgl Dibuat harus tanggal","")),IF(AND('PC 07'!J438&lt;&gt;"",NOT(ISNUMBER('PC 07'!J438))),"Tgl Publish harus tanggal",""),IF(AND(ISNUMBER('PC 07'!I438),ISNUMBER('PC 07'!J438),'PC 07'!J438&lt;'PC 07'!I438),"Tgl Publish &lt; Tgl Dibuat",""),IF(AND('PC 07'!K438&lt;&gt;"",ISERROR(MATCH(TRIM('PC 07'!K438),{"Draft","Menunggu Review","Revisi","Terjadwal","Publish","Batal","Published"},0))),"Status di luar daftar","")))</f>
        <v>#ERROR!</v>
      </c>
      <c r="D438" s="3" t="str">
        <f>IF(C438="","OK","ADA MASALAH")</f>
        <v>#ERROR!</v>
      </c>
    </row>
    <row r="439">
      <c r="A439" s="5">
        <v>439.0</v>
      </c>
      <c r="B439" s="3" t="str">
        <f>'PC 07'!A439</f>
        <v/>
      </c>
      <c r="C439" s="3" t="str">
        <f>IF(COUNTA('PC 07'!A439:L439)=0,"",TEXTJOIN(" | ",TRUE,IF('PC 07'!A439="","Worker ID kosong",""),IF('PC 07'!B439="","Update Date kosong",IF(NOT(ISNUMBER('PC 07'!B439)),"Update Date harus tanggal","")),IF('PC 07'!D439="","Judul kosong",""),IF('PC 07'!F439="","Genre kosong",IF(ISERROR(MATCH(TRIM('PC 07'!F439),{"Pop","Rock","Dangdut","K-Pop","Electronic","Nasional","Daerah"},0)),"Genre di luar daftar","")),IF('PC 07'!G439="","Nama Channel kosong",""),IF('PC 07'!H439="","Link kosong",IF(ISERROR(FIND("youtu",LOWER('PC 07'!H439))),"Link bukan youtube","")),IF('PC 07'!I439="","Tgl Dibuat kosong",IF(NOT(ISNUMBER('PC 07'!I439)),"Tgl Dibuat harus tanggal","")),IF(AND('PC 07'!J439&lt;&gt;"",NOT(ISNUMBER('PC 07'!J439))),"Tgl Publish harus tanggal",""),IF(AND(ISNUMBER('PC 07'!I439),ISNUMBER('PC 07'!J439),'PC 07'!J439&lt;'PC 07'!I439),"Tgl Publish &lt; Tgl Dibuat",""),IF(AND('PC 07'!K439&lt;&gt;"",ISERROR(MATCH(TRIM('PC 07'!K439),{"Draft","Menunggu Review","Revisi","Terjadwal","Publish","Batal","Published"},0))),"Status di luar daftar","")))</f>
        <v>#ERROR!</v>
      </c>
      <c r="D439" s="3" t="str">
        <f>IF(C439="","OK","ADA MASALAH")</f>
        <v>#ERROR!</v>
      </c>
    </row>
    <row r="440">
      <c r="A440" s="5">
        <v>440.0</v>
      </c>
      <c r="B440" s="3" t="str">
        <f>'PC 07'!A440</f>
        <v/>
      </c>
      <c r="C440" s="3" t="str">
        <f>IF(COUNTA('PC 07'!A440:L440)=0,"",TEXTJOIN(" | ",TRUE,IF('PC 07'!A440="","Worker ID kosong",""),IF('PC 07'!B440="","Update Date kosong",IF(NOT(ISNUMBER('PC 07'!B440)),"Update Date harus tanggal","")),IF('PC 07'!D440="","Judul kosong",""),IF('PC 07'!F440="","Genre kosong",IF(ISERROR(MATCH(TRIM('PC 07'!F440),{"Pop","Rock","Dangdut","K-Pop","Electronic","Nasional","Daerah"},0)),"Genre di luar daftar","")),IF('PC 07'!G440="","Nama Channel kosong",""),IF('PC 07'!H440="","Link kosong",IF(ISERROR(FIND("youtu",LOWER('PC 07'!H440))),"Link bukan youtube","")),IF('PC 07'!I440="","Tgl Dibuat kosong",IF(NOT(ISNUMBER('PC 07'!I440)),"Tgl Dibuat harus tanggal","")),IF(AND('PC 07'!J440&lt;&gt;"",NOT(ISNUMBER('PC 07'!J440))),"Tgl Publish harus tanggal",""),IF(AND(ISNUMBER('PC 07'!I440),ISNUMBER('PC 07'!J440),'PC 07'!J440&lt;'PC 07'!I440),"Tgl Publish &lt; Tgl Dibuat",""),IF(AND('PC 07'!K440&lt;&gt;"",ISERROR(MATCH(TRIM('PC 07'!K440),{"Draft","Menunggu Review","Revisi","Terjadwal","Publish","Batal","Published"},0))),"Status di luar daftar","")))</f>
        <v>#ERROR!</v>
      </c>
      <c r="D440" s="3" t="str">
        <f>IF(C440="","OK","ADA MASALAH")</f>
        <v>#ERROR!</v>
      </c>
    </row>
    <row r="441">
      <c r="A441" s="5">
        <v>441.0</v>
      </c>
      <c r="B441" s="3" t="str">
        <f>'PC 07'!A441</f>
        <v/>
      </c>
      <c r="C441" s="3" t="str">
        <f>IF(COUNTA('PC 07'!A441:L441)=0,"",TEXTJOIN(" | ",TRUE,IF('PC 07'!A441="","Worker ID kosong",""),IF('PC 07'!B441="","Update Date kosong",IF(NOT(ISNUMBER('PC 07'!B441)),"Update Date harus tanggal","")),IF('PC 07'!D441="","Judul kosong",""),IF('PC 07'!F441="","Genre kosong",IF(ISERROR(MATCH(TRIM('PC 07'!F441),{"Pop","Rock","Dangdut","K-Pop","Electronic","Nasional","Daerah"},0)),"Genre di luar daftar","")),IF('PC 07'!G441="","Nama Channel kosong",""),IF('PC 07'!H441="","Link kosong",IF(ISERROR(FIND("youtu",LOWER('PC 07'!H441))),"Link bukan youtube","")),IF('PC 07'!I441="","Tgl Dibuat kosong",IF(NOT(ISNUMBER('PC 07'!I441)),"Tgl Dibuat harus tanggal","")),IF(AND('PC 07'!J441&lt;&gt;"",NOT(ISNUMBER('PC 07'!J441))),"Tgl Publish harus tanggal",""),IF(AND(ISNUMBER('PC 07'!I441),ISNUMBER('PC 07'!J441),'PC 07'!J441&lt;'PC 07'!I441),"Tgl Publish &lt; Tgl Dibuat",""),IF(AND('PC 07'!K441&lt;&gt;"",ISERROR(MATCH(TRIM('PC 07'!K441),{"Draft","Menunggu Review","Revisi","Terjadwal","Publish","Batal","Published"},0))),"Status di luar daftar","")))</f>
        <v>#ERROR!</v>
      </c>
      <c r="D441" s="3" t="str">
        <f>IF(C441="","OK","ADA MASALAH")</f>
        <v>#ERROR!</v>
      </c>
    </row>
    <row r="442">
      <c r="A442" s="5">
        <v>442.0</v>
      </c>
      <c r="B442" s="3" t="str">
        <f>'PC 07'!A442</f>
        <v/>
      </c>
      <c r="C442" s="3" t="str">
        <f>IF(COUNTA('PC 07'!A442:L442)=0,"",TEXTJOIN(" | ",TRUE,IF('PC 07'!A442="","Worker ID kosong",""),IF('PC 07'!B442="","Update Date kosong",IF(NOT(ISNUMBER('PC 07'!B442)),"Update Date harus tanggal","")),IF('PC 07'!D442="","Judul kosong",""),IF('PC 07'!F442="","Genre kosong",IF(ISERROR(MATCH(TRIM('PC 07'!F442),{"Pop","Rock","Dangdut","K-Pop","Electronic","Nasional","Daerah"},0)),"Genre di luar daftar","")),IF('PC 07'!G442="","Nama Channel kosong",""),IF('PC 07'!H442="","Link kosong",IF(ISERROR(FIND("youtu",LOWER('PC 07'!H442))),"Link bukan youtube","")),IF('PC 07'!I442="","Tgl Dibuat kosong",IF(NOT(ISNUMBER('PC 07'!I442)),"Tgl Dibuat harus tanggal","")),IF(AND('PC 07'!J442&lt;&gt;"",NOT(ISNUMBER('PC 07'!J442))),"Tgl Publish harus tanggal",""),IF(AND(ISNUMBER('PC 07'!I442),ISNUMBER('PC 07'!J442),'PC 07'!J442&lt;'PC 07'!I442),"Tgl Publish &lt; Tgl Dibuat",""),IF(AND('PC 07'!K442&lt;&gt;"",ISERROR(MATCH(TRIM('PC 07'!K442),{"Draft","Menunggu Review","Revisi","Terjadwal","Publish","Batal","Published"},0))),"Status di luar daftar","")))</f>
        <v>#ERROR!</v>
      </c>
      <c r="D442" s="3" t="str">
        <f>IF(C442="","OK","ADA MASALAH")</f>
        <v>#ERROR!</v>
      </c>
    </row>
    <row r="443">
      <c r="A443" s="5">
        <v>443.0</v>
      </c>
      <c r="B443" s="3" t="str">
        <f>'PC 07'!A443</f>
        <v/>
      </c>
      <c r="C443" s="3" t="str">
        <f>IF(COUNTA('PC 07'!A443:L443)=0,"",TEXTJOIN(" | ",TRUE,IF('PC 07'!A443="","Worker ID kosong",""),IF('PC 07'!B443="","Update Date kosong",IF(NOT(ISNUMBER('PC 07'!B443)),"Update Date harus tanggal","")),IF('PC 07'!D443="","Judul kosong",""),IF('PC 07'!F443="","Genre kosong",IF(ISERROR(MATCH(TRIM('PC 07'!F443),{"Pop","Rock","Dangdut","K-Pop","Electronic","Nasional","Daerah"},0)),"Genre di luar daftar","")),IF('PC 07'!G443="","Nama Channel kosong",""),IF('PC 07'!H443="","Link kosong",IF(ISERROR(FIND("youtu",LOWER('PC 07'!H443))),"Link bukan youtube","")),IF('PC 07'!I443="","Tgl Dibuat kosong",IF(NOT(ISNUMBER('PC 07'!I443)),"Tgl Dibuat harus tanggal","")),IF(AND('PC 07'!J443&lt;&gt;"",NOT(ISNUMBER('PC 07'!J443))),"Tgl Publish harus tanggal",""),IF(AND(ISNUMBER('PC 07'!I443),ISNUMBER('PC 07'!J443),'PC 07'!J443&lt;'PC 07'!I443),"Tgl Publish &lt; Tgl Dibuat",""),IF(AND('PC 07'!K443&lt;&gt;"",ISERROR(MATCH(TRIM('PC 07'!K443),{"Draft","Menunggu Review","Revisi","Terjadwal","Publish","Batal","Published"},0))),"Status di luar daftar","")))</f>
        <v>#ERROR!</v>
      </c>
      <c r="D443" s="3" t="str">
        <f>IF(C443="","OK","ADA MASALAH")</f>
        <v>#ERROR!</v>
      </c>
    </row>
    <row r="444">
      <c r="A444" s="5">
        <v>444.0</v>
      </c>
      <c r="B444" s="3" t="str">
        <f>'PC 07'!A444</f>
        <v/>
      </c>
      <c r="C444" s="3" t="str">
        <f>IF(COUNTA('PC 07'!A444:L444)=0,"",TEXTJOIN(" | ",TRUE,IF('PC 07'!A444="","Worker ID kosong",""),IF('PC 07'!B444="","Update Date kosong",IF(NOT(ISNUMBER('PC 07'!B444)),"Update Date harus tanggal","")),IF('PC 07'!D444="","Judul kosong",""),IF('PC 07'!F444="","Genre kosong",IF(ISERROR(MATCH(TRIM('PC 07'!F444),{"Pop","Rock","Dangdut","K-Pop","Electronic","Nasional","Daerah"},0)),"Genre di luar daftar","")),IF('PC 07'!G444="","Nama Channel kosong",""),IF('PC 07'!H444="","Link kosong",IF(ISERROR(FIND("youtu",LOWER('PC 07'!H444))),"Link bukan youtube","")),IF('PC 07'!I444="","Tgl Dibuat kosong",IF(NOT(ISNUMBER('PC 07'!I444)),"Tgl Dibuat harus tanggal","")),IF(AND('PC 07'!J444&lt;&gt;"",NOT(ISNUMBER('PC 07'!J444))),"Tgl Publish harus tanggal",""),IF(AND(ISNUMBER('PC 07'!I444),ISNUMBER('PC 07'!J444),'PC 07'!J444&lt;'PC 07'!I444),"Tgl Publish &lt; Tgl Dibuat",""),IF(AND('PC 07'!K444&lt;&gt;"",ISERROR(MATCH(TRIM('PC 07'!K444),{"Draft","Menunggu Review","Revisi","Terjadwal","Publish","Batal","Published"},0))),"Status di luar daftar","")))</f>
        <v>#ERROR!</v>
      </c>
      <c r="D444" s="3" t="str">
        <f>IF(C444="","OK","ADA MASALAH")</f>
        <v>#ERROR!</v>
      </c>
    </row>
    <row r="445">
      <c r="A445" s="5">
        <v>445.0</v>
      </c>
      <c r="B445" s="3" t="str">
        <f>'PC 07'!A445</f>
        <v/>
      </c>
      <c r="C445" s="3" t="str">
        <f>IF(COUNTA('PC 07'!A445:L445)=0,"",TEXTJOIN(" | ",TRUE,IF('PC 07'!A445="","Worker ID kosong",""),IF('PC 07'!B445="","Update Date kosong",IF(NOT(ISNUMBER('PC 07'!B445)),"Update Date harus tanggal","")),IF('PC 07'!D445="","Judul kosong",""),IF('PC 07'!F445="","Genre kosong",IF(ISERROR(MATCH(TRIM('PC 07'!F445),{"Pop","Rock","Dangdut","K-Pop","Electronic","Nasional","Daerah"},0)),"Genre di luar daftar","")),IF('PC 07'!G445="","Nama Channel kosong",""),IF('PC 07'!H445="","Link kosong",IF(ISERROR(FIND("youtu",LOWER('PC 07'!H445))),"Link bukan youtube","")),IF('PC 07'!I445="","Tgl Dibuat kosong",IF(NOT(ISNUMBER('PC 07'!I445)),"Tgl Dibuat harus tanggal","")),IF(AND('PC 07'!J445&lt;&gt;"",NOT(ISNUMBER('PC 07'!J445))),"Tgl Publish harus tanggal",""),IF(AND(ISNUMBER('PC 07'!I445),ISNUMBER('PC 07'!J445),'PC 07'!J445&lt;'PC 07'!I445),"Tgl Publish &lt; Tgl Dibuat",""),IF(AND('PC 07'!K445&lt;&gt;"",ISERROR(MATCH(TRIM('PC 07'!K445),{"Draft","Menunggu Review","Revisi","Terjadwal","Publish","Batal","Published"},0))),"Status di luar daftar","")))</f>
        <v>#ERROR!</v>
      </c>
      <c r="D445" s="3" t="str">
        <f>IF(C445="","OK","ADA MASALAH")</f>
        <v>#ERROR!</v>
      </c>
    </row>
    <row r="446">
      <c r="A446" s="5">
        <v>446.0</v>
      </c>
      <c r="B446" s="3" t="str">
        <f>'PC 07'!A446</f>
        <v/>
      </c>
      <c r="C446" s="3" t="str">
        <f>IF(COUNTA('PC 07'!A446:L446)=0,"",TEXTJOIN(" | ",TRUE,IF('PC 07'!A446="","Worker ID kosong",""),IF('PC 07'!B446="","Update Date kosong",IF(NOT(ISNUMBER('PC 07'!B446)),"Update Date harus tanggal","")),IF('PC 07'!D446="","Judul kosong",""),IF('PC 07'!F446="","Genre kosong",IF(ISERROR(MATCH(TRIM('PC 07'!F446),{"Pop","Rock","Dangdut","K-Pop","Electronic","Nasional","Daerah"},0)),"Genre di luar daftar","")),IF('PC 07'!G446="","Nama Channel kosong",""),IF('PC 07'!H446="","Link kosong",IF(ISERROR(FIND("youtu",LOWER('PC 07'!H446))),"Link bukan youtube","")),IF('PC 07'!I446="","Tgl Dibuat kosong",IF(NOT(ISNUMBER('PC 07'!I446)),"Tgl Dibuat harus tanggal","")),IF(AND('PC 07'!J446&lt;&gt;"",NOT(ISNUMBER('PC 07'!J446))),"Tgl Publish harus tanggal",""),IF(AND(ISNUMBER('PC 07'!I446),ISNUMBER('PC 07'!J446),'PC 07'!J446&lt;'PC 07'!I446),"Tgl Publish &lt; Tgl Dibuat",""),IF(AND('PC 07'!K446&lt;&gt;"",ISERROR(MATCH(TRIM('PC 07'!K446),{"Draft","Menunggu Review","Revisi","Terjadwal","Publish","Batal","Published"},0))),"Status di luar daftar","")))</f>
        <v>#ERROR!</v>
      </c>
      <c r="D446" s="3" t="str">
        <f>IF(C446="","OK","ADA MASALAH")</f>
        <v>#ERROR!</v>
      </c>
    </row>
    <row r="447">
      <c r="A447" s="5">
        <v>447.0</v>
      </c>
      <c r="B447" s="3" t="str">
        <f>'PC 07'!A447</f>
        <v/>
      </c>
      <c r="C447" s="3" t="str">
        <f>IF(COUNTA('PC 07'!A447:L447)=0,"",TEXTJOIN(" | ",TRUE,IF('PC 07'!A447="","Worker ID kosong",""),IF('PC 07'!B447="","Update Date kosong",IF(NOT(ISNUMBER('PC 07'!B447)),"Update Date harus tanggal","")),IF('PC 07'!D447="","Judul kosong",""),IF('PC 07'!F447="","Genre kosong",IF(ISERROR(MATCH(TRIM('PC 07'!F447),{"Pop","Rock","Dangdut","K-Pop","Electronic","Nasional","Daerah"},0)),"Genre di luar daftar","")),IF('PC 07'!G447="","Nama Channel kosong",""),IF('PC 07'!H447="","Link kosong",IF(ISERROR(FIND("youtu",LOWER('PC 07'!H447))),"Link bukan youtube","")),IF('PC 07'!I447="","Tgl Dibuat kosong",IF(NOT(ISNUMBER('PC 07'!I447)),"Tgl Dibuat harus tanggal","")),IF(AND('PC 07'!J447&lt;&gt;"",NOT(ISNUMBER('PC 07'!J447))),"Tgl Publish harus tanggal",""),IF(AND(ISNUMBER('PC 07'!I447),ISNUMBER('PC 07'!J447),'PC 07'!J447&lt;'PC 07'!I447),"Tgl Publish &lt; Tgl Dibuat",""),IF(AND('PC 07'!K447&lt;&gt;"",ISERROR(MATCH(TRIM('PC 07'!K447),{"Draft","Menunggu Review","Revisi","Terjadwal","Publish","Batal","Published"},0))),"Status di luar daftar","")))</f>
        <v>#ERROR!</v>
      </c>
      <c r="D447" s="3" t="str">
        <f>IF(C447="","OK","ADA MASALAH")</f>
        <v>#ERROR!</v>
      </c>
    </row>
    <row r="448">
      <c r="A448" s="5">
        <v>448.0</v>
      </c>
      <c r="B448" s="3" t="str">
        <f>'PC 07'!A448</f>
        <v/>
      </c>
      <c r="C448" s="3" t="str">
        <f>IF(COUNTA('PC 07'!A448:L448)=0,"",TEXTJOIN(" | ",TRUE,IF('PC 07'!A448="","Worker ID kosong",""),IF('PC 07'!B448="","Update Date kosong",IF(NOT(ISNUMBER('PC 07'!B448)),"Update Date harus tanggal","")),IF('PC 07'!D448="","Judul kosong",""),IF('PC 07'!F448="","Genre kosong",IF(ISERROR(MATCH(TRIM('PC 07'!F448),{"Pop","Rock","Dangdut","K-Pop","Electronic","Nasional","Daerah"},0)),"Genre di luar daftar","")),IF('PC 07'!G448="","Nama Channel kosong",""),IF('PC 07'!H448="","Link kosong",IF(ISERROR(FIND("youtu",LOWER('PC 07'!H448))),"Link bukan youtube","")),IF('PC 07'!I448="","Tgl Dibuat kosong",IF(NOT(ISNUMBER('PC 07'!I448)),"Tgl Dibuat harus tanggal","")),IF(AND('PC 07'!J448&lt;&gt;"",NOT(ISNUMBER('PC 07'!J448))),"Tgl Publish harus tanggal",""),IF(AND(ISNUMBER('PC 07'!I448),ISNUMBER('PC 07'!J448),'PC 07'!J448&lt;'PC 07'!I448),"Tgl Publish &lt; Tgl Dibuat",""),IF(AND('PC 07'!K448&lt;&gt;"",ISERROR(MATCH(TRIM('PC 07'!K448),{"Draft","Menunggu Review","Revisi","Terjadwal","Publish","Batal","Published"},0))),"Status di luar daftar","")))</f>
        <v>#ERROR!</v>
      </c>
      <c r="D448" s="3" t="str">
        <f>IF(C448="","OK","ADA MASALAH")</f>
        <v>#ERROR!</v>
      </c>
    </row>
    <row r="449">
      <c r="A449" s="5">
        <v>449.0</v>
      </c>
      <c r="B449" s="3" t="str">
        <f>'PC 07'!A449</f>
        <v/>
      </c>
      <c r="C449" s="3" t="str">
        <f>IF(COUNTA('PC 07'!A449:L449)=0,"",TEXTJOIN(" | ",TRUE,IF('PC 07'!A449="","Worker ID kosong",""),IF('PC 07'!B449="","Update Date kosong",IF(NOT(ISNUMBER('PC 07'!B449)),"Update Date harus tanggal","")),IF('PC 07'!D449="","Judul kosong",""),IF('PC 07'!F449="","Genre kosong",IF(ISERROR(MATCH(TRIM('PC 07'!F449),{"Pop","Rock","Dangdut","K-Pop","Electronic","Nasional","Daerah"},0)),"Genre di luar daftar","")),IF('PC 07'!G449="","Nama Channel kosong",""),IF('PC 07'!H449="","Link kosong",IF(ISERROR(FIND("youtu",LOWER('PC 07'!H449))),"Link bukan youtube","")),IF('PC 07'!I449="","Tgl Dibuat kosong",IF(NOT(ISNUMBER('PC 07'!I449)),"Tgl Dibuat harus tanggal","")),IF(AND('PC 07'!J449&lt;&gt;"",NOT(ISNUMBER('PC 07'!J449))),"Tgl Publish harus tanggal",""),IF(AND(ISNUMBER('PC 07'!I449),ISNUMBER('PC 07'!J449),'PC 07'!J449&lt;'PC 07'!I449),"Tgl Publish &lt; Tgl Dibuat",""),IF(AND('PC 07'!K449&lt;&gt;"",ISERROR(MATCH(TRIM('PC 07'!K449),{"Draft","Menunggu Review","Revisi","Terjadwal","Publish","Batal","Published"},0))),"Status di luar daftar","")))</f>
        <v>#ERROR!</v>
      </c>
      <c r="D449" s="3" t="str">
        <f>IF(C449="","OK","ADA MASALAH")</f>
        <v>#ERROR!</v>
      </c>
    </row>
    <row r="450">
      <c r="A450" s="5">
        <v>450.0</v>
      </c>
      <c r="B450" s="3" t="str">
        <f>'PC 07'!A450</f>
        <v/>
      </c>
      <c r="C450" s="3" t="str">
        <f>IF(COUNTA('PC 07'!A450:L450)=0,"",TEXTJOIN(" | ",TRUE,IF('PC 07'!A450="","Worker ID kosong",""),IF('PC 07'!B450="","Update Date kosong",IF(NOT(ISNUMBER('PC 07'!B450)),"Update Date harus tanggal","")),IF('PC 07'!D450="","Judul kosong",""),IF('PC 07'!F450="","Genre kosong",IF(ISERROR(MATCH(TRIM('PC 07'!F450),{"Pop","Rock","Dangdut","K-Pop","Electronic","Nasional","Daerah"},0)),"Genre di luar daftar","")),IF('PC 07'!G450="","Nama Channel kosong",""),IF('PC 07'!H450="","Link kosong",IF(ISERROR(FIND("youtu",LOWER('PC 07'!H450))),"Link bukan youtube","")),IF('PC 07'!I450="","Tgl Dibuat kosong",IF(NOT(ISNUMBER('PC 07'!I450)),"Tgl Dibuat harus tanggal","")),IF(AND('PC 07'!J450&lt;&gt;"",NOT(ISNUMBER('PC 07'!J450))),"Tgl Publish harus tanggal",""),IF(AND(ISNUMBER('PC 07'!I450),ISNUMBER('PC 07'!J450),'PC 07'!J450&lt;'PC 07'!I450),"Tgl Publish &lt; Tgl Dibuat",""),IF(AND('PC 07'!K450&lt;&gt;"",ISERROR(MATCH(TRIM('PC 07'!K450),{"Draft","Menunggu Review","Revisi","Terjadwal","Publish","Batal","Published"},0))),"Status di luar daftar","")))</f>
        <v>#ERROR!</v>
      </c>
      <c r="D450" s="3" t="str">
        <f>IF(C450="","OK","ADA MASALAH")</f>
        <v>#ERROR!</v>
      </c>
    </row>
    <row r="451">
      <c r="A451" s="5">
        <v>451.0</v>
      </c>
      <c r="B451" s="3" t="str">
        <f>'PC 07'!A451</f>
        <v/>
      </c>
      <c r="C451" s="3" t="str">
        <f>IF(COUNTA('PC 07'!A451:L451)=0,"",TEXTJOIN(" | ",TRUE,IF('PC 07'!A451="","Worker ID kosong",""),IF('PC 07'!B451="","Update Date kosong",IF(NOT(ISNUMBER('PC 07'!B451)),"Update Date harus tanggal","")),IF('PC 07'!D451="","Judul kosong",""),IF('PC 07'!F451="","Genre kosong",IF(ISERROR(MATCH(TRIM('PC 07'!F451),{"Pop","Rock","Dangdut","K-Pop","Electronic","Nasional","Daerah"},0)),"Genre di luar daftar","")),IF('PC 07'!G451="","Nama Channel kosong",""),IF('PC 07'!H451="","Link kosong",IF(ISERROR(FIND("youtu",LOWER('PC 07'!H451))),"Link bukan youtube","")),IF('PC 07'!I451="","Tgl Dibuat kosong",IF(NOT(ISNUMBER('PC 07'!I451)),"Tgl Dibuat harus tanggal","")),IF(AND('PC 07'!J451&lt;&gt;"",NOT(ISNUMBER('PC 07'!J451))),"Tgl Publish harus tanggal",""),IF(AND(ISNUMBER('PC 07'!I451),ISNUMBER('PC 07'!J451),'PC 07'!J451&lt;'PC 07'!I451),"Tgl Publish &lt; Tgl Dibuat",""),IF(AND('PC 07'!K451&lt;&gt;"",ISERROR(MATCH(TRIM('PC 07'!K451),{"Draft","Menunggu Review","Revisi","Terjadwal","Publish","Batal","Published"},0))),"Status di luar daftar","")))</f>
        <v>#ERROR!</v>
      </c>
      <c r="D451" s="3" t="str">
        <f>IF(C451="","OK","ADA MASALAH")</f>
        <v>#ERROR!</v>
      </c>
    </row>
    <row r="452">
      <c r="A452" s="5">
        <v>452.0</v>
      </c>
      <c r="B452" s="3" t="str">
        <f>'PC 07'!A452</f>
        <v/>
      </c>
      <c r="C452" s="3" t="str">
        <f>IF(COUNTA('PC 07'!A452:L452)=0,"",TEXTJOIN(" | ",TRUE,IF('PC 07'!A452="","Worker ID kosong",""),IF('PC 07'!B452="","Update Date kosong",IF(NOT(ISNUMBER('PC 07'!B452)),"Update Date harus tanggal","")),IF('PC 07'!D452="","Judul kosong",""),IF('PC 07'!F452="","Genre kosong",IF(ISERROR(MATCH(TRIM('PC 07'!F452),{"Pop","Rock","Dangdut","K-Pop","Electronic","Nasional","Daerah"},0)),"Genre di luar daftar","")),IF('PC 07'!G452="","Nama Channel kosong",""),IF('PC 07'!H452="","Link kosong",IF(ISERROR(FIND("youtu",LOWER('PC 07'!H452))),"Link bukan youtube","")),IF('PC 07'!I452="","Tgl Dibuat kosong",IF(NOT(ISNUMBER('PC 07'!I452)),"Tgl Dibuat harus tanggal","")),IF(AND('PC 07'!J452&lt;&gt;"",NOT(ISNUMBER('PC 07'!J452))),"Tgl Publish harus tanggal",""),IF(AND(ISNUMBER('PC 07'!I452),ISNUMBER('PC 07'!J452),'PC 07'!J452&lt;'PC 07'!I452),"Tgl Publish &lt; Tgl Dibuat",""),IF(AND('PC 07'!K452&lt;&gt;"",ISERROR(MATCH(TRIM('PC 07'!K452),{"Draft","Menunggu Review","Revisi","Terjadwal","Publish","Batal","Published"},0))),"Status di luar daftar","")))</f>
        <v>#ERROR!</v>
      </c>
      <c r="D452" s="3" t="str">
        <f>IF(C452="","OK","ADA MASALAH")</f>
        <v>#ERROR!</v>
      </c>
    </row>
    <row r="453">
      <c r="A453" s="5">
        <v>453.0</v>
      </c>
      <c r="B453" s="3" t="str">
        <f>'PC 07'!A453</f>
        <v/>
      </c>
      <c r="C453" s="3" t="str">
        <f>IF(COUNTA('PC 07'!A453:L453)=0,"",TEXTJOIN(" | ",TRUE,IF('PC 07'!A453="","Worker ID kosong",""),IF('PC 07'!B453="","Update Date kosong",IF(NOT(ISNUMBER('PC 07'!B453)),"Update Date harus tanggal","")),IF('PC 07'!D453="","Judul kosong",""),IF('PC 07'!F453="","Genre kosong",IF(ISERROR(MATCH(TRIM('PC 07'!F453),{"Pop","Rock","Dangdut","K-Pop","Electronic","Nasional","Daerah"},0)),"Genre di luar daftar","")),IF('PC 07'!G453="","Nama Channel kosong",""),IF('PC 07'!H453="","Link kosong",IF(ISERROR(FIND("youtu",LOWER('PC 07'!H453))),"Link bukan youtube","")),IF('PC 07'!I453="","Tgl Dibuat kosong",IF(NOT(ISNUMBER('PC 07'!I453)),"Tgl Dibuat harus tanggal","")),IF(AND('PC 07'!J453&lt;&gt;"",NOT(ISNUMBER('PC 07'!J453))),"Tgl Publish harus tanggal",""),IF(AND(ISNUMBER('PC 07'!I453),ISNUMBER('PC 07'!J453),'PC 07'!J453&lt;'PC 07'!I453),"Tgl Publish &lt; Tgl Dibuat",""),IF(AND('PC 07'!K453&lt;&gt;"",ISERROR(MATCH(TRIM('PC 07'!K453),{"Draft","Menunggu Review","Revisi","Terjadwal","Publish","Batal","Published"},0))),"Status di luar daftar","")))</f>
        <v>#ERROR!</v>
      </c>
      <c r="D453" s="3" t="str">
        <f>IF(C453="","OK","ADA MASALAH")</f>
        <v>#ERROR!</v>
      </c>
    </row>
    <row r="454">
      <c r="A454" s="5">
        <v>454.0</v>
      </c>
      <c r="B454" s="3" t="str">
        <f>'PC 07'!A454</f>
        <v/>
      </c>
      <c r="C454" s="3" t="str">
        <f>IF(COUNTA('PC 07'!A454:L454)=0,"",TEXTJOIN(" | ",TRUE,IF('PC 07'!A454="","Worker ID kosong",""),IF('PC 07'!B454="","Update Date kosong",IF(NOT(ISNUMBER('PC 07'!B454)),"Update Date harus tanggal","")),IF('PC 07'!D454="","Judul kosong",""),IF('PC 07'!F454="","Genre kosong",IF(ISERROR(MATCH(TRIM('PC 07'!F454),{"Pop","Rock","Dangdut","K-Pop","Electronic","Nasional","Daerah"},0)),"Genre di luar daftar","")),IF('PC 07'!G454="","Nama Channel kosong",""),IF('PC 07'!H454="","Link kosong",IF(ISERROR(FIND("youtu",LOWER('PC 07'!H454))),"Link bukan youtube","")),IF('PC 07'!I454="","Tgl Dibuat kosong",IF(NOT(ISNUMBER('PC 07'!I454)),"Tgl Dibuat harus tanggal","")),IF(AND('PC 07'!J454&lt;&gt;"",NOT(ISNUMBER('PC 07'!J454))),"Tgl Publish harus tanggal",""),IF(AND(ISNUMBER('PC 07'!I454),ISNUMBER('PC 07'!J454),'PC 07'!J454&lt;'PC 07'!I454),"Tgl Publish &lt; Tgl Dibuat",""),IF(AND('PC 07'!K454&lt;&gt;"",ISERROR(MATCH(TRIM('PC 07'!K454),{"Draft","Menunggu Review","Revisi","Terjadwal","Publish","Batal","Published"},0))),"Status di luar daftar","")))</f>
        <v>#ERROR!</v>
      </c>
      <c r="D454" s="3" t="str">
        <f>IF(C454="","OK","ADA MASALAH")</f>
        <v>#ERROR!</v>
      </c>
    </row>
    <row r="455">
      <c r="A455" s="5">
        <v>455.0</v>
      </c>
      <c r="B455" s="3" t="str">
        <f>'PC 07'!A455</f>
        <v/>
      </c>
      <c r="C455" s="3" t="str">
        <f>IF(COUNTA('PC 07'!A455:L455)=0,"",TEXTJOIN(" | ",TRUE,IF('PC 07'!A455="","Worker ID kosong",""),IF('PC 07'!B455="","Update Date kosong",IF(NOT(ISNUMBER('PC 07'!B455)),"Update Date harus tanggal","")),IF('PC 07'!D455="","Judul kosong",""),IF('PC 07'!F455="","Genre kosong",IF(ISERROR(MATCH(TRIM('PC 07'!F455),{"Pop","Rock","Dangdut","K-Pop","Electronic","Nasional","Daerah"},0)),"Genre di luar daftar","")),IF('PC 07'!G455="","Nama Channel kosong",""),IF('PC 07'!H455="","Link kosong",IF(ISERROR(FIND("youtu",LOWER('PC 07'!H455))),"Link bukan youtube","")),IF('PC 07'!I455="","Tgl Dibuat kosong",IF(NOT(ISNUMBER('PC 07'!I455)),"Tgl Dibuat harus tanggal","")),IF(AND('PC 07'!J455&lt;&gt;"",NOT(ISNUMBER('PC 07'!J455))),"Tgl Publish harus tanggal",""),IF(AND(ISNUMBER('PC 07'!I455),ISNUMBER('PC 07'!J455),'PC 07'!J455&lt;'PC 07'!I455),"Tgl Publish &lt; Tgl Dibuat",""),IF(AND('PC 07'!K455&lt;&gt;"",ISERROR(MATCH(TRIM('PC 07'!K455),{"Draft","Menunggu Review","Revisi","Terjadwal","Publish","Batal","Published"},0))),"Status di luar daftar","")))</f>
        <v>#ERROR!</v>
      </c>
      <c r="D455" s="3" t="str">
        <f>IF(C455="","OK","ADA MASALAH")</f>
        <v>#ERROR!</v>
      </c>
    </row>
    <row r="456">
      <c r="A456" s="5">
        <v>456.0</v>
      </c>
      <c r="B456" s="3" t="str">
        <f>'PC 07'!A456</f>
        <v/>
      </c>
      <c r="C456" s="3" t="str">
        <f>IF(COUNTA('PC 07'!A456:L456)=0,"",TEXTJOIN(" | ",TRUE,IF('PC 07'!A456="","Worker ID kosong",""),IF('PC 07'!B456="","Update Date kosong",IF(NOT(ISNUMBER('PC 07'!B456)),"Update Date harus tanggal","")),IF('PC 07'!D456="","Judul kosong",""),IF('PC 07'!F456="","Genre kosong",IF(ISERROR(MATCH(TRIM('PC 07'!F456),{"Pop","Rock","Dangdut","K-Pop","Electronic","Nasional","Daerah"},0)),"Genre di luar daftar","")),IF('PC 07'!G456="","Nama Channel kosong",""),IF('PC 07'!H456="","Link kosong",IF(ISERROR(FIND("youtu",LOWER('PC 07'!H456))),"Link bukan youtube","")),IF('PC 07'!I456="","Tgl Dibuat kosong",IF(NOT(ISNUMBER('PC 07'!I456)),"Tgl Dibuat harus tanggal","")),IF(AND('PC 07'!J456&lt;&gt;"",NOT(ISNUMBER('PC 07'!J456))),"Tgl Publish harus tanggal",""),IF(AND(ISNUMBER('PC 07'!I456),ISNUMBER('PC 07'!J456),'PC 07'!J456&lt;'PC 07'!I456),"Tgl Publish &lt; Tgl Dibuat",""),IF(AND('PC 07'!K456&lt;&gt;"",ISERROR(MATCH(TRIM('PC 07'!K456),{"Draft","Menunggu Review","Revisi","Terjadwal","Publish","Batal","Published"},0))),"Status di luar daftar","")))</f>
        <v>#ERROR!</v>
      </c>
      <c r="D456" s="3" t="str">
        <f>IF(C456="","OK","ADA MASALAH")</f>
        <v>#ERROR!</v>
      </c>
    </row>
    <row r="457">
      <c r="A457" s="5">
        <v>457.0</v>
      </c>
      <c r="B457" s="3" t="str">
        <f>'PC 07'!A457</f>
        <v/>
      </c>
      <c r="C457" s="3" t="str">
        <f>IF(COUNTA('PC 07'!A457:L457)=0,"",TEXTJOIN(" | ",TRUE,IF('PC 07'!A457="","Worker ID kosong",""),IF('PC 07'!B457="","Update Date kosong",IF(NOT(ISNUMBER('PC 07'!B457)),"Update Date harus tanggal","")),IF('PC 07'!D457="","Judul kosong",""),IF('PC 07'!F457="","Genre kosong",IF(ISERROR(MATCH(TRIM('PC 07'!F457),{"Pop","Rock","Dangdut","K-Pop","Electronic","Nasional","Daerah"},0)),"Genre di luar daftar","")),IF('PC 07'!G457="","Nama Channel kosong",""),IF('PC 07'!H457="","Link kosong",IF(ISERROR(FIND("youtu",LOWER('PC 07'!H457))),"Link bukan youtube","")),IF('PC 07'!I457="","Tgl Dibuat kosong",IF(NOT(ISNUMBER('PC 07'!I457)),"Tgl Dibuat harus tanggal","")),IF(AND('PC 07'!J457&lt;&gt;"",NOT(ISNUMBER('PC 07'!J457))),"Tgl Publish harus tanggal",""),IF(AND(ISNUMBER('PC 07'!I457),ISNUMBER('PC 07'!J457),'PC 07'!J457&lt;'PC 07'!I457),"Tgl Publish &lt; Tgl Dibuat",""),IF(AND('PC 07'!K457&lt;&gt;"",ISERROR(MATCH(TRIM('PC 07'!K457),{"Draft","Menunggu Review","Revisi","Terjadwal","Publish","Batal","Published"},0))),"Status di luar daftar","")))</f>
        <v>#ERROR!</v>
      </c>
      <c r="D457" s="3" t="str">
        <f>IF(C457="","OK","ADA MASALAH")</f>
        <v>#ERROR!</v>
      </c>
    </row>
    <row r="458">
      <c r="A458" s="5">
        <v>458.0</v>
      </c>
      <c r="B458" s="3" t="str">
        <f>'PC 07'!A458</f>
        <v/>
      </c>
      <c r="C458" s="3" t="str">
        <f>IF(COUNTA('PC 07'!A458:L458)=0,"",TEXTJOIN(" | ",TRUE,IF('PC 07'!A458="","Worker ID kosong",""),IF('PC 07'!B458="","Update Date kosong",IF(NOT(ISNUMBER('PC 07'!B458)),"Update Date harus tanggal","")),IF('PC 07'!D458="","Judul kosong",""),IF('PC 07'!F458="","Genre kosong",IF(ISERROR(MATCH(TRIM('PC 07'!F458),{"Pop","Rock","Dangdut","K-Pop","Electronic","Nasional","Daerah"},0)),"Genre di luar daftar","")),IF('PC 07'!G458="","Nama Channel kosong",""),IF('PC 07'!H458="","Link kosong",IF(ISERROR(FIND("youtu",LOWER('PC 07'!H458))),"Link bukan youtube","")),IF('PC 07'!I458="","Tgl Dibuat kosong",IF(NOT(ISNUMBER('PC 07'!I458)),"Tgl Dibuat harus tanggal","")),IF(AND('PC 07'!J458&lt;&gt;"",NOT(ISNUMBER('PC 07'!J458))),"Tgl Publish harus tanggal",""),IF(AND(ISNUMBER('PC 07'!I458),ISNUMBER('PC 07'!J458),'PC 07'!J458&lt;'PC 07'!I458),"Tgl Publish &lt; Tgl Dibuat",""),IF(AND('PC 07'!K458&lt;&gt;"",ISERROR(MATCH(TRIM('PC 07'!K458),{"Draft","Menunggu Review","Revisi","Terjadwal","Publish","Batal","Published"},0))),"Status di luar daftar","")))</f>
        <v>#ERROR!</v>
      </c>
      <c r="D458" s="3" t="str">
        <f>IF(C458="","OK","ADA MASALAH")</f>
        <v>#ERROR!</v>
      </c>
    </row>
    <row r="459">
      <c r="A459" s="5">
        <v>459.0</v>
      </c>
      <c r="B459" s="3" t="str">
        <f>'PC 07'!A459</f>
        <v/>
      </c>
      <c r="C459" s="3" t="str">
        <f>IF(COUNTA('PC 07'!A459:L459)=0,"",TEXTJOIN(" | ",TRUE,IF('PC 07'!A459="","Worker ID kosong",""),IF('PC 07'!B459="","Update Date kosong",IF(NOT(ISNUMBER('PC 07'!B459)),"Update Date harus tanggal","")),IF('PC 07'!D459="","Judul kosong",""),IF('PC 07'!F459="","Genre kosong",IF(ISERROR(MATCH(TRIM('PC 07'!F459),{"Pop","Rock","Dangdut","K-Pop","Electronic","Nasional","Daerah"},0)),"Genre di luar daftar","")),IF('PC 07'!G459="","Nama Channel kosong",""),IF('PC 07'!H459="","Link kosong",IF(ISERROR(FIND("youtu",LOWER('PC 07'!H459))),"Link bukan youtube","")),IF('PC 07'!I459="","Tgl Dibuat kosong",IF(NOT(ISNUMBER('PC 07'!I459)),"Tgl Dibuat harus tanggal","")),IF(AND('PC 07'!J459&lt;&gt;"",NOT(ISNUMBER('PC 07'!J459))),"Tgl Publish harus tanggal",""),IF(AND(ISNUMBER('PC 07'!I459),ISNUMBER('PC 07'!J459),'PC 07'!J459&lt;'PC 07'!I459),"Tgl Publish &lt; Tgl Dibuat",""),IF(AND('PC 07'!K459&lt;&gt;"",ISERROR(MATCH(TRIM('PC 07'!K459),{"Draft","Menunggu Review","Revisi","Terjadwal","Publish","Batal","Published"},0))),"Status di luar daftar","")))</f>
        <v>#ERROR!</v>
      </c>
      <c r="D459" s="3" t="str">
        <f>IF(C459="","OK","ADA MASALAH")</f>
        <v>#ERROR!</v>
      </c>
    </row>
    <row r="460">
      <c r="A460" s="5">
        <v>460.0</v>
      </c>
      <c r="B460" s="3" t="str">
        <f>'PC 07'!A460</f>
        <v/>
      </c>
      <c r="C460" s="3" t="str">
        <f>IF(COUNTA('PC 07'!A460:L460)=0,"",TEXTJOIN(" | ",TRUE,IF('PC 07'!A460="","Worker ID kosong",""),IF('PC 07'!B460="","Update Date kosong",IF(NOT(ISNUMBER('PC 07'!B460)),"Update Date harus tanggal","")),IF('PC 07'!D460="","Judul kosong",""),IF('PC 07'!F460="","Genre kosong",IF(ISERROR(MATCH(TRIM('PC 07'!F460),{"Pop","Rock","Dangdut","K-Pop","Electronic","Nasional","Daerah"},0)),"Genre di luar daftar","")),IF('PC 07'!G460="","Nama Channel kosong",""),IF('PC 07'!H460="","Link kosong",IF(ISERROR(FIND("youtu",LOWER('PC 07'!H460))),"Link bukan youtube","")),IF('PC 07'!I460="","Tgl Dibuat kosong",IF(NOT(ISNUMBER('PC 07'!I460)),"Tgl Dibuat harus tanggal","")),IF(AND('PC 07'!J460&lt;&gt;"",NOT(ISNUMBER('PC 07'!J460))),"Tgl Publish harus tanggal",""),IF(AND(ISNUMBER('PC 07'!I460),ISNUMBER('PC 07'!J460),'PC 07'!J460&lt;'PC 07'!I460),"Tgl Publish &lt; Tgl Dibuat",""),IF(AND('PC 07'!K460&lt;&gt;"",ISERROR(MATCH(TRIM('PC 07'!K460),{"Draft","Menunggu Review","Revisi","Terjadwal","Publish","Batal","Published"},0))),"Status di luar daftar","")))</f>
        <v>#ERROR!</v>
      </c>
      <c r="D460" s="3" t="str">
        <f>IF(C460="","OK","ADA MASALAH")</f>
        <v>#ERROR!</v>
      </c>
    </row>
    <row r="461">
      <c r="A461" s="5">
        <v>461.0</v>
      </c>
      <c r="B461" s="3" t="str">
        <f>'PC 07'!A461</f>
        <v/>
      </c>
      <c r="C461" s="3" t="str">
        <f>IF(COUNTA('PC 07'!A461:L461)=0,"",TEXTJOIN(" | ",TRUE,IF('PC 07'!A461="","Worker ID kosong",""),IF('PC 07'!B461="","Update Date kosong",IF(NOT(ISNUMBER('PC 07'!B461)),"Update Date harus tanggal","")),IF('PC 07'!D461="","Judul kosong",""),IF('PC 07'!F461="","Genre kosong",IF(ISERROR(MATCH(TRIM('PC 07'!F461),{"Pop","Rock","Dangdut","K-Pop","Electronic","Nasional","Daerah"},0)),"Genre di luar daftar","")),IF('PC 07'!G461="","Nama Channel kosong",""),IF('PC 07'!H461="","Link kosong",IF(ISERROR(FIND("youtu",LOWER('PC 07'!H461))),"Link bukan youtube","")),IF('PC 07'!I461="","Tgl Dibuat kosong",IF(NOT(ISNUMBER('PC 07'!I461)),"Tgl Dibuat harus tanggal","")),IF(AND('PC 07'!J461&lt;&gt;"",NOT(ISNUMBER('PC 07'!J461))),"Tgl Publish harus tanggal",""),IF(AND(ISNUMBER('PC 07'!I461),ISNUMBER('PC 07'!J461),'PC 07'!J461&lt;'PC 07'!I461),"Tgl Publish &lt; Tgl Dibuat",""),IF(AND('PC 07'!K461&lt;&gt;"",ISERROR(MATCH(TRIM('PC 07'!K461),{"Draft","Menunggu Review","Revisi","Terjadwal","Publish","Batal","Published"},0))),"Status di luar daftar","")))</f>
        <v>#ERROR!</v>
      </c>
      <c r="D461" s="3" t="str">
        <f>IF(C461="","OK","ADA MASALAH")</f>
        <v>#ERROR!</v>
      </c>
    </row>
    <row r="462">
      <c r="A462" s="5">
        <v>462.0</v>
      </c>
      <c r="B462" s="3" t="str">
        <f>'PC 07'!A462</f>
        <v/>
      </c>
      <c r="C462" s="3" t="str">
        <f>IF(COUNTA('PC 07'!A462:L462)=0,"",TEXTJOIN(" | ",TRUE,IF('PC 07'!A462="","Worker ID kosong",""),IF('PC 07'!B462="","Update Date kosong",IF(NOT(ISNUMBER('PC 07'!B462)),"Update Date harus tanggal","")),IF('PC 07'!D462="","Judul kosong",""),IF('PC 07'!F462="","Genre kosong",IF(ISERROR(MATCH(TRIM('PC 07'!F462),{"Pop","Rock","Dangdut","K-Pop","Electronic","Nasional","Daerah"},0)),"Genre di luar daftar","")),IF('PC 07'!G462="","Nama Channel kosong",""),IF('PC 07'!H462="","Link kosong",IF(ISERROR(FIND("youtu",LOWER('PC 07'!H462))),"Link bukan youtube","")),IF('PC 07'!I462="","Tgl Dibuat kosong",IF(NOT(ISNUMBER('PC 07'!I462)),"Tgl Dibuat harus tanggal","")),IF(AND('PC 07'!J462&lt;&gt;"",NOT(ISNUMBER('PC 07'!J462))),"Tgl Publish harus tanggal",""),IF(AND(ISNUMBER('PC 07'!I462),ISNUMBER('PC 07'!J462),'PC 07'!J462&lt;'PC 07'!I462),"Tgl Publish &lt; Tgl Dibuat",""),IF(AND('PC 07'!K462&lt;&gt;"",ISERROR(MATCH(TRIM('PC 07'!K462),{"Draft","Menunggu Review","Revisi","Terjadwal","Publish","Batal","Published"},0))),"Status di luar daftar","")))</f>
        <v>#ERROR!</v>
      </c>
      <c r="D462" s="3" t="str">
        <f>IF(C462="","OK","ADA MASALAH")</f>
        <v>#ERROR!</v>
      </c>
    </row>
    <row r="463">
      <c r="A463" s="5">
        <v>463.0</v>
      </c>
      <c r="B463" s="3" t="str">
        <f>'PC 07'!A463</f>
        <v/>
      </c>
      <c r="C463" s="3" t="str">
        <f>IF(COUNTA('PC 07'!A463:L463)=0,"",TEXTJOIN(" | ",TRUE,IF('PC 07'!A463="","Worker ID kosong",""),IF('PC 07'!B463="","Update Date kosong",IF(NOT(ISNUMBER('PC 07'!B463)),"Update Date harus tanggal","")),IF('PC 07'!D463="","Judul kosong",""),IF('PC 07'!F463="","Genre kosong",IF(ISERROR(MATCH(TRIM('PC 07'!F463),{"Pop","Rock","Dangdut","K-Pop","Electronic","Nasional","Daerah"},0)),"Genre di luar daftar","")),IF('PC 07'!G463="","Nama Channel kosong",""),IF('PC 07'!H463="","Link kosong",IF(ISERROR(FIND("youtu",LOWER('PC 07'!H463))),"Link bukan youtube","")),IF('PC 07'!I463="","Tgl Dibuat kosong",IF(NOT(ISNUMBER('PC 07'!I463)),"Tgl Dibuat harus tanggal","")),IF(AND('PC 07'!J463&lt;&gt;"",NOT(ISNUMBER('PC 07'!J463))),"Tgl Publish harus tanggal",""),IF(AND(ISNUMBER('PC 07'!I463),ISNUMBER('PC 07'!J463),'PC 07'!J463&lt;'PC 07'!I463),"Tgl Publish &lt; Tgl Dibuat",""),IF(AND('PC 07'!K463&lt;&gt;"",ISERROR(MATCH(TRIM('PC 07'!K463),{"Draft","Menunggu Review","Revisi","Terjadwal","Publish","Batal","Published"},0))),"Status di luar daftar","")))</f>
        <v>#ERROR!</v>
      </c>
      <c r="D463" s="3" t="str">
        <f>IF(C463="","OK","ADA MASALAH")</f>
        <v>#ERROR!</v>
      </c>
    </row>
    <row r="464">
      <c r="A464" s="5">
        <v>464.0</v>
      </c>
      <c r="B464" s="3" t="str">
        <f>'PC 07'!A464</f>
        <v/>
      </c>
      <c r="C464" s="3" t="str">
        <f>IF(COUNTA('PC 07'!A464:L464)=0,"",TEXTJOIN(" | ",TRUE,IF('PC 07'!A464="","Worker ID kosong",""),IF('PC 07'!B464="","Update Date kosong",IF(NOT(ISNUMBER('PC 07'!B464)),"Update Date harus tanggal","")),IF('PC 07'!D464="","Judul kosong",""),IF('PC 07'!F464="","Genre kosong",IF(ISERROR(MATCH(TRIM('PC 07'!F464),{"Pop","Rock","Dangdut","K-Pop","Electronic","Nasional","Daerah"},0)),"Genre di luar daftar","")),IF('PC 07'!G464="","Nama Channel kosong",""),IF('PC 07'!H464="","Link kosong",IF(ISERROR(FIND("youtu",LOWER('PC 07'!H464))),"Link bukan youtube","")),IF('PC 07'!I464="","Tgl Dibuat kosong",IF(NOT(ISNUMBER('PC 07'!I464)),"Tgl Dibuat harus tanggal","")),IF(AND('PC 07'!J464&lt;&gt;"",NOT(ISNUMBER('PC 07'!J464))),"Tgl Publish harus tanggal",""),IF(AND(ISNUMBER('PC 07'!I464),ISNUMBER('PC 07'!J464),'PC 07'!J464&lt;'PC 07'!I464),"Tgl Publish &lt; Tgl Dibuat",""),IF(AND('PC 07'!K464&lt;&gt;"",ISERROR(MATCH(TRIM('PC 07'!K464),{"Draft","Menunggu Review","Revisi","Terjadwal","Publish","Batal","Published"},0))),"Status di luar daftar","")))</f>
        <v>#ERROR!</v>
      </c>
      <c r="D464" s="3" t="str">
        <f>IF(C464="","OK","ADA MASALAH")</f>
        <v>#ERROR!</v>
      </c>
    </row>
    <row r="465">
      <c r="A465" s="5">
        <v>465.0</v>
      </c>
      <c r="B465" s="3" t="str">
        <f>'PC 07'!A465</f>
        <v/>
      </c>
      <c r="C465" s="3" t="str">
        <f>IF(COUNTA('PC 07'!A465:L465)=0,"",TEXTJOIN(" | ",TRUE,IF('PC 07'!A465="","Worker ID kosong",""),IF('PC 07'!B465="","Update Date kosong",IF(NOT(ISNUMBER('PC 07'!B465)),"Update Date harus tanggal","")),IF('PC 07'!D465="","Judul kosong",""),IF('PC 07'!F465="","Genre kosong",IF(ISERROR(MATCH(TRIM('PC 07'!F465),{"Pop","Rock","Dangdut","K-Pop","Electronic","Nasional","Daerah"},0)),"Genre di luar daftar","")),IF('PC 07'!G465="","Nama Channel kosong",""),IF('PC 07'!H465="","Link kosong",IF(ISERROR(FIND("youtu",LOWER('PC 07'!H465))),"Link bukan youtube","")),IF('PC 07'!I465="","Tgl Dibuat kosong",IF(NOT(ISNUMBER('PC 07'!I465)),"Tgl Dibuat harus tanggal","")),IF(AND('PC 07'!J465&lt;&gt;"",NOT(ISNUMBER('PC 07'!J465))),"Tgl Publish harus tanggal",""),IF(AND(ISNUMBER('PC 07'!I465),ISNUMBER('PC 07'!J465),'PC 07'!J465&lt;'PC 07'!I465),"Tgl Publish &lt; Tgl Dibuat",""),IF(AND('PC 07'!K465&lt;&gt;"",ISERROR(MATCH(TRIM('PC 07'!K465),{"Draft","Menunggu Review","Revisi","Terjadwal","Publish","Batal","Published"},0))),"Status di luar daftar","")))</f>
        <v>#ERROR!</v>
      </c>
      <c r="D465" s="3" t="str">
        <f>IF(C465="","OK","ADA MASALAH")</f>
        <v>#ERROR!</v>
      </c>
    </row>
    <row r="466">
      <c r="A466" s="5">
        <v>466.0</v>
      </c>
      <c r="B466" s="3" t="str">
        <f>'PC 07'!A466</f>
        <v/>
      </c>
      <c r="C466" s="3" t="str">
        <f>IF(COUNTA('PC 07'!A466:L466)=0,"",TEXTJOIN(" | ",TRUE,IF('PC 07'!A466="","Worker ID kosong",""),IF('PC 07'!B466="","Update Date kosong",IF(NOT(ISNUMBER('PC 07'!B466)),"Update Date harus tanggal","")),IF('PC 07'!D466="","Judul kosong",""),IF('PC 07'!F466="","Genre kosong",IF(ISERROR(MATCH(TRIM('PC 07'!F466),{"Pop","Rock","Dangdut","K-Pop","Electronic","Nasional","Daerah"},0)),"Genre di luar daftar","")),IF('PC 07'!G466="","Nama Channel kosong",""),IF('PC 07'!H466="","Link kosong",IF(ISERROR(FIND("youtu",LOWER('PC 07'!H466))),"Link bukan youtube","")),IF('PC 07'!I466="","Tgl Dibuat kosong",IF(NOT(ISNUMBER('PC 07'!I466)),"Tgl Dibuat harus tanggal","")),IF(AND('PC 07'!J466&lt;&gt;"",NOT(ISNUMBER('PC 07'!J466))),"Tgl Publish harus tanggal",""),IF(AND(ISNUMBER('PC 07'!I466),ISNUMBER('PC 07'!J466),'PC 07'!J466&lt;'PC 07'!I466),"Tgl Publish &lt; Tgl Dibuat",""),IF(AND('PC 07'!K466&lt;&gt;"",ISERROR(MATCH(TRIM('PC 07'!K466),{"Draft","Menunggu Review","Revisi","Terjadwal","Publish","Batal","Published"},0))),"Status di luar daftar","")))</f>
        <v>#ERROR!</v>
      </c>
      <c r="D466" s="3" t="str">
        <f>IF(C466="","OK","ADA MASALAH")</f>
        <v>#ERROR!</v>
      </c>
    </row>
    <row r="467">
      <c r="A467" s="5">
        <v>467.0</v>
      </c>
      <c r="B467" s="3" t="str">
        <f>'PC 07'!A467</f>
        <v/>
      </c>
      <c r="C467" s="3" t="str">
        <f>IF(COUNTA('PC 07'!A467:L467)=0,"",TEXTJOIN(" | ",TRUE,IF('PC 07'!A467="","Worker ID kosong",""),IF('PC 07'!B467="","Update Date kosong",IF(NOT(ISNUMBER('PC 07'!B467)),"Update Date harus tanggal","")),IF('PC 07'!D467="","Judul kosong",""),IF('PC 07'!F467="","Genre kosong",IF(ISERROR(MATCH(TRIM('PC 07'!F467),{"Pop","Rock","Dangdut","K-Pop","Electronic","Nasional","Daerah"},0)),"Genre di luar daftar","")),IF('PC 07'!G467="","Nama Channel kosong",""),IF('PC 07'!H467="","Link kosong",IF(ISERROR(FIND("youtu",LOWER('PC 07'!H467))),"Link bukan youtube","")),IF('PC 07'!I467="","Tgl Dibuat kosong",IF(NOT(ISNUMBER('PC 07'!I467)),"Tgl Dibuat harus tanggal","")),IF(AND('PC 07'!J467&lt;&gt;"",NOT(ISNUMBER('PC 07'!J467))),"Tgl Publish harus tanggal",""),IF(AND(ISNUMBER('PC 07'!I467),ISNUMBER('PC 07'!J467),'PC 07'!J467&lt;'PC 07'!I467),"Tgl Publish &lt; Tgl Dibuat",""),IF(AND('PC 07'!K467&lt;&gt;"",ISERROR(MATCH(TRIM('PC 07'!K467),{"Draft","Menunggu Review","Revisi","Terjadwal","Publish","Batal","Published"},0))),"Status di luar daftar","")))</f>
        <v>#ERROR!</v>
      </c>
      <c r="D467" s="3" t="str">
        <f>IF(C467="","OK","ADA MASALAH")</f>
        <v>#ERROR!</v>
      </c>
    </row>
    <row r="468">
      <c r="A468" s="5">
        <v>468.0</v>
      </c>
      <c r="B468" s="3" t="str">
        <f>'PC 07'!A468</f>
        <v/>
      </c>
      <c r="C468" s="3" t="str">
        <f>IF(COUNTA('PC 07'!A468:L468)=0,"",TEXTJOIN(" | ",TRUE,IF('PC 07'!A468="","Worker ID kosong",""),IF('PC 07'!B468="","Update Date kosong",IF(NOT(ISNUMBER('PC 07'!B468)),"Update Date harus tanggal","")),IF('PC 07'!D468="","Judul kosong",""),IF('PC 07'!F468="","Genre kosong",IF(ISERROR(MATCH(TRIM('PC 07'!F468),{"Pop","Rock","Dangdut","K-Pop","Electronic","Nasional","Daerah"},0)),"Genre di luar daftar","")),IF('PC 07'!G468="","Nama Channel kosong",""),IF('PC 07'!H468="","Link kosong",IF(ISERROR(FIND("youtu",LOWER('PC 07'!H468))),"Link bukan youtube","")),IF('PC 07'!I468="","Tgl Dibuat kosong",IF(NOT(ISNUMBER('PC 07'!I468)),"Tgl Dibuat harus tanggal","")),IF(AND('PC 07'!J468&lt;&gt;"",NOT(ISNUMBER('PC 07'!J468))),"Tgl Publish harus tanggal",""),IF(AND(ISNUMBER('PC 07'!I468),ISNUMBER('PC 07'!J468),'PC 07'!J468&lt;'PC 07'!I468),"Tgl Publish &lt; Tgl Dibuat",""),IF(AND('PC 07'!K468&lt;&gt;"",ISERROR(MATCH(TRIM('PC 07'!K468),{"Draft","Menunggu Review","Revisi","Terjadwal","Publish","Batal","Published"},0))),"Status di luar daftar","")))</f>
        <v>#ERROR!</v>
      </c>
      <c r="D468" s="3" t="str">
        <f>IF(C468="","OK","ADA MASALAH")</f>
        <v>#ERROR!</v>
      </c>
    </row>
    <row r="469">
      <c r="A469" s="5">
        <v>469.0</v>
      </c>
      <c r="B469" s="3" t="str">
        <f>'PC 07'!A469</f>
        <v/>
      </c>
      <c r="C469" s="3" t="str">
        <f>IF(COUNTA('PC 07'!A469:L469)=0,"",TEXTJOIN(" | ",TRUE,IF('PC 07'!A469="","Worker ID kosong",""),IF('PC 07'!B469="","Update Date kosong",IF(NOT(ISNUMBER('PC 07'!B469)),"Update Date harus tanggal","")),IF('PC 07'!D469="","Judul kosong",""),IF('PC 07'!F469="","Genre kosong",IF(ISERROR(MATCH(TRIM('PC 07'!F469),{"Pop","Rock","Dangdut","K-Pop","Electronic","Nasional","Daerah"},0)),"Genre di luar daftar","")),IF('PC 07'!G469="","Nama Channel kosong",""),IF('PC 07'!H469="","Link kosong",IF(ISERROR(FIND("youtu",LOWER('PC 07'!H469))),"Link bukan youtube","")),IF('PC 07'!I469="","Tgl Dibuat kosong",IF(NOT(ISNUMBER('PC 07'!I469)),"Tgl Dibuat harus tanggal","")),IF(AND('PC 07'!J469&lt;&gt;"",NOT(ISNUMBER('PC 07'!J469))),"Tgl Publish harus tanggal",""),IF(AND(ISNUMBER('PC 07'!I469),ISNUMBER('PC 07'!J469),'PC 07'!J469&lt;'PC 07'!I469),"Tgl Publish &lt; Tgl Dibuat",""),IF(AND('PC 07'!K469&lt;&gt;"",ISERROR(MATCH(TRIM('PC 07'!K469),{"Draft","Menunggu Review","Revisi","Terjadwal","Publish","Batal","Published"},0))),"Status di luar daftar","")))</f>
        <v>#ERROR!</v>
      </c>
      <c r="D469" s="3" t="str">
        <f>IF(C469="","OK","ADA MASALAH")</f>
        <v>#ERROR!</v>
      </c>
    </row>
    <row r="470">
      <c r="A470" s="5">
        <v>470.0</v>
      </c>
      <c r="B470" s="3" t="str">
        <f>'PC 07'!A470</f>
        <v/>
      </c>
      <c r="C470" s="3" t="str">
        <f>IF(COUNTA('PC 07'!A470:L470)=0,"",TEXTJOIN(" | ",TRUE,IF('PC 07'!A470="","Worker ID kosong",""),IF('PC 07'!B470="","Update Date kosong",IF(NOT(ISNUMBER('PC 07'!B470)),"Update Date harus tanggal","")),IF('PC 07'!D470="","Judul kosong",""),IF('PC 07'!F470="","Genre kosong",IF(ISERROR(MATCH(TRIM('PC 07'!F470),{"Pop","Rock","Dangdut","K-Pop","Electronic","Nasional","Daerah"},0)),"Genre di luar daftar","")),IF('PC 07'!G470="","Nama Channel kosong",""),IF('PC 07'!H470="","Link kosong",IF(ISERROR(FIND("youtu",LOWER('PC 07'!H470))),"Link bukan youtube","")),IF('PC 07'!I470="","Tgl Dibuat kosong",IF(NOT(ISNUMBER('PC 07'!I470)),"Tgl Dibuat harus tanggal","")),IF(AND('PC 07'!J470&lt;&gt;"",NOT(ISNUMBER('PC 07'!J470))),"Tgl Publish harus tanggal",""),IF(AND(ISNUMBER('PC 07'!I470),ISNUMBER('PC 07'!J470),'PC 07'!J470&lt;'PC 07'!I470),"Tgl Publish &lt; Tgl Dibuat",""),IF(AND('PC 07'!K470&lt;&gt;"",ISERROR(MATCH(TRIM('PC 07'!K470),{"Draft","Menunggu Review","Revisi","Terjadwal","Publish","Batal","Published"},0))),"Status di luar daftar","")))</f>
        <v>#ERROR!</v>
      </c>
      <c r="D470" s="3" t="str">
        <f>IF(C470="","OK","ADA MASALAH")</f>
        <v>#ERROR!</v>
      </c>
    </row>
    <row r="471">
      <c r="A471" s="5">
        <v>471.0</v>
      </c>
      <c r="B471" s="3" t="str">
        <f>'PC 07'!A471</f>
        <v/>
      </c>
      <c r="C471" s="3" t="str">
        <f>IF(COUNTA('PC 07'!A471:L471)=0,"",TEXTJOIN(" | ",TRUE,IF('PC 07'!A471="","Worker ID kosong",""),IF('PC 07'!B471="","Update Date kosong",IF(NOT(ISNUMBER('PC 07'!B471)),"Update Date harus tanggal","")),IF('PC 07'!D471="","Judul kosong",""),IF('PC 07'!F471="","Genre kosong",IF(ISERROR(MATCH(TRIM('PC 07'!F471),{"Pop","Rock","Dangdut","K-Pop","Electronic","Nasional","Daerah"},0)),"Genre di luar daftar","")),IF('PC 07'!G471="","Nama Channel kosong",""),IF('PC 07'!H471="","Link kosong",IF(ISERROR(FIND("youtu",LOWER('PC 07'!H471))),"Link bukan youtube","")),IF('PC 07'!I471="","Tgl Dibuat kosong",IF(NOT(ISNUMBER('PC 07'!I471)),"Tgl Dibuat harus tanggal","")),IF(AND('PC 07'!J471&lt;&gt;"",NOT(ISNUMBER('PC 07'!J471))),"Tgl Publish harus tanggal",""),IF(AND(ISNUMBER('PC 07'!I471),ISNUMBER('PC 07'!J471),'PC 07'!J471&lt;'PC 07'!I471),"Tgl Publish &lt; Tgl Dibuat",""),IF(AND('PC 07'!K471&lt;&gt;"",ISERROR(MATCH(TRIM('PC 07'!K471),{"Draft","Menunggu Review","Revisi","Terjadwal","Publish","Batal","Published"},0))),"Status di luar daftar","")))</f>
        <v>#ERROR!</v>
      </c>
      <c r="D471" s="3" t="str">
        <f>IF(C471="","OK","ADA MASALAH")</f>
        <v>#ERROR!</v>
      </c>
    </row>
    <row r="472">
      <c r="A472" s="5">
        <v>472.0</v>
      </c>
      <c r="B472" s="3" t="str">
        <f>'PC 07'!A472</f>
        <v/>
      </c>
      <c r="C472" s="3" t="str">
        <f>IF(COUNTA('PC 07'!A472:L472)=0,"",TEXTJOIN(" | ",TRUE,IF('PC 07'!A472="","Worker ID kosong",""),IF('PC 07'!B472="","Update Date kosong",IF(NOT(ISNUMBER('PC 07'!B472)),"Update Date harus tanggal","")),IF('PC 07'!D472="","Judul kosong",""),IF('PC 07'!F472="","Genre kosong",IF(ISERROR(MATCH(TRIM('PC 07'!F472),{"Pop","Rock","Dangdut","K-Pop","Electronic","Nasional","Daerah"},0)),"Genre di luar daftar","")),IF('PC 07'!G472="","Nama Channel kosong",""),IF('PC 07'!H472="","Link kosong",IF(ISERROR(FIND("youtu",LOWER('PC 07'!H472))),"Link bukan youtube","")),IF('PC 07'!I472="","Tgl Dibuat kosong",IF(NOT(ISNUMBER('PC 07'!I472)),"Tgl Dibuat harus tanggal","")),IF(AND('PC 07'!J472&lt;&gt;"",NOT(ISNUMBER('PC 07'!J472))),"Tgl Publish harus tanggal",""),IF(AND(ISNUMBER('PC 07'!I472),ISNUMBER('PC 07'!J472),'PC 07'!J472&lt;'PC 07'!I472),"Tgl Publish &lt; Tgl Dibuat",""),IF(AND('PC 07'!K472&lt;&gt;"",ISERROR(MATCH(TRIM('PC 07'!K472),{"Draft","Menunggu Review","Revisi","Terjadwal","Publish","Batal","Published"},0))),"Status di luar daftar","")))</f>
        <v>#ERROR!</v>
      </c>
      <c r="D472" s="3" t="str">
        <f>IF(C472="","OK","ADA MASALAH")</f>
        <v>#ERROR!</v>
      </c>
    </row>
    <row r="473">
      <c r="A473" s="5">
        <v>473.0</v>
      </c>
      <c r="B473" s="3" t="str">
        <f>'PC 07'!A473</f>
        <v/>
      </c>
      <c r="C473" s="3" t="str">
        <f>IF(COUNTA('PC 07'!A473:L473)=0,"",TEXTJOIN(" | ",TRUE,IF('PC 07'!A473="","Worker ID kosong",""),IF('PC 07'!B473="","Update Date kosong",IF(NOT(ISNUMBER('PC 07'!B473)),"Update Date harus tanggal","")),IF('PC 07'!D473="","Judul kosong",""),IF('PC 07'!F473="","Genre kosong",IF(ISERROR(MATCH(TRIM('PC 07'!F473),{"Pop","Rock","Dangdut","K-Pop","Electronic","Nasional","Daerah"},0)),"Genre di luar daftar","")),IF('PC 07'!G473="","Nama Channel kosong",""),IF('PC 07'!H473="","Link kosong",IF(ISERROR(FIND("youtu",LOWER('PC 07'!H473))),"Link bukan youtube","")),IF('PC 07'!I473="","Tgl Dibuat kosong",IF(NOT(ISNUMBER('PC 07'!I473)),"Tgl Dibuat harus tanggal","")),IF(AND('PC 07'!J473&lt;&gt;"",NOT(ISNUMBER('PC 07'!J473))),"Tgl Publish harus tanggal",""),IF(AND(ISNUMBER('PC 07'!I473),ISNUMBER('PC 07'!J473),'PC 07'!J473&lt;'PC 07'!I473),"Tgl Publish &lt; Tgl Dibuat",""),IF(AND('PC 07'!K473&lt;&gt;"",ISERROR(MATCH(TRIM('PC 07'!K473),{"Draft","Menunggu Review","Revisi","Terjadwal","Publish","Batal","Published"},0))),"Status di luar daftar","")))</f>
        <v>#ERROR!</v>
      </c>
      <c r="D473" s="3" t="str">
        <f>IF(C473="","OK","ADA MASALAH")</f>
        <v>#ERROR!</v>
      </c>
    </row>
    <row r="474">
      <c r="A474" s="5">
        <v>474.0</v>
      </c>
      <c r="B474" s="3" t="str">
        <f>'PC 07'!A474</f>
        <v/>
      </c>
      <c r="C474" s="3" t="str">
        <f>IF(COUNTA('PC 07'!A474:L474)=0,"",TEXTJOIN(" | ",TRUE,IF('PC 07'!A474="","Worker ID kosong",""),IF('PC 07'!B474="","Update Date kosong",IF(NOT(ISNUMBER('PC 07'!B474)),"Update Date harus tanggal","")),IF('PC 07'!D474="","Judul kosong",""),IF('PC 07'!F474="","Genre kosong",IF(ISERROR(MATCH(TRIM('PC 07'!F474),{"Pop","Rock","Dangdut","K-Pop","Electronic","Nasional","Daerah"},0)),"Genre di luar daftar","")),IF('PC 07'!G474="","Nama Channel kosong",""),IF('PC 07'!H474="","Link kosong",IF(ISERROR(FIND("youtu",LOWER('PC 07'!H474))),"Link bukan youtube","")),IF('PC 07'!I474="","Tgl Dibuat kosong",IF(NOT(ISNUMBER('PC 07'!I474)),"Tgl Dibuat harus tanggal","")),IF(AND('PC 07'!J474&lt;&gt;"",NOT(ISNUMBER('PC 07'!J474))),"Tgl Publish harus tanggal",""),IF(AND(ISNUMBER('PC 07'!I474),ISNUMBER('PC 07'!J474),'PC 07'!J474&lt;'PC 07'!I474),"Tgl Publish &lt; Tgl Dibuat",""),IF(AND('PC 07'!K474&lt;&gt;"",ISERROR(MATCH(TRIM('PC 07'!K474),{"Draft","Menunggu Review","Revisi","Terjadwal","Publish","Batal","Published"},0))),"Status di luar daftar","")))</f>
        <v>#ERROR!</v>
      </c>
      <c r="D474" s="3" t="str">
        <f>IF(C474="","OK","ADA MASALAH")</f>
        <v>#ERROR!</v>
      </c>
    </row>
    <row r="475">
      <c r="A475" s="5">
        <v>475.0</v>
      </c>
      <c r="B475" s="3" t="str">
        <f>'PC 07'!A475</f>
        <v/>
      </c>
      <c r="C475" s="3" t="str">
        <f>IF(COUNTA('PC 07'!A475:L475)=0,"",TEXTJOIN(" | ",TRUE,IF('PC 07'!A475="","Worker ID kosong",""),IF('PC 07'!B475="","Update Date kosong",IF(NOT(ISNUMBER('PC 07'!B475)),"Update Date harus tanggal","")),IF('PC 07'!D475="","Judul kosong",""),IF('PC 07'!F475="","Genre kosong",IF(ISERROR(MATCH(TRIM('PC 07'!F475),{"Pop","Rock","Dangdut","K-Pop","Electronic","Nasional","Daerah"},0)),"Genre di luar daftar","")),IF('PC 07'!G475="","Nama Channel kosong",""),IF('PC 07'!H475="","Link kosong",IF(ISERROR(FIND("youtu",LOWER('PC 07'!H475))),"Link bukan youtube","")),IF('PC 07'!I475="","Tgl Dibuat kosong",IF(NOT(ISNUMBER('PC 07'!I475)),"Tgl Dibuat harus tanggal","")),IF(AND('PC 07'!J475&lt;&gt;"",NOT(ISNUMBER('PC 07'!J475))),"Tgl Publish harus tanggal",""),IF(AND(ISNUMBER('PC 07'!I475),ISNUMBER('PC 07'!J475),'PC 07'!J475&lt;'PC 07'!I475),"Tgl Publish &lt; Tgl Dibuat",""),IF(AND('PC 07'!K475&lt;&gt;"",ISERROR(MATCH(TRIM('PC 07'!K475),{"Draft","Menunggu Review","Revisi","Terjadwal","Publish","Batal","Published"},0))),"Status di luar daftar","")))</f>
        <v>#ERROR!</v>
      </c>
      <c r="D475" s="3" t="str">
        <f>IF(C475="","OK","ADA MASALAH")</f>
        <v>#ERROR!</v>
      </c>
    </row>
    <row r="476">
      <c r="A476" s="5">
        <v>476.0</v>
      </c>
      <c r="B476" s="3" t="str">
        <f>'PC 07'!A476</f>
        <v/>
      </c>
      <c r="C476" s="3" t="str">
        <f>IF(COUNTA('PC 07'!A476:L476)=0,"",TEXTJOIN(" | ",TRUE,IF('PC 07'!A476="","Worker ID kosong",""),IF('PC 07'!B476="","Update Date kosong",IF(NOT(ISNUMBER('PC 07'!B476)),"Update Date harus tanggal","")),IF('PC 07'!D476="","Judul kosong",""),IF('PC 07'!F476="","Genre kosong",IF(ISERROR(MATCH(TRIM('PC 07'!F476),{"Pop","Rock","Dangdut","K-Pop","Electronic","Nasional","Daerah"},0)),"Genre di luar daftar","")),IF('PC 07'!G476="","Nama Channel kosong",""),IF('PC 07'!H476="","Link kosong",IF(ISERROR(FIND("youtu",LOWER('PC 07'!H476))),"Link bukan youtube","")),IF('PC 07'!I476="","Tgl Dibuat kosong",IF(NOT(ISNUMBER('PC 07'!I476)),"Tgl Dibuat harus tanggal","")),IF(AND('PC 07'!J476&lt;&gt;"",NOT(ISNUMBER('PC 07'!J476))),"Tgl Publish harus tanggal",""),IF(AND(ISNUMBER('PC 07'!I476),ISNUMBER('PC 07'!J476),'PC 07'!J476&lt;'PC 07'!I476),"Tgl Publish &lt; Tgl Dibuat",""),IF(AND('PC 07'!K476&lt;&gt;"",ISERROR(MATCH(TRIM('PC 07'!K476),{"Draft","Menunggu Review","Revisi","Terjadwal","Publish","Batal","Published"},0))),"Status di luar daftar","")))</f>
        <v>#ERROR!</v>
      </c>
      <c r="D476" s="3" t="str">
        <f>IF(C476="","OK","ADA MASALAH")</f>
        <v>#ERROR!</v>
      </c>
    </row>
    <row r="477">
      <c r="A477" s="5">
        <v>477.0</v>
      </c>
      <c r="B477" s="3" t="str">
        <f>'PC 07'!A477</f>
        <v/>
      </c>
      <c r="C477" s="3" t="str">
        <f>IF(COUNTA('PC 07'!A477:L477)=0,"",TEXTJOIN(" | ",TRUE,IF('PC 07'!A477="","Worker ID kosong",""),IF('PC 07'!B477="","Update Date kosong",IF(NOT(ISNUMBER('PC 07'!B477)),"Update Date harus tanggal","")),IF('PC 07'!D477="","Judul kosong",""),IF('PC 07'!F477="","Genre kosong",IF(ISERROR(MATCH(TRIM('PC 07'!F477),{"Pop","Rock","Dangdut","K-Pop","Electronic","Nasional","Daerah"},0)),"Genre di luar daftar","")),IF('PC 07'!G477="","Nama Channel kosong",""),IF('PC 07'!H477="","Link kosong",IF(ISERROR(FIND("youtu",LOWER('PC 07'!H477))),"Link bukan youtube","")),IF('PC 07'!I477="","Tgl Dibuat kosong",IF(NOT(ISNUMBER('PC 07'!I477)),"Tgl Dibuat harus tanggal","")),IF(AND('PC 07'!J477&lt;&gt;"",NOT(ISNUMBER('PC 07'!J477))),"Tgl Publish harus tanggal",""),IF(AND(ISNUMBER('PC 07'!I477),ISNUMBER('PC 07'!J477),'PC 07'!J477&lt;'PC 07'!I477),"Tgl Publish &lt; Tgl Dibuat",""),IF(AND('PC 07'!K477&lt;&gt;"",ISERROR(MATCH(TRIM('PC 07'!K477),{"Draft","Menunggu Review","Revisi","Terjadwal","Publish","Batal","Published"},0))),"Status di luar daftar","")))</f>
        <v>#ERROR!</v>
      </c>
      <c r="D477" s="3" t="str">
        <f>IF(C477="","OK","ADA MASALAH")</f>
        <v>#ERROR!</v>
      </c>
    </row>
    <row r="478">
      <c r="A478" s="5">
        <v>478.0</v>
      </c>
      <c r="B478" s="3" t="str">
        <f>'PC 07'!A478</f>
        <v/>
      </c>
      <c r="C478" s="3" t="str">
        <f>IF(COUNTA('PC 07'!A478:L478)=0,"",TEXTJOIN(" | ",TRUE,IF('PC 07'!A478="","Worker ID kosong",""),IF('PC 07'!B478="","Update Date kosong",IF(NOT(ISNUMBER('PC 07'!B478)),"Update Date harus tanggal","")),IF('PC 07'!D478="","Judul kosong",""),IF('PC 07'!F478="","Genre kosong",IF(ISERROR(MATCH(TRIM('PC 07'!F478),{"Pop","Rock","Dangdut","K-Pop","Electronic","Nasional","Daerah"},0)),"Genre di luar daftar","")),IF('PC 07'!G478="","Nama Channel kosong",""),IF('PC 07'!H478="","Link kosong",IF(ISERROR(FIND("youtu",LOWER('PC 07'!H478))),"Link bukan youtube","")),IF('PC 07'!I478="","Tgl Dibuat kosong",IF(NOT(ISNUMBER('PC 07'!I478)),"Tgl Dibuat harus tanggal","")),IF(AND('PC 07'!J478&lt;&gt;"",NOT(ISNUMBER('PC 07'!J478))),"Tgl Publish harus tanggal",""),IF(AND(ISNUMBER('PC 07'!I478),ISNUMBER('PC 07'!J478),'PC 07'!J478&lt;'PC 07'!I478),"Tgl Publish &lt; Tgl Dibuat",""),IF(AND('PC 07'!K478&lt;&gt;"",ISERROR(MATCH(TRIM('PC 07'!K478),{"Draft","Menunggu Review","Revisi","Terjadwal","Publish","Batal","Published"},0))),"Status di luar daftar","")))</f>
        <v>#ERROR!</v>
      </c>
      <c r="D478" s="3" t="str">
        <f>IF(C478="","OK","ADA MASALAH")</f>
        <v>#ERROR!</v>
      </c>
    </row>
    <row r="479">
      <c r="A479" s="5">
        <v>479.0</v>
      </c>
      <c r="B479" s="3" t="str">
        <f>'PC 07'!A479</f>
        <v/>
      </c>
      <c r="C479" s="3" t="str">
        <f>IF(COUNTA('PC 07'!A479:L479)=0,"",TEXTJOIN(" | ",TRUE,IF('PC 07'!A479="","Worker ID kosong",""),IF('PC 07'!B479="","Update Date kosong",IF(NOT(ISNUMBER('PC 07'!B479)),"Update Date harus tanggal","")),IF('PC 07'!D479="","Judul kosong",""),IF('PC 07'!F479="","Genre kosong",IF(ISERROR(MATCH(TRIM('PC 07'!F479),{"Pop","Rock","Dangdut","K-Pop","Electronic","Nasional","Daerah"},0)),"Genre di luar daftar","")),IF('PC 07'!G479="","Nama Channel kosong",""),IF('PC 07'!H479="","Link kosong",IF(ISERROR(FIND("youtu",LOWER('PC 07'!H479))),"Link bukan youtube","")),IF('PC 07'!I479="","Tgl Dibuat kosong",IF(NOT(ISNUMBER('PC 07'!I479)),"Tgl Dibuat harus tanggal","")),IF(AND('PC 07'!J479&lt;&gt;"",NOT(ISNUMBER('PC 07'!J479))),"Tgl Publish harus tanggal",""),IF(AND(ISNUMBER('PC 07'!I479),ISNUMBER('PC 07'!J479),'PC 07'!J479&lt;'PC 07'!I479),"Tgl Publish &lt; Tgl Dibuat",""),IF(AND('PC 07'!K479&lt;&gt;"",ISERROR(MATCH(TRIM('PC 07'!K479),{"Draft","Menunggu Review","Revisi","Terjadwal","Publish","Batal","Published"},0))),"Status di luar daftar","")))</f>
        <v>#ERROR!</v>
      </c>
      <c r="D479" s="3" t="str">
        <f>IF(C479="","OK","ADA MASALAH")</f>
        <v>#ERROR!</v>
      </c>
    </row>
    <row r="480">
      <c r="A480" s="5">
        <v>480.0</v>
      </c>
      <c r="B480" s="3" t="str">
        <f>'PC 07'!A480</f>
        <v/>
      </c>
      <c r="C480" s="3" t="str">
        <f>IF(COUNTA('PC 07'!A480:L480)=0,"",TEXTJOIN(" | ",TRUE,IF('PC 07'!A480="","Worker ID kosong",""),IF('PC 07'!B480="","Update Date kosong",IF(NOT(ISNUMBER('PC 07'!B480)),"Update Date harus tanggal","")),IF('PC 07'!D480="","Judul kosong",""),IF('PC 07'!F480="","Genre kosong",IF(ISERROR(MATCH(TRIM('PC 07'!F480),{"Pop","Rock","Dangdut","K-Pop","Electronic","Nasional","Daerah"},0)),"Genre di luar daftar","")),IF('PC 07'!G480="","Nama Channel kosong",""),IF('PC 07'!H480="","Link kosong",IF(ISERROR(FIND("youtu",LOWER('PC 07'!H480))),"Link bukan youtube","")),IF('PC 07'!I480="","Tgl Dibuat kosong",IF(NOT(ISNUMBER('PC 07'!I480)),"Tgl Dibuat harus tanggal","")),IF(AND('PC 07'!J480&lt;&gt;"",NOT(ISNUMBER('PC 07'!J480))),"Tgl Publish harus tanggal",""),IF(AND(ISNUMBER('PC 07'!I480),ISNUMBER('PC 07'!J480),'PC 07'!J480&lt;'PC 07'!I480),"Tgl Publish &lt; Tgl Dibuat",""),IF(AND('PC 07'!K480&lt;&gt;"",ISERROR(MATCH(TRIM('PC 07'!K480),{"Draft","Menunggu Review","Revisi","Terjadwal","Publish","Batal","Published"},0))),"Status di luar daftar","")))</f>
        <v>#ERROR!</v>
      </c>
      <c r="D480" s="3" t="str">
        <f>IF(C480="","OK","ADA MASALAH")</f>
        <v>#ERROR!</v>
      </c>
    </row>
    <row r="481">
      <c r="A481" s="5">
        <v>481.0</v>
      </c>
      <c r="B481" s="3" t="str">
        <f>'PC 07'!A481</f>
        <v/>
      </c>
      <c r="C481" s="3" t="str">
        <f>IF(COUNTA('PC 07'!A481:L481)=0,"",TEXTJOIN(" | ",TRUE,IF('PC 07'!A481="","Worker ID kosong",""),IF('PC 07'!B481="","Update Date kosong",IF(NOT(ISNUMBER('PC 07'!B481)),"Update Date harus tanggal","")),IF('PC 07'!D481="","Judul kosong",""),IF('PC 07'!F481="","Genre kosong",IF(ISERROR(MATCH(TRIM('PC 07'!F481),{"Pop","Rock","Dangdut","K-Pop","Electronic","Nasional","Daerah"},0)),"Genre di luar daftar","")),IF('PC 07'!G481="","Nama Channel kosong",""),IF('PC 07'!H481="","Link kosong",IF(ISERROR(FIND("youtu",LOWER('PC 07'!H481))),"Link bukan youtube","")),IF('PC 07'!I481="","Tgl Dibuat kosong",IF(NOT(ISNUMBER('PC 07'!I481)),"Tgl Dibuat harus tanggal","")),IF(AND('PC 07'!J481&lt;&gt;"",NOT(ISNUMBER('PC 07'!J481))),"Tgl Publish harus tanggal",""),IF(AND(ISNUMBER('PC 07'!I481),ISNUMBER('PC 07'!J481),'PC 07'!J481&lt;'PC 07'!I481),"Tgl Publish &lt; Tgl Dibuat",""),IF(AND('PC 07'!K481&lt;&gt;"",ISERROR(MATCH(TRIM('PC 07'!K481),{"Draft","Menunggu Review","Revisi","Terjadwal","Publish","Batal","Published"},0))),"Status di luar daftar","")))</f>
        <v>#ERROR!</v>
      </c>
      <c r="D481" s="3" t="str">
        <f>IF(C481="","OK","ADA MASALAH")</f>
        <v>#ERROR!</v>
      </c>
    </row>
    <row r="482">
      <c r="A482" s="5">
        <v>482.0</v>
      </c>
      <c r="B482" s="3" t="str">
        <f>'PC 07'!A482</f>
        <v/>
      </c>
      <c r="C482" s="3" t="str">
        <f>IF(COUNTA('PC 07'!A482:L482)=0,"",TEXTJOIN(" | ",TRUE,IF('PC 07'!A482="","Worker ID kosong",""),IF('PC 07'!B482="","Update Date kosong",IF(NOT(ISNUMBER('PC 07'!B482)),"Update Date harus tanggal","")),IF('PC 07'!D482="","Judul kosong",""),IF('PC 07'!F482="","Genre kosong",IF(ISERROR(MATCH(TRIM('PC 07'!F482),{"Pop","Rock","Dangdut","K-Pop","Electronic","Nasional","Daerah"},0)),"Genre di luar daftar","")),IF('PC 07'!G482="","Nama Channel kosong",""),IF('PC 07'!H482="","Link kosong",IF(ISERROR(FIND("youtu",LOWER('PC 07'!H482))),"Link bukan youtube","")),IF('PC 07'!I482="","Tgl Dibuat kosong",IF(NOT(ISNUMBER('PC 07'!I482)),"Tgl Dibuat harus tanggal","")),IF(AND('PC 07'!J482&lt;&gt;"",NOT(ISNUMBER('PC 07'!J482))),"Tgl Publish harus tanggal",""),IF(AND(ISNUMBER('PC 07'!I482),ISNUMBER('PC 07'!J482),'PC 07'!J482&lt;'PC 07'!I482),"Tgl Publish &lt; Tgl Dibuat",""),IF(AND('PC 07'!K482&lt;&gt;"",ISERROR(MATCH(TRIM('PC 07'!K482),{"Draft","Menunggu Review","Revisi","Terjadwal","Publish","Batal","Published"},0))),"Status di luar daftar","")))</f>
        <v>#ERROR!</v>
      </c>
      <c r="D482" s="3" t="str">
        <f>IF(C482="","OK","ADA MASALAH")</f>
        <v>#ERROR!</v>
      </c>
    </row>
    <row r="483">
      <c r="A483" s="5">
        <v>483.0</v>
      </c>
      <c r="B483" s="3" t="str">
        <f>'PC 07'!A483</f>
        <v/>
      </c>
      <c r="C483" s="3" t="str">
        <f>IF(COUNTA('PC 07'!A483:L483)=0,"",TEXTJOIN(" | ",TRUE,IF('PC 07'!A483="","Worker ID kosong",""),IF('PC 07'!B483="","Update Date kosong",IF(NOT(ISNUMBER('PC 07'!B483)),"Update Date harus tanggal","")),IF('PC 07'!D483="","Judul kosong",""),IF('PC 07'!F483="","Genre kosong",IF(ISERROR(MATCH(TRIM('PC 07'!F483),{"Pop","Rock","Dangdut","K-Pop","Electronic","Nasional","Daerah"},0)),"Genre di luar daftar","")),IF('PC 07'!G483="","Nama Channel kosong",""),IF('PC 07'!H483="","Link kosong",IF(ISERROR(FIND("youtu",LOWER('PC 07'!H483))),"Link bukan youtube","")),IF('PC 07'!I483="","Tgl Dibuat kosong",IF(NOT(ISNUMBER('PC 07'!I483)),"Tgl Dibuat harus tanggal","")),IF(AND('PC 07'!J483&lt;&gt;"",NOT(ISNUMBER('PC 07'!J483))),"Tgl Publish harus tanggal",""),IF(AND(ISNUMBER('PC 07'!I483),ISNUMBER('PC 07'!J483),'PC 07'!J483&lt;'PC 07'!I483),"Tgl Publish &lt; Tgl Dibuat",""),IF(AND('PC 07'!K483&lt;&gt;"",ISERROR(MATCH(TRIM('PC 07'!K483),{"Draft","Menunggu Review","Revisi","Terjadwal","Publish","Batal","Published"},0))),"Status di luar daftar","")))</f>
        <v>#ERROR!</v>
      </c>
      <c r="D483" s="3" t="str">
        <f>IF(C483="","OK","ADA MASALAH")</f>
        <v>#ERROR!</v>
      </c>
    </row>
    <row r="484">
      <c r="A484" s="5">
        <v>484.0</v>
      </c>
      <c r="B484" s="3" t="str">
        <f>'PC 07'!A484</f>
        <v/>
      </c>
      <c r="C484" s="3" t="str">
        <f>IF(COUNTA('PC 07'!A484:L484)=0,"",TEXTJOIN(" | ",TRUE,IF('PC 07'!A484="","Worker ID kosong",""),IF('PC 07'!B484="","Update Date kosong",IF(NOT(ISNUMBER('PC 07'!B484)),"Update Date harus tanggal","")),IF('PC 07'!D484="","Judul kosong",""),IF('PC 07'!F484="","Genre kosong",IF(ISERROR(MATCH(TRIM('PC 07'!F484),{"Pop","Rock","Dangdut","K-Pop","Electronic","Nasional","Daerah"},0)),"Genre di luar daftar","")),IF('PC 07'!G484="","Nama Channel kosong",""),IF('PC 07'!H484="","Link kosong",IF(ISERROR(FIND("youtu",LOWER('PC 07'!H484))),"Link bukan youtube","")),IF('PC 07'!I484="","Tgl Dibuat kosong",IF(NOT(ISNUMBER('PC 07'!I484)),"Tgl Dibuat harus tanggal","")),IF(AND('PC 07'!J484&lt;&gt;"",NOT(ISNUMBER('PC 07'!J484))),"Tgl Publish harus tanggal",""),IF(AND(ISNUMBER('PC 07'!I484),ISNUMBER('PC 07'!J484),'PC 07'!J484&lt;'PC 07'!I484),"Tgl Publish &lt; Tgl Dibuat",""),IF(AND('PC 07'!K484&lt;&gt;"",ISERROR(MATCH(TRIM('PC 07'!K484),{"Draft","Menunggu Review","Revisi","Terjadwal","Publish","Batal","Published"},0))),"Status di luar daftar","")))</f>
        <v>#ERROR!</v>
      </c>
      <c r="D484" s="3" t="str">
        <f>IF(C484="","OK","ADA MASALAH")</f>
        <v>#ERROR!</v>
      </c>
    </row>
    <row r="485">
      <c r="A485" s="5">
        <v>485.0</v>
      </c>
      <c r="B485" s="3" t="str">
        <f>'PC 07'!A485</f>
        <v/>
      </c>
      <c r="C485" s="3" t="str">
        <f>IF(COUNTA('PC 07'!A485:L485)=0,"",TEXTJOIN(" | ",TRUE,IF('PC 07'!A485="","Worker ID kosong",""),IF('PC 07'!B485="","Update Date kosong",IF(NOT(ISNUMBER('PC 07'!B485)),"Update Date harus tanggal","")),IF('PC 07'!D485="","Judul kosong",""),IF('PC 07'!F485="","Genre kosong",IF(ISERROR(MATCH(TRIM('PC 07'!F485),{"Pop","Rock","Dangdut","K-Pop","Electronic","Nasional","Daerah"},0)),"Genre di luar daftar","")),IF('PC 07'!G485="","Nama Channel kosong",""),IF('PC 07'!H485="","Link kosong",IF(ISERROR(FIND("youtu",LOWER('PC 07'!H485))),"Link bukan youtube","")),IF('PC 07'!I485="","Tgl Dibuat kosong",IF(NOT(ISNUMBER('PC 07'!I485)),"Tgl Dibuat harus tanggal","")),IF(AND('PC 07'!J485&lt;&gt;"",NOT(ISNUMBER('PC 07'!J485))),"Tgl Publish harus tanggal",""),IF(AND(ISNUMBER('PC 07'!I485),ISNUMBER('PC 07'!J485),'PC 07'!J485&lt;'PC 07'!I485),"Tgl Publish &lt; Tgl Dibuat",""),IF(AND('PC 07'!K485&lt;&gt;"",ISERROR(MATCH(TRIM('PC 07'!K485),{"Draft","Menunggu Review","Revisi","Terjadwal","Publish","Batal","Published"},0))),"Status di luar daftar","")))</f>
        <v>#ERROR!</v>
      </c>
      <c r="D485" s="3" t="str">
        <f>IF(C485="","OK","ADA MASALAH")</f>
        <v>#ERROR!</v>
      </c>
    </row>
    <row r="486">
      <c r="A486" s="5">
        <v>486.0</v>
      </c>
      <c r="B486" s="3" t="str">
        <f>'PC 07'!A486</f>
        <v/>
      </c>
      <c r="C486" s="3" t="str">
        <f>IF(COUNTA('PC 07'!A486:L486)=0,"",TEXTJOIN(" | ",TRUE,IF('PC 07'!A486="","Worker ID kosong",""),IF('PC 07'!B486="","Update Date kosong",IF(NOT(ISNUMBER('PC 07'!B486)),"Update Date harus tanggal","")),IF('PC 07'!D486="","Judul kosong",""),IF('PC 07'!F486="","Genre kosong",IF(ISERROR(MATCH(TRIM('PC 07'!F486),{"Pop","Rock","Dangdut","K-Pop","Electronic","Nasional","Daerah"},0)),"Genre di luar daftar","")),IF('PC 07'!G486="","Nama Channel kosong",""),IF('PC 07'!H486="","Link kosong",IF(ISERROR(FIND("youtu",LOWER('PC 07'!H486))),"Link bukan youtube","")),IF('PC 07'!I486="","Tgl Dibuat kosong",IF(NOT(ISNUMBER('PC 07'!I486)),"Tgl Dibuat harus tanggal","")),IF(AND('PC 07'!J486&lt;&gt;"",NOT(ISNUMBER('PC 07'!J486))),"Tgl Publish harus tanggal",""),IF(AND(ISNUMBER('PC 07'!I486),ISNUMBER('PC 07'!J486),'PC 07'!J486&lt;'PC 07'!I486),"Tgl Publish &lt; Tgl Dibuat",""),IF(AND('PC 07'!K486&lt;&gt;"",ISERROR(MATCH(TRIM('PC 07'!K486),{"Draft","Menunggu Review","Revisi","Terjadwal","Publish","Batal","Published"},0))),"Status di luar daftar","")))</f>
        <v>#ERROR!</v>
      </c>
      <c r="D486" s="3" t="str">
        <f>IF(C486="","OK","ADA MASALAH")</f>
        <v>#ERROR!</v>
      </c>
    </row>
    <row r="487">
      <c r="A487" s="5">
        <v>487.0</v>
      </c>
      <c r="B487" s="3" t="str">
        <f>'PC 07'!A487</f>
        <v/>
      </c>
      <c r="C487" s="3" t="str">
        <f>IF(COUNTA('PC 07'!A487:L487)=0,"",TEXTJOIN(" | ",TRUE,IF('PC 07'!A487="","Worker ID kosong",""),IF('PC 07'!B487="","Update Date kosong",IF(NOT(ISNUMBER('PC 07'!B487)),"Update Date harus tanggal","")),IF('PC 07'!D487="","Judul kosong",""),IF('PC 07'!F487="","Genre kosong",IF(ISERROR(MATCH(TRIM('PC 07'!F487),{"Pop","Rock","Dangdut","K-Pop","Electronic","Nasional","Daerah"},0)),"Genre di luar daftar","")),IF('PC 07'!G487="","Nama Channel kosong",""),IF('PC 07'!H487="","Link kosong",IF(ISERROR(FIND("youtu",LOWER('PC 07'!H487))),"Link bukan youtube","")),IF('PC 07'!I487="","Tgl Dibuat kosong",IF(NOT(ISNUMBER('PC 07'!I487)),"Tgl Dibuat harus tanggal","")),IF(AND('PC 07'!J487&lt;&gt;"",NOT(ISNUMBER('PC 07'!J487))),"Tgl Publish harus tanggal",""),IF(AND(ISNUMBER('PC 07'!I487),ISNUMBER('PC 07'!J487),'PC 07'!J487&lt;'PC 07'!I487),"Tgl Publish &lt; Tgl Dibuat",""),IF(AND('PC 07'!K487&lt;&gt;"",ISERROR(MATCH(TRIM('PC 07'!K487),{"Draft","Menunggu Review","Revisi","Terjadwal","Publish","Batal","Published"},0))),"Status di luar daftar","")))</f>
        <v>#ERROR!</v>
      </c>
      <c r="D487" s="3" t="str">
        <f>IF(C487="","OK","ADA MASALAH")</f>
        <v>#ERROR!</v>
      </c>
    </row>
    <row r="488">
      <c r="A488" s="5">
        <v>488.0</v>
      </c>
      <c r="B488" s="3" t="str">
        <f>'PC 07'!A488</f>
        <v/>
      </c>
      <c r="C488" s="3" t="str">
        <f>IF(COUNTA('PC 07'!A488:L488)=0,"",TEXTJOIN(" | ",TRUE,IF('PC 07'!A488="","Worker ID kosong",""),IF('PC 07'!B488="","Update Date kosong",IF(NOT(ISNUMBER('PC 07'!B488)),"Update Date harus tanggal","")),IF('PC 07'!D488="","Judul kosong",""),IF('PC 07'!F488="","Genre kosong",IF(ISERROR(MATCH(TRIM('PC 07'!F488),{"Pop","Rock","Dangdut","K-Pop","Electronic","Nasional","Daerah"},0)),"Genre di luar daftar","")),IF('PC 07'!G488="","Nama Channel kosong",""),IF('PC 07'!H488="","Link kosong",IF(ISERROR(FIND("youtu",LOWER('PC 07'!H488))),"Link bukan youtube","")),IF('PC 07'!I488="","Tgl Dibuat kosong",IF(NOT(ISNUMBER('PC 07'!I488)),"Tgl Dibuat harus tanggal","")),IF(AND('PC 07'!J488&lt;&gt;"",NOT(ISNUMBER('PC 07'!J488))),"Tgl Publish harus tanggal",""),IF(AND(ISNUMBER('PC 07'!I488),ISNUMBER('PC 07'!J488),'PC 07'!J488&lt;'PC 07'!I488),"Tgl Publish &lt; Tgl Dibuat",""),IF(AND('PC 07'!K488&lt;&gt;"",ISERROR(MATCH(TRIM('PC 07'!K488),{"Draft","Menunggu Review","Revisi","Terjadwal","Publish","Batal","Published"},0))),"Status di luar daftar","")))</f>
        <v>#ERROR!</v>
      </c>
      <c r="D488" s="3" t="str">
        <f>IF(C488="","OK","ADA MASALAH")</f>
        <v>#ERROR!</v>
      </c>
    </row>
    <row r="489">
      <c r="A489" s="5">
        <v>489.0</v>
      </c>
      <c r="B489" s="3" t="str">
        <f>'PC 07'!A489</f>
        <v/>
      </c>
      <c r="C489" s="3" t="str">
        <f>IF(COUNTA('PC 07'!A489:L489)=0,"",TEXTJOIN(" | ",TRUE,IF('PC 07'!A489="","Worker ID kosong",""),IF('PC 07'!B489="","Update Date kosong",IF(NOT(ISNUMBER('PC 07'!B489)),"Update Date harus tanggal","")),IF('PC 07'!D489="","Judul kosong",""),IF('PC 07'!F489="","Genre kosong",IF(ISERROR(MATCH(TRIM('PC 07'!F489),{"Pop","Rock","Dangdut","K-Pop","Electronic","Nasional","Daerah"},0)),"Genre di luar daftar","")),IF('PC 07'!G489="","Nama Channel kosong",""),IF('PC 07'!H489="","Link kosong",IF(ISERROR(FIND("youtu",LOWER('PC 07'!H489))),"Link bukan youtube","")),IF('PC 07'!I489="","Tgl Dibuat kosong",IF(NOT(ISNUMBER('PC 07'!I489)),"Tgl Dibuat harus tanggal","")),IF(AND('PC 07'!J489&lt;&gt;"",NOT(ISNUMBER('PC 07'!J489))),"Tgl Publish harus tanggal",""),IF(AND(ISNUMBER('PC 07'!I489),ISNUMBER('PC 07'!J489),'PC 07'!J489&lt;'PC 07'!I489),"Tgl Publish &lt; Tgl Dibuat",""),IF(AND('PC 07'!K489&lt;&gt;"",ISERROR(MATCH(TRIM('PC 07'!K489),{"Draft","Menunggu Review","Revisi","Terjadwal","Publish","Batal","Published"},0))),"Status di luar daftar","")))</f>
        <v>#ERROR!</v>
      </c>
      <c r="D489" s="3" t="str">
        <f>IF(C489="","OK","ADA MASALAH")</f>
        <v>#ERROR!</v>
      </c>
    </row>
    <row r="490">
      <c r="A490" s="5">
        <v>490.0</v>
      </c>
      <c r="B490" s="3" t="str">
        <f>'PC 07'!A490</f>
        <v/>
      </c>
      <c r="C490" s="3" t="str">
        <f>IF(COUNTA('PC 07'!A490:L490)=0,"",TEXTJOIN(" | ",TRUE,IF('PC 07'!A490="","Worker ID kosong",""),IF('PC 07'!B490="","Update Date kosong",IF(NOT(ISNUMBER('PC 07'!B490)),"Update Date harus tanggal","")),IF('PC 07'!D490="","Judul kosong",""),IF('PC 07'!F490="","Genre kosong",IF(ISERROR(MATCH(TRIM('PC 07'!F490),{"Pop","Rock","Dangdut","K-Pop","Electronic","Nasional","Daerah"},0)),"Genre di luar daftar","")),IF('PC 07'!G490="","Nama Channel kosong",""),IF('PC 07'!H490="","Link kosong",IF(ISERROR(FIND("youtu",LOWER('PC 07'!H490))),"Link bukan youtube","")),IF('PC 07'!I490="","Tgl Dibuat kosong",IF(NOT(ISNUMBER('PC 07'!I490)),"Tgl Dibuat harus tanggal","")),IF(AND('PC 07'!J490&lt;&gt;"",NOT(ISNUMBER('PC 07'!J490))),"Tgl Publish harus tanggal",""),IF(AND(ISNUMBER('PC 07'!I490),ISNUMBER('PC 07'!J490),'PC 07'!J490&lt;'PC 07'!I490),"Tgl Publish &lt; Tgl Dibuat",""),IF(AND('PC 07'!K490&lt;&gt;"",ISERROR(MATCH(TRIM('PC 07'!K490),{"Draft","Menunggu Review","Revisi","Terjadwal","Publish","Batal","Published"},0))),"Status di luar daftar","")))</f>
        <v>#ERROR!</v>
      </c>
      <c r="D490" s="3" t="str">
        <f>IF(C490="","OK","ADA MASALAH")</f>
        <v>#ERROR!</v>
      </c>
    </row>
    <row r="491">
      <c r="A491" s="5">
        <v>491.0</v>
      </c>
      <c r="B491" s="3" t="str">
        <f>'PC 07'!A491</f>
        <v/>
      </c>
      <c r="C491" s="3" t="str">
        <f>IF(COUNTA('PC 07'!A491:L491)=0,"",TEXTJOIN(" | ",TRUE,IF('PC 07'!A491="","Worker ID kosong",""),IF('PC 07'!B491="","Update Date kosong",IF(NOT(ISNUMBER('PC 07'!B491)),"Update Date harus tanggal","")),IF('PC 07'!D491="","Judul kosong",""),IF('PC 07'!F491="","Genre kosong",IF(ISERROR(MATCH(TRIM('PC 07'!F491),{"Pop","Rock","Dangdut","K-Pop","Electronic","Nasional","Daerah"},0)),"Genre di luar daftar","")),IF('PC 07'!G491="","Nama Channel kosong",""),IF('PC 07'!H491="","Link kosong",IF(ISERROR(FIND("youtu",LOWER('PC 07'!H491))),"Link bukan youtube","")),IF('PC 07'!I491="","Tgl Dibuat kosong",IF(NOT(ISNUMBER('PC 07'!I491)),"Tgl Dibuat harus tanggal","")),IF(AND('PC 07'!J491&lt;&gt;"",NOT(ISNUMBER('PC 07'!J491))),"Tgl Publish harus tanggal",""),IF(AND(ISNUMBER('PC 07'!I491),ISNUMBER('PC 07'!J491),'PC 07'!J491&lt;'PC 07'!I491),"Tgl Publish &lt; Tgl Dibuat",""),IF(AND('PC 07'!K491&lt;&gt;"",ISERROR(MATCH(TRIM('PC 07'!K491),{"Draft","Menunggu Review","Revisi","Terjadwal","Publish","Batal","Published"},0))),"Status di luar daftar","")))</f>
        <v>#ERROR!</v>
      </c>
      <c r="D491" s="3" t="str">
        <f>IF(C491="","OK","ADA MASALAH")</f>
        <v>#ERROR!</v>
      </c>
    </row>
    <row r="492">
      <c r="A492" s="5">
        <v>492.0</v>
      </c>
      <c r="B492" s="3" t="str">
        <f>'PC 07'!A492</f>
        <v/>
      </c>
      <c r="C492" s="3" t="str">
        <f>IF(COUNTA('PC 07'!A492:L492)=0,"",TEXTJOIN(" | ",TRUE,IF('PC 07'!A492="","Worker ID kosong",""),IF('PC 07'!B492="","Update Date kosong",IF(NOT(ISNUMBER('PC 07'!B492)),"Update Date harus tanggal","")),IF('PC 07'!D492="","Judul kosong",""),IF('PC 07'!F492="","Genre kosong",IF(ISERROR(MATCH(TRIM('PC 07'!F492),{"Pop","Rock","Dangdut","K-Pop","Electronic","Nasional","Daerah"},0)),"Genre di luar daftar","")),IF('PC 07'!G492="","Nama Channel kosong",""),IF('PC 07'!H492="","Link kosong",IF(ISERROR(FIND("youtu",LOWER('PC 07'!H492))),"Link bukan youtube","")),IF('PC 07'!I492="","Tgl Dibuat kosong",IF(NOT(ISNUMBER('PC 07'!I492)),"Tgl Dibuat harus tanggal","")),IF(AND('PC 07'!J492&lt;&gt;"",NOT(ISNUMBER('PC 07'!J492))),"Tgl Publish harus tanggal",""),IF(AND(ISNUMBER('PC 07'!I492),ISNUMBER('PC 07'!J492),'PC 07'!J492&lt;'PC 07'!I492),"Tgl Publish &lt; Tgl Dibuat",""),IF(AND('PC 07'!K492&lt;&gt;"",ISERROR(MATCH(TRIM('PC 07'!K492),{"Draft","Menunggu Review","Revisi","Terjadwal","Publish","Batal","Published"},0))),"Status di luar daftar","")))</f>
        <v>#ERROR!</v>
      </c>
      <c r="D492" s="3" t="str">
        <f>IF(C492="","OK","ADA MASALAH")</f>
        <v>#ERROR!</v>
      </c>
    </row>
    <row r="493">
      <c r="A493" s="5">
        <v>493.0</v>
      </c>
      <c r="B493" s="3" t="str">
        <f>'PC 07'!A493</f>
        <v/>
      </c>
      <c r="C493" s="3" t="str">
        <f>IF(COUNTA('PC 07'!A493:L493)=0,"",TEXTJOIN(" | ",TRUE,IF('PC 07'!A493="","Worker ID kosong",""),IF('PC 07'!B493="","Update Date kosong",IF(NOT(ISNUMBER('PC 07'!B493)),"Update Date harus tanggal","")),IF('PC 07'!D493="","Judul kosong",""),IF('PC 07'!F493="","Genre kosong",IF(ISERROR(MATCH(TRIM('PC 07'!F493),{"Pop","Rock","Dangdut","K-Pop","Electronic","Nasional","Daerah"},0)),"Genre di luar daftar","")),IF('PC 07'!G493="","Nama Channel kosong",""),IF('PC 07'!H493="","Link kosong",IF(ISERROR(FIND("youtu",LOWER('PC 07'!H493))),"Link bukan youtube","")),IF('PC 07'!I493="","Tgl Dibuat kosong",IF(NOT(ISNUMBER('PC 07'!I493)),"Tgl Dibuat harus tanggal","")),IF(AND('PC 07'!J493&lt;&gt;"",NOT(ISNUMBER('PC 07'!J493))),"Tgl Publish harus tanggal",""),IF(AND(ISNUMBER('PC 07'!I493),ISNUMBER('PC 07'!J493),'PC 07'!J493&lt;'PC 07'!I493),"Tgl Publish &lt; Tgl Dibuat",""),IF(AND('PC 07'!K493&lt;&gt;"",ISERROR(MATCH(TRIM('PC 07'!K493),{"Draft","Menunggu Review","Revisi","Terjadwal","Publish","Batal","Published"},0))),"Status di luar daftar","")))</f>
        <v>#ERROR!</v>
      </c>
      <c r="D493" s="3" t="str">
        <f>IF(C493="","OK","ADA MASALAH")</f>
        <v>#ERROR!</v>
      </c>
    </row>
    <row r="494">
      <c r="A494" s="5">
        <v>494.0</v>
      </c>
      <c r="B494" s="3" t="str">
        <f>'PC 07'!A494</f>
        <v/>
      </c>
      <c r="C494" s="3" t="str">
        <f>IF(COUNTA('PC 07'!A494:L494)=0,"",TEXTJOIN(" | ",TRUE,IF('PC 07'!A494="","Worker ID kosong",""),IF('PC 07'!B494="","Update Date kosong",IF(NOT(ISNUMBER('PC 07'!B494)),"Update Date harus tanggal","")),IF('PC 07'!D494="","Judul kosong",""),IF('PC 07'!F494="","Genre kosong",IF(ISERROR(MATCH(TRIM('PC 07'!F494),{"Pop","Rock","Dangdut","K-Pop","Electronic","Nasional","Daerah"},0)),"Genre di luar daftar","")),IF('PC 07'!G494="","Nama Channel kosong",""),IF('PC 07'!H494="","Link kosong",IF(ISERROR(FIND("youtu",LOWER('PC 07'!H494))),"Link bukan youtube","")),IF('PC 07'!I494="","Tgl Dibuat kosong",IF(NOT(ISNUMBER('PC 07'!I494)),"Tgl Dibuat harus tanggal","")),IF(AND('PC 07'!J494&lt;&gt;"",NOT(ISNUMBER('PC 07'!J494))),"Tgl Publish harus tanggal",""),IF(AND(ISNUMBER('PC 07'!I494),ISNUMBER('PC 07'!J494),'PC 07'!J494&lt;'PC 07'!I494),"Tgl Publish &lt; Tgl Dibuat",""),IF(AND('PC 07'!K494&lt;&gt;"",ISERROR(MATCH(TRIM('PC 07'!K494),{"Draft","Menunggu Review","Revisi","Terjadwal","Publish","Batal","Published"},0))),"Status di luar daftar","")))</f>
        <v>#ERROR!</v>
      </c>
      <c r="D494" s="3" t="str">
        <f>IF(C494="","OK","ADA MASALAH")</f>
        <v>#ERROR!</v>
      </c>
    </row>
    <row r="495">
      <c r="A495" s="5">
        <v>495.0</v>
      </c>
      <c r="B495" s="3" t="str">
        <f>'PC 07'!A495</f>
        <v/>
      </c>
      <c r="C495" s="3" t="str">
        <f>IF(COUNTA('PC 07'!A495:L495)=0,"",TEXTJOIN(" | ",TRUE,IF('PC 07'!A495="","Worker ID kosong",""),IF('PC 07'!B495="","Update Date kosong",IF(NOT(ISNUMBER('PC 07'!B495)),"Update Date harus tanggal","")),IF('PC 07'!D495="","Judul kosong",""),IF('PC 07'!F495="","Genre kosong",IF(ISERROR(MATCH(TRIM('PC 07'!F495),{"Pop","Rock","Dangdut","K-Pop","Electronic","Nasional","Daerah"},0)),"Genre di luar daftar","")),IF('PC 07'!G495="","Nama Channel kosong",""),IF('PC 07'!H495="","Link kosong",IF(ISERROR(FIND("youtu",LOWER('PC 07'!H495))),"Link bukan youtube","")),IF('PC 07'!I495="","Tgl Dibuat kosong",IF(NOT(ISNUMBER('PC 07'!I495)),"Tgl Dibuat harus tanggal","")),IF(AND('PC 07'!J495&lt;&gt;"",NOT(ISNUMBER('PC 07'!J495))),"Tgl Publish harus tanggal",""),IF(AND(ISNUMBER('PC 07'!I495),ISNUMBER('PC 07'!J495),'PC 07'!J495&lt;'PC 07'!I495),"Tgl Publish &lt; Tgl Dibuat",""),IF(AND('PC 07'!K495&lt;&gt;"",ISERROR(MATCH(TRIM('PC 07'!K495),{"Draft","Menunggu Review","Revisi","Terjadwal","Publish","Batal","Published"},0))),"Status di luar daftar","")))</f>
        <v>#ERROR!</v>
      </c>
      <c r="D495" s="3" t="str">
        <f>IF(C495="","OK","ADA MASALAH")</f>
        <v>#ERROR!</v>
      </c>
    </row>
    <row r="496">
      <c r="A496" s="5">
        <v>496.0</v>
      </c>
      <c r="B496" s="3" t="str">
        <f>'PC 07'!A496</f>
        <v/>
      </c>
      <c r="C496" s="3" t="str">
        <f>IF(COUNTA('PC 07'!A496:L496)=0,"",TEXTJOIN(" | ",TRUE,IF('PC 07'!A496="","Worker ID kosong",""),IF('PC 07'!B496="","Update Date kosong",IF(NOT(ISNUMBER('PC 07'!B496)),"Update Date harus tanggal","")),IF('PC 07'!D496="","Judul kosong",""),IF('PC 07'!F496="","Genre kosong",IF(ISERROR(MATCH(TRIM('PC 07'!F496),{"Pop","Rock","Dangdut","K-Pop","Electronic","Nasional","Daerah"},0)),"Genre di luar daftar","")),IF('PC 07'!G496="","Nama Channel kosong",""),IF('PC 07'!H496="","Link kosong",IF(ISERROR(FIND("youtu",LOWER('PC 07'!H496))),"Link bukan youtube","")),IF('PC 07'!I496="","Tgl Dibuat kosong",IF(NOT(ISNUMBER('PC 07'!I496)),"Tgl Dibuat harus tanggal","")),IF(AND('PC 07'!J496&lt;&gt;"",NOT(ISNUMBER('PC 07'!J496))),"Tgl Publish harus tanggal",""),IF(AND(ISNUMBER('PC 07'!I496),ISNUMBER('PC 07'!J496),'PC 07'!J496&lt;'PC 07'!I496),"Tgl Publish &lt; Tgl Dibuat",""),IF(AND('PC 07'!K496&lt;&gt;"",ISERROR(MATCH(TRIM('PC 07'!K496),{"Draft","Menunggu Review","Revisi","Terjadwal","Publish","Batal","Published"},0))),"Status di luar daftar","")))</f>
        <v>#ERROR!</v>
      </c>
      <c r="D496" s="3" t="str">
        <f>IF(C496="","OK","ADA MASALAH")</f>
        <v>#ERROR!</v>
      </c>
    </row>
    <row r="497">
      <c r="A497" s="5">
        <v>497.0</v>
      </c>
      <c r="B497" s="3" t="str">
        <f>'PC 07'!A497</f>
        <v/>
      </c>
      <c r="C497" s="3" t="str">
        <f>IF(COUNTA('PC 07'!A497:L497)=0,"",TEXTJOIN(" | ",TRUE,IF('PC 07'!A497="","Worker ID kosong",""),IF('PC 07'!B497="","Update Date kosong",IF(NOT(ISNUMBER('PC 07'!B497)),"Update Date harus tanggal","")),IF('PC 07'!D497="","Judul kosong",""),IF('PC 07'!F497="","Genre kosong",IF(ISERROR(MATCH(TRIM('PC 07'!F497),{"Pop","Rock","Dangdut","K-Pop","Electronic","Nasional","Daerah"},0)),"Genre di luar daftar","")),IF('PC 07'!G497="","Nama Channel kosong",""),IF('PC 07'!H497="","Link kosong",IF(ISERROR(FIND("youtu",LOWER('PC 07'!H497))),"Link bukan youtube","")),IF('PC 07'!I497="","Tgl Dibuat kosong",IF(NOT(ISNUMBER('PC 07'!I497)),"Tgl Dibuat harus tanggal","")),IF(AND('PC 07'!J497&lt;&gt;"",NOT(ISNUMBER('PC 07'!J497))),"Tgl Publish harus tanggal",""),IF(AND(ISNUMBER('PC 07'!I497),ISNUMBER('PC 07'!J497),'PC 07'!J497&lt;'PC 07'!I497),"Tgl Publish &lt; Tgl Dibuat",""),IF(AND('PC 07'!K497&lt;&gt;"",ISERROR(MATCH(TRIM('PC 07'!K497),{"Draft","Menunggu Review","Revisi","Terjadwal","Publish","Batal","Published"},0))),"Status di luar daftar","")))</f>
        <v>#ERROR!</v>
      </c>
      <c r="D497" s="3" t="str">
        <f>IF(C497="","OK","ADA MASALAH")</f>
        <v>#ERROR!</v>
      </c>
    </row>
    <row r="498">
      <c r="A498" s="5">
        <v>498.0</v>
      </c>
      <c r="B498" s="3" t="str">
        <f>'PC 07'!A498</f>
        <v/>
      </c>
      <c r="C498" s="3" t="str">
        <f>IF(COUNTA('PC 07'!A498:L498)=0,"",TEXTJOIN(" | ",TRUE,IF('PC 07'!A498="","Worker ID kosong",""),IF('PC 07'!B498="","Update Date kosong",IF(NOT(ISNUMBER('PC 07'!B498)),"Update Date harus tanggal","")),IF('PC 07'!D498="","Judul kosong",""),IF('PC 07'!F498="","Genre kosong",IF(ISERROR(MATCH(TRIM('PC 07'!F498),{"Pop","Rock","Dangdut","K-Pop","Electronic","Nasional","Daerah"},0)),"Genre di luar daftar","")),IF('PC 07'!G498="","Nama Channel kosong",""),IF('PC 07'!H498="","Link kosong",IF(ISERROR(FIND("youtu",LOWER('PC 07'!H498))),"Link bukan youtube","")),IF('PC 07'!I498="","Tgl Dibuat kosong",IF(NOT(ISNUMBER('PC 07'!I498)),"Tgl Dibuat harus tanggal","")),IF(AND('PC 07'!J498&lt;&gt;"",NOT(ISNUMBER('PC 07'!J498))),"Tgl Publish harus tanggal",""),IF(AND(ISNUMBER('PC 07'!I498),ISNUMBER('PC 07'!J498),'PC 07'!J498&lt;'PC 07'!I498),"Tgl Publish &lt; Tgl Dibuat",""),IF(AND('PC 07'!K498&lt;&gt;"",ISERROR(MATCH(TRIM('PC 07'!K498),{"Draft","Menunggu Review","Revisi","Terjadwal","Publish","Batal","Published"},0))),"Status di luar daftar","")))</f>
        <v>#ERROR!</v>
      </c>
      <c r="D498" s="3" t="str">
        <f>IF(C498="","OK","ADA MASALAH")</f>
        <v>#ERROR!</v>
      </c>
    </row>
    <row r="499">
      <c r="A499" s="5">
        <v>499.0</v>
      </c>
      <c r="B499" s="3" t="str">
        <f>'PC 07'!A499</f>
        <v/>
      </c>
      <c r="C499" s="3" t="str">
        <f>IF(COUNTA('PC 07'!A499:L499)=0,"",TEXTJOIN(" | ",TRUE,IF('PC 07'!A499="","Worker ID kosong",""),IF('PC 07'!B499="","Update Date kosong",IF(NOT(ISNUMBER('PC 07'!B499)),"Update Date harus tanggal","")),IF('PC 07'!D499="","Judul kosong",""),IF('PC 07'!F499="","Genre kosong",IF(ISERROR(MATCH(TRIM('PC 07'!F499),{"Pop","Rock","Dangdut","K-Pop","Electronic","Nasional","Daerah"},0)),"Genre di luar daftar","")),IF('PC 07'!G499="","Nama Channel kosong",""),IF('PC 07'!H499="","Link kosong",IF(ISERROR(FIND("youtu",LOWER('PC 07'!H499))),"Link bukan youtube","")),IF('PC 07'!I499="","Tgl Dibuat kosong",IF(NOT(ISNUMBER('PC 07'!I499)),"Tgl Dibuat harus tanggal","")),IF(AND('PC 07'!J499&lt;&gt;"",NOT(ISNUMBER('PC 07'!J499))),"Tgl Publish harus tanggal",""),IF(AND(ISNUMBER('PC 07'!I499),ISNUMBER('PC 07'!J499),'PC 07'!J499&lt;'PC 07'!I499),"Tgl Publish &lt; Tgl Dibuat",""),IF(AND('PC 07'!K499&lt;&gt;"",ISERROR(MATCH(TRIM('PC 07'!K499),{"Draft","Menunggu Review","Revisi","Terjadwal","Publish","Batal","Published"},0))),"Status di luar daftar","")))</f>
        <v>#ERROR!</v>
      </c>
      <c r="D499" s="3" t="str">
        <f>IF(C499="","OK","ADA MASALAH")</f>
        <v>#ERROR!</v>
      </c>
    </row>
    <row r="500">
      <c r="A500" s="5">
        <v>500.0</v>
      </c>
      <c r="B500" s="3" t="str">
        <f>'PC 07'!A500</f>
        <v/>
      </c>
      <c r="C500" s="3" t="str">
        <f>IF(COUNTA('PC 07'!A500:L500)=0,"",TEXTJOIN(" | ",TRUE,IF('PC 07'!A500="","Worker ID kosong",""),IF('PC 07'!B500="","Update Date kosong",IF(NOT(ISNUMBER('PC 07'!B500)),"Update Date harus tanggal","")),IF('PC 07'!D500="","Judul kosong",""),IF('PC 07'!F500="","Genre kosong",IF(ISERROR(MATCH(TRIM('PC 07'!F500),{"Pop","Rock","Dangdut","K-Pop","Electronic","Nasional","Daerah"},0)),"Genre di luar daftar","")),IF('PC 07'!G500="","Nama Channel kosong",""),IF('PC 07'!H500="","Link kosong",IF(ISERROR(FIND("youtu",LOWER('PC 07'!H500))),"Link bukan youtube","")),IF('PC 07'!I500="","Tgl Dibuat kosong",IF(NOT(ISNUMBER('PC 07'!I500)),"Tgl Dibuat harus tanggal","")),IF(AND('PC 07'!J500&lt;&gt;"",NOT(ISNUMBER('PC 07'!J500))),"Tgl Publish harus tanggal",""),IF(AND(ISNUMBER('PC 07'!I500),ISNUMBER('PC 07'!J500),'PC 07'!J500&lt;'PC 07'!I500),"Tgl Publish &lt; Tgl Dibuat",""),IF(AND('PC 07'!K500&lt;&gt;"",ISERROR(MATCH(TRIM('PC 07'!K500),{"Draft","Menunggu Review","Revisi","Terjadwal","Publish","Batal","Published"},0))),"Status di luar daftar","")))</f>
        <v>#ERROR!</v>
      </c>
      <c r="D500" s="3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